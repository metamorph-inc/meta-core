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12990" windowHeight="8595"/>
  </bookViews>
  <sheets>
    <sheet name="Performance Surrogates" sheetId="13" r:id="rId1"/>
  </sheets>
  <functionGroups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OMPLEXITY_WEIGHT">#REF!</definedName>
    <definedName name="CumProdSchedTable">#REF!</definedName>
    <definedName name="MANUFACT_WEIGHT">#REF!</definedName>
    <definedName name="MOBILITY_WEIGHT">#REF!</definedName>
    <definedName name="PLOT1_X">#REF!</definedName>
    <definedName name="PLOT1_Y">#REF!</definedName>
    <definedName name="PLOT2_X">#REF!</definedName>
    <definedName name="PLOT2_Y">#REF!</definedName>
    <definedName name="ProdMetricsTable">#REF!</definedName>
    <definedName name="ProdSchedTable">#REF!</definedName>
    <definedName name="RiskAfterRecalcMacro" hidden="1">"'MInD-Boeing_4_14_11_MonteCarlo_SheetMetal.xlsm'!newsave_scenario"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2500</definedName>
    <definedName name="RiskNumSimulations" hidden="1">1</definedName>
    <definedName name="RiskPauseOnError" hidden="1">FALSE</definedName>
    <definedName name="RiskRunAfterRecalcMacro" hidden="1">TRUE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URVIVABILITY_WEIGHT">#REF!</definedName>
    <definedName name="TRANSPORTABILITY_WEIGHT">#REF!</definedName>
  </definedNames>
  <calcPr calcId="125725"/>
</workbook>
</file>

<file path=xl/calcChain.xml><?xml version="1.0" encoding="utf-8"?>
<calcChain xmlns="http://schemas.openxmlformats.org/spreadsheetml/2006/main">
  <c r="G33" i="13"/>
  <c r="G32"/>
  <c r="F33"/>
  <c r="F32"/>
  <c r="D9"/>
  <c r="E21"/>
  <c r="D13" l="1"/>
  <c r="D12"/>
  <c r="D11"/>
  <c r="D7"/>
  <c r="D6"/>
  <c r="D5"/>
  <c r="D14"/>
  <c r="D10"/>
  <c r="G5"/>
  <c r="G8"/>
  <c r="G6"/>
  <c r="G9"/>
  <c r="G7"/>
  <c r="G10"/>
</calcChain>
</file>

<file path=xl/sharedStrings.xml><?xml version="1.0" encoding="utf-8"?>
<sst xmlns="http://schemas.openxmlformats.org/spreadsheetml/2006/main" count="50" uniqueCount="44">
  <si>
    <t xml:space="preserve">engine scale factor </t>
  </si>
  <si>
    <t xml:space="preserve">final gear ratio </t>
  </si>
  <si>
    <t xml:space="preserve">number of battery cells </t>
  </si>
  <si>
    <t>vehicle height (m)</t>
  </si>
  <si>
    <t xml:space="preserve">vehicle length (m)  </t>
  </si>
  <si>
    <t xml:space="preserve">vehicle width (m) </t>
  </si>
  <si>
    <t>mass per cell (kg)</t>
  </si>
  <si>
    <t>max Ah per cell (Amp-hr)</t>
  </si>
  <si>
    <t>max ISG load (kW)</t>
  </si>
  <si>
    <t>ISG corner speed (rpm)</t>
  </si>
  <si>
    <t>tire radius  (m)</t>
  </si>
  <si>
    <t>power takeoff  (kW)</t>
  </si>
  <si>
    <t>Average MPG</t>
  </si>
  <si>
    <t>MPG @ 30mph</t>
  </si>
  <si>
    <t>Ground Pressure (psi)</t>
  </si>
  <si>
    <t>Power Weight Ratio (Hp/ton)</t>
  </si>
  <si>
    <t>Wheeled Vehicle Performance</t>
  </si>
  <si>
    <t xml:space="preserve">vehicle weight (lb)  </t>
  </si>
  <si>
    <t>Inputs</t>
  </si>
  <si>
    <t>Outputs</t>
  </si>
  <si>
    <t>fuel weight (lb)</t>
  </si>
  <si>
    <t>Max Speed (mph)</t>
  </si>
  <si>
    <t>Max Range (mi)</t>
  </si>
  <si>
    <t>ft</t>
  </si>
  <si>
    <t>meters</t>
  </si>
  <si>
    <t>?</t>
  </si>
  <si>
    <t xml:space="preserve">from engine component </t>
  </si>
  <si>
    <t>estimate a low number to be conservative</t>
  </si>
  <si>
    <t>from tire component</t>
  </si>
  <si>
    <t xml:space="preserve">from transmission component </t>
  </si>
  <si>
    <t>Comments</t>
  </si>
  <si>
    <t>Avg MPG</t>
  </si>
  <si>
    <t>MPG30</t>
  </si>
  <si>
    <t>Power to Weight</t>
  </si>
  <si>
    <t>Ground Pressure</t>
  </si>
  <si>
    <t>assumed as strict minimum--hold constant (6ft)</t>
  </si>
  <si>
    <t>assumed as strict minimum--hold constant (10ft)</t>
  </si>
  <si>
    <t>assumed as strict minimum--hold constant (40,000lb)</t>
  </si>
  <si>
    <t>SIMPLIFIED EQUATIONS FOR DESERT</t>
  </si>
  <si>
    <t>hp</t>
  </si>
  <si>
    <t>AvgMPG := 1.986925429*hp/1233.25-.5340552145e-1*final_gear_ratio-.107395116996101e-1*engine_scale_factor*final_gear_ratio+11.39469798*tire_radius-.298945980435129*engine_scale_factor^2-.436642459850892e-2*final_gear_ratio^2-.418926806779316*engine_scale_factor*tire_radius+.134914703656193*final_gear_ratio*tire_radius-7.25018864367684*tire_radius^2-1.870842168</t>
  </si>
  <si>
    <t>MPG30 := -.3578209569e-1*hp/1233.25+.3899588924e-1*final_gear_ratio+.244210988663259e-2*engine_scale_factor*final_gear_ratio+.9487084866*tire_radius+.329120210647676e-2*engine_scale_factor^2-.752772412501004e-2*final_gear_ratio^2+.15605694584893e-1*engine_scale_factor*tire_radius+.20834719938597e-1*final_gear_ratio*tire_radius-1.28418486633124*tire_radius^2+5.015503324</t>
  </si>
  <si>
    <t>PowerToWeight := 80.11326461*hp/1233.25-17.58250902*final_gear_ratio-2.34346668198497*engine_scale_factor*final_gear_ratio-44.69882673*tire_radius-1.14708358847372*engine_scale_factor^2+1.71052346232685*final_gear_ratio^2-6.4438078143755*engine_scale_factor*tire_radius+2.43216241575925*final_gear_ratio*tire_radius+31.2974992425904*tire_radius^2+57.24756716</t>
  </si>
  <si>
    <t>GroundPressure := -.2382198731e-12*hp/1233.25+.7535092466e-13*final_gear_ratio-.280666269378527e-14*engine_scale_factor*final_gear_ratio+.2540284019e-11*tire_radius+.94052885010565e-13*engine_scale_factor^2-.120789242344915e-13*final_gear_ratio^2+.364011612659328e-13*engine_scale_factor*tire_radius+.103437287140448e-12*final_gear_ratio*tire_radius-.251434684099113e-11*tire_radius^2+5.022535908</t>
  </si>
</sst>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charset val="129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0" borderId="0"/>
    <xf numFmtId="0" fontId="2" fillId="0" borderId="0"/>
    <xf numFmtId="0" fontId="2" fillId="0" borderId="0"/>
    <xf numFmtId="9" fontId="4" fillId="0" borderId="0" applyFont="0" applyFill="0" applyBorder="0" applyAlignment="0" applyProtection="0"/>
    <xf numFmtId="0" fontId="5" fillId="0" borderId="0">
      <alignment vertical="center"/>
    </xf>
    <xf numFmtId="0" fontId="4" fillId="0" borderId="0"/>
    <xf numFmtId="0" fontId="6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0" borderId="2" xfId="0" applyFill="1" applyBorder="1"/>
    <xf numFmtId="0" fontId="0" fillId="0" borderId="3" xfId="0" applyBorder="1"/>
    <xf numFmtId="0" fontId="0" fillId="0" borderId="5" xfId="0" applyBorder="1" applyAlignment="1">
      <alignment horizontal="center"/>
    </xf>
    <xf numFmtId="0" fontId="0" fillId="0" borderId="4" xfId="0" applyFill="1" applyBorder="1"/>
    <xf numFmtId="164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0" xfId="0" applyAlignment="1">
      <alignment horizontal="left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10">
    <cellStyle name="Normal" xfId="0" builtinId="0"/>
    <cellStyle name="Normal 2" xfId="1"/>
    <cellStyle name="Normal 3" xfId="2"/>
    <cellStyle name="Normal 4" xfId="3"/>
    <cellStyle name="Normal 5" xfId="4"/>
    <cellStyle name="Normal 6" xfId="8"/>
    <cellStyle name="Percent 2" xfId="9"/>
    <cellStyle name="백분율 2" xfId="5"/>
    <cellStyle name="표준 2" xfId="6"/>
    <cellStyle name="표준 3" xfId="7"/>
  </cellStyles>
  <dxfs count="0"/>
  <tableStyles count="0" defaultTableStyle="TableStyleMedium9" defaultPivotStyle="PivotStyleLight16"/>
  <colors>
    <mruColors>
      <color rgb="FFFBF581"/>
      <color rgb="FFFFB100"/>
      <color rgb="FF8DC7F7"/>
      <color rgb="FFE67E17"/>
      <color rgb="FFFF7F00"/>
      <color rgb="FF0037FF"/>
      <color rgb="FF00CFFF"/>
      <color rgb="FF203B9C"/>
      <color rgb="FF285059"/>
      <color rgb="FFF9CE95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2:G33"/>
  <sheetViews>
    <sheetView tabSelected="1" topLeftCell="B4" workbookViewId="0">
      <selection activeCell="C28" sqref="C28"/>
    </sheetView>
  </sheetViews>
  <sheetFormatPr defaultRowHeight="15"/>
  <cols>
    <col min="2" max="2" width="24.140625" bestFit="1" customWidth="1"/>
    <col min="3" max="3" width="20.140625" style="1" customWidth="1"/>
    <col min="4" max="4" width="11.85546875" customWidth="1"/>
    <col min="5" max="5" width="50.42578125" customWidth="1"/>
    <col min="6" max="6" width="27.140625" customWidth="1"/>
    <col min="7" max="7" width="20" customWidth="1"/>
  </cols>
  <sheetData>
    <row r="2" spans="2:7" ht="15.75" thickBot="1"/>
    <row r="3" spans="2:7" ht="19.5" thickBot="1">
      <c r="B3" s="11" t="s">
        <v>16</v>
      </c>
      <c r="C3" s="12"/>
      <c r="D3" s="12"/>
      <c r="E3" s="12"/>
      <c r="F3" s="12"/>
      <c r="G3" s="13"/>
    </row>
    <row r="4" spans="2:7">
      <c r="B4" s="14" t="s">
        <v>18</v>
      </c>
      <c r="C4" s="15"/>
      <c r="D4" s="16"/>
      <c r="E4" t="s">
        <v>30</v>
      </c>
      <c r="F4" s="17" t="s">
        <v>19</v>
      </c>
      <c r="G4" s="18"/>
    </row>
    <row r="5" spans="2:7">
      <c r="B5" s="2" t="s">
        <v>9</v>
      </c>
      <c r="C5" s="3">
        <v>100</v>
      </c>
      <c r="D5" s="4">
        <f>2500*C5/100</f>
        <v>2500</v>
      </c>
      <c r="E5" t="s">
        <v>25</v>
      </c>
      <c r="F5" s="2" t="s">
        <v>12</v>
      </c>
      <c r="G5" s="8">
        <f>Average_MPG($D$5,$D$6,$D$7,$D$8,$D$9,$D$10,$D$11,$D$12,$D$13,$D$14,$D$15,$D$16,$D$17,$D$18)</f>
        <v>2.9033590374926881</v>
      </c>
    </row>
    <row r="6" spans="2:7">
      <c r="B6" s="2" t="s">
        <v>0</v>
      </c>
      <c r="C6" s="3">
        <v>100</v>
      </c>
      <c r="D6" s="4">
        <f>0.5*C6/100</f>
        <v>0.5</v>
      </c>
      <c r="E6" t="s">
        <v>26</v>
      </c>
      <c r="F6" s="2" t="s">
        <v>14</v>
      </c>
      <c r="G6" s="8">
        <f>Ground_Pressure($D$5,$D$6,$D$7,$D$8,$D$9,$D$10,$D$11,$D$12,$D$13,$D$14,$D$15,$D$16,$D$17,$D$18)</f>
        <v>5.0225359062334212</v>
      </c>
    </row>
    <row r="7" spans="2:7">
      <c r="B7" s="2" t="s">
        <v>1</v>
      </c>
      <c r="C7" s="3">
        <v>100</v>
      </c>
      <c r="D7" s="4">
        <f>4*C7/100</f>
        <v>4</v>
      </c>
      <c r="E7" t="s">
        <v>29</v>
      </c>
      <c r="F7" s="2" t="s">
        <v>22</v>
      </c>
      <c r="G7" s="8">
        <f>Max_Range($D$5,$D$6,$D$7,$D$8,$D$9,$D$10,$D$11,$D$12,$D$13,$D$14,$D$15,$D$16,$D$17,$D$18)</f>
        <v>157.4860982345225</v>
      </c>
    </row>
    <row r="8" spans="2:7">
      <c r="B8" s="2" t="s">
        <v>20</v>
      </c>
      <c r="C8" s="3">
        <v>100</v>
      </c>
      <c r="D8" s="4">
        <v>200</v>
      </c>
      <c r="E8" t="s">
        <v>27</v>
      </c>
      <c r="F8" s="2" t="s">
        <v>21</v>
      </c>
      <c r="G8" s="8">
        <f>Max_Speed($D$5,$D$6,$D$7,$D$8,$D$9,$D$10,$D$11,$D$12,$D$13,$D$14,$D$15,$D$16,$D$17,$D$18)</f>
        <v>63.510585483798167</v>
      </c>
    </row>
    <row r="9" spans="2:7">
      <c r="B9" s="2" t="s">
        <v>6</v>
      </c>
      <c r="C9" s="3">
        <v>110</v>
      </c>
      <c r="D9" s="4">
        <f>0.09*C9/100</f>
        <v>9.9000000000000005E-2</v>
      </c>
      <c r="E9" t="s">
        <v>25</v>
      </c>
      <c r="F9" s="2" t="s">
        <v>13</v>
      </c>
      <c r="G9" s="8">
        <f>MPG_30($D$5,$D$6,$D$7,$D$8,$D$9,$D$10,$D$11,$D$12,$D$13,$D$14,$D$15,$D$16,$D$17,$D$18)</f>
        <v>5.2305857251072672</v>
      </c>
    </row>
    <row r="10" spans="2:7">
      <c r="B10" s="2" t="s">
        <v>7</v>
      </c>
      <c r="C10" s="3">
        <v>100</v>
      </c>
      <c r="D10" s="4">
        <f>20*C10/100</f>
        <v>20</v>
      </c>
      <c r="E10" t="s">
        <v>25</v>
      </c>
      <c r="F10" s="5" t="s">
        <v>15</v>
      </c>
      <c r="G10" s="9">
        <f>Power_Weight_Ratio($D$5,$D$6,$D$7,$D$8,$D$9,$D$10,$D$11,$D$12,$D$13,$D$14,$D$15,$D$16,$D$17,$D$18)</f>
        <v>37.940227297728178</v>
      </c>
    </row>
    <row r="11" spans="2:7">
      <c r="B11" s="2" t="s">
        <v>8</v>
      </c>
      <c r="C11" s="3">
        <v>100</v>
      </c>
      <c r="D11" s="4">
        <f>50*C11/100</f>
        <v>50</v>
      </c>
      <c r="E11" t="s">
        <v>25</v>
      </c>
    </row>
    <row r="12" spans="2:7">
      <c r="B12" s="2" t="s">
        <v>2</v>
      </c>
      <c r="C12" s="3">
        <v>100</v>
      </c>
      <c r="D12" s="4">
        <f>ROUND(60*C12/100,0)</f>
        <v>60</v>
      </c>
      <c r="E12" t="s">
        <v>25</v>
      </c>
    </row>
    <row r="13" spans="2:7">
      <c r="B13" s="2" t="s">
        <v>11</v>
      </c>
      <c r="C13" s="3">
        <v>100</v>
      </c>
      <c r="D13" s="4">
        <f>15*C13/100</f>
        <v>15</v>
      </c>
      <c r="E13" t="s">
        <v>25</v>
      </c>
    </row>
    <row r="14" spans="2:7">
      <c r="B14" s="2" t="s">
        <v>10</v>
      </c>
      <c r="C14" s="3">
        <v>100</v>
      </c>
      <c r="D14" s="4">
        <f>0.52578*C14/100</f>
        <v>0.52578000000000003</v>
      </c>
      <c r="E14" t="s">
        <v>28</v>
      </c>
    </row>
    <row r="15" spans="2:7">
      <c r="B15" s="2" t="s">
        <v>3</v>
      </c>
      <c r="C15" s="3">
        <v>100</v>
      </c>
      <c r="D15" s="4">
        <v>1.8288000000000002</v>
      </c>
      <c r="E15" t="s">
        <v>35</v>
      </c>
    </row>
    <row r="16" spans="2:7">
      <c r="B16" s="2" t="s">
        <v>4</v>
      </c>
      <c r="C16" s="3">
        <v>100</v>
      </c>
      <c r="D16" s="4">
        <v>3.048</v>
      </c>
      <c r="E16" t="s">
        <v>36</v>
      </c>
    </row>
    <row r="17" spans="2:7">
      <c r="B17" s="2" t="s">
        <v>17</v>
      </c>
      <c r="C17" s="3">
        <v>100</v>
      </c>
      <c r="D17" s="4">
        <v>40000</v>
      </c>
      <c r="E17" t="s">
        <v>37</v>
      </c>
    </row>
    <row r="18" spans="2:7">
      <c r="B18" s="5" t="s">
        <v>5</v>
      </c>
      <c r="C18" s="6">
        <v>100</v>
      </c>
      <c r="D18" s="7">
        <v>1.8288</v>
      </c>
      <c r="E18" t="s">
        <v>35</v>
      </c>
    </row>
    <row r="20" spans="2:7">
      <c r="E20">
        <v>6</v>
      </c>
      <c r="F20" t="s">
        <v>23</v>
      </c>
    </row>
    <row r="21" spans="2:7">
      <c r="E21">
        <f>E20*0.3048</f>
        <v>1.8288000000000002</v>
      </c>
      <c r="F21" t="s">
        <v>24</v>
      </c>
    </row>
    <row r="23" spans="2:7">
      <c r="B23" t="s">
        <v>38</v>
      </c>
    </row>
    <row r="24" spans="2:7">
      <c r="B24" t="s">
        <v>31</v>
      </c>
      <c r="C24" s="10" t="s">
        <v>40</v>
      </c>
    </row>
    <row r="25" spans="2:7">
      <c r="B25" t="s">
        <v>32</v>
      </c>
      <c r="C25" s="10" t="s">
        <v>41</v>
      </c>
    </row>
    <row r="26" spans="2:7">
      <c r="B26" t="s">
        <v>33</v>
      </c>
      <c r="C26" s="10" t="s">
        <v>42</v>
      </c>
    </row>
    <row r="27" spans="2:7">
      <c r="B27" t="s">
        <v>34</v>
      </c>
      <c r="C27" s="10" t="s">
        <v>43</v>
      </c>
    </row>
    <row r="31" spans="2:7">
      <c r="F31" t="s">
        <v>39</v>
      </c>
    </row>
    <row r="32" spans="2:7">
      <c r="C32" s="1">
        <v>0.5</v>
      </c>
      <c r="D32">
        <v>20000</v>
      </c>
      <c r="E32">
        <v>61.662457099999997</v>
      </c>
      <c r="F32">
        <f>D32/2000*E32</f>
        <v>616.62457099999995</v>
      </c>
      <c r="G32">
        <f>2*F32</f>
        <v>1233.2491419999999</v>
      </c>
    </row>
    <row r="33" spans="3:7">
      <c r="C33" s="1">
        <v>2</v>
      </c>
      <c r="D33">
        <v>35000</v>
      </c>
      <c r="E33">
        <v>140.942759</v>
      </c>
      <c r="F33">
        <f>D33/2000*E33</f>
        <v>2466.4982824999997</v>
      </c>
      <c r="G33">
        <f>F33*0.5</f>
        <v>1233.2491412499999</v>
      </c>
    </row>
  </sheetData>
  <mergeCells count="3">
    <mergeCell ref="B3:G3"/>
    <mergeCell ref="B4:D4"/>
    <mergeCell ref="F4:G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Performance Surrogates</vt:lpstr>
    </vt:vector>
  </TitlesOfParts>
  <Company>ASDL, Georgia Tech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vkim</dc:creator>
  <cp:lastModifiedBy>Carl Johnson</cp:lastModifiedBy>
  <dcterms:created xsi:type="dcterms:W3CDTF">2011-06-07T16:14:58Z</dcterms:created>
  <dcterms:modified xsi:type="dcterms:W3CDTF">2011-07-15T19:57:52Z</dcterms:modified>
</cp:coreProperties>
</file>