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Default Extension="gif" ContentType="image/gif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45" windowWidth="18045" windowHeight="11355"/>
  </bookViews>
  <sheets>
    <sheet name="Dashboard" sheetId="1" r:id="rId1"/>
    <sheet name="Scatterplot" sheetId="10" r:id="rId2"/>
    <sheet name="Requirements" sheetId="9" r:id="rId3"/>
    <sheet name="Concept Database" sheetId="3" r:id="rId4"/>
    <sheet name="TOPSIS" sheetId="4" r:id="rId5"/>
    <sheet name="Data_ProdSched" sheetId="7" r:id="rId6"/>
    <sheet name="Data_CashFlow" sheetId="5" r:id="rId7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RMOR_TYPE_OPTIONS">#REF!</definedName>
    <definedName name="BATTERY_TYPE_OPTIONS">#REF!</definedName>
    <definedName name="C_1">Scatterplot!$B$4</definedName>
    <definedName name="C_2">Scatterplot!$B$20</definedName>
    <definedName name="C_3">Scatterplot!$B$36</definedName>
    <definedName name="CashFlowTable">Data_CashFlow!$B$2:$K$50</definedName>
    <definedName name="COMPLEXITY_WEIGHT">Dashboard!$D$12</definedName>
    <definedName name="CONCEPT_ID_OPTIONS">#REF!</definedName>
    <definedName name="CostperUnitTable">Data_CashFlow!$B$1248:$Q$1257</definedName>
    <definedName name="CumCashFlowTable">Data_CashFlow!$B$1215:$BJ$1224</definedName>
    <definedName name="CumProdSchedTable">Data_ProdSched!$B$88:$BJ$97</definedName>
    <definedName name="ENGINE_TYPE_OPTIONS">#REF!</definedName>
    <definedName name="HULL_TYPE_OPTIONS">#REF!</definedName>
    <definedName name="Manuf_Costs_RSEs">#REF!</definedName>
    <definedName name="MANUFACT_WEIGHT">Dashboard!$D$10</definedName>
    <definedName name="MOBILITY_WEIGHT">Dashboard!$D$8</definedName>
    <definedName name="NUM_CREW_OPTIONS">#REF!</definedName>
    <definedName name="NUM_PAX_OPTIONS">#REF!</definedName>
    <definedName name="ProdMetricsTable">Data_ProdSched!$B$1:$K$9</definedName>
    <definedName name="ProdSchedTable">Data_ProdSched!$B$75:$BJ$84</definedName>
    <definedName name="R_1">Scatterplot!$C$2</definedName>
    <definedName name="R_2">Scatterplot!$G$2</definedName>
    <definedName name="R_3">Scatterplot!$K$2</definedName>
    <definedName name="RiskAfterRecalcMacro" hidden="1">"'MInD-Boeing_4_14_11_MonteCarlo_SheetMetal.xlsm'!newsave_scenario"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2500</definedName>
    <definedName name="RiskNumSimulations" hidden="1">1</definedName>
    <definedName name="RiskPauseOnError" hidden="1">FALSE</definedName>
    <definedName name="RiskRunAfterRecalcMacro" hidden="1">TRUE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ER_FUC_RSEs">#REF!</definedName>
    <definedName name="SURFACE_TYPE_OPTIONS">#REF!</definedName>
    <definedName name="SURVIVABILITY_WEIGHT">Dashboard!$D$9</definedName>
    <definedName name="SUSPENSION_TYPE_OPTIONS">#REF!</definedName>
    <definedName name="TRANSMISSION_TYPE_OPTIONS">#REF!</definedName>
    <definedName name="TRANSPORTABILITY_WEIGHT">Dashboard!$D$11</definedName>
    <definedName name="TURRET_TYPE_OPTIONS">#REF!</definedName>
    <definedName name="UnitCostTable">#REF!</definedName>
    <definedName name="VEHICLE_PROP_TYPE_OPTIONS">#REF!</definedName>
  </definedNames>
  <calcPr calcId="125725"/>
</workbook>
</file>

<file path=xl/calcChain.xml><?xml version="1.0" encoding="utf-8"?>
<calcChain xmlns="http://schemas.openxmlformats.org/spreadsheetml/2006/main">
  <c r="M4" i="7"/>
  <c r="H25" i="1"/>
  <c r="H49"/>
  <c r="H48"/>
  <c r="H46"/>
  <c r="H45"/>
  <c r="H43"/>
  <c r="H42"/>
  <c r="H53"/>
  <c r="H52"/>
  <c r="H51"/>
  <c r="H27"/>
  <c r="H28"/>
  <c r="H29"/>
  <c r="H30"/>
  <c r="H31"/>
  <c r="H32"/>
  <c r="H33"/>
  <c r="H35"/>
  <c r="H36"/>
  <c r="H39"/>
  <c r="H41"/>
  <c r="H44"/>
  <c r="H47"/>
  <c r="H24"/>
  <c r="H23"/>
  <c r="C97" i="7" l="1"/>
  <c r="D97" s="1"/>
  <c r="E97" s="1"/>
  <c r="F97" s="1"/>
  <c r="G97" s="1"/>
  <c r="C96"/>
  <c r="D96" s="1"/>
  <c r="E96" s="1"/>
  <c r="F96" s="1"/>
  <c r="G96" s="1"/>
  <c r="C95"/>
  <c r="D95" s="1"/>
  <c r="E95" s="1"/>
  <c r="F95" s="1"/>
  <c r="G95" s="1"/>
  <c r="C94"/>
  <c r="D94" s="1"/>
  <c r="E94" s="1"/>
  <c r="F94" s="1"/>
  <c r="G94" s="1"/>
  <c r="D93"/>
  <c r="E93" s="1"/>
  <c r="F93" s="1"/>
  <c r="G93" s="1"/>
  <c r="C93"/>
  <c r="D92"/>
  <c r="E92" s="1"/>
  <c r="F92" s="1"/>
  <c r="G92" s="1"/>
  <c r="C92"/>
  <c r="C91"/>
  <c r="D91" s="1"/>
  <c r="E91" s="1"/>
  <c r="F91" s="1"/>
  <c r="G91" s="1"/>
  <c r="C90"/>
  <c r="D90" s="1"/>
  <c r="E90" s="1"/>
  <c r="F90" s="1"/>
  <c r="G90" s="1"/>
  <c r="C89"/>
  <c r="D89" s="1"/>
  <c r="E89" s="1"/>
  <c r="F89" s="1"/>
  <c r="G89" s="1"/>
  <c r="C88"/>
  <c r="D88" s="1"/>
  <c r="E88" s="1"/>
  <c r="F88" s="1"/>
  <c r="G88" s="1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C67"/>
  <c r="C61"/>
  <c r="C55"/>
  <c r="C49"/>
  <c r="C43"/>
  <c r="C37"/>
  <c r="C31"/>
  <c r="C25"/>
  <c r="C19"/>
  <c r="C13"/>
  <c r="A1270" i="5"/>
  <c r="B1269"/>
  <c r="A1269"/>
  <c r="A1268"/>
  <c r="B1267"/>
  <c r="A1267"/>
  <c r="A1266"/>
  <c r="B1265"/>
  <c r="A1265"/>
  <c r="A1264"/>
  <c r="B1263"/>
  <c r="A1263"/>
  <c r="A1262"/>
  <c r="B1261"/>
  <c r="A1261"/>
  <c r="B1243"/>
  <c r="B1242"/>
  <c r="B1241"/>
  <c r="B1240"/>
  <c r="B1239"/>
  <c r="BJ1197"/>
  <c r="BI1197"/>
  <c r="BH1197"/>
  <c r="BG1197"/>
  <c r="BF1197"/>
  <c r="BE1197"/>
  <c r="BD1197"/>
  <c r="BC1197"/>
  <c r="BB1197"/>
  <c r="BA1197"/>
  <c r="AZ1197"/>
  <c r="AY1197"/>
  <c r="AX1197"/>
  <c r="AW1197"/>
  <c r="AV1197"/>
  <c r="AU1197"/>
  <c r="AT1197"/>
  <c r="AS1197"/>
  <c r="AR1197"/>
  <c r="AQ1197"/>
  <c r="AP1197"/>
  <c r="AO1197"/>
  <c r="AN1197"/>
  <c r="AM1197"/>
  <c r="AL1197"/>
  <c r="AK1197"/>
  <c r="BJ1172"/>
  <c r="BI1172"/>
  <c r="BH1172"/>
  <c r="BG1172"/>
  <c r="BF1172"/>
  <c r="BE1172"/>
  <c r="BD1172"/>
  <c r="BC1172"/>
  <c r="BB1172"/>
  <c r="BA1172"/>
  <c r="AZ1172"/>
  <c r="AY1172"/>
  <c r="AX1172"/>
  <c r="AW1172"/>
  <c r="AV1172"/>
  <c r="AU1172"/>
  <c r="AT1172"/>
  <c r="AS1172"/>
  <c r="AR1172"/>
  <c r="AQ1172"/>
  <c r="AP1172"/>
  <c r="AO1172"/>
  <c r="AN1172"/>
  <c r="AM1172"/>
  <c r="AL1172"/>
  <c r="AK1172"/>
  <c r="BG1150"/>
  <c r="BC1150"/>
  <c r="AY1150"/>
  <c r="AU1150"/>
  <c r="AQ1150"/>
  <c r="AM1150"/>
  <c r="AI1150"/>
  <c r="AE1150"/>
  <c r="AA1150"/>
  <c r="W1150"/>
  <c r="S1150"/>
  <c r="O1150"/>
  <c r="K1150"/>
  <c r="G1150"/>
  <c r="C1150"/>
  <c r="BJ1140"/>
  <c r="BI1140"/>
  <c r="BH1140"/>
  <c r="BG1140"/>
  <c r="BF1140"/>
  <c r="BE1140"/>
  <c r="BD1140"/>
  <c r="BC1140"/>
  <c r="BB1140"/>
  <c r="BA1140"/>
  <c r="AZ1140"/>
  <c r="AY1140"/>
  <c r="AX1140"/>
  <c r="AW1140"/>
  <c r="AV1140"/>
  <c r="AU1140"/>
  <c r="AT1140"/>
  <c r="AS1140"/>
  <c r="AR1140"/>
  <c r="AQ1140"/>
  <c r="AP1140"/>
  <c r="AO1140"/>
  <c r="AN1140"/>
  <c r="AM1140"/>
  <c r="AL1140"/>
  <c r="AK1140"/>
  <c r="BI1139"/>
  <c r="BE1139"/>
  <c r="BA1139"/>
  <c r="AW1139"/>
  <c r="AS1139"/>
  <c r="AO1139"/>
  <c r="AK1139"/>
  <c r="AG1139"/>
  <c r="AC1139"/>
  <c r="Y1139"/>
  <c r="BI1133"/>
  <c r="BG1133"/>
  <c r="BE1133"/>
  <c r="BC1133"/>
  <c r="BA1133"/>
  <c r="AY1133"/>
  <c r="AW1133"/>
  <c r="AU1133"/>
  <c r="AS1133"/>
  <c r="AQ1133"/>
  <c r="AO1133"/>
  <c r="AM1133"/>
  <c r="AK1133"/>
  <c r="AI1133"/>
  <c r="AG1133"/>
  <c r="AE1133"/>
  <c r="AC1133"/>
  <c r="AA1133"/>
  <c r="Y1133"/>
  <c r="BI1131"/>
  <c r="BG1131"/>
  <c r="BE1131"/>
  <c r="BC1131"/>
  <c r="BA1131"/>
  <c r="AY1131"/>
  <c r="AW1131"/>
  <c r="AU1131"/>
  <c r="AS1131"/>
  <c r="AQ1131"/>
  <c r="AO1131"/>
  <c r="AM1131"/>
  <c r="AK1131"/>
  <c r="AI1131"/>
  <c r="AG1131"/>
  <c r="AE1131"/>
  <c r="AC1131"/>
  <c r="AA1131"/>
  <c r="Y1131"/>
  <c r="C1131"/>
  <c r="BI1129"/>
  <c r="BG1129"/>
  <c r="BE1129"/>
  <c r="BC1129"/>
  <c r="BA1129"/>
  <c r="AY1129"/>
  <c r="AW1129"/>
  <c r="AU1129"/>
  <c r="AS1129"/>
  <c r="AQ1129"/>
  <c r="AO1129"/>
  <c r="AM1129"/>
  <c r="AK1129"/>
  <c r="AI1129"/>
  <c r="AG1129"/>
  <c r="AE1129"/>
  <c r="AC1129"/>
  <c r="AA1129"/>
  <c r="Y1129"/>
  <c r="BI1127"/>
  <c r="BG1127"/>
  <c r="BE1127"/>
  <c r="BC1127"/>
  <c r="BA1127"/>
  <c r="AY1127"/>
  <c r="AW1127"/>
  <c r="AU1127"/>
  <c r="AS1127"/>
  <c r="AQ1127"/>
  <c r="AO1127"/>
  <c r="AM1127"/>
  <c r="AK1127"/>
  <c r="AI1127"/>
  <c r="AG1127"/>
  <c r="AE1127"/>
  <c r="AC1127"/>
  <c r="AA1127"/>
  <c r="Y1127"/>
  <c r="C1119"/>
  <c r="E1117"/>
  <c r="BJ1115"/>
  <c r="BI1115"/>
  <c r="BH1115"/>
  <c r="BG1115"/>
  <c r="BF1115"/>
  <c r="BE1115"/>
  <c r="BD1115"/>
  <c r="BC1115"/>
  <c r="BB1115"/>
  <c r="BA1115"/>
  <c r="AZ1115"/>
  <c r="AY1115"/>
  <c r="AX1115"/>
  <c r="AW1115"/>
  <c r="AV1115"/>
  <c r="AU1115"/>
  <c r="AT1115"/>
  <c r="AS1115"/>
  <c r="AR1115"/>
  <c r="AQ1115"/>
  <c r="AP1115"/>
  <c r="AO1115"/>
  <c r="AN1115"/>
  <c r="AM1115"/>
  <c r="AL1115"/>
  <c r="AK1115"/>
  <c r="G1119"/>
  <c r="B1114"/>
  <c r="C1124" s="1"/>
  <c r="C1129" s="1"/>
  <c r="D1113"/>
  <c r="F1112"/>
  <c r="F1117"/>
  <c r="F1111"/>
  <c r="F1116" s="1"/>
  <c r="D1110"/>
  <c r="C1110"/>
  <c r="C1141" s="1"/>
  <c r="BI1163"/>
  <c r="BE1163"/>
  <c r="BA1163"/>
  <c r="AW1163"/>
  <c r="AS1163"/>
  <c r="AO1163"/>
  <c r="AK1163"/>
  <c r="AG1163"/>
  <c r="AC1163"/>
  <c r="Y1163"/>
  <c r="U1163"/>
  <c r="Q1163"/>
  <c r="M1163"/>
  <c r="I1163"/>
  <c r="E1163"/>
  <c r="BI1141"/>
  <c r="BH1156"/>
  <c r="BF1147"/>
  <c r="BD1132"/>
  <c r="BD1189" s="1"/>
  <c r="BA1141"/>
  <c r="AZ1156"/>
  <c r="AX1147"/>
  <c r="AV1132"/>
  <c r="AV1189" s="1"/>
  <c r="AS1141"/>
  <c r="AR1156"/>
  <c r="AP1147"/>
  <c r="AN1132"/>
  <c r="AN1189" s="1"/>
  <c r="AK1141"/>
  <c r="AJ1156"/>
  <c r="AH1147"/>
  <c r="AF1132"/>
  <c r="AF1189" s="1"/>
  <c r="AC1141"/>
  <c r="AB1156"/>
  <c r="Z1147"/>
  <c r="X1132"/>
  <c r="X1189" s="1"/>
  <c r="U1141"/>
  <c r="T1156"/>
  <c r="R1147"/>
  <c r="M1141"/>
  <c r="L1156"/>
  <c r="J1147"/>
  <c r="D1156"/>
  <c r="B1099"/>
  <c r="AI1176"/>
  <c r="BJ1081"/>
  <c r="BI1081"/>
  <c r="BH1081"/>
  <c r="BG1081"/>
  <c r="BF1081"/>
  <c r="BE1081"/>
  <c r="BD1081"/>
  <c r="BC1081"/>
  <c r="BB1081"/>
  <c r="BA1081"/>
  <c r="AZ1081"/>
  <c r="AY1081"/>
  <c r="AX1081"/>
  <c r="AW1081"/>
  <c r="AV1081"/>
  <c r="AU1081"/>
  <c r="AT1081"/>
  <c r="AS1081"/>
  <c r="AR1081"/>
  <c r="AQ1081"/>
  <c r="AP1081"/>
  <c r="AO1081"/>
  <c r="AN1081"/>
  <c r="AM1081"/>
  <c r="AL1081"/>
  <c r="AK1081"/>
  <c r="BJ1056"/>
  <c r="BI1056"/>
  <c r="BH1056"/>
  <c r="BG1056"/>
  <c r="BF1056"/>
  <c r="BE1056"/>
  <c r="BD1056"/>
  <c r="BC1056"/>
  <c r="BB1056"/>
  <c r="BA1056"/>
  <c r="AZ1056"/>
  <c r="AY1056"/>
  <c r="AX1056"/>
  <c r="AW1056"/>
  <c r="AV1056"/>
  <c r="AU1056"/>
  <c r="AT1056"/>
  <c r="AS1056"/>
  <c r="AR1056"/>
  <c r="AQ1056"/>
  <c r="AP1056"/>
  <c r="AO1056"/>
  <c r="AN1056"/>
  <c r="AM1056"/>
  <c r="AL1056"/>
  <c r="AK1056"/>
  <c r="BJ1024"/>
  <c r="BI1024"/>
  <c r="BH1024"/>
  <c r="BG1024"/>
  <c r="BF1024"/>
  <c r="BE1024"/>
  <c r="BD1024"/>
  <c r="BC1024"/>
  <c r="BB1024"/>
  <c r="BA1024"/>
  <c r="AZ1024"/>
  <c r="AY1024"/>
  <c r="AX1024"/>
  <c r="AW1024"/>
  <c r="AV1024"/>
  <c r="AU1024"/>
  <c r="AT1024"/>
  <c r="AS1024"/>
  <c r="AR1024"/>
  <c r="AQ1024"/>
  <c r="AP1024"/>
  <c r="AO1024"/>
  <c r="AN1024"/>
  <c r="AM1024"/>
  <c r="AL1024"/>
  <c r="AK1024"/>
  <c r="BJ999"/>
  <c r="BI999"/>
  <c r="BH999"/>
  <c r="BG999"/>
  <c r="BF999"/>
  <c r="BE999"/>
  <c r="BD999"/>
  <c r="BC999"/>
  <c r="BB999"/>
  <c r="BA999"/>
  <c r="AZ999"/>
  <c r="AY999"/>
  <c r="AX999"/>
  <c r="AW999"/>
  <c r="AV999"/>
  <c r="AU999"/>
  <c r="AT999"/>
  <c r="AS999"/>
  <c r="AR999"/>
  <c r="AQ999"/>
  <c r="AP999"/>
  <c r="AO999"/>
  <c r="AN999"/>
  <c r="AM999"/>
  <c r="AL999"/>
  <c r="AK999"/>
  <c r="D1055"/>
  <c r="C1055"/>
  <c r="B998"/>
  <c r="D997"/>
  <c r="D1054" s="1"/>
  <c r="C1054"/>
  <c r="F996"/>
  <c r="F1053" s="1"/>
  <c r="E1053"/>
  <c r="F995"/>
  <c r="F1052" s="1"/>
  <c r="E1052"/>
  <c r="D994"/>
  <c r="C994"/>
  <c r="C1025" s="1"/>
  <c r="C1049"/>
  <c r="BJ1040"/>
  <c r="BI1034"/>
  <c r="BH1040"/>
  <c r="BG1034"/>
  <c r="BF1040"/>
  <c r="BE1034"/>
  <c r="BD1040"/>
  <c r="BC1034"/>
  <c r="BB1040"/>
  <c r="BA1034"/>
  <c r="AZ1040"/>
  <c r="AY1034"/>
  <c r="AX1040"/>
  <c r="AW1034"/>
  <c r="AV1040"/>
  <c r="AU1034"/>
  <c r="AT1040"/>
  <c r="AS1034"/>
  <c r="AR1040"/>
  <c r="AQ1034"/>
  <c r="AP1040"/>
  <c r="AO1034"/>
  <c r="AN1040"/>
  <c r="AM1034"/>
  <c r="AL1040"/>
  <c r="AK1034"/>
  <c r="AJ1040"/>
  <c r="AI1034"/>
  <c r="AH1040"/>
  <c r="AG1034"/>
  <c r="AF1040"/>
  <c r="AE1034"/>
  <c r="AD1040"/>
  <c r="AC1034"/>
  <c r="AB1040"/>
  <c r="AA1034"/>
  <c r="Z1040"/>
  <c r="Y1034"/>
  <c r="X1040"/>
  <c r="W1034"/>
  <c r="V1040"/>
  <c r="U1034"/>
  <c r="T1040"/>
  <c r="S1034"/>
  <c r="R1040"/>
  <c r="Q1034"/>
  <c r="P1040"/>
  <c r="O1034"/>
  <c r="N1040"/>
  <c r="M1034"/>
  <c r="L1040"/>
  <c r="K1034"/>
  <c r="J1040"/>
  <c r="I1034"/>
  <c r="H1040"/>
  <c r="G1034"/>
  <c r="F1040"/>
  <c r="E1034"/>
  <c r="D1040"/>
  <c r="C1034"/>
  <c r="B983"/>
  <c r="D1063"/>
  <c r="BJ965"/>
  <c r="BI965"/>
  <c r="BH965"/>
  <c r="BG965"/>
  <c r="BF965"/>
  <c r="BE965"/>
  <c r="BD965"/>
  <c r="BC965"/>
  <c r="BB965"/>
  <c r="BA965"/>
  <c r="AZ965"/>
  <c r="AY965"/>
  <c r="AX965"/>
  <c r="AW965"/>
  <c r="AV965"/>
  <c r="AU965"/>
  <c r="AT965"/>
  <c r="AS965"/>
  <c r="AR965"/>
  <c r="AQ965"/>
  <c r="AP965"/>
  <c r="AO965"/>
  <c r="AN965"/>
  <c r="AM965"/>
  <c r="AL965"/>
  <c r="AK965"/>
  <c r="BJ940"/>
  <c r="BI940"/>
  <c r="BH940"/>
  <c r="BG940"/>
  <c r="BF940"/>
  <c r="BE940"/>
  <c r="BD940"/>
  <c r="BC940"/>
  <c r="BB940"/>
  <c r="BA940"/>
  <c r="AZ940"/>
  <c r="AY940"/>
  <c r="AX940"/>
  <c r="AW940"/>
  <c r="AV940"/>
  <c r="AU940"/>
  <c r="AT940"/>
  <c r="AS940"/>
  <c r="AR940"/>
  <c r="AQ940"/>
  <c r="AP940"/>
  <c r="AO940"/>
  <c r="AN940"/>
  <c r="AM940"/>
  <c r="AL940"/>
  <c r="AK940"/>
  <c r="BJ908"/>
  <c r="BI908"/>
  <c r="BH908"/>
  <c r="BG908"/>
  <c r="BF908"/>
  <c r="BE908"/>
  <c r="BD908"/>
  <c r="BC908"/>
  <c r="BB908"/>
  <c r="BA908"/>
  <c r="AZ908"/>
  <c r="AY908"/>
  <c r="AX908"/>
  <c r="AW908"/>
  <c r="AV908"/>
  <c r="AU908"/>
  <c r="AT908"/>
  <c r="AS908"/>
  <c r="AR908"/>
  <c r="AQ908"/>
  <c r="AP908"/>
  <c r="AO908"/>
  <c r="AN908"/>
  <c r="AM908"/>
  <c r="AL908"/>
  <c r="AK908"/>
  <c r="BJ883"/>
  <c r="BI883"/>
  <c r="BH883"/>
  <c r="BG883"/>
  <c r="BF883"/>
  <c r="BE883"/>
  <c r="BD883"/>
  <c r="BC883"/>
  <c r="BB883"/>
  <c r="BA883"/>
  <c r="AZ883"/>
  <c r="AY883"/>
  <c r="AX883"/>
  <c r="AW883"/>
  <c r="AV883"/>
  <c r="AU883"/>
  <c r="AT883"/>
  <c r="AS883"/>
  <c r="AR883"/>
  <c r="AQ883"/>
  <c r="AP883"/>
  <c r="AO883"/>
  <c r="AN883"/>
  <c r="AM883"/>
  <c r="AL883"/>
  <c r="AK883"/>
  <c r="D939"/>
  <c r="F887"/>
  <c r="F944" s="1"/>
  <c r="C878"/>
  <c r="C909" s="1"/>
  <c r="D876"/>
  <c r="D933" s="1"/>
  <c r="C933"/>
  <c r="BJ918"/>
  <c r="BI924"/>
  <c r="BH918"/>
  <c r="BG924"/>
  <c r="BF918"/>
  <c r="BE924"/>
  <c r="BD918"/>
  <c r="BC924"/>
  <c r="BB918"/>
  <c r="BA924"/>
  <c r="AZ918"/>
  <c r="AY924"/>
  <c r="AX918"/>
  <c r="AW924"/>
  <c r="AV918"/>
  <c r="AU924"/>
  <c r="AT918"/>
  <c r="AS924"/>
  <c r="AR918"/>
  <c r="AQ924"/>
  <c r="AP918"/>
  <c r="AO924"/>
  <c r="AN918"/>
  <c r="AM924"/>
  <c r="AL918"/>
  <c r="AK924"/>
  <c r="AJ918"/>
  <c r="AI924"/>
  <c r="AH918"/>
  <c r="AG924"/>
  <c r="AF918"/>
  <c r="AE924"/>
  <c r="AD918"/>
  <c r="AC924"/>
  <c r="AB918"/>
  <c r="AA924"/>
  <c r="Z918"/>
  <c r="Y924"/>
  <c r="X918"/>
  <c r="W924"/>
  <c r="V918"/>
  <c r="U924"/>
  <c r="T918"/>
  <c r="S924"/>
  <c r="R918"/>
  <c r="Q924"/>
  <c r="P918"/>
  <c r="O924"/>
  <c r="N918"/>
  <c r="M924"/>
  <c r="L918"/>
  <c r="K924"/>
  <c r="J918"/>
  <c r="I924"/>
  <c r="H918"/>
  <c r="G924"/>
  <c r="F918"/>
  <c r="E924"/>
  <c r="D918"/>
  <c r="C924"/>
  <c r="C952"/>
  <c r="BJ849"/>
  <c r="BI849"/>
  <c r="BH849"/>
  <c r="BG849"/>
  <c r="BF849"/>
  <c r="BE849"/>
  <c r="BD849"/>
  <c r="BC849"/>
  <c r="BB849"/>
  <c r="BA849"/>
  <c r="AZ849"/>
  <c r="AY849"/>
  <c r="AX849"/>
  <c r="AW849"/>
  <c r="AV849"/>
  <c r="AU849"/>
  <c r="AT849"/>
  <c r="AS849"/>
  <c r="AR849"/>
  <c r="AQ849"/>
  <c r="AP849"/>
  <c r="AO849"/>
  <c r="AN849"/>
  <c r="AM849"/>
  <c r="AL849"/>
  <c r="AK849"/>
  <c r="BJ824"/>
  <c r="BI824"/>
  <c r="BH824"/>
  <c r="BG824"/>
  <c r="BF824"/>
  <c r="BE824"/>
  <c r="BD824"/>
  <c r="BC824"/>
  <c r="BB824"/>
  <c r="BA824"/>
  <c r="AZ824"/>
  <c r="AY824"/>
  <c r="AX824"/>
  <c r="AW824"/>
  <c r="AV824"/>
  <c r="AU824"/>
  <c r="AT824"/>
  <c r="AS824"/>
  <c r="AR824"/>
  <c r="AQ824"/>
  <c r="AP824"/>
  <c r="AO824"/>
  <c r="AN824"/>
  <c r="AM824"/>
  <c r="AL824"/>
  <c r="AK824"/>
  <c r="BJ792"/>
  <c r="BI792"/>
  <c r="BH792"/>
  <c r="BG792"/>
  <c r="BF792"/>
  <c r="BE792"/>
  <c r="BD792"/>
  <c r="BC792"/>
  <c r="BB792"/>
  <c r="BA792"/>
  <c r="AZ792"/>
  <c r="AY792"/>
  <c r="AX792"/>
  <c r="AW792"/>
  <c r="AV792"/>
  <c r="AU792"/>
  <c r="AT792"/>
  <c r="AS792"/>
  <c r="AR792"/>
  <c r="AQ792"/>
  <c r="AP792"/>
  <c r="AO792"/>
  <c r="AN792"/>
  <c r="AM792"/>
  <c r="AL792"/>
  <c r="AK792"/>
  <c r="BJ767"/>
  <c r="BI767"/>
  <c r="BH767"/>
  <c r="BG767"/>
  <c r="BF767"/>
  <c r="BE767"/>
  <c r="BD767"/>
  <c r="BC767"/>
  <c r="BB767"/>
  <c r="BA767"/>
  <c r="AZ767"/>
  <c r="AY767"/>
  <c r="AX767"/>
  <c r="AW767"/>
  <c r="AV767"/>
  <c r="AU767"/>
  <c r="AT767"/>
  <c r="AS767"/>
  <c r="AR767"/>
  <c r="AQ767"/>
  <c r="AP767"/>
  <c r="AO767"/>
  <c r="AN767"/>
  <c r="AM767"/>
  <c r="AL767"/>
  <c r="AK767"/>
  <c r="D823"/>
  <c r="C823"/>
  <c r="B766"/>
  <c r="C822"/>
  <c r="E821"/>
  <c r="E820"/>
  <c r="C762"/>
  <c r="C793" s="1"/>
  <c r="D760"/>
  <c r="E760" s="1"/>
  <c r="C817"/>
  <c r="BJ808"/>
  <c r="BI802"/>
  <c r="BH808"/>
  <c r="BG802"/>
  <c r="BF808"/>
  <c r="BE802"/>
  <c r="BD808"/>
  <c r="BC802"/>
  <c r="BB808"/>
  <c r="BA802"/>
  <c r="AZ808"/>
  <c r="AY802"/>
  <c r="AX808"/>
  <c r="AW802"/>
  <c r="AV808"/>
  <c r="AU802"/>
  <c r="AT808"/>
  <c r="AS802"/>
  <c r="AR808"/>
  <c r="AQ802"/>
  <c r="AP808"/>
  <c r="AO802"/>
  <c r="AN808"/>
  <c r="AM802"/>
  <c r="AL808"/>
  <c r="AK802"/>
  <c r="AJ808"/>
  <c r="AI802"/>
  <c r="AH808"/>
  <c r="AG802"/>
  <c r="AF808"/>
  <c r="AE802"/>
  <c r="AD808"/>
  <c r="AC802"/>
  <c r="AB808"/>
  <c r="AA802"/>
  <c r="Z808"/>
  <c r="Y802"/>
  <c r="X808"/>
  <c r="W802"/>
  <c r="V808"/>
  <c r="U802"/>
  <c r="T808"/>
  <c r="S802"/>
  <c r="R808"/>
  <c r="Q802"/>
  <c r="P808"/>
  <c r="O802"/>
  <c r="N808"/>
  <c r="M802"/>
  <c r="L808"/>
  <c r="K802"/>
  <c r="J808"/>
  <c r="I802"/>
  <c r="H808"/>
  <c r="G802"/>
  <c r="F808"/>
  <c r="E802"/>
  <c r="D808"/>
  <c r="C802"/>
  <c r="D836"/>
  <c r="BJ733"/>
  <c r="BI733"/>
  <c r="BH733"/>
  <c r="BG733"/>
  <c r="BF733"/>
  <c r="BE733"/>
  <c r="BD733"/>
  <c r="BC733"/>
  <c r="BB733"/>
  <c r="BA733"/>
  <c r="AZ733"/>
  <c r="AY733"/>
  <c r="AX733"/>
  <c r="AW733"/>
  <c r="AV733"/>
  <c r="AU733"/>
  <c r="AT733"/>
  <c r="AS733"/>
  <c r="AR733"/>
  <c r="AQ733"/>
  <c r="AP733"/>
  <c r="AO733"/>
  <c r="AN733"/>
  <c r="AM733"/>
  <c r="AL733"/>
  <c r="AK733"/>
  <c r="C720"/>
  <c r="D719"/>
  <c r="D715"/>
  <c r="D714"/>
  <c r="AJ712"/>
  <c r="AH712"/>
  <c r="D710"/>
  <c r="C709"/>
  <c r="BJ708"/>
  <c r="BI708"/>
  <c r="BH708"/>
  <c r="BG708"/>
  <c r="BF708"/>
  <c r="BE708"/>
  <c r="BD708"/>
  <c r="BC708"/>
  <c r="BB708"/>
  <c r="BA708"/>
  <c r="AZ708"/>
  <c r="AY708"/>
  <c r="AX708"/>
  <c r="AW708"/>
  <c r="AV708"/>
  <c r="AU708"/>
  <c r="AT708"/>
  <c r="AS708"/>
  <c r="AR708"/>
  <c r="AQ708"/>
  <c r="AP708"/>
  <c r="AO708"/>
  <c r="AN708"/>
  <c r="AM708"/>
  <c r="AL708"/>
  <c r="AK708"/>
  <c r="F707"/>
  <c r="D707"/>
  <c r="D705"/>
  <c r="D704"/>
  <c r="BJ701"/>
  <c r="BH701"/>
  <c r="BF701"/>
  <c r="BD701"/>
  <c r="BB701"/>
  <c r="AZ701"/>
  <c r="AX701"/>
  <c r="AV701"/>
  <c r="AT701"/>
  <c r="AR701"/>
  <c r="AP701"/>
  <c r="AN701"/>
  <c r="AL701"/>
  <c r="AJ701"/>
  <c r="AH701"/>
  <c r="AF701"/>
  <c r="AD701"/>
  <c r="AB701"/>
  <c r="Z701"/>
  <c r="X701"/>
  <c r="V701"/>
  <c r="T701"/>
  <c r="R701"/>
  <c r="P701"/>
  <c r="N701"/>
  <c r="L701"/>
  <c r="J701"/>
  <c r="H701"/>
  <c r="BH699"/>
  <c r="BD699"/>
  <c r="AZ699"/>
  <c r="AV699"/>
  <c r="AR699"/>
  <c r="AN699"/>
  <c r="AJ699"/>
  <c r="AF699"/>
  <c r="AB699"/>
  <c r="X699"/>
  <c r="T699"/>
  <c r="P699"/>
  <c r="L699"/>
  <c r="H699"/>
  <c r="D699"/>
  <c r="BJ697"/>
  <c r="BF697"/>
  <c r="BB697"/>
  <c r="AX697"/>
  <c r="AT697"/>
  <c r="AP697"/>
  <c r="AL697"/>
  <c r="AH697"/>
  <c r="AD697"/>
  <c r="Z697"/>
  <c r="V697"/>
  <c r="R697"/>
  <c r="N697"/>
  <c r="J697"/>
  <c r="F697"/>
  <c r="BH695"/>
  <c r="BD695"/>
  <c r="AZ695"/>
  <c r="AV695"/>
  <c r="AR695"/>
  <c r="AN695"/>
  <c r="AJ695"/>
  <c r="AF695"/>
  <c r="AB695"/>
  <c r="X695"/>
  <c r="T695"/>
  <c r="P695"/>
  <c r="L695"/>
  <c r="H695"/>
  <c r="D695"/>
  <c r="BG692"/>
  <c r="BC692"/>
  <c r="AY692"/>
  <c r="AU692"/>
  <c r="AQ692"/>
  <c r="AM692"/>
  <c r="AI692"/>
  <c r="AE692"/>
  <c r="AA692"/>
  <c r="W692"/>
  <c r="S692"/>
  <c r="O692"/>
  <c r="O743" s="1"/>
  <c r="K692"/>
  <c r="G692"/>
  <c r="G743" s="1"/>
  <c r="C692"/>
  <c r="BJ677"/>
  <c r="BH677"/>
  <c r="BD677"/>
  <c r="AZ677"/>
  <c r="AV677"/>
  <c r="AR677"/>
  <c r="AN677"/>
  <c r="AJ677"/>
  <c r="AF677"/>
  <c r="AB677"/>
  <c r="X677"/>
  <c r="T677"/>
  <c r="P677"/>
  <c r="L677"/>
  <c r="H677"/>
  <c r="BJ676"/>
  <c r="BI676"/>
  <c r="BH676"/>
  <c r="BG676"/>
  <c r="BF676"/>
  <c r="BE676"/>
  <c r="BD676"/>
  <c r="BC676"/>
  <c r="BB676"/>
  <c r="BA676"/>
  <c r="AZ676"/>
  <c r="AY676"/>
  <c r="AX676"/>
  <c r="AW676"/>
  <c r="AV676"/>
  <c r="AU676"/>
  <c r="AT676"/>
  <c r="AS676"/>
  <c r="AR676"/>
  <c r="AQ676"/>
  <c r="AP676"/>
  <c r="AO676"/>
  <c r="AN676"/>
  <c r="AM676"/>
  <c r="AL676"/>
  <c r="AK676"/>
  <c r="BJ675"/>
  <c r="BH675"/>
  <c r="BF675"/>
  <c r="BD675"/>
  <c r="BB675"/>
  <c r="AZ675"/>
  <c r="AX675"/>
  <c r="AV675"/>
  <c r="AT675"/>
  <c r="AR675"/>
  <c r="AP675"/>
  <c r="AN675"/>
  <c r="AL675"/>
  <c r="AJ675"/>
  <c r="AH675"/>
  <c r="AF675"/>
  <c r="AD675"/>
  <c r="AB675"/>
  <c r="Z675"/>
  <c r="X675"/>
  <c r="BI670"/>
  <c r="BI727" s="1"/>
  <c r="BE670"/>
  <c r="BE727" s="1"/>
  <c r="BA670"/>
  <c r="BA727" s="1"/>
  <c r="AW670"/>
  <c r="AW727" s="1"/>
  <c r="AS670"/>
  <c r="AS727" s="1"/>
  <c r="AO670"/>
  <c r="AO727" s="1"/>
  <c r="AK670"/>
  <c r="AK727" s="1"/>
  <c r="AG670"/>
  <c r="AG727" s="1"/>
  <c r="AC670"/>
  <c r="AC727" s="1"/>
  <c r="Y670"/>
  <c r="Y727" s="1"/>
  <c r="BJ669"/>
  <c r="BJ726" s="1"/>
  <c r="BH669"/>
  <c r="BH726" s="1"/>
  <c r="BF669"/>
  <c r="BF726" s="1"/>
  <c r="BD669"/>
  <c r="BD726" s="1"/>
  <c r="BB669"/>
  <c r="BB726" s="1"/>
  <c r="AZ669"/>
  <c r="AZ726" s="1"/>
  <c r="AX669"/>
  <c r="AX726" s="1"/>
  <c r="AV669"/>
  <c r="AV726" s="1"/>
  <c r="AT669"/>
  <c r="AT726" s="1"/>
  <c r="AR669"/>
  <c r="AR726" s="1"/>
  <c r="AP669"/>
  <c r="AP726" s="1"/>
  <c r="AN669"/>
  <c r="AN726" s="1"/>
  <c r="AL669"/>
  <c r="AL726" s="1"/>
  <c r="AJ669"/>
  <c r="AJ726" s="1"/>
  <c r="AH669"/>
  <c r="AH726" s="1"/>
  <c r="AF669"/>
  <c r="AF726" s="1"/>
  <c r="AD669"/>
  <c r="AD726" s="1"/>
  <c r="AB669"/>
  <c r="AB726" s="1"/>
  <c r="Z669"/>
  <c r="Z726" s="1"/>
  <c r="X669"/>
  <c r="X726" s="1"/>
  <c r="BG668"/>
  <c r="BG725" s="1"/>
  <c r="BC668"/>
  <c r="BC725" s="1"/>
  <c r="AY668"/>
  <c r="AY725" s="1"/>
  <c r="AU668"/>
  <c r="AU725" s="1"/>
  <c r="AQ668"/>
  <c r="AQ725" s="1"/>
  <c r="AM668"/>
  <c r="AM725" s="1"/>
  <c r="AI668"/>
  <c r="AI725" s="1"/>
  <c r="AE668"/>
  <c r="AE725" s="1"/>
  <c r="AA668"/>
  <c r="AA725" s="1"/>
  <c r="W668"/>
  <c r="W725" s="1"/>
  <c r="C668"/>
  <c r="BJ667"/>
  <c r="BJ724" s="1"/>
  <c r="BH667"/>
  <c r="BH724" s="1"/>
  <c r="BF667"/>
  <c r="BF724" s="1"/>
  <c r="BD667"/>
  <c r="BD724" s="1"/>
  <c r="BB667"/>
  <c r="BB724" s="1"/>
  <c r="AZ667"/>
  <c r="AZ724" s="1"/>
  <c r="AX667"/>
  <c r="AX724" s="1"/>
  <c r="AV667"/>
  <c r="AV724" s="1"/>
  <c r="AT667"/>
  <c r="AT724" s="1"/>
  <c r="AR667"/>
  <c r="AR724" s="1"/>
  <c r="AP667"/>
  <c r="AP724" s="1"/>
  <c r="AN667"/>
  <c r="AN724" s="1"/>
  <c r="AL667"/>
  <c r="AL724" s="1"/>
  <c r="AJ667"/>
  <c r="AH667"/>
  <c r="AF667"/>
  <c r="AD667"/>
  <c r="AB667"/>
  <c r="Z667"/>
  <c r="X667"/>
  <c r="D667"/>
  <c r="BJ665"/>
  <c r="BJ722" s="1"/>
  <c r="BH665"/>
  <c r="BH722" s="1"/>
  <c r="BF665"/>
  <c r="BF722" s="1"/>
  <c r="BD665"/>
  <c r="BD722" s="1"/>
  <c r="BB665"/>
  <c r="BB722" s="1"/>
  <c r="AZ665"/>
  <c r="AZ722" s="1"/>
  <c r="AX665"/>
  <c r="AX722" s="1"/>
  <c r="AV665"/>
  <c r="AV722" s="1"/>
  <c r="AT665"/>
  <c r="AT722" s="1"/>
  <c r="AR665"/>
  <c r="AR722" s="1"/>
  <c r="AP665"/>
  <c r="AP722" s="1"/>
  <c r="AN665"/>
  <c r="AN722" s="1"/>
  <c r="AL665"/>
  <c r="AL722" s="1"/>
  <c r="AJ665"/>
  <c r="AJ722" s="1"/>
  <c r="AH665"/>
  <c r="AH722" s="1"/>
  <c r="AF665"/>
  <c r="AF722" s="1"/>
  <c r="AD665"/>
  <c r="AD722" s="1"/>
  <c r="AB665"/>
  <c r="AB722" s="1"/>
  <c r="Z665"/>
  <c r="Z722" s="1"/>
  <c r="X665"/>
  <c r="X722" s="1"/>
  <c r="BI664"/>
  <c r="BI721" s="1"/>
  <c r="BE664"/>
  <c r="BE721" s="1"/>
  <c r="BA664"/>
  <c r="BA721" s="1"/>
  <c r="AW664"/>
  <c r="AW721" s="1"/>
  <c r="AS664"/>
  <c r="AS721" s="1"/>
  <c r="AO664"/>
  <c r="AO721" s="1"/>
  <c r="AK664"/>
  <c r="AK721" s="1"/>
  <c r="AG664"/>
  <c r="AG721" s="1"/>
  <c r="AC664"/>
  <c r="AC721" s="1"/>
  <c r="Y664"/>
  <c r="Y721" s="1"/>
  <c r="BJ663"/>
  <c r="BJ720" s="1"/>
  <c r="BH663"/>
  <c r="BH720" s="1"/>
  <c r="BF663"/>
  <c r="BF720" s="1"/>
  <c r="BD663"/>
  <c r="BD720" s="1"/>
  <c r="BB663"/>
  <c r="BB720" s="1"/>
  <c r="AZ663"/>
  <c r="AZ720" s="1"/>
  <c r="AX663"/>
  <c r="AX720" s="1"/>
  <c r="AV663"/>
  <c r="AV720" s="1"/>
  <c r="AT663"/>
  <c r="AT720" s="1"/>
  <c r="AR663"/>
  <c r="AR720" s="1"/>
  <c r="AP663"/>
  <c r="AP720" s="1"/>
  <c r="AN663"/>
  <c r="AN720" s="1"/>
  <c r="AL663"/>
  <c r="AL720" s="1"/>
  <c r="AJ663"/>
  <c r="AJ720" s="1"/>
  <c r="AH663"/>
  <c r="AH720" s="1"/>
  <c r="AF663"/>
  <c r="AF720" s="1"/>
  <c r="AD663"/>
  <c r="AD720" s="1"/>
  <c r="AB663"/>
  <c r="AB720" s="1"/>
  <c r="Z663"/>
  <c r="Z720" s="1"/>
  <c r="X663"/>
  <c r="X720" s="1"/>
  <c r="BI662"/>
  <c r="BI719" s="1"/>
  <c r="BE662"/>
  <c r="BE719" s="1"/>
  <c r="BA662"/>
  <c r="BA719" s="1"/>
  <c r="AW662"/>
  <c r="AW719" s="1"/>
  <c r="AS662"/>
  <c r="AS719" s="1"/>
  <c r="AO662"/>
  <c r="AO719" s="1"/>
  <c r="AK662"/>
  <c r="AK719" s="1"/>
  <c r="AG662"/>
  <c r="AC662"/>
  <c r="Y662"/>
  <c r="E652"/>
  <c r="E709" s="1"/>
  <c r="BJ651"/>
  <c r="BI651"/>
  <c r="BH651"/>
  <c r="BG651"/>
  <c r="BF651"/>
  <c r="BE651"/>
  <c r="BD651"/>
  <c r="BC651"/>
  <c r="BB651"/>
  <c r="BA651"/>
  <c r="AZ651"/>
  <c r="AY651"/>
  <c r="AX651"/>
  <c r="AW651"/>
  <c r="AV651"/>
  <c r="AU651"/>
  <c r="AT651"/>
  <c r="AS651"/>
  <c r="AR651"/>
  <c r="AQ651"/>
  <c r="AP651"/>
  <c r="AO651"/>
  <c r="AN651"/>
  <c r="AM651"/>
  <c r="AL651"/>
  <c r="AK651"/>
  <c r="D655"/>
  <c r="D712" s="1"/>
  <c r="C646"/>
  <c r="F644"/>
  <c r="G644" s="1"/>
  <c r="D644"/>
  <c r="E644" s="1"/>
  <c r="C701"/>
  <c r="BI700"/>
  <c r="BE700"/>
  <c r="BA700"/>
  <c r="AW700"/>
  <c r="AS700"/>
  <c r="AO700"/>
  <c r="AK700"/>
  <c r="AG700"/>
  <c r="AC700"/>
  <c r="Y700"/>
  <c r="U700"/>
  <c r="Q700"/>
  <c r="M700"/>
  <c r="I700"/>
  <c r="E700"/>
  <c r="BJ699"/>
  <c r="BF699"/>
  <c r="BB699"/>
  <c r="AX699"/>
  <c r="AT699"/>
  <c r="AP699"/>
  <c r="AL699"/>
  <c r="AH699"/>
  <c r="AD699"/>
  <c r="Z699"/>
  <c r="V699"/>
  <c r="R699"/>
  <c r="N699"/>
  <c r="J699"/>
  <c r="F699"/>
  <c r="BG698"/>
  <c r="BC698"/>
  <c r="AY698"/>
  <c r="AU698"/>
  <c r="AQ698"/>
  <c r="AM698"/>
  <c r="AI698"/>
  <c r="AE698"/>
  <c r="AA698"/>
  <c r="W698"/>
  <c r="S698"/>
  <c r="O698"/>
  <c r="K698"/>
  <c r="G698"/>
  <c r="C698"/>
  <c r="BH697"/>
  <c r="BD697"/>
  <c r="AZ697"/>
  <c r="AV697"/>
  <c r="AR697"/>
  <c r="AN697"/>
  <c r="AJ697"/>
  <c r="AF697"/>
  <c r="AB697"/>
  <c r="X697"/>
  <c r="T697"/>
  <c r="P697"/>
  <c r="L697"/>
  <c r="H697"/>
  <c r="D697"/>
  <c r="BJ695"/>
  <c r="BF695"/>
  <c r="BB695"/>
  <c r="AX695"/>
  <c r="AT695"/>
  <c r="AP695"/>
  <c r="AL695"/>
  <c r="AH695"/>
  <c r="AD695"/>
  <c r="Z695"/>
  <c r="V695"/>
  <c r="R695"/>
  <c r="N695"/>
  <c r="J695"/>
  <c r="F695"/>
  <c r="BJ692"/>
  <c r="BH692"/>
  <c r="BH732" s="1"/>
  <c r="BF692"/>
  <c r="BF740" s="1"/>
  <c r="BD692"/>
  <c r="BD732" s="1"/>
  <c r="BB692"/>
  <c r="AZ692"/>
  <c r="AZ732" s="1"/>
  <c r="AX692"/>
  <c r="AV692"/>
  <c r="AV732" s="1"/>
  <c r="AT692"/>
  <c r="AR692"/>
  <c r="AR732" s="1"/>
  <c r="AP692"/>
  <c r="AN692"/>
  <c r="AN732" s="1"/>
  <c r="AL692"/>
  <c r="AJ692"/>
  <c r="AJ732" s="1"/>
  <c r="AH692"/>
  <c r="AF692"/>
  <c r="AF732" s="1"/>
  <c r="AD692"/>
  <c r="AB692"/>
  <c r="AB732" s="1"/>
  <c r="Z692"/>
  <c r="X692"/>
  <c r="X732" s="1"/>
  <c r="V692"/>
  <c r="T692"/>
  <c r="R692"/>
  <c r="P692"/>
  <c r="N692"/>
  <c r="L692"/>
  <c r="J692"/>
  <c r="H692"/>
  <c r="F692"/>
  <c r="D692"/>
  <c r="BJ686"/>
  <c r="D720"/>
  <c r="BJ617"/>
  <c r="BI617"/>
  <c r="BH617"/>
  <c r="BG617"/>
  <c r="BF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BJ592"/>
  <c r="BI592"/>
  <c r="BH592"/>
  <c r="BG592"/>
  <c r="BF592"/>
  <c r="BE592"/>
  <c r="BD592"/>
  <c r="BC592"/>
  <c r="BB592"/>
  <c r="BA592"/>
  <c r="AZ592"/>
  <c r="AY592"/>
  <c r="AX592"/>
  <c r="AW592"/>
  <c r="AV592"/>
  <c r="AU592"/>
  <c r="AT592"/>
  <c r="AS592"/>
  <c r="AR592"/>
  <c r="AQ592"/>
  <c r="AP592"/>
  <c r="AO592"/>
  <c r="AN592"/>
  <c r="AM592"/>
  <c r="AL592"/>
  <c r="AK592"/>
  <c r="BG570"/>
  <c r="BC570"/>
  <c r="AY570"/>
  <c r="AU570"/>
  <c r="AQ570"/>
  <c r="AM570"/>
  <c r="AI570"/>
  <c r="AE570"/>
  <c r="AA570"/>
  <c r="W570"/>
  <c r="S570"/>
  <c r="O570"/>
  <c r="K570"/>
  <c r="G570"/>
  <c r="C570"/>
  <c r="BJ560"/>
  <c r="BI560"/>
  <c r="BH560"/>
  <c r="BG560"/>
  <c r="BF560"/>
  <c r="BE560"/>
  <c r="BD560"/>
  <c r="BC560"/>
  <c r="BB560"/>
  <c r="BA560"/>
  <c r="AZ560"/>
  <c r="AY560"/>
  <c r="AX560"/>
  <c r="AW560"/>
  <c r="AV560"/>
  <c r="AU560"/>
  <c r="AT560"/>
  <c r="AS560"/>
  <c r="AR560"/>
  <c r="AQ560"/>
  <c r="AP560"/>
  <c r="AO560"/>
  <c r="AN560"/>
  <c r="AM560"/>
  <c r="AL560"/>
  <c r="AK560"/>
  <c r="BI559"/>
  <c r="BE559"/>
  <c r="BA559"/>
  <c r="AW559"/>
  <c r="AS559"/>
  <c r="AO559"/>
  <c r="AK559"/>
  <c r="AG559"/>
  <c r="AC559"/>
  <c r="Y559"/>
  <c r="BG553"/>
  <c r="BC553"/>
  <c r="AY553"/>
  <c r="AU553"/>
  <c r="AQ553"/>
  <c r="AM553"/>
  <c r="AI553"/>
  <c r="AE553"/>
  <c r="AA553"/>
  <c r="BI551"/>
  <c r="BE551"/>
  <c r="BA551"/>
  <c r="AW551"/>
  <c r="AS551"/>
  <c r="AO551"/>
  <c r="AK551"/>
  <c r="AG551"/>
  <c r="AC551"/>
  <c r="Y551"/>
  <c r="BI549"/>
  <c r="BE549"/>
  <c r="BA549"/>
  <c r="AW549"/>
  <c r="AS549"/>
  <c r="AO549"/>
  <c r="AK549"/>
  <c r="AG549"/>
  <c r="AC549"/>
  <c r="Y549"/>
  <c r="BG547"/>
  <c r="BC547"/>
  <c r="AY547"/>
  <c r="AU547"/>
  <c r="AQ547"/>
  <c r="AM547"/>
  <c r="AI547"/>
  <c r="AE547"/>
  <c r="AA547"/>
  <c r="C539"/>
  <c r="E537"/>
  <c r="BJ535"/>
  <c r="BI535"/>
  <c r="BH535"/>
  <c r="BG535"/>
  <c r="BF535"/>
  <c r="BE535"/>
  <c r="BD535"/>
  <c r="BC535"/>
  <c r="BB535"/>
  <c r="BA535"/>
  <c r="AZ535"/>
  <c r="AY535"/>
  <c r="AX535"/>
  <c r="AW535"/>
  <c r="AV535"/>
  <c r="AU535"/>
  <c r="AT535"/>
  <c r="AS535"/>
  <c r="AR535"/>
  <c r="AQ535"/>
  <c r="AP535"/>
  <c r="AO535"/>
  <c r="AN535"/>
  <c r="AM535"/>
  <c r="AL535"/>
  <c r="AK535"/>
  <c r="B534"/>
  <c r="C544" s="1"/>
  <c r="D533"/>
  <c r="F532"/>
  <c r="F537"/>
  <c r="F531"/>
  <c r="D530"/>
  <c r="C530"/>
  <c r="C561" s="1"/>
  <c r="B519"/>
  <c r="BJ501"/>
  <c r="BI501"/>
  <c r="BH501"/>
  <c r="BG501"/>
  <c r="BF501"/>
  <c r="BE501"/>
  <c r="BD501"/>
  <c r="BC501"/>
  <c r="BB501"/>
  <c r="BA501"/>
  <c r="AZ501"/>
  <c r="AY501"/>
  <c r="AX501"/>
  <c r="AW501"/>
  <c r="AV501"/>
  <c r="AU501"/>
  <c r="AT501"/>
  <c r="AS501"/>
  <c r="AR501"/>
  <c r="AQ501"/>
  <c r="AP501"/>
  <c r="AO501"/>
  <c r="AN501"/>
  <c r="AM501"/>
  <c r="AL501"/>
  <c r="AK501"/>
  <c r="C488"/>
  <c r="D487"/>
  <c r="D483"/>
  <c r="D482"/>
  <c r="AJ480"/>
  <c r="AH480"/>
  <c r="D478"/>
  <c r="C477"/>
  <c r="BJ476"/>
  <c r="BI476"/>
  <c r="BH476"/>
  <c r="BG476"/>
  <c r="BF476"/>
  <c r="BE476"/>
  <c r="BD476"/>
  <c r="BC476"/>
  <c r="BB476"/>
  <c r="BA476"/>
  <c r="AZ476"/>
  <c r="AY476"/>
  <c r="AX476"/>
  <c r="AW476"/>
  <c r="AV476"/>
  <c r="AU476"/>
  <c r="AT476"/>
  <c r="AS476"/>
  <c r="AR476"/>
  <c r="AQ476"/>
  <c r="AP476"/>
  <c r="AO476"/>
  <c r="AN476"/>
  <c r="AM476"/>
  <c r="AL476"/>
  <c r="AK476"/>
  <c r="F475"/>
  <c r="D475"/>
  <c r="D473"/>
  <c r="D472"/>
  <c r="BJ469"/>
  <c r="BH469"/>
  <c r="BF469"/>
  <c r="BD469"/>
  <c r="BB469"/>
  <c r="AZ469"/>
  <c r="AX469"/>
  <c r="AV469"/>
  <c r="AT469"/>
  <c r="AR469"/>
  <c r="AP469"/>
  <c r="AN469"/>
  <c r="AL469"/>
  <c r="AJ469"/>
  <c r="AH469"/>
  <c r="AF469"/>
  <c r="AD469"/>
  <c r="AB469"/>
  <c r="Z469"/>
  <c r="X469"/>
  <c r="V469"/>
  <c r="T469"/>
  <c r="R469"/>
  <c r="P469"/>
  <c r="N469"/>
  <c r="L469"/>
  <c r="J469"/>
  <c r="H469"/>
  <c r="BJ445"/>
  <c r="BJ444"/>
  <c r="BI444"/>
  <c r="BH444"/>
  <c r="BG444"/>
  <c r="BF444"/>
  <c r="BE444"/>
  <c r="BD444"/>
  <c r="BC444"/>
  <c r="BB444"/>
  <c r="BA444"/>
  <c r="AZ444"/>
  <c r="AY444"/>
  <c r="AX444"/>
  <c r="AW444"/>
  <c r="AV444"/>
  <c r="AU444"/>
  <c r="AT444"/>
  <c r="AS444"/>
  <c r="AR444"/>
  <c r="AQ444"/>
  <c r="AP444"/>
  <c r="AO444"/>
  <c r="AN444"/>
  <c r="AM444"/>
  <c r="AL444"/>
  <c r="AK444"/>
  <c r="BJ443"/>
  <c r="BH443"/>
  <c r="BF443"/>
  <c r="BD443"/>
  <c r="BB443"/>
  <c r="AZ443"/>
  <c r="AX443"/>
  <c r="AV443"/>
  <c r="AT443"/>
  <c r="AR443"/>
  <c r="AP443"/>
  <c r="AN443"/>
  <c r="AL443"/>
  <c r="AJ443"/>
  <c r="AH443"/>
  <c r="AF443"/>
  <c r="AD443"/>
  <c r="AB443"/>
  <c r="Z443"/>
  <c r="BJ437"/>
  <c r="BJ494" s="1"/>
  <c r="BH437"/>
  <c r="BH494" s="1"/>
  <c r="BF437"/>
  <c r="BF494" s="1"/>
  <c r="BD437"/>
  <c r="BD494" s="1"/>
  <c r="BB437"/>
  <c r="BB494" s="1"/>
  <c r="AZ437"/>
  <c r="AZ494" s="1"/>
  <c r="AX437"/>
  <c r="AX494" s="1"/>
  <c r="AV437"/>
  <c r="AV494" s="1"/>
  <c r="AT437"/>
  <c r="AT494" s="1"/>
  <c r="AR437"/>
  <c r="AR494" s="1"/>
  <c r="AP437"/>
  <c r="AP494" s="1"/>
  <c r="AN437"/>
  <c r="AN494" s="1"/>
  <c r="AL437"/>
  <c r="AL494" s="1"/>
  <c r="AJ437"/>
  <c r="AJ494" s="1"/>
  <c r="AH437"/>
  <c r="AH494" s="1"/>
  <c r="AF437"/>
  <c r="AF494" s="1"/>
  <c r="AD437"/>
  <c r="AD494" s="1"/>
  <c r="AB437"/>
  <c r="AB494" s="1"/>
  <c r="Z437"/>
  <c r="Z494" s="1"/>
  <c r="BJ435"/>
  <c r="BJ492" s="1"/>
  <c r="BH435"/>
  <c r="BH492" s="1"/>
  <c r="BF435"/>
  <c r="BF492" s="1"/>
  <c r="BD435"/>
  <c r="BD492" s="1"/>
  <c r="BB435"/>
  <c r="BB492" s="1"/>
  <c r="AZ435"/>
  <c r="AZ492" s="1"/>
  <c r="AX435"/>
  <c r="AX492" s="1"/>
  <c r="AV435"/>
  <c r="AV492" s="1"/>
  <c r="AT435"/>
  <c r="AT492" s="1"/>
  <c r="AR435"/>
  <c r="AR492" s="1"/>
  <c r="AP435"/>
  <c r="AP492" s="1"/>
  <c r="AN435"/>
  <c r="AN492" s="1"/>
  <c r="AL435"/>
  <c r="AL492" s="1"/>
  <c r="AJ435"/>
  <c r="AH435"/>
  <c r="AF435"/>
  <c r="AD435"/>
  <c r="AB435"/>
  <c r="Z435"/>
  <c r="D435"/>
  <c r="BJ433"/>
  <c r="BJ490" s="1"/>
  <c r="BH433"/>
  <c r="BH490" s="1"/>
  <c r="BF433"/>
  <c r="BF490" s="1"/>
  <c r="BD433"/>
  <c r="BD490" s="1"/>
  <c r="BB433"/>
  <c r="BB490" s="1"/>
  <c r="AZ433"/>
  <c r="AZ490" s="1"/>
  <c r="AX433"/>
  <c r="AX490" s="1"/>
  <c r="AV433"/>
  <c r="AV490" s="1"/>
  <c r="AT433"/>
  <c r="AT490" s="1"/>
  <c r="AR433"/>
  <c r="AR490" s="1"/>
  <c r="AP433"/>
  <c r="AP490" s="1"/>
  <c r="AN433"/>
  <c r="AN490" s="1"/>
  <c r="AL433"/>
  <c r="AL490" s="1"/>
  <c r="AJ433"/>
  <c r="AJ490" s="1"/>
  <c r="AH433"/>
  <c r="AH490" s="1"/>
  <c r="AF433"/>
  <c r="AF490" s="1"/>
  <c r="AD433"/>
  <c r="AD490" s="1"/>
  <c r="AB433"/>
  <c r="AB490" s="1"/>
  <c r="Z433"/>
  <c r="Z490" s="1"/>
  <c r="BJ431"/>
  <c r="BJ488" s="1"/>
  <c r="BH431"/>
  <c r="BH488" s="1"/>
  <c r="BF431"/>
  <c r="BF488" s="1"/>
  <c r="BD431"/>
  <c r="BD488" s="1"/>
  <c r="BB431"/>
  <c r="BB488" s="1"/>
  <c r="AZ431"/>
  <c r="AZ488" s="1"/>
  <c r="AX431"/>
  <c r="AX488" s="1"/>
  <c r="AV431"/>
  <c r="AV488" s="1"/>
  <c r="AT431"/>
  <c r="AT488" s="1"/>
  <c r="AR431"/>
  <c r="AR488" s="1"/>
  <c r="AP431"/>
  <c r="AP488" s="1"/>
  <c r="AN431"/>
  <c r="AN488" s="1"/>
  <c r="AL431"/>
  <c r="AL488" s="1"/>
  <c r="AJ431"/>
  <c r="AJ488" s="1"/>
  <c r="AH431"/>
  <c r="AH488" s="1"/>
  <c r="AF431"/>
  <c r="AF488" s="1"/>
  <c r="AD431"/>
  <c r="AD488" s="1"/>
  <c r="AB431"/>
  <c r="AB488" s="1"/>
  <c r="Z431"/>
  <c r="Z488" s="1"/>
  <c r="D423"/>
  <c r="D480" s="1"/>
  <c r="BJ419"/>
  <c r="BI419"/>
  <c r="BH419"/>
  <c r="BG419"/>
  <c r="BF419"/>
  <c r="BE419"/>
  <c r="BD419"/>
  <c r="BC419"/>
  <c r="BB419"/>
  <c r="BA419"/>
  <c r="AZ419"/>
  <c r="AY419"/>
  <c r="AX419"/>
  <c r="AW419"/>
  <c r="AV419"/>
  <c r="AU419"/>
  <c r="AT419"/>
  <c r="AS419"/>
  <c r="AR419"/>
  <c r="AQ419"/>
  <c r="AP419"/>
  <c r="AO419"/>
  <c r="AN419"/>
  <c r="AM419"/>
  <c r="AL419"/>
  <c r="AK419"/>
  <c r="D412"/>
  <c r="E412" s="1"/>
  <c r="C469"/>
  <c r="BJ467"/>
  <c r="BH467"/>
  <c r="BF467"/>
  <c r="BD467"/>
  <c r="BB467"/>
  <c r="AZ467"/>
  <c r="AX467"/>
  <c r="AV467"/>
  <c r="AT467"/>
  <c r="AR467"/>
  <c r="AP467"/>
  <c r="AN467"/>
  <c r="AL467"/>
  <c r="AJ467"/>
  <c r="AH467"/>
  <c r="AF467"/>
  <c r="AD467"/>
  <c r="AB467"/>
  <c r="Z467"/>
  <c r="X467"/>
  <c r="V467"/>
  <c r="T467"/>
  <c r="R467"/>
  <c r="P467"/>
  <c r="N467"/>
  <c r="L467"/>
  <c r="J467"/>
  <c r="H467"/>
  <c r="F467"/>
  <c r="D467"/>
  <c r="BH465"/>
  <c r="BD465"/>
  <c r="AZ465"/>
  <c r="AV465"/>
  <c r="AR465"/>
  <c r="AN465"/>
  <c r="AJ465"/>
  <c r="AF465"/>
  <c r="AB465"/>
  <c r="X465"/>
  <c r="T465"/>
  <c r="P465"/>
  <c r="L465"/>
  <c r="H465"/>
  <c r="D465"/>
  <c r="BJ463"/>
  <c r="BF463"/>
  <c r="BB463"/>
  <c r="AX463"/>
  <c r="AT463"/>
  <c r="AP463"/>
  <c r="AL463"/>
  <c r="AH463"/>
  <c r="AD463"/>
  <c r="Z463"/>
  <c r="V463"/>
  <c r="R463"/>
  <c r="N463"/>
  <c r="J463"/>
  <c r="F463"/>
  <c r="BJ460"/>
  <c r="BJ511" s="1"/>
  <c r="BH460"/>
  <c r="BH500" s="1"/>
  <c r="BF460"/>
  <c r="BF511" s="1"/>
  <c r="BD460"/>
  <c r="BD500" s="1"/>
  <c r="BB460"/>
  <c r="BB511" s="1"/>
  <c r="AZ460"/>
  <c r="AZ500" s="1"/>
  <c r="AX460"/>
  <c r="AX511" s="1"/>
  <c r="AV460"/>
  <c r="AV500" s="1"/>
  <c r="AT460"/>
  <c r="AT511" s="1"/>
  <c r="AR460"/>
  <c r="AR500" s="1"/>
  <c r="AP460"/>
  <c r="AP511" s="1"/>
  <c r="AN460"/>
  <c r="AN500" s="1"/>
  <c r="AL460"/>
  <c r="AL511" s="1"/>
  <c r="AJ460"/>
  <c r="AJ500" s="1"/>
  <c r="AH460"/>
  <c r="AH511" s="1"/>
  <c r="AF460"/>
  <c r="AF500" s="1"/>
  <c r="AD460"/>
  <c r="AD511" s="1"/>
  <c r="AB460"/>
  <c r="AB500" s="1"/>
  <c r="Z460"/>
  <c r="Z511" s="1"/>
  <c r="X460"/>
  <c r="V460"/>
  <c r="V511" s="1"/>
  <c r="T460"/>
  <c r="R460"/>
  <c r="R511" s="1"/>
  <c r="P460"/>
  <c r="N460"/>
  <c r="N511" s="1"/>
  <c r="L460"/>
  <c r="J460"/>
  <c r="J511" s="1"/>
  <c r="H460"/>
  <c r="F460"/>
  <c r="F511" s="1"/>
  <c r="D460"/>
  <c r="BJ454"/>
  <c r="D488"/>
  <c r="BJ385"/>
  <c r="BI385"/>
  <c r="BH385"/>
  <c r="BG385"/>
  <c r="BF385"/>
  <c r="BE385"/>
  <c r="BD385"/>
  <c r="BC385"/>
  <c r="BB385"/>
  <c r="BA385"/>
  <c r="AZ385"/>
  <c r="AY385"/>
  <c r="AX385"/>
  <c r="AW385"/>
  <c r="AV385"/>
  <c r="AU385"/>
  <c r="AT385"/>
  <c r="AS385"/>
  <c r="AR385"/>
  <c r="AQ385"/>
  <c r="AP385"/>
  <c r="AO385"/>
  <c r="AN385"/>
  <c r="AM385"/>
  <c r="AL385"/>
  <c r="AK385"/>
  <c r="BJ360"/>
  <c r="BI360"/>
  <c r="BH360"/>
  <c r="BG360"/>
  <c r="BF360"/>
  <c r="BE360"/>
  <c r="BD360"/>
  <c r="BC360"/>
  <c r="BB360"/>
  <c r="BA360"/>
  <c r="AZ360"/>
  <c r="AY360"/>
  <c r="AX360"/>
  <c r="AW360"/>
  <c r="AV360"/>
  <c r="AU360"/>
  <c r="AT360"/>
  <c r="AS360"/>
  <c r="AR360"/>
  <c r="AQ360"/>
  <c r="AP360"/>
  <c r="AO360"/>
  <c r="AN360"/>
  <c r="AM360"/>
  <c r="AL360"/>
  <c r="AK360"/>
  <c r="BI338"/>
  <c r="BG338"/>
  <c r="BE338"/>
  <c r="BC338"/>
  <c r="BA338"/>
  <c r="AY338"/>
  <c r="AW338"/>
  <c r="AU338"/>
  <c r="AS338"/>
  <c r="AQ338"/>
  <c r="AO338"/>
  <c r="AM338"/>
  <c r="AK338"/>
  <c r="AI338"/>
  <c r="AG338"/>
  <c r="AE338"/>
  <c r="AC338"/>
  <c r="AA338"/>
  <c r="Y338"/>
  <c r="W338"/>
  <c r="U338"/>
  <c r="S338"/>
  <c r="Q338"/>
  <c r="O338"/>
  <c r="M338"/>
  <c r="K338"/>
  <c r="I338"/>
  <c r="G338"/>
  <c r="E338"/>
  <c r="C338"/>
  <c r="BJ328"/>
  <c r="BI328"/>
  <c r="BH328"/>
  <c r="BG328"/>
  <c r="BF328"/>
  <c r="BE328"/>
  <c r="BD328"/>
  <c r="BC328"/>
  <c r="BB328"/>
  <c r="BA328"/>
  <c r="AZ328"/>
  <c r="AY328"/>
  <c r="AX328"/>
  <c r="AW328"/>
  <c r="AV328"/>
  <c r="AU328"/>
  <c r="AT328"/>
  <c r="AS328"/>
  <c r="AR328"/>
  <c r="AQ328"/>
  <c r="AP328"/>
  <c r="AO328"/>
  <c r="AN328"/>
  <c r="AM328"/>
  <c r="AL328"/>
  <c r="AK328"/>
  <c r="BI327"/>
  <c r="BG327"/>
  <c r="BE327"/>
  <c r="BC327"/>
  <c r="BA327"/>
  <c r="AY327"/>
  <c r="AW327"/>
  <c r="AU327"/>
  <c r="AS327"/>
  <c r="AQ327"/>
  <c r="AO327"/>
  <c r="AM327"/>
  <c r="AK327"/>
  <c r="AI327"/>
  <c r="AG327"/>
  <c r="AE327"/>
  <c r="AC327"/>
  <c r="AA327"/>
  <c r="Y327"/>
  <c r="BI321"/>
  <c r="BG321"/>
  <c r="BE321"/>
  <c r="BC321"/>
  <c r="BA321"/>
  <c r="AY321"/>
  <c r="AW321"/>
  <c r="AU321"/>
  <c r="AS321"/>
  <c r="AQ321"/>
  <c r="AO321"/>
  <c r="AM321"/>
  <c r="AK321"/>
  <c r="AI321"/>
  <c r="AG321"/>
  <c r="AE321"/>
  <c r="AC321"/>
  <c r="AA321"/>
  <c r="Y321"/>
  <c r="BI319"/>
  <c r="BG319"/>
  <c r="BE319"/>
  <c r="BC319"/>
  <c r="BA319"/>
  <c r="AY319"/>
  <c r="AW319"/>
  <c r="AU319"/>
  <c r="AS319"/>
  <c r="AQ319"/>
  <c r="AO319"/>
  <c r="AM319"/>
  <c r="AK319"/>
  <c r="AI319"/>
  <c r="AG319"/>
  <c r="AE319"/>
  <c r="AC319"/>
  <c r="AA319"/>
  <c r="Y319"/>
  <c r="C319"/>
  <c r="BI317"/>
  <c r="BG317"/>
  <c r="BE317"/>
  <c r="BC317"/>
  <c r="BA317"/>
  <c r="AY317"/>
  <c r="AW317"/>
  <c r="AU317"/>
  <c r="AS317"/>
  <c r="AQ317"/>
  <c r="AO317"/>
  <c r="AM317"/>
  <c r="AK317"/>
  <c r="AI317"/>
  <c r="AG317"/>
  <c r="AE317"/>
  <c r="AC317"/>
  <c r="AA317"/>
  <c r="Y317"/>
  <c r="BI315"/>
  <c r="BG315"/>
  <c r="BE315"/>
  <c r="BC315"/>
  <c r="BA315"/>
  <c r="AY315"/>
  <c r="AW315"/>
  <c r="AU315"/>
  <c r="AS315"/>
  <c r="AQ315"/>
  <c r="AO315"/>
  <c r="AM315"/>
  <c r="AK315"/>
  <c r="AI315"/>
  <c r="AG315"/>
  <c r="AE315"/>
  <c r="AC315"/>
  <c r="AA315"/>
  <c r="Y315"/>
  <c r="C307"/>
  <c r="E305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B302"/>
  <c r="C312" s="1"/>
  <c r="C369" s="1"/>
  <c r="D301"/>
  <c r="F300"/>
  <c r="F305"/>
  <c r="F299"/>
  <c r="D298"/>
  <c r="C298"/>
  <c r="C329" s="1"/>
  <c r="BI351"/>
  <c r="BG351"/>
  <c r="BE351"/>
  <c r="BC351"/>
  <c r="BA351"/>
  <c r="AY351"/>
  <c r="AW351"/>
  <c r="AU351"/>
  <c r="AS351"/>
  <c r="AQ351"/>
  <c r="AO351"/>
  <c r="AM351"/>
  <c r="AK351"/>
  <c r="AI351"/>
  <c r="AG351"/>
  <c r="AE351"/>
  <c r="AC351"/>
  <c r="AA351"/>
  <c r="Y351"/>
  <c r="W351"/>
  <c r="U351"/>
  <c r="S351"/>
  <c r="Q351"/>
  <c r="O351"/>
  <c r="M351"/>
  <c r="K351"/>
  <c r="I351"/>
  <c r="G351"/>
  <c r="E351"/>
  <c r="BI344"/>
  <c r="BI384" s="1"/>
  <c r="BG344"/>
  <c r="BG395" s="1"/>
  <c r="BE344"/>
  <c r="BE384" s="1"/>
  <c r="BC344"/>
  <c r="BC395" s="1"/>
  <c r="BA344"/>
  <c r="BA384" s="1"/>
  <c r="AY344"/>
  <c r="AY395" s="1"/>
  <c r="AW344"/>
  <c r="AW384" s="1"/>
  <c r="AU344"/>
  <c r="AU395" s="1"/>
  <c r="AS344"/>
  <c r="AS384" s="1"/>
  <c r="AQ344"/>
  <c r="AQ395" s="1"/>
  <c r="AO344"/>
  <c r="AO384" s="1"/>
  <c r="AM344"/>
  <c r="AM395" s="1"/>
  <c r="AK344"/>
  <c r="AK384" s="1"/>
  <c r="AI344"/>
  <c r="AI395" s="1"/>
  <c r="AG344"/>
  <c r="AG384" s="1"/>
  <c r="AE344"/>
  <c r="AE395" s="1"/>
  <c r="AC344"/>
  <c r="AC384" s="1"/>
  <c r="AA344"/>
  <c r="AA395" s="1"/>
  <c r="Y344"/>
  <c r="Y384" s="1"/>
  <c r="W344"/>
  <c r="W395" s="1"/>
  <c r="U344"/>
  <c r="S344"/>
  <c r="S395" s="1"/>
  <c r="Q344"/>
  <c r="O344"/>
  <c r="O395" s="1"/>
  <c r="M344"/>
  <c r="K344"/>
  <c r="K395" s="1"/>
  <c r="I344"/>
  <c r="G344"/>
  <c r="G395" s="1"/>
  <c r="E344"/>
  <c r="C344"/>
  <c r="C395" s="1"/>
  <c r="B287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D243"/>
  <c r="C243"/>
  <c r="C242"/>
  <c r="E241"/>
  <c r="E240"/>
  <c r="C182"/>
  <c r="C213" s="1"/>
  <c r="D180"/>
  <c r="E180" s="1"/>
  <c r="BJ235"/>
  <c r="BH235"/>
  <c r="BF235"/>
  <c r="BD235"/>
  <c r="BB235"/>
  <c r="AZ235"/>
  <c r="AX235"/>
  <c r="AV235"/>
  <c r="AT235"/>
  <c r="AR235"/>
  <c r="AP235"/>
  <c r="AN235"/>
  <c r="AL235"/>
  <c r="AJ235"/>
  <c r="AH235"/>
  <c r="AF235"/>
  <c r="AD235"/>
  <c r="AB235"/>
  <c r="Z235"/>
  <c r="X235"/>
  <c r="V235"/>
  <c r="T235"/>
  <c r="R235"/>
  <c r="P235"/>
  <c r="N235"/>
  <c r="L235"/>
  <c r="J235"/>
  <c r="H235"/>
  <c r="F235"/>
  <c r="D235"/>
  <c r="BJ233"/>
  <c r="BF233"/>
  <c r="BB233"/>
  <c r="AX233"/>
  <c r="AT233"/>
  <c r="AP233"/>
  <c r="AL233"/>
  <c r="AH233"/>
  <c r="AD233"/>
  <c r="Z233"/>
  <c r="V233"/>
  <c r="R233"/>
  <c r="N233"/>
  <c r="J233"/>
  <c r="F233"/>
  <c r="BH231"/>
  <c r="BD231"/>
  <c r="AZ231"/>
  <c r="AV231"/>
  <c r="AR231"/>
  <c r="AN231"/>
  <c r="AJ231"/>
  <c r="AF231"/>
  <c r="AB231"/>
  <c r="X231"/>
  <c r="T231"/>
  <c r="P231"/>
  <c r="L231"/>
  <c r="H231"/>
  <c r="D231"/>
  <c r="BJ213"/>
  <c r="BH222"/>
  <c r="BF211"/>
  <c r="BD222"/>
  <c r="BB211"/>
  <c r="AZ222"/>
  <c r="AX211"/>
  <c r="AV222"/>
  <c r="AT211"/>
  <c r="AR222"/>
  <c r="AP211"/>
  <c r="AN222"/>
  <c r="AL211"/>
  <c r="AJ222"/>
  <c r="AH211"/>
  <c r="AF222"/>
  <c r="AD211"/>
  <c r="AB222"/>
  <c r="Z211"/>
  <c r="X222"/>
  <c r="T222"/>
  <c r="P222"/>
  <c r="L222"/>
  <c r="H222"/>
  <c r="D222"/>
  <c r="D251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C75"/>
  <c r="E73"/>
  <c r="AJ73" s="1"/>
  <c r="AJ130" s="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D127"/>
  <c r="F75"/>
  <c r="F132" s="1"/>
  <c r="B70"/>
  <c r="C80" s="1"/>
  <c r="D69"/>
  <c r="D126" s="1"/>
  <c r="F68"/>
  <c r="F125" s="1"/>
  <c r="F73"/>
  <c r="C66"/>
  <c r="C97" s="1"/>
  <c r="D64"/>
  <c r="BJ106"/>
  <c r="BI112"/>
  <c r="BH106"/>
  <c r="BG112"/>
  <c r="BF106"/>
  <c r="BE112"/>
  <c r="BD106"/>
  <c r="BC112"/>
  <c r="BB106"/>
  <c r="BA112"/>
  <c r="AZ106"/>
  <c r="AY112"/>
  <c r="AX106"/>
  <c r="AW112"/>
  <c r="AV106"/>
  <c r="AU112"/>
  <c r="AT106"/>
  <c r="AS112"/>
  <c r="AR106"/>
  <c r="AQ112"/>
  <c r="AP106"/>
  <c r="AO112"/>
  <c r="AN106"/>
  <c r="AM112"/>
  <c r="AL106"/>
  <c r="AK112"/>
  <c r="AJ106"/>
  <c r="AI112"/>
  <c r="AH106"/>
  <c r="AG112"/>
  <c r="AF106"/>
  <c r="AE112"/>
  <c r="AD106"/>
  <c r="AC112"/>
  <c r="AB106"/>
  <c r="AA112"/>
  <c r="Z106"/>
  <c r="Y112"/>
  <c r="X106"/>
  <c r="W112"/>
  <c r="V106"/>
  <c r="U112"/>
  <c r="T106"/>
  <c r="S112"/>
  <c r="R106"/>
  <c r="Q112"/>
  <c r="P106"/>
  <c r="O112"/>
  <c r="N106"/>
  <c r="M112"/>
  <c r="L106"/>
  <c r="K112"/>
  <c r="J106"/>
  <c r="I112"/>
  <c r="H106"/>
  <c r="G112"/>
  <c r="F106"/>
  <c r="E112"/>
  <c r="D106"/>
  <c r="C112"/>
  <c r="B55"/>
  <c r="C140"/>
  <c r="K47"/>
  <c r="J47"/>
  <c r="I47"/>
  <c r="H47"/>
  <c r="G47"/>
  <c r="F47"/>
  <c r="E47"/>
  <c r="D47"/>
  <c r="C47"/>
  <c r="B47"/>
  <c r="K41"/>
  <c r="J41"/>
  <c r="I41"/>
  <c r="H41"/>
  <c r="G41"/>
  <c r="F41"/>
  <c r="E41"/>
  <c r="D41"/>
  <c r="C41"/>
  <c r="B41"/>
  <c r="K27"/>
  <c r="J27"/>
  <c r="I27"/>
  <c r="H27"/>
  <c r="G27"/>
  <c r="F27"/>
  <c r="E27"/>
  <c r="D27"/>
  <c r="C27"/>
  <c r="B27"/>
  <c r="K26"/>
  <c r="J26"/>
  <c r="I26"/>
  <c r="H26"/>
  <c r="G26"/>
  <c r="F26"/>
  <c r="E26"/>
  <c r="D26"/>
  <c r="C26"/>
  <c r="B26"/>
  <c r="K25"/>
  <c r="J25"/>
  <c r="I25"/>
  <c r="H25"/>
  <c r="G25"/>
  <c r="F25"/>
  <c r="E25"/>
  <c r="D25"/>
  <c r="C25"/>
  <c r="B25"/>
  <c r="K24"/>
  <c r="J24"/>
  <c r="I24"/>
  <c r="H24"/>
  <c r="G24"/>
  <c r="F24"/>
  <c r="E24"/>
  <c r="D24"/>
  <c r="C24"/>
  <c r="B24"/>
  <c r="K23"/>
  <c r="J23"/>
  <c r="I23"/>
  <c r="H23"/>
  <c r="G23"/>
  <c r="F23"/>
  <c r="E23"/>
  <c r="D23"/>
  <c r="C23"/>
  <c r="B23"/>
  <c r="R21" i="1"/>
  <c r="S21"/>
  <c r="T21"/>
  <c r="U21"/>
  <c r="V21"/>
  <c r="R10"/>
  <c r="S10"/>
  <c r="T10"/>
  <c r="U10"/>
  <c r="V10"/>
  <c r="R12"/>
  <c r="S12"/>
  <c r="T12"/>
  <c r="U12"/>
  <c r="V12"/>
  <c r="R14"/>
  <c r="S14"/>
  <c r="T14"/>
  <c r="U14"/>
  <c r="V14"/>
  <c r="R15"/>
  <c r="S15"/>
  <c r="T15"/>
  <c r="U15"/>
  <c r="V15"/>
  <c r="R16"/>
  <c r="S16"/>
  <c r="T16"/>
  <c r="U16"/>
  <c r="V16"/>
  <c r="R17"/>
  <c r="S17"/>
  <c r="T17"/>
  <c r="U17"/>
  <c r="V17"/>
  <c r="R19"/>
  <c r="S19"/>
  <c r="T19"/>
  <c r="U19"/>
  <c r="V19"/>
  <c r="R23"/>
  <c r="S23"/>
  <c r="T23"/>
  <c r="U23"/>
  <c r="V23"/>
  <c r="R24"/>
  <c r="S24"/>
  <c r="T24"/>
  <c r="U24"/>
  <c r="V24"/>
  <c r="B15" i="4"/>
  <c r="C15"/>
  <c r="D15"/>
  <c r="E15"/>
  <c r="F15"/>
  <c r="B16"/>
  <c r="C16"/>
  <c r="D16"/>
  <c r="E16"/>
  <c r="F16"/>
  <c r="B17"/>
  <c r="C17"/>
  <c r="D17"/>
  <c r="E17"/>
  <c r="F17"/>
  <c r="B18"/>
  <c r="C18"/>
  <c r="D18"/>
  <c r="E18"/>
  <c r="F18"/>
  <c r="B20"/>
  <c r="C20"/>
  <c r="D20"/>
  <c r="E20"/>
  <c r="F20"/>
  <c r="B21"/>
  <c r="C21"/>
  <c r="D21"/>
  <c r="E21"/>
  <c r="F21"/>
  <c r="B22"/>
  <c r="C22"/>
  <c r="D22"/>
  <c r="E22"/>
  <c r="F22"/>
  <c r="B23"/>
  <c r="C23"/>
  <c r="D23"/>
  <c r="E23"/>
  <c r="F23"/>
  <c r="B24"/>
  <c r="C24"/>
  <c r="D24"/>
  <c r="E24"/>
  <c r="F24"/>
  <c r="B25"/>
  <c r="C25"/>
  <c r="D25"/>
  <c r="E25"/>
  <c r="F25"/>
  <c r="B26"/>
  <c r="C26"/>
  <c r="D26"/>
  <c r="E26"/>
  <c r="F26"/>
  <c r="B27"/>
  <c r="C27"/>
  <c r="D27"/>
  <c r="E27"/>
  <c r="F27"/>
  <c r="B19"/>
  <c r="C19"/>
  <c r="D19"/>
  <c r="E19"/>
  <c r="F19"/>
  <c r="C14"/>
  <c r="D14"/>
  <c r="E14"/>
  <c r="F14"/>
  <c r="B14"/>
  <c r="A6"/>
  <c r="A7"/>
  <c r="A8"/>
  <c r="B6"/>
  <c r="B7"/>
  <c r="B8"/>
  <c r="B5"/>
  <c r="A5"/>
  <c r="F65"/>
  <c r="E65"/>
  <c r="D65"/>
  <c r="C65"/>
  <c r="B65"/>
  <c r="D66" i="5" l="1"/>
  <c r="C60" i="7"/>
  <c r="C62" s="1"/>
  <c r="C63" s="1"/>
  <c r="D61" s="1"/>
  <c r="D62" s="1"/>
  <c r="D63" s="1"/>
  <c r="E61" s="1"/>
  <c r="E62" s="1"/>
  <c r="E63" s="1"/>
  <c r="F61" s="1"/>
  <c r="F62" s="1"/>
  <c r="F63" s="1"/>
  <c r="G61" s="1"/>
  <c r="G62" s="1"/>
  <c r="G63" s="1"/>
  <c r="H61" s="1"/>
  <c r="H62" s="1"/>
  <c r="H63" s="1"/>
  <c r="I61" s="1"/>
  <c r="I62" s="1"/>
  <c r="I63" s="1"/>
  <c r="J61" s="1"/>
  <c r="J62" s="1"/>
  <c r="J63" s="1"/>
  <c r="K61" s="1"/>
  <c r="K62" s="1"/>
  <c r="K63" s="1"/>
  <c r="L61" s="1"/>
  <c r="L62" s="1"/>
  <c r="L63" s="1"/>
  <c r="M61" s="1"/>
  <c r="M62" s="1"/>
  <c r="M63" s="1"/>
  <c r="N61" s="1"/>
  <c r="N62" s="1"/>
  <c r="N63" s="1"/>
  <c r="O61" s="1"/>
  <c r="O62" s="1"/>
  <c r="O63" s="1"/>
  <c r="P61" s="1"/>
  <c r="P62" s="1"/>
  <c r="P63" s="1"/>
  <c r="Q61" s="1"/>
  <c r="Q62" s="1"/>
  <c r="Q63" s="1"/>
  <c r="R61" s="1"/>
  <c r="R62" s="1"/>
  <c r="R63" s="1"/>
  <c r="S61" s="1"/>
  <c r="S62" s="1"/>
  <c r="S63" s="1"/>
  <c r="T61" s="1"/>
  <c r="T62" s="1"/>
  <c r="T63" s="1"/>
  <c r="U61" s="1"/>
  <c r="U62" s="1"/>
  <c r="U63" s="1"/>
  <c r="V61" s="1"/>
  <c r="V62" s="1"/>
  <c r="V63" s="1"/>
  <c r="W61" s="1"/>
  <c r="W62" s="1"/>
  <c r="C48"/>
  <c r="C50" s="1"/>
  <c r="C51" s="1"/>
  <c r="D49" s="1"/>
  <c r="D50" s="1"/>
  <c r="D51" s="1"/>
  <c r="E49" s="1"/>
  <c r="E50" s="1"/>
  <c r="E51" s="1"/>
  <c r="F49" s="1"/>
  <c r="F50" s="1"/>
  <c r="F51" s="1"/>
  <c r="G49" s="1"/>
  <c r="G50" s="1"/>
  <c r="G51" s="1"/>
  <c r="H49" s="1"/>
  <c r="H50" s="1"/>
  <c r="H51" s="1"/>
  <c r="I49" s="1"/>
  <c r="I50" s="1"/>
  <c r="I51" s="1"/>
  <c r="J49" s="1"/>
  <c r="J50" s="1"/>
  <c r="J51" s="1"/>
  <c r="K49" s="1"/>
  <c r="K50" s="1"/>
  <c r="K51" s="1"/>
  <c r="L49" s="1"/>
  <c r="L50" s="1"/>
  <c r="L51" s="1"/>
  <c r="M49" s="1"/>
  <c r="M50" s="1"/>
  <c r="M51" s="1"/>
  <c r="N49" s="1"/>
  <c r="N50" s="1"/>
  <c r="N51" s="1"/>
  <c r="O49" s="1"/>
  <c r="O50" s="1"/>
  <c r="O51" s="1"/>
  <c r="P49" s="1"/>
  <c r="P50" s="1"/>
  <c r="P51" s="1"/>
  <c r="Q49" s="1"/>
  <c r="Q50" s="1"/>
  <c r="Q51" s="1"/>
  <c r="R49" s="1"/>
  <c r="R50" s="1"/>
  <c r="R51" s="1"/>
  <c r="S49" s="1"/>
  <c r="S50" s="1"/>
  <c r="S51" s="1"/>
  <c r="T49" s="1"/>
  <c r="T50" s="1"/>
  <c r="T51" s="1"/>
  <c r="U49" s="1"/>
  <c r="U50" s="1"/>
  <c r="U51" s="1"/>
  <c r="V49" s="1"/>
  <c r="V50" s="1"/>
  <c r="V51" s="1"/>
  <c r="W49" s="1"/>
  <c r="W50" s="1"/>
  <c r="C36"/>
  <c r="C38" s="1"/>
  <c r="C39" s="1"/>
  <c r="D37" s="1"/>
  <c r="D38" s="1"/>
  <c r="D39" s="1"/>
  <c r="E37" s="1"/>
  <c r="E38" s="1"/>
  <c r="E39" s="1"/>
  <c r="F37" s="1"/>
  <c r="F38" s="1"/>
  <c r="F39" s="1"/>
  <c r="G37" s="1"/>
  <c r="G38" s="1"/>
  <c r="G39" s="1"/>
  <c r="H37" s="1"/>
  <c r="H38" s="1"/>
  <c r="H39" s="1"/>
  <c r="I37" s="1"/>
  <c r="I38" s="1"/>
  <c r="I39" s="1"/>
  <c r="J37" s="1"/>
  <c r="J38" s="1"/>
  <c r="J39" s="1"/>
  <c r="K37" s="1"/>
  <c r="K38" s="1"/>
  <c r="K39" s="1"/>
  <c r="L37" s="1"/>
  <c r="L38" s="1"/>
  <c r="L39" s="1"/>
  <c r="M37" s="1"/>
  <c r="M38" s="1"/>
  <c r="M39" s="1"/>
  <c r="N37" s="1"/>
  <c r="N38" s="1"/>
  <c r="N39" s="1"/>
  <c r="O37" s="1"/>
  <c r="O38" s="1"/>
  <c r="O39" s="1"/>
  <c r="P37" s="1"/>
  <c r="P38" s="1"/>
  <c r="P39" s="1"/>
  <c r="Q37" s="1"/>
  <c r="Q38" s="1"/>
  <c r="Q39" s="1"/>
  <c r="R37" s="1"/>
  <c r="R38" s="1"/>
  <c r="R39" s="1"/>
  <c r="S37" s="1"/>
  <c r="S38" s="1"/>
  <c r="S39" s="1"/>
  <c r="T37" s="1"/>
  <c r="T38" s="1"/>
  <c r="T39" s="1"/>
  <c r="U37" s="1"/>
  <c r="U38" s="1"/>
  <c r="U39" s="1"/>
  <c r="V37" s="1"/>
  <c r="V38" s="1"/>
  <c r="V39" s="1"/>
  <c r="W37" s="1"/>
  <c r="W38" s="1"/>
  <c r="C66"/>
  <c r="C68" s="1"/>
  <c r="C69" s="1"/>
  <c r="D67" s="1"/>
  <c r="D68" s="1"/>
  <c r="D69" s="1"/>
  <c r="E67" s="1"/>
  <c r="E68" s="1"/>
  <c r="E69" s="1"/>
  <c r="F67" s="1"/>
  <c r="F68" s="1"/>
  <c r="F69" s="1"/>
  <c r="G67" s="1"/>
  <c r="G68" s="1"/>
  <c r="G69" s="1"/>
  <c r="H67" s="1"/>
  <c r="H68" s="1"/>
  <c r="H69" s="1"/>
  <c r="I67" s="1"/>
  <c r="I68" s="1"/>
  <c r="I69" s="1"/>
  <c r="J67" s="1"/>
  <c r="J68" s="1"/>
  <c r="J69" s="1"/>
  <c r="K67" s="1"/>
  <c r="K68" s="1"/>
  <c r="K69" s="1"/>
  <c r="L67" s="1"/>
  <c r="L68" s="1"/>
  <c r="L69" s="1"/>
  <c r="M67" s="1"/>
  <c r="M68" s="1"/>
  <c r="M69" s="1"/>
  <c r="N67" s="1"/>
  <c r="N68" s="1"/>
  <c r="N69" s="1"/>
  <c r="O67" s="1"/>
  <c r="O68" s="1"/>
  <c r="O69" s="1"/>
  <c r="P67" s="1"/>
  <c r="P68" s="1"/>
  <c r="P69" s="1"/>
  <c r="Q67" s="1"/>
  <c r="Q68" s="1"/>
  <c r="Q69" s="1"/>
  <c r="R67" s="1"/>
  <c r="R68" s="1"/>
  <c r="R69" s="1"/>
  <c r="S67" s="1"/>
  <c r="S68" s="1"/>
  <c r="S69" s="1"/>
  <c r="T67" s="1"/>
  <c r="T68" s="1"/>
  <c r="T69" s="1"/>
  <c r="U67" s="1"/>
  <c r="U68" s="1"/>
  <c r="U69" s="1"/>
  <c r="V67" s="1"/>
  <c r="V68" s="1"/>
  <c r="V69" s="1"/>
  <c r="W67" s="1"/>
  <c r="W68" s="1"/>
  <c r="C54"/>
  <c r="C56" s="1"/>
  <c r="C57" s="1"/>
  <c r="D55" s="1"/>
  <c r="D56" s="1"/>
  <c r="D57" s="1"/>
  <c r="E55" s="1"/>
  <c r="E56" s="1"/>
  <c r="E57" s="1"/>
  <c r="F55" s="1"/>
  <c r="F56" s="1"/>
  <c r="F57" s="1"/>
  <c r="G55" s="1"/>
  <c r="G56" s="1"/>
  <c r="G57" s="1"/>
  <c r="H55" s="1"/>
  <c r="H56" s="1"/>
  <c r="H57" s="1"/>
  <c r="I55" s="1"/>
  <c r="I56" s="1"/>
  <c r="I57" s="1"/>
  <c r="J55" s="1"/>
  <c r="J56" s="1"/>
  <c r="J57" s="1"/>
  <c r="K55" s="1"/>
  <c r="K56" s="1"/>
  <c r="K57" s="1"/>
  <c r="L55" s="1"/>
  <c r="L56" s="1"/>
  <c r="L57" s="1"/>
  <c r="M55" s="1"/>
  <c r="M56" s="1"/>
  <c r="M57" s="1"/>
  <c r="N55" s="1"/>
  <c r="N56" s="1"/>
  <c r="N57" s="1"/>
  <c r="O55" s="1"/>
  <c r="O56" s="1"/>
  <c r="O57" s="1"/>
  <c r="P55" s="1"/>
  <c r="P56" s="1"/>
  <c r="P57" s="1"/>
  <c r="Q55" s="1"/>
  <c r="Q56" s="1"/>
  <c r="Q57" s="1"/>
  <c r="R55" s="1"/>
  <c r="R56" s="1"/>
  <c r="R57" s="1"/>
  <c r="S55" s="1"/>
  <c r="S56" s="1"/>
  <c r="S57" s="1"/>
  <c r="T55" s="1"/>
  <c r="T56" s="1"/>
  <c r="T57" s="1"/>
  <c r="U55" s="1"/>
  <c r="U56" s="1"/>
  <c r="U57" s="1"/>
  <c r="V55" s="1"/>
  <c r="V56" s="1"/>
  <c r="V57" s="1"/>
  <c r="W55" s="1"/>
  <c r="W56" s="1"/>
  <c r="C42"/>
  <c r="C44" s="1"/>
  <c r="C45" s="1"/>
  <c r="D43" s="1"/>
  <c r="D44" s="1"/>
  <c r="D45" s="1"/>
  <c r="E43" s="1"/>
  <c r="E44" s="1"/>
  <c r="E45" s="1"/>
  <c r="F43" s="1"/>
  <c r="F44" s="1"/>
  <c r="F45" s="1"/>
  <c r="G43" s="1"/>
  <c r="G44" s="1"/>
  <c r="G45" s="1"/>
  <c r="H43" s="1"/>
  <c r="H44" s="1"/>
  <c r="H45" s="1"/>
  <c r="I43" s="1"/>
  <c r="I44" s="1"/>
  <c r="I45" s="1"/>
  <c r="J43" s="1"/>
  <c r="J44" s="1"/>
  <c r="J45" s="1"/>
  <c r="K43" s="1"/>
  <c r="K44" s="1"/>
  <c r="K45" s="1"/>
  <c r="L43" s="1"/>
  <c r="L44" s="1"/>
  <c r="L45" s="1"/>
  <c r="M43" s="1"/>
  <c r="M44" s="1"/>
  <c r="M45" s="1"/>
  <c r="N43" s="1"/>
  <c r="N44" s="1"/>
  <c r="N45" s="1"/>
  <c r="O43" s="1"/>
  <c r="O44" s="1"/>
  <c r="O45" s="1"/>
  <c r="P43" s="1"/>
  <c r="P44" s="1"/>
  <c r="P45" s="1"/>
  <c r="Q43" s="1"/>
  <c r="Q44" s="1"/>
  <c r="Q45" s="1"/>
  <c r="R43" s="1"/>
  <c r="R44" s="1"/>
  <c r="R45" s="1"/>
  <c r="S43" s="1"/>
  <c r="S44" s="1"/>
  <c r="S45" s="1"/>
  <c r="T43" s="1"/>
  <c r="T44" s="1"/>
  <c r="T45" s="1"/>
  <c r="U43" s="1"/>
  <c r="U44" s="1"/>
  <c r="U45" s="1"/>
  <c r="V43" s="1"/>
  <c r="V44" s="1"/>
  <c r="V45" s="1"/>
  <c r="W43" s="1"/>
  <c r="W44" s="1"/>
  <c r="C30"/>
  <c r="C32" s="1"/>
  <c r="C33" s="1"/>
  <c r="D31" s="1"/>
  <c r="D32" s="1"/>
  <c r="D33" s="1"/>
  <c r="E31" s="1"/>
  <c r="E32" s="1"/>
  <c r="E33" s="1"/>
  <c r="F31" s="1"/>
  <c r="F32" s="1"/>
  <c r="F33" s="1"/>
  <c r="G31" s="1"/>
  <c r="G32" s="1"/>
  <c r="G33" s="1"/>
  <c r="H31" s="1"/>
  <c r="H32" s="1"/>
  <c r="H33" s="1"/>
  <c r="I31" s="1"/>
  <c r="I32" s="1"/>
  <c r="I33" s="1"/>
  <c r="J31" s="1"/>
  <c r="J32" s="1"/>
  <c r="J33" s="1"/>
  <c r="K31" s="1"/>
  <c r="K32" s="1"/>
  <c r="K33" s="1"/>
  <c r="L31" s="1"/>
  <c r="L32" s="1"/>
  <c r="L33" s="1"/>
  <c r="M31" s="1"/>
  <c r="M32" s="1"/>
  <c r="M33" s="1"/>
  <c r="N31" s="1"/>
  <c r="N32" s="1"/>
  <c r="N33" s="1"/>
  <c r="O31" s="1"/>
  <c r="O32" s="1"/>
  <c r="O33" s="1"/>
  <c r="P31" s="1"/>
  <c r="P32" s="1"/>
  <c r="P33" s="1"/>
  <c r="Q31" s="1"/>
  <c r="Q32" s="1"/>
  <c r="Q33" s="1"/>
  <c r="R31" s="1"/>
  <c r="R32" s="1"/>
  <c r="R33" s="1"/>
  <c r="S31" s="1"/>
  <c r="S32" s="1"/>
  <c r="S33" s="1"/>
  <c r="T31" s="1"/>
  <c r="T32" s="1"/>
  <c r="T33" s="1"/>
  <c r="U31" s="1"/>
  <c r="U32" s="1"/>
  <c r="U33" s="1"/>
  <c r="V31" s="1"/>
  <c r="V32" s="1"/>
  <c r="V33" s="1"/>
  <c r="W31" s="1"/>
  <c r="W32" s="1"/>
  <c r="F130" i="5"/>
  <c r="AI73"/>
  <c r="AI130" s="1"/>
  <c r="C137"/>
  <c r="E237"/>
  <c r="F180"/>
  <c r="C160"/>
  <c r="C163"/>
  <c r="E160"/>
  <c r="E163"/>
  <c r="G160"/>
  <c r="G163"/>
  <c r="I160"/>
  <c r="I163"/>
  <c r="K160"/>
  <c r="J154"/>
  <c r="K163"/>
  <c r="M160"/>
  <c r="M163"/>
  <c r="O160"/>
  <c r="N154"/>
  <c r="O163"/>
  <c r="Q160"/>
  <c r="Q163"/>
  <c r="S160"/>
  <c r="R154"/>
  <c r="S163"/>
  <c r="U160"/>
  <c r="U163"/>
  <c r="W160"/>
  <c r="V154"/>
  <c r="W163"/>
  <c r="Y160"/>
  <c r="Y163"/>
  <c r="Y152"/>
  <c r="AA160"/>
  <c r="Z154"/>
  <c r="AA163"/>
  <c r="AA152"/>
  <c r="AC160"/>
  <c r="AC163"/>
  <c r="AC152"/>
  <c r="AE160"/>
  <c r="AD154"/>
  <c r="AE163"/>
  <c r="AE152"/>
  <c r="AG160"/>
  <c r="AG163"/>
  <c r="AG152"/>
  <c r="AI160"/>
  <c r="AH154"/>
  <c r="AI163"/>
  <c r="AI152"/>
  <c r="AK160"/>
  <c r="AK163"/>
  <c r="AK152"/>
  <c r="AM160"/>
  <c r="AL154"/>
  <c r="AM163"/>
  <c r="AM152"/>
  <c r="AO160"/>
  <c r="AO163"/>
  <c r="AO152"/>
  <c r="AQ160"/>
  <c r="AP154"/>
  <c r="AQ163"/>
  <c r="AQ152"/>
  <c r="AS160"/>
  <c r="AS163"/>
  <c r="AS152"/>
  <c r="AU160"/>
  <c r="AT154"/>
  <c r="AU163"/>
  <c r="AU152"/>
  <c r="AW160"/>
  <c r="AW163"/>
  <c r="AW152"/>
  <c r="AY160"/>
  <c r="AX154"/>
  <c r="AY163"/>
  <c r="AY152"/>
  <c r="BA160"/>
  <c r="BA163"/>
  <c r="BA152"/>
  <c r="BC160"/>
  <c r="BB154"/>
  <c r="BC163"/>
  <c r="BC152"/>
  <c r="BE160"/>
  <c r="BE163"/>
  <c r="BE152"/>
  <c r="BG160"/>
  <c r="BF154"/>
  <c r="BG163"/>
  <c r="BG152"/>
  <c r="BI160"/>
  <c r="BI163"/>
  <c r="BI152"/>
  <c r="D121"/>
  <c r="E64"/>
  <c r="C372"/>
  <c r="D371"/>
  <c r="D367"/>
  <c r="D366"/>
  <c r="AJ364"/>
  <c r="AH364"/>
  <c r="D362"/>
  <c r="C361"/>
  <c r="F359"/>
  <c r="D357"/>
  <c r="D356"/>
  <c r="BJ353"/>
  <c r="BH353"/>
  <c r="BF353"/>
  <c r="BD353"/>
  <c r="BB353"/>
  <c r="AZ353"/>
  <c r="AX353"/>
  <c r="AV353"/>
  <c r="AT353"/>
  <c r="AR353"/>
  <c r="AP353"/>
  <c r="AN353"/>
  <c r="AL353"/>
  <c r="AJ353"/>
  <c r="AH353"/>
  <c r="AF353"/>
  <c r="AD353"/>
  <c r="AB353"/>
  <c r="Z353"/>
  <c r="X353"/>
  <c r="V353"/>
  <c r="T353"/>
  <c r="R353"/>
  <c r="P353"/>
  <c r="N353"/>
  <c r="L353"/>
  <c r="J353"/>
  <c r="H353"/>
  <c r="D338"/>
  <c r="D319"/>
  <c r="D351"/>
  <c r="F338"/>
  <c r="F351"/>
  <c r="H338"/>
  <c r="H351"/>
  <c r="J338"/>
  <c r="J351"/>
  <c r="L338"/>
  <c r="L351"/>
  <c r="N338"/>
  <c r="N351"/>
  <c r="P338"/>
  <c r="P351"/>
  <c r="R338"/>
  <c r="R351"/>
  <c r="T338"/>
  <c r="T351"/>
  <c r="V338"/>
  <c r="V351"/>
  <c r="X338"/>
  <c r="X327"/>
  <c r="X321"/>
  <c r="X378" s="1"/>
  <c r="X319"/>
  <c r="X317"/>
  <c r="X374" s="1"/>
  <c r="X315"/>
  <c r="X372" s="1"/>
  <c r="X351"/>
  <c r="Z338"/>
  <c r="Z327"/>
  <c r="Z321"/>
  <c r="Z378" s="1"/>
  <c r="Z319"/>
  <c r="Z317"/>
  <c r="Z374" s="1"/>
  <c r="Z315"/>
  <c r="Z372" s="1"/>
  <c r="Z351"/>
  <c r="AB338"/>
  <c r="AB327"/>
  <c r="AB321"/>
  <c r="AB378" s="1"/>
  <c r="AB319"/>
  <c r="AB317"/>
  <c r="AB374" s="1"/>
  <c r="AB315"/>
  <c r="AB372" s="1"/>
  <c r="AB351"/>
  <c r="AD338"/>
  <c r="AD327"/>
  <c r="AD321"/>
  <c r="AD378" s="1"/>
  <c r="AD319"/>
  <c r="AD317"/>
  <c r="AD374" s="1"/>
  <c r="AD315"/>
  <c r="AD372" s="1"/>
  <c r="AD351"/>
  <c r="AF338"/>
  <c r="AF327"/>
  <c r="AF321"/>
  <c r="AF378" s="1"/>
  <c r="AF319"/>
  <c r="AF317"/>
  <c r="AF374" s="1"/>
  <c r="AF315"/>
  <c r="AF372" s="1"/>
  <c r="AF351"/>
  <c r="AH338"/>
  <c r="AH327"/>
  <c r="AH321"/>
  <c r="AH378" s="1"/>
  <c r="AH319"/>
  <c r="AH317"/>
  <c r="AH374" s="1"/>
  <c r="AH315"/>
  <c r="AH372" s="1"/>
  <c r="AH351"/>
  <c r="AJ338"/>
  <c r="AJ327"/>
  <c r="AJ321"/>
  <c r="AJ378" s="1"/>
  <c r="AJ319"/>
  <c r="AJ317"/>
  <c r="AJ374" s="1"/>
  <c r="AJ315"/>
  <c r="AJ372" s="1"/>
  <c r="AJ351"/>
  <c r="AL338"/>
  <c r="AL327"/>
  <c r="AL321"/>
  <c r="AL378" s="1"/>
  <c r="AL319"/>
  <c r="AL376" s="1"/>
  <c r="AL317"/>
  <c r="AL374" s="1"/>
  <c r="AL315"/>
  <c r="AL372" s="1"/>
  <c r="AL351"/>
  <c r="AN338"/>
  <c r="AN327"/>
  <c r="AN321"/>
  <c r="AN378" s="1"/>
  <c r="AN319"/>
  <c r="AN376" s="1"/>
  <c r="AN317"/>
  <c r="AN374" s="1"/>
  <c r="AN315"/>
  <c r="AN372" s="1"/>
  <c r="AN351"/>
  <c r="AP338"/>
  <c r="AP327"/>
  <c r="AP321"/>
  <c r="AP378" s="1"/>
  <c r="AP319"/>
  <c r="AP376" s="1"/>
  <c r="AP317"/>
  <c r="AP374" s="1"/>
  <c r="AP315"/>
  <c r="AP372" s="1"/>
  <c r="AP351"/>
  <c r="AR338"/>
  <c r="AR327"/>
  <c r="AR321"/>
  <c r="AR378" s="1"/>
  <c r="AR319"/>
  <c r="AR376" s="1"/>
  <c r="AR317"/>
  <c r="AR374" s="1"/>
  <c r="AR315"/>
  <c r="AR372" s="1"/>
  <c r="AR351"/>
  <c r="AT338"/>
  <c r="AT327"/>
  <c r="AT321"/>
  <c r="AT378" s="1"/>
  <c r="AT319"/>
  <c r="AT376" s="1"/>
  <c r="AT317"/>
  <c r="AT374" s="1"/>
  <c r="AT315"/>
  <c r="AT372" s="1"/>
  <c r="AT351"/>
  <c r="AV338"/>
  <c r="AV327"/>
  <c r="AV321"/>
  <c r="AV378" s="1"/>
  <c r="AV319"/>
  <c r="AV376" s="1"/>
  <c r="AV317"/>
  <c r="AV374" s="1"/>
  <c r="AV315"/>
  <c r="AV372" s="1"/>
  <c r="AV351"/>
  <c r="AX338"/>
  <c r="AX327"/>
  <c r="AX321"/>
  <c r="AX378" s="1"/>
  <c r="AX319"/>
  <c r="AX376" s="1"/>
  <c r="AX317"/>
  <c r="AX374" s="1"/>
  <c r="AX315"/>
  <c r="AX372" s="1"/>
  <c r="AX351"/>
  <c r="AZ338"/>
  <c r="AZ327"/>
  <c r="AZ321"/>
  <c r="AZ378" s="1"/>
  <c r="AZ319"/>
  <c r="AZ376" s="1"/>
  <c r="AZ317"/>
  <c r="AZ374" s="1"/>
  <c r="AZ315"/>
  <c r="AZ372" s="1"/>
  <c r="AZ351"/>
  <c r="BB338"/>
  <c r="BB327"/>
  <c r="BB321"/>
  <c r="BB378" s="1"/>
  <c r="BB319"/>
  <c r="BB376" s="1"/>
  <c r="BB317"/>
  <c r="BB374" s="1"/>
  <c r="BB315"/>
  <c r="BB372" s="1"/>
  <c r="BB351"/>
  <c r="BD338"/>
  <c r="BD327"/>
  <c r="BD321"/>
  <c r="BD378" s="1"/>
  <c r="BD319"/>
  <c r="BD376" s="1"/>
  <c r="BD317"/>
  <c r="BD374" s="1"/>
  <c r="BD315"/>
  <c r="BD372" s="1"/>
  <c r="BD351"/>
  <c r="BF338"/>
  <c r="BF327"/>
  <c r="BF321"/>
  <c r="BF378" s="1"/>
  <c r="BF319"/>
  <c r="BF376" s="1"/>
  <c r="BF317"/>
  <c r="BF374" s="1"/>
  <c r="BF315"/>
  <c r="BF372" s="1"/>
  <c r="BF351"/>
  <c r="BH338"/>
  <c r="BH327"/>
  <c r="BH321"/>
  <c r="BH378" s="1"/>
  <c r="BH319"/>
  <c r="BH376" s="1"/>
  <c r="BH317"/>
  <c r="BH374" s="1"/>
  <c r="BH315"/>
  <c r="BH372" s="1"/>
  <c r="BH351"/>
  <c r="BJ338"/>
  <c r="BJ329"/>
  <c r="BJ327"/>
  <c r="BJ321"/>
  <c r="BJ378" s="1"/>
  <c r="BJ319"/>
  <c r="BJ376" s="1"/>
  <c r="BJ317"/>
  <c r="BJ374" s="1"/>
  <c r="BJ315"/>
  <c r="BJ372" s="1"/>
  <c r="BJ351"/>
  <c r="F356"/>
  <c r="G299"/>
  <c r="D358"/>
  <c r="E301"/>
  <c r="C376"/>
  <c r="AA376"/>
  <c r="AE376"/>
  <c r="AI376"/>
  <c r="C454"/>
  <c r="C435"/>
  <c r="B403"/>
  <c r="E454"/>
  <c r="E467"/>
  <c r="G454"/>
  <c r="G467"/>
  <c r="I454"/>
  <c r="I467"/>
  <c r="K454"/>
  <c r="K467"/>
  <c r="M454"/>
  <c r="M467"/>
  <c r="O454"/>
  <c r="O467"/>
  <c r="Q454"/>
  <c r="Q467"/>
  <c r="S454"/>
  <c r="S467"/>
  <c r="U454"/>
  <c r="U467"/>
  <c r="W454"/>
  <c r="W467"/>
  <c r="Y454"/>
  <c r="Y443"/>
  <c r="Y437"/>
  <c r="Y494" s="1"/>
  <c r="Y435"/>
  <c r="Y433"/>
  <c r="Y490" s="1"/>
  <c r="Y431"/>
  <c r="Y488" s="1"/>
  <c r="Y467"/>
  <c r="AA454"/>
  <c r="AA443"/>
  <c r="AA437"/>
  <c r="AA494" s="1"/>
  <c r="AA435"/>
  <c r="AA433"/>
  <c r="AA490" s="1"/>
  <c r="AA431"/>
  <c r="AA488" s="1"/>
  <c r="AA467"/>
  <c r="AC454"/>
  <c r="AC443"/>
  <c r="AC437"/>
  <c r="AC494" s="1"/>
  <c r="AC435"/>
  <c r="AC433"/>
  <c r="AC490" s="1"/>
  <c r="AC431"/>
  <c r="AC488" s="1"/>
  <c r="AC467"/>
  <c r="AE454"/>
  <c r="AE443"/>
  <c r="AE437"/>
  <c r="AE494" s="1"/>
  <c r="AE435"/>
  <c r="AE433"/>
  <c r="AE490" s="1"/>
  <c r="AE431"/>
  <c r="AE488" s="1"/>
  <c r="AE467"/>
  <c r="AG454"/>
  <c r="AG443"/>
  <c r="AG437"/>
  <c r="AG494" s="1"/>
  <c r="AG435"/>
  <c r="AG433"/>
  <c r="AG490" s="1"/>
  <c r="AG431"/>
  <c r="AG488" s="1"/>
  <c r="AG467"/>
  <c r="AI454"/>
  <c r="AI443"/>
  <c r="AI437"/>
  <c r="AI494" s="1"/>
  <c r="AI435"/>
  <c r="AI433"/>
  <c r="AI490" s="1"/>
  <c r="AI431"/>
  <c r="AI488" s="1"/>
  <c r="AI467"/>
  <c r="AK454"/>
  <c r="AK443"/>
  <c r="AK437"/>
  <c r="AK494" s="1"/>
  <c r="AK435"/>
  <c r="AK492" s="1"/>
  <c r="AK433"/>
  <c r="AK490" s="1"/>
  <c r="AK431"/>
  <c r="AK488" s="1"/>
  <c r="AK467"/>
  <c r="AM454"/>
  <c r="AM443"/>
  <c r="AM437"/>
  <c r="AM494" s="1"/>
  <c r="AM435"/>
  <c r="AM492" s="1"/>
  <c r="AM433"/>
  <c r="AM490" s="1"/>
  <c r="AM431"/>
  <c r="AM488" s="1"/>
  <c r="AM467"/>
  <c r="AO454"/>
  <c r="AO443"/>
  <c r="AO437"/>
  <c r="AO494" s="1"/>
  <c r="AO435"/>
  <c r="AO492" s="1"/>
  <c r="AO433"/>
  <c r="AO490" s="1"/>
  <c r="AO431"/>
  <c r="AO488" s="1"/>
  <c r="AO467"/>
  <c r="AQ454"/>
  <c r="AQ443"/>
  <c r="AQ437"/>
  <c r="AQ494" s="1"/>
  <c r="AQ435"/>
  <c r="AQ492" s="1"/>
  <c r="AQ433"/>
  <c r="AQ490" s="1"/>
  <c r="AQ431"/>
  <c r="AQ488" s="1"/>
  <c r="AQ467"/>
  <c r="AS454"/>
  <c r="AS443"/>
  <c r="AS437"/>
  <c r="AS494" s="1"/>
  <c r="AS435"/>
  <c r="AS492" s="1"/>
  <c r="AS433"/>
  <c r="AS490" s="1"/>
  <c r="AS431"/>
  <c r="AS488" s="1"/>
  <c r="AS467"/>
  <c r="AU454"/>
  <c r="AU443"/>
  <c r="AU437"/>
  <c r="AU494" s="1"/>
  <c r="AU435"/>
  <c r="AU492" s="1"/>
  <c r="AU433"/>
  <c r="AU490" s="1"/>
  <c r="AU431"/>
  <c r="AU488" s="1"/>
  <c r="AU467"/>
  <c r="AW454"/>
  <c r="AW443"/>
  <c r="AW437"/>
  <c r="AW494" s="1"/>
  <c r="AW435"/>
  <c r="AW492" s="1"/>
  <c r="AW433"/>
  <c r="AW490" s="1"/>
  <c r="AW431"/>
  <c r="AW488" s="1"/>
  <c r="AW467"/>
  <c r="AY454"/>
  <c r="AY443"/>
  <c r="AY437"/>
  <c r="AY494" s="1"/>
  <c r="AY435"/>
  <c r="AY492" s="1"/>
  <c r="AY433"/>
  <c r="AY490" s="1"/>
  <c r="AY431"/>
  <c r="AY488" s="1"/>
  <c r="AY467"/>
  <c r="BA454"/>
  <c r="BA443"/>
  <c r="BA437"/>
  <c r="BA494" s="1"/>
  <c r="BA435"/>
  <c r="BA492" s="1"/>
  <c r="BA433"/>
  <c r="BA490" s="1"/>
  <c r="BA431"/>
  <c r="BA488" s="1"/>
  <c r="BA467"/>
  <c r="BC454"/>
  <c r="BC443"/>
  <c r="BC437"/>
  <c r="BC494" s="1"/>
  <c r="BC435"/>
  <c r="BC492" s="1"/>
  <c r="BC433"/>
  <c r="BC490" s="1"/>
  <c r="BC431"/>
  <c r="BC488" s="1"/>
  <c r="BC467"/>
  <c r="BE454"/>
  <c r="BE443"/>
  <c r="BE437"/>
  <c r="BE494" s="1"/>
  <c r="BE435"/>
  <c r="BE492" s="1"/>
  <c r="BE433"/>
  <c r="BE490" s="1"/>
  <c r="BE431"/>
  <c r="BE488" s="1"/>
  <c r="BE467"/>
  <c r="BG454"/>
  <c r="BG443"/>
  <c r="BG437"/>
  <c r="BG494" s="1"/>
  <c r="BG435"/>
  <c r="BG492" s="1"/>
  <c r="BG433"/>
  <c r="BG490" s="1"/>
  <c r="BG431"/>
  <c r="BG488" s="1"/>
  <c r="BG467"/>
  <c r="BI454"/>
  <c r="BI443"/>
  <c r="BI437"/>
  <c r="BI494" s="1"/>
  <c r="BI435"/>
  <c r="BI492" s="1"/>
  <c r="BI433"/>
  <c r="BI490" s="1"/>
  <c r="BI431"/>
  <c r="BI488" s="1"/>
  <c r="BI467"/>
  <c r="E469"/>
  <c r="E472"/>
  <c r="F415"/>
  <c r="F420" s="1"/>
  <c r="E473"/>
  <c r="E421"/>
  <c r="F416"/>
  <c r="C474"/>
  <c r="D417"/>
  <c r="D422" s="1"/>
  <c r="Z492"/>
  <c r="AD492"/>
  <c r="AH492"/>
  <c r="C604"/>
  <c r="D603"/>
  <c r="D599"/>
  <c r="D598"/>
  <c r="AJ596"/>
  <c r="AH596"/>
  <c r="D594"/>
  <c r="C593"/>
  <c r="F591"/>
  <c r="D589"/>
  <c r="D588"/>
  <c r="BJ585"/>
  <c r="BH585"/>
  <c r="BF585"/>
  <c r="BD585"/>
  <c r="BB585"/>
  <c r="AZ585"/>
  <c r="AX585"/>
  <c r="AV585"/>
  <c r="AT585"/>
  <c r="AR585"/>
  <c r="AP585"/>
  <c r="AN585"/>
  <c r="AL585"/>
  <c r="AJ585"/>
  <c r="AH585"/>
  <c r="AF585"/>
  <c r="AD585"/>
  <c r="AB585"/>
  <c r="Z585"/>
  <c r="X585"/>
  <c r="V585"/>
  <c r="T585"/>
  <c r="R585"/>
  <c r="P585"/>
  <c r="N585"/>
  <c r="L585"/>
  <c r="J585"/>
  <c r="H585"/>
  <c r="D604"/>
  <c r="C599"/>
  <c r="AI596"/>
  <c r="D593"/>
  <c r="E591"/>
  <c r="C590"/>
  <c r="E589"/>
  <c r="C588"/>
  <c r="BG585"/>
  <c r="BC585"/>
  <c r="AY585"/>
  <c r="AU585"/>
  <c r="AQ585"/>
  <c r="AM585"/>
  <c r="AI585"/>
  <c r="AE585"/>
  <c r="AA585"/>
  <c r="W585"/>
  <c r="S585"/>
  <c r="O585"/>
  <c r="K585"/>
  <c r="C603"/>
  <c r="C598"/>
  <c r="C594"/>
  <c r="G591"/>
  <c r="C589"/>
  <c r="BI585"/>
  <c r="BE585"/>
  <c r="BA585"/>
  <c r="AW585"/>
  <c r="AS585"/>
  <c r="AO585"/>
  <c r="AK585"/>
  <c r="AG585"/>
  <c r="AC585"/>
  <c r="Y585"/>
  <c r="U585"/>
  <c r="Q585"/>
  <c r="M585"/>
  <c r="I585"/>
  <c r="D570"/>
  <c r="D551"/>
  <c r="D567"/>
  <c r="D583"/>
  <c r="F570"/>
  <c r="F576"/>
  <c r="F552"/>
  <c r="F609" s="1"/>
  <c r="F583"/>
  <c r="H570"/>
  <c r="H567"/>
  <c r="H583"/>
  <c r="J570"/>
  <c r="J576"/>
  <c r="J583"/>
  <c r="L570"/>
  <c r="L567"/>
  <c r="K561"/>
  <c r="L583"/>
  <c r="N570"/>
  <c r="N576"/>
  <c r="N583"/>
  <c r="P570"/>
  <c r="P567"/>
  <c r="O561"/>
  <c r="P583"/>
  <c r="R570"/>
  <c r="R576"/>
  <c r="R583"/>
  <c r="T570"/>
  <c r="T567"/>
  <c r="S561"/>
  <c r="T583"/>
  <c r="V570"/>
  <c r="V576"/>
  <c r="V583"/>
  <c r="X570"/>
  <c r="X559"/>
  <c r="X553"/>
  <c r="X610" s="1"/>
  <c r="X551"/>
  <c r="X549"/>
  <c r="X606" s="1"/>
  <c r="X547"/>
  <c r="X604" s="1"/>
  <c r="X567"/>
  <c r="X554"/>
  <c r="X611" s="1"/>
  <c r="X548"/>
  <c r="X605" s="1"/>
  <c r="X546"/>
  <c r="X583"/>
  <c r="Z570"/>
  <c r="Z559"/>
  <c r="Z553"/>
  <c r="Z610" s="1"/>
  <c r="Z551"/>
  <c r="Z549"/>
  <c r="Z606" s="1"/>
  <c r="Z547"/>
  <c r="Z604" s="1"/>
  <c r="Z576"/>
  <c r="Z552"/>
  <c r="Z609" s="1"/>
  <c r="Z583"/>
  <c r="AB570"/>
  <c r="AB559"/>
  <c r="AB553"/>
  <c r="AB610" s="1"/>
  <c r="AB551"/>
  <c r="AB549"/>
  <c r="AB606" s="1"/>
  <c r="AB547"/>
  <c r="AB604" s="1"/>
  <c r="AB567"/>
  <c r="AA561"/>
  <c r="AB554"/>
  <c r="AB611" s="1"/>
  <c r="AB548"/>
  <c r="AB605" s="1"/>
  <c r="AB546"/>
  <c r="AB583"/>
  <c r="AD570"/>
  <c r="AD559"/>
  <c r="AD553"/>
  <c r="AD610" s="1"/>
  <c r="AD551"/>
  <c r="AD549"/>
  <c r="AD606" s="1"/>
  <c r="AD547"/>
  <c r="AD604" s="1"/>
  <c r="AD576"/>
  <c r="AD552"/>
  <c r="AD609" s="1"/>
  <c r="AD583"/>
  <c r="AF570"/>
  <c r="AF559"/>
  <c r="AF553"/>
  <c r="AF610" s="1"/>
  <c r="AF551"/>
  <c r="AF549"/>
  <c r="AF606" s="1"/>
  <c r="AF547"/>
  <c r="AF604" s="1"/>
  <c r="AF567"/>
  <c r="AE561"/>
  <c r="AF554"/>
  <c r="AF611" s="1"/>
  <c r="AF548"/>
  <c r="AF605" s="1"/>
  <c r="AF546"/>
  <c r="AF583"/>
  <c r="AH570"/>
  <c r="AH559"/>
  <c r="AH553"/>
  <c r="AH610" s="1"/>
  <c r="AH551"/>
  <c r="AH549"/>
  <c r="AH606" s="1"/>
  <c r="AH547"/>
  <c r="AH604" s="1"/>
  <c r="AH576"/>
  <c r="AH552"/>
  <c r="AH609" s="1"/>
  <c r="AH583"/>
  <c r="AJ570"/>
  <c r="AJ559"/>
  <c r="AJ553"/>
  <c r="AJ610" s="1"/>
  <c r="AJ551"/>
  <c r="AJ549"/>
  <c r="AJ606" s="1"/>
  <c r="AJ547"/>
  <c r="AJ604" s="1"/>
  <c r="AJ567"/>
  <c r="AI561"/>
  <c r="AJ554"/>
  <c r="AJ611" s="1"/>
  <c r="AJ548"/>
  <c r="AJ605" s="1"/>
  <c r="AJ546"/>
  <c r="AJ583"/>
  <c r="AL570"/>
  <c r="AL559"/>
  <c r="AL553"/>
  <c r="AL610" s="1"/>
  <c r="AL551"/>
  <c r="AL608" s="1"/>
  <c r="AL549"/>
  <c r="AL606" s="1"/>
  <c r="AL547"/>
  <c r="AL604" s="1"/>
  <c r="AL576"/>
  <c r="AL552"/>
  <c r="AL609" s="1"/>
  <c r="AL583"/>
  <c r="AN570"/>
  <c r="AN559"/>
  <c r="AN553"/>
  <c r="AN610" s="1"/>
  <c r="AN551"/>
  <c r="AN608" s="1"/>
  <c r="AN549"/>
  <c r="AN606" s="1"/>
  <c r="AN547"/>
  <c r="AN604" s="1"/>
  <c r="AN567"/>
  <c r="AM561"/>
  <c r="AN554"/>
  <c r="AN611" s="1"/>
  <c r="AN548"/>
  <c r="AN605" s="1"/>
  <c r="AN546"/>
  <c r="AN603" s="1"/>
  <c r="AN583"/>
  <c r="AP570"/>
  <c r="AP559"/>
  <c r="AP553"/>
  <c r="AP610" s="1"/>
  <c r="AP551"/>
  <c r="AP608" s="1"/>
  <c r="AP549"/>
  <c r="AP606" s="1"/>
  <c r="AP547"/>
  <c r="AP604" s="1"/>
  <c r="AP576"/>
  <c r="AP552"/>
  <c r="AP609" s="1"/>
  <c r="AP583"/>
  <c r="AR570"/>
  <c r="AR559"/>
  <c r="AR553"/>
  <c r="AR610" s="1"/>
  <c r="AR551"/>
  <c r="AR608" s="1"/>
  <c r="AR549"/>
  <c r="AR606" s="1"/>
  <c r="AR547"/>
  <c r="AR604" s="1"/>
  <c r="AR576"/>
  <c r="AR567"/>
  <c r="AQ561"/>
  <c r="AR554"/>
  <c r="AR611" s="1"/>
  <c r="AR548"/>
  <c r="AR605" s="1"/>
  <c r="AR546"/>
  <c r="AR603" s="1"/>
  <c r="AR583"/>
  <c r="AT570"/>
  <c r="AT559"/>
  <c r="AT553"/>
  <c r="AT610" s="1"/>
  <c r="AT551"/>
  <c r="AT608" s="1"/>
  <c r="AT549"/>
  <c r="AT606" s="1"/>
  <c r="AT547"/>
  <c r="AT604" s="1"/>
  <c r="AT576"/>
  <c r="AT552"/>
  <c r="AT609" s="1"/>
  <c r="AT583"/>
  <c r="AV570"/>
  <c r="AV559"/>
  <c r="AV553"/>
  <c r="AV610" s="1"/>
  <c r="AV551"/>
  <c r="AV608" s="1"/>
  <c r="AV549"/>
  <c r="AV606" s="1"/>
  <c r="AV547"/>
  <c r="AV604" s="1"/>
  <c r="AV576"/>
  <c r="AV567"/>
  <c r="AU561"/>
  <c r="AV554"/>
  <c r="AV611" s="1"/>
  <c r="AV548"/>
  <c r="AV605" s="1"/>
  <c r="AV546"/>
  <c r="AV603" s="1"/>
  <c r="AV583"/>
  <c r="AX570"/>
  <c r="AX559"/>
  <c r="AX553"/>
  <c r="AX610" s="1"/>
  <c r="AX551"/>
  <c r="AX608" s="1"/>
  <c r="AX549"/>
  <c r="AX606" s="1"/>
  <c r="AX547"/>
  <c r="AX604" s="1"/>
  <c r="AX576"/>
  <c r="AX552"/>
  <c r="AX609" s="1"/>
  <c r="AX583"/>
  <c r="AZ570"/>
  <c r="AZ559"/>
  <c r="AZ553"/>
  <c r="AZ610" s="1"/>
  <c r="AZ551"/>
  <c r="AZ608" s="1"/>
  <c r="AZ549"/>
  <c r="AZ606" s="1"/>
  <c r="AZ547"/>
  <c r="AZ604" s="1"/>
  <c r="AZ576"/>
  <c r="AZ567"/>
  <c r="AY561"/>
  <c r="AZ554"/>
  <c r="AZ611" s="1"/>
  <c r="AZ548"/>
  <c r="AZ605" s="1"/>
  <c r="AZ546"/>
  <c r="AZ603" s="1"/>
  <c r="AZ583"/>
  <c r="BB570"/>
  <c r="BB559"/>
  <c r="BB553"/>
  <c r="BB610" s="1"/>
  <c r="BB551"/>
  <c r="BB608" s="1"/>
  <c r="BB549"/>
  <c r="BB606" s="1"/>
  <c r="BB547"/>
  <c r="BB604" s="1"/>
  <c r="BB576"/>
  <c r="BB552"/>
  <c r="BB609" s="1"/>
  <c r="BB583"/>
  <c r="BD570"/>
  <c r="BD559"/>
  <c r="BD553"/>
  <c r="BD610" s="1"/>
  <c r="BD551"/>
  <c r="BD608" s="1"/>
  <c r="BD549"/>
  <c r="BD606" s="1"/>
  <c r="BD547"/>
  <c r="BD604" s="1"/>
  <c r="BD576"/>
  <c r="BD567"/>
  <c r="BC561"/>
  <c r="BD554"/>
  <c r="BD611" s="1"/>
  <c r="BD548"/>
  <c r="BD605" s="1"/>
  <c r="BD546"/>
  <c r="BD603" s="1"/>
  <c r="BD583"/>
  <c r="BF570"/>
  <c r="BF559"/>
  <c r="BF553"/>
  <c r="BF610" s="1"/>
  <c r="BF551"/>
  <c r="BF608" s="1"/>
  <c r="BF549"/>
  <c r="BF606" s="1"/>
  <c r="BF547"/>
  <c r="BF604" s="1"/>
  <c r="BF576"/>
  <c r="BF552"/>
  <c r="BF609" s="1"/>
  <c r="BF583"/>
  <c r="BH570"/>
  <c r="BH559"/>
  <c r="BH553"/>
  <c r="BH610" s="1"/>
  <c r="BH551"/>
  <c r="BH608" s="1"/>
  <c r="BH549"/>
  <c r="BH606" s="1"/>
  <c r="BH547"/>
  <c r="BH604" s="1"/>
  <c r="BH576"/>
  <c r="BH567"/>
  <c r="BG561"/>
  <c r="BH554"/>
  <c r="BH611" s="1"/>
  <c r="BH548"/>
  <c r="BH605" s="1"/>
  <c r="BH546"/>
  <c r="BH603" s="1"/>
  <c r="BH583"/>
  <c r="BJ570"/>
  <c r="BJ561"/>
  <c r="BJ559"/>
  <c r="BJ553"/>
  <c r="BJ610" s="1"/>
  <c r="BJ551"/>
  <c r="BJ608" s="1"/>
  <c r="BJ549"/>
  <c r="BJ606" s="1"/>
  <c r="BJ547"/>
  <c r="BJ604" s="1"/>
  <c r="BJ576"/>
  <c r="BJ552"/>
  <c r="BJ609" s="1"/>
  <c r="BJ583"/>
  <c r="C579"/>
  <c r="G579"/>
  <c r="K579"/>
  <c r="O579"/>
  <c r="S579"/>
  <c r="W579"/>
  <c r="AA579"/>
  <c r="AE579"/>
  <c r="AI579"/>
  <c r="AM579"/>
  <c r="AQ579"/>
  <c r="AU579"/>
  <c r="AY579"/>
  <c r="BC579"/>
  <c r="BG579"/>
  <c r="E581"/>
  <c r="I581"/>
  <c r="M581"/>
  <c r="Q581"/>
  <c r="U581"/>
  <c r="Y581"/>
  <c r="AC581"/>
  <c r="AG581"/>
  <c r="AK581"/>
  <c r="AO581"/>
  <c r="AS581"/>
  <c r="AW581"/>
  <c r="BA581"/>
  <c r="BE581"/>
  <c r="BI581"/>
  <c r="C583"/>
  <c r="F588"/>
  <c r="G531"/>
  <c r="D590"/>
  <c r="E533"/>
  <c r="C601"/>
  <c r="Y608"/>
  <c r="AG608"/>
  <c r="D74"/>
  <c r="E75"/>
  <c r="E132" s="1"/>
  <c r="G75"/>
  <c r="Z82"/>
  <c r="AB82"/>
  <c r="AD82"/>
  <c r="AF82"/>
  <c r="AH82"/>
  <c r="AJ82"/>
  <c r="AL82"/>
  <c r="AL139" s="1"/>
  <c r="AN82"/>
  <c r="AN139" s="1"/>
  <c r="AP82"/>
  <c r="AP139" s="1"/>
  <c r="AR82"/>
  <c r="AR139" s="1"/>
  <c r="AT82"/>
  <c r="AT139" s="1"/>
  <c r="AV82"/>
  <c r="AV139" s="1"/>
  <c r="AX82"/>
  <c r="AX139" s="1"/>
  <c r="AZ82"/>
  <c r="AZ139" s="1"/>
  <c r="BB82"/>
  <c r="BB139" s="1"/>
  <c r="BD82"/>
  <c r="BD139" s="1"/>
  <c r="BF82"/>
  <c r="BF139" s="1"/>
  <c r="BH82"/>
  <c r="BH139" s="1"/>
  <c r="BJ82"/>
  <c r="BJ139" s="1"/>
  <c r="Y83"/>
  <c r="Y140" s="1"/>
  <c r="AA83"/>
  <c r="AA140" s="1"/>
  <c r="AC83"/>
  <c r="AC140" s="1"/>
  <c r="AE83"/>
  <c r="AE140" s="1"/>
  <c r="AG83"/>
  <c r="AG140" s="1"/>
  <c r="AI83"/>
  <c r="AI140" s="1"/>
  <c r="AK83"/>
  <c r="AK140" s="1"/>
  <c r="AM83"/>
  <c r="AM140" s="1"/>
  <c r="AO83"/>
  <c r="AO140" s="1"/>
  <c r="AQ83"/>
  <c r="AQ140" s="1"/>
  <c r="AS83"/>
  <c r="AS140" s="1"/>
  <c r="AU83"/>
  <c r="AU140" s="1"/>
  <c r="AW83"/>
  <c r="AW140" s="1"/>
  <c r="AY83"/>
  <c r="AY140" s="1"/>
  <c r="BA83"/>
  <c r="BA140" s="1"/>
  <c r="BC83"/>
  <c r="BC140" s="1"/>
  <c r="BE83"/>
  <c r="BE140" s="1"/>
  <c r="BG83"/>
  <c r="BG140" s="1"/>
  <c r="BI83"/>
  <c r="BI140" s="1"/>
  <c r="Z84"/>
  <c r="Z141" s="1"/>
  <c r="AB84"/>
  <c r="AB141" s="1"/>
  <c r="AD84"/>
  <c r="AD141" s="1"/>
  <c r="AF84"/>
  <c r="AF141" s="1"/>
  <c r="AH84"/>
  <c r="AH141" s="1"/>
  <c r="AJ84"/>
  <c r="AJ141" s="1"/>
  <c r="AL84"/>
  <c r="AL141" s="1"/>
  <c r="AN84"/>
  <c r="AN141" s="1"/>
  <c r="AP84"/>
  <c r="AP141" s="1"/>
  <c r="AR84"/>
  <c r="AR141" s="1"/>
  <c r="AT84"/>
  <c r="AT141" s="1"/>
  <c r="AV84"/>
  <c r="AV141" s="1"/>
  <c r="AX84"/>
  <c r="AX141" s="1"/>
  <c r="AZ84"/>
  <c r="AZ141" s="1"/>
  <c r="BB84"/>
  <c r="BB141" s="1"/>
  <c r="BD84"/>
  <c r="BD141" s="1"/>
  <c r="BF84"/>
  <c r="BF141" s="1"/>
  <c r="BH84"/>
  <c r="BH141" s="1"/>
  <c r="BJ84"/>
  <c r="BJ141" s="1"/>
  <c r="C85"/>
  <c r="Y85"/>
  <c r="Y142" s="1"/>
  <c r="AA85"/>
  <c r="AA142" s="1"/>
  <c r="AC85"/>
  <c r="AC142" s="1"/>
  <c r="AE85"/>
  <c r="AE142" s="1"/>
  <c r="AG85"/>
  <c r="AG142" s="1"/>
  <c r="AI85"/>
  <c r="AI142" s="1"/>
  <c r="AK85"/>
  <c r="AK142" s="1"/>
  <c r="AM85"/>
  <c r="AM142" s="1"/>
  <c r="AO85"/>
  <c r="AO142" s="1"/>
  <c r="AQ85"/>
  <c r="AQ142" s="1"/>
  <c r="AS85"/>
  <c r="AS142" s="1"/>
  <c r="AU85"/>
  <c r="AU142" s="1"/>
  <c r="AW85"/>
  <c r="AW142" s="1"/>
  <c r="AY85"/>
  <c r="AY142" s="1"/>
  <c r="BA85"/>
  <c r="BA142" s="1"/>
  <c r="BC85"/>
  <c r="BC142" s="1"/>
  <c r="BE85"/>
  <c r="BE142" s="1"/>
  <c r="BG85"/>
  <c r="BG142" s="1"/>
  <c r="BI85"/>
  <c r="BI142" s="1"/>
  <c r="C87"/>
  <c r="Y87"/>
  <c r="AA87"/>
  <c r="AC87"/>
  <c r="AE87"/>
  <c r="AG87"/>
  <c r="AI87"/>
  <c r="AK87"/>
  <c r="AK144" s="1"/>
  <c r="AM87"/>
  <c r="AM144" s="1"/>
  <c r="AO87"/>
  <c r="AO144" s="1"/>
  <c r="AQ87"/>
  <c r="AQ144" s="1"/>
  <c r="AS87"/>
  <c r="AS144" s="1"/>
  <c r="AU87"/>
  <c r="AU144" s="1"/>
  <c r="AW87"/>
  <c r="AW144" s="1"/>
  <c r="AY87"/>
  <c r="AY144" s="1"/>
  <c r="BA87"/>
  <c r="BA144" s="1"/>
  <c r="BC87"/>
  <c r="BC144" s="1"/>
  <c r="BE87"/>
  <c r="BE144" s="1"/>
  <c r="BG87"/>
  <c r="BG144" s="1"/>
  <c r="BI87"/>
  <c r="BI144" s="1"/>
  <c r="D88"/>
  <c r="D145" s="1"/>
  <c r="F88"/>
  <c r="F145" s="1"/>
  <c r="Z88"/>
  <c r="Z145" s="1"/>
  <c r="AB88"/>
  <c r="AB145" s="1"/>
  <c r="AD88"/>
  <c r="AD145" s="1"/>
  <c r="AF88"/>
  <c r="AF145" s="1"/>
  <c r="AH88"/>
  <c r="AH145" s="1"/>
  <c r="AJ88"/>
  <c r="AJ145" s="1"/>
  <c r="AL88"/>
  <c r="AL145" s="1"/>
  <c r="AN88"/>
  <c r="AN145" s="1"/>
  <c r="AP88"/>
  <c r="AP145" s="1"/>
  <c r="AR88"/>
  <c r="AR145" s="1"/>
  <c r="AT88"/>
  <c r="AT145" s="1"/>
  <c r="AV88"/>
  <c r="AV145" s="1"/>
  <c r="AX88"/>
  <c r="AX145" s="1"/>
  <c r="AZ88"/>
  <c r="AZ145" s="1"/>
  <c r="BB88"/>
  <c r="BB145" s="1"/>
  <c r="BD88"/>
  <c r="BD145" s="1"/>
  <c r="BF88"/>
  <c r="BF145" s="1"/>
  <c r="BH88"/>
  <c r="BH145" s="1"/>
  <c r="BJ88"/>
  <c r="BJ145" s="1"/>
  <c r="Y89"/>
  <c r="Y146" s="1"/>
  <c r="AA89"/>
  <c r="AA146" s="1"/>
  <c r="AC89"/>
  <c r="AC146" s="1"/>
  <c r="AE89"/>
  <c r="AE146" s="1"/>
  <c r="AG89"/>
  <c r="AG146" s="1"/>
  <c r="AI89"/>
  <c r="AI146" s="1"/>
  <c r="AK89"/>
  <c r="AK146" s="1"/>
  <c r="AM89"/>
  <c r="AM146" s="1"/>
  <c r="AO89"/>
  <c r="AO146" s="1"/>
  <c r="AQ89"/>
  <c r="AQ146" s="1"/>
  <c r="AS89"/>
  <c r="AS146" s="1"/>
  <c r="AU89"/>
  <c r="AU146" s="1"/>
  <c r="AW89"/>
  <c r="AW146" s="1"/>
  <c r="AY89"/>
  <c r="AY146" s="1"/>
  <c r="BA89"/>
  <c r="BA146" s="1"/>
  <c r="BC89"/>
  <c r="BC146" s="1"/>
  <c r="BE89"/>
  <c r="BE146" s="1"/>
  <c r="BG89"/>
  <c r="BG146" s="1"/>
  <c r="BI89"/>
  <c r="BI146" s="1"/>
  <c r="F90"/>
  <c r="F147" s="1"/>
  <c r="Z90"/>
  <c r="Z147" s="1"/>
  <c r="AB90"/>
  <c r="AB147" s="1"/>
  <c r="AD90"/>
  <c r="AD147" s="1"/>
  <c r="AF90"/>
  <c r="AF147" s="1"/>
  <c r="AH90"/>
  <c r="AH147" s="1"/>
  <c r="AJ90"/>
  <c r="AJ147" s="1"/>
  <c r="AL90"/>
  <c r="AL147" s="1"/>
  <c r="AN90"/>
  <c r="AN147" s="1"/>
  <c r="AP90"/>
  <c r="AP147" s="1"/>
  <c r="AR90"/>
  <c r="AR147" s="1"/>
  <c r="AT90"/>
  <c r="AT147" s="1"/>
  <c r="AV90"/>
  <c r="AV147" s="1"/>
  <c r="AX90"/>
  <c r="AX147" s="1"/>
  <c r="AZ90"/>
  <c r="AZ147" s="1"/>
  <c r="BB90"/>
  <c r="BB147" s="1"/>
  <c r="BD90"/>
  <c r="BD147" s="1"/>
  <c r="BF90"/>
  <c r="BF147" s="1"/>
  <c r="BH90"/>
  <c r="BH147" s="1"/>
  <c r="BJ90"/>
  <c r="BJ147" s="1"/>
  <c r="Y95"/>
  <c r="AA95"/>
  <c r="AC95"/>
  <c r="AE95"/>
  <c r="AG95"/>
  <c r="AI95"/>
  <c r="AK95"/>
  <c r="AM95"/>
  <c r="AO95"/>
  <c r="AQ95"/>
  <c r="AS95"/>
  <c r="AU95"/>
  <c r="AW95"/>
  <c r="AY95"/>
  <c r="BA95"/>
  <c r="BC95"/>
  <c r="BE95"/>
  <c r="BG95"/>
  <c r="BI95"/>
  <c r="I97"/>
  <c r="K97"/>
  <c r="M97"/>
  <c r="O97"/>
  <c r="Q97"/>
  <c r="S97"/>
  <c r="U97"/>
  <c r="W97"/>
  <c r="Y97"/>
  <c r="AA97"/>
  <c r="AC97"/>
  <c r="AE97"/>
  <c r="AG97"/>
  <c r="AI97"/>
  <c r="AK97"/>
  <c r="AM97"/>
  <c r="AO97"/>
  <c r="AQ97"/>
  <c r="AS97"/>
  <c r="AU97"/>
  <c r="AW97"/>
  <c r="AY97"/>
  <c r="BA97"/>
  <c r="BC97"/>
  <c r="BE97"/>
  <c r="BG97"/>
  <c r="BI97"/>
  <c r="D103"/>
  <c r="F103"/>
  <c r="H103"/>
  <c r="J103"/>
  <c r="L103"/>
  <c r="N103"/>
  <c r="P103"/>
  <c r="R103"/>
  <c r="T103"/>
  <c r="V103"/>
  <c r="X103"/>
  <c r="Z103"/>
  <c r="AB103"/>
  <c r="AD103"/>
  <c r="AF103"/>
  <c r="AH103"/>
  <c r="AJ103"/>
  <c r="AL103"/>
  <c r="AN103"/>
  <c r="AP103"/>
  <c r="AR103"/>
  <c r="AT103"/>
  <c r="AV103"/>
  <c r="AX103"/>
  <c r="AZ103"/>
  <c r="BB103"/>
  <c r="BD103"/>
  <c r="BF103"/>
  <c r="BH103"/>
  <c r="BJ103"/>
  <c r="C106"/>
  <c r="E106"/>
  <c r="G106"/>
  <c r="I106"/>
  <c r="K106"/>
  <c r="M106"/>
  <c r="O106"/>
  <c r="Q106"/>
  <c r="S106"/>
  <c r="U106"/>
  <c r="W106"/>
  <c r="Y106"/>
  <c r="AA106"/>
  <c r="AC106"/>
  <c r="AE106"/>
  <c r="AG106"/>
  <c r="AI106"/>
  <c r="AK106"/>
  <c r="AM106"/>
  <c r="AO106"/>
  <c r="AQ106"/>
  <c r="AS106"/>
  <c r="AU106"/>
  <c r="AW106"/>
  <c r="AY106"/>
  <c r="BA106"/>
  <c r="BC106"/>
  <c r="BE106"/>
  <c r="BG106"/>
  <c r="BI106"/>
  <c r="D112"/>
  <c r="F112"/>
  <c r="H112"/>
  <c r="J112"/>
  <c r="L112"/>
  <c r="N112"/>
  <c r="P112"/>
  <c r="R112"/>
  <c r="T112"/>
  <c r="V112"/>
  <c r="X112"/>
  <c r="Z112"/>
  <c r="AB112"/>
  <c r="AD112"/>
  <c r="AF112"/>
  <c r="AH112"/>
  <c r="AJ112"/>
  <c r="AL112"/>
  <c r="AN112"/>
  <c r="AP112"/>
  <c r="AR112"/>
  <c r="AT112"/>
  <c r="AV112"/>
  <c r="AX112"/>
  <c r="AZ112"/>
  <c r="BB112"/>
  <c r="BD112"/>
  <c r="BF112"/>
  <c r="BH112"/>
  <c r="BJ112"/>
  <c r="C121"/>
  <c r="I121"/>
  <c r="K121"/>
  <c r="M121"/>
  <c r="O121"/>
  <c r="Q121"/>
  <c r="S121"/>
  <c r="U121"/>
  <c r="W121"/>
  <c r="Y121"/>
  <c r="AA121"/>
  <c r="AC121"/>
  <c r="AE121"/>
  <c r="AG121"/>
  <c r="AI121"/>
  <c r="AK121"/>
  <c r="AM121"/>
  <c r="AO121"/>
  <c r="AQ121"/>
  <c r="AS121"/>
  <c r="AU121"/>
  <c r="AW121"/>
  <c r="AY121"/>
  <c r="BA121"/>
  <c r="BC121"/>
  <c r="BE121"/>
  <c r="BG121"/>
  <c r="BI121"/>
  <c r="C124"/>
  <c r="C125"/>
  <c r="E125"/>
  <c r="C126"/>
  <c r="C127"/>
  <c r="E127"/>
  <c r="G127"/>
  <c r="D129"/>
  <c r="C130"/>
  <c r="E130"/>
  <c r="C132"/>
  <c r="AI132"/>
  <c r="C133"/>
  <c r="E133"/>
  <c r="G133"/>
  <c r="I133"/>
  <c r="K133"/>
  <c r="M133"/>
  <c r="O133"/>
  <c r="Q133"/>
  <c r="S133"/>
  <c r="U133"/>
  <c r="W133"/>
  <c r="Y133"/>
  <c r="AA133"/>
  <c r="AC133"/>
  <c r="AE133"/>
  <c r="AG133"/>
  <c r="AI133"/>
  <c r="C134"/>
  <c r="C135"/>
  <c r="C139"/>
  <c r="D140"/>
  <c r="C222"/>
  <c r="E222"/>
  <c r="G222"/>
  <c r="I222"/>
  <c r="K222"/>
  <c r="M222"/>
  <c r="O222"/>
  <c r="Q222"/>
  <c r="S222"/>
  <c r="U222"/>
  <c r="W222"/>
  <c r="Y222"/>
  <c r="AA222"/>
  <c r="AC222"/>
  <c r="AE222"/>
  <c r="AG222"/>
  <c r="AI222"/>
  <c r="AK222"/>
  <c r="AM222"/>
  <c r="AO222"/>
  <c r="AQ222"/>
  <c r="AS222"/>
  <c r="AU222"/>
  <c r="AW222"/>
  <c r="AY222"/>
  <c r="BA222"/>
  <c r="BC222"/>
  <c r="BE222"/>
  <c r="BG222"/>
  <c r="BI222"/>
  <c r="E234"/>
  <c r="G234"/>
  <c r="I234"/>
  <c r="K234"/>
  <c r="M234"/>
  <c r="O234"/>
  <c r="Q234"/>
  <c r="S234"/>
  <c r="U234"/>
  <c r="W234"/>
  <c r="Y234"/>
  <c r="AA234"/>
  <c r="AC234"/>
  <c r="AE234"/>
  <c r="AG234"/>
  <c r="AI234"/>
  <c r="AK234"/>
  <c r="AM234"/>
  <c r="AO234"/>
  <c r="AQ234"/>
  <c r="AS234"/>
  <c r="AU234"/>
  <c r="AW234"/>
  <c r="AY234"/>
  <c r="BA234"/>
  <c r="BC234"/>
  <c r="BE234"/>
  <c r="BG234"/>
  <c r="BI234"/>
  <c r="E236"/>
  <c r="G236"/>
  <c r="I236"/>
  <c r="K236"/>
  <c r="M236"/>
  <c r="O236"/>
  <c r="Q236"/>
  <c r="S236"/>
  <c r="U236"/>
  <c r="W236"/>
  <c r="Y236"/>
  <c r="AA236"/>
  <c r="AC236"/>
  <c r="AE236"/>
  <c r="AG236"/>
  <c r="AI236"/>
  <c r="AK236"/>
  <c r="AM236"/>
  <c r="AO236"/>
  <c r="AQ236"/>
  <c r="AS236"/>
  <c r="AU236"/>
  <c r="AW236"/>
  <c r="AY236"/>
  <c r="BA236"/>
  <c r="BC236"/>
  <c r="BE236"/>
  <c r="BG236"/>
  <c r="BI236"/>
  <c r="E188"/>
  <c r="C190"/>
  <c r="D191"/>
  <c r="D248" s="1"/>
  <c r="F191"/>
  <c r="F248" s="1"/>
  <c r="W198"/>
  <c r="Y198"/>
  <c r="AA198"/>
  <c r="AC198"/>
  <c r="AE198"/>
  <c r="AG198"/>
  <c r="AI198"/>
  <c r="AK198"/>
  <c r="AK255" s="1"/>
  <c r="AM198"/>
  <c r="AM255" s="1"/>
  <c r="AO198"/>
  <c r="AO255" s="1"/>
  <c r="AQ198"/>
  <c r="AQ255" s="1"/>
  <c r="AS198"/>
  <c r="AS255" s="1"/>
  <c r="AU198"/>
  <c r="AU255" s="1"/>
  <c r="AW198"/>
  <c r="AW255" s="1"/>
  <c r="AY198"/>
  <c r="AY255" s="1"/>
  <c r="BA198"/>
  <c r="BA255" s="1"/>
  <c r="BC198"/>
  <c r="BC255" s="1"/>
  <c r="BE198"/>
  <c r="BE255" s="1"/>
  <c r="BG198"/>
  <c r="BG255" s="1"/>
  <c r="BI198"/>
  <c r="BI255" s="1"/>
  <c r="X199"/>
  <c r="X256" s="1"/>
  <c r="Z199"/>
  <c r="Z256" s="1"/>
  <c r="AB199"/>
  <c r="AB256" s="1"/>
  <c r="AD199"/>
  <c r="AD256" s="1"/>
  <c r="AF199"/>
  <c r="AF256" s="1"/>
  <c r="AH199"/>
  <c r="AH256" s="1"/>
  <c r="AJ199"/>
  <c r="AJ256" s="1"/>
  <c r="AL199"/>
  <c r="AL256" s="1"/>
  <c r="AN199"/>
  <c r="AN256" s="1"/>
  <c r="AP199"/>
  <c r="AP256" s="1"/>
  <c r="AR199"/>
  <c r="AR256" s="1"/>
  <c r="AT199"/>
  <c r="AT256" s="1"/>
  <c r="AV199"/>
  <c r="AV256" s="1"/>
  <c r="AX199"/>
  <c r="AX256" s="1"/>
  <c r="AZ199"/>
  <c r="AZ256" s="1"/>
  <c r="BB199"/>
  <c r="BB256" s="1"/>
  <c r="BD199"/>
  <c r="BD256" s="1"/>
  <c r="BF199"/>
  <c r="BF256" s="1"/>
  <c r="BH199"/>
  <c r="BH256" s="1"/>
  <c r="BJ199"/>
  <c r="BJ256" s="1"/>
  <c r="W200"/>
  <c r="W257" s="1"/>
  <c r="Y200"/>
  <c r="Y257" s="1"/>
  <c r="AA200"/>
  <c r="AA257" s="1"/>
  <c r="AC200"/>
  <c r="AC257" s="1"/>
  <c r="AE200"/>
  <c r="AE257" s="1"/>
  <c r="AG200"/>
  <c r="AG257" s="1"/>
  <c r="AI200"/>
  <c r="AI257" s="1"/>
  <c r="AK200"/>
  <c r="AK257" s="1"/>
  <c r="AM200"/>
  <c r="AM257" s="1"/>
  <c r="AO200"/>
  <c r="AO257" s="1"/>
  <c r="AQ200"/>
  <c r="AQ257" s="1"/>
  <c r="AS200"/>
  <c r="AS257" s="1"/>
  <c r="AU200"/>
  <c r="AU257" s="1"/>
  <c r="AW200"/>
  <c r="AW257" s="1"/>
  <c r="AY200"/>
  <c r="AY257" s="1"/>
  <c r="BA200"/>
  <c r="BA257" s="1"/>
  <c r="BC200"/>
  <c r="BC257" s="1"/>
  <c r="BE200"/>
  <c r="BE257" s="1"/>
  <c r="BG200"/>
  <c r="BG257" s="1"/>
  <c r="BI200"/>
  <c r="BI257" s="1"/>
  <c r="X201"/>
  <c r="X258" s="1"/>
  <c r="Z201"/>
  <c r="Z258" s="1"/>
  <c r="AB201"/>
  <c r="AB258" s="1"/>
  <c r="AD201"/>
  <c r="AD258" s="1"/>
  <c r="AF201"/>
  <c r="AF258" s="1"/>
  <c r="AH201"/>
  <c r="AH258" s="1"/>
  <c r="AJ201"/>
  <c r="AJ258" s="1"/>
  <c r="AL201"/>
  <c r="AL258" s="1"/>
  <c r="AN201"/>
  <c r="AN258" s="1"/>
  <c r="AP201"/>
  <c r="AP258" s="1"/>
  <c r="AR201"/>
  <c r="AR258" s="1"/>
  <c r="AT201"/>
  <c r="AT258" s="1"/>
  <c r="AV201"/>
  <c r="AV258" s="1"/>
  <c r="AX201"/>
  <c r="AX258" s="1"/>
  <c r="AZ201"/>
  <c r="AZ258" s="1"/>
  <c r="BB201"/>
  <c r="BB258" s="1"/>
  <c r="BD201"/>
  <c r="BD258" s="1"/>
  <c r="BF201"/>
  <c r="BF258" s="1"/>
  <c r="BH201"/>
  <c r="BH258" s="1"/>
  <c r="BJ201"/>
  <c r="BJ258" s="1"/>
  <c r="D203"/>
  <c r="X203"/>
  <c r="Z203"/>
  <c r="AB203"/>
  <c r="AD203"/>
  <c r="AF203"/>
  <c r="AH203"/>
  <c r="AJ203"/>
  <c r="AL203"/>
  <c r="AL260" s="1"/>
  <c r="AN203"/>
  <c r="AN260" s="1"/>
  <c r="AP203"/>
  <c r="AP260" s="1"/>
  <c r="AR203"/>
  <c r="AR260" s="1"/>
  <c r="AT203"/>
  <c r="AT260" s="1"/>
  <c r="AV203"/>
  <c r="AV260" s="1"/>
  <c r="AX203"/>
  <c r="AX260" s="1"/>
  <c r="AZ203"/>
  <c r="AZ260" s="1"/>
  <c r="BB203"/>
  <c r="BB260" s="1"/>
  <c r="BD203"/>
  <c r="BD260" s="1"/>
  <c r="BF203"/>
  <c r="BF260" s="1"/>
  <c r="BH203"/>
  <c r="BH260" s="1"/>
  <c r="BJ203"/>
  <c r="BJ260" s="1"/>
  <c r="C204"/>
  <c r="E204"/>
  <c r="E261" s="1"/>
  <c r="W204"/>
  <c r="W261" s="1"/>
  <c r="Y204"/>
  <c r="Y261" s="1"/>
  <c r="AA204"/>
  <c r="AA261" s="1"/>
  <c r="AC204"/>
  <c r="AC261" s="1"/>
  <c r="AE204"/>
  <c r="AE261" s="1"/>
  <c r="AG204"/>
  <c r="AG261" s="1"/>
  <c r="AI204"/>
  <c r="AI261" s="1"/>
  <c r="AK204"/>
  <c r="AK261" s="1"/>
  <c r="AM204"/>
  <c r="AM261" s="1"/>
  <c r="AO204"/>
  <c r="AO261" s="1"/>
  <c r="AQ204"/>
  <c r="AQ261" s="1"/>
  <c r="AS204"/>
  <c r="AS261" s="1"/>
  <c r="AU204"/>
  <c r="AU261" s="1"/>
  <c r="AW204"/>
  <c r="AW261" s="1"/>
  <c r="AY204"/>
  <c r="AY261" s="1"/>
  <c r="BA204"/>
  <c r="BA261" s="1"/>
  <c r="BC204"/>
  <c r="BC261" s="1"/>
  <c r="BE204"/>
  <c r="BE261" s="1"/>
  <c r="BG204"/>
  <c r="BG261" s="1"/>
  <c r="BI204"/>
  <c r="BI261" s="1"/>
  <c r="X205"/>
  <c r="X262" s="1"/>
  <c r="Z205"/>
  <c r="Z262" s="1"/>
  <c r="AB205"/>
  <c r="AB262" s="1"/>
  <c r="AD205"/>
  <c r="AD262" s="1"/>
  <c r="AF205"/>
  <c r="AF262" s="1"/>
  <c r="AH205"/>
  <c r="AH262" s="1"/>
  <c r="AJ205"/>
  <c r="AJ262" s="1"/>
  <c r="AL205"/>
  <c r="AL262" s="1"/>
  <c r="AN205"/>
  <c r="AN262" s="1"/>
  <c r="AP205"/>
  <c r="AP262" s="1"/>
  <c r="AR205"/>
  <c r="AR262" s="1"/>
  <c r="AT205"/>
  <c r="AT262" s="1"/>
  <c r="AV205"/>
  <c r="AV262" s="1"/>
  <c r="AX205"/>
  <c r="AX262" s="1"/>
  <c r="AZ205"/>
  <c r="AZ262" s="1"/>
  <c r="BB205"/>
  <c r="BB262" s="1"/>
  <c r="BD205"/>
  <c r="BD262" s="1"/>
  <c r="BF205"/>
  <c r="BF262" s="1"/>
  <c r="BH205"/>
  <c r="BH262" s="1"/>
  <c r="BJ205"/>
  <c r="BJ262" s="1"/>
  <c r="W206"/>
  <c r="W263" s="1"/>
  <c r="Y206"/>
  <c r="Y263" s="1"/>
  <c r="AA206"/>
  <c r="AA263" s="1"/>
  <c r="AC206"/>
  <c r="AC263" s="1"/>
  <c r="AE206"/>
  <c r="AE263" s="1"/>
  <c r="AG206"/>
  <c r="AG263" s="1"/>
  <c r="AI206"/>
  <c r="AI263" s="1"/>
  <c r="AK206"/>
  <c r="AK263" s="1"/>
  <c r="AM206"/>
  <c r="AM263" s="1"/>
  <c r="AO206"/>
  <c r="AO263" s="1"/>
  <c r="AQ206"/>
  <c r="AQ263" s="1"/>
  <c r="AS206"/>
  <c r="AS263" s="1"/>
  <c r="AU206"/>
  <c r="AU263" s="1"/>
  <c r="AW206"/>
  <c r="AW263" s="1"/>
  <c r="AY206"/>
  <c r="AY263" s="1"/>
  <c r="BA206"/>
  <c r="BA263" s="1"/>
  <c r="BC206"/>
  <c r="BC263" s="1"/>
  <c r="BE206"/>
  <c r="BE263" s="1"/>
  <c r="BG206"/>
  <c r="BG263" s="1"/>
  <c r="BI206"/>
  <c r="BI263" s="1"/>
  <c r="X211"/>
  <c r="AB211"/>
  <c r="AF211"/>
  <c r="AJ211"/>
  <c r="AN211"/>
  <c r="AR211"/>
  <c r="AV211"/>
  <c r="AZ211"/>
  <c r="BD211"/>
  <c r="BH211"/>
  <c r="BJ211"/>
  <c r="H213"/>
  <c r="J213"/>
  <c r="L213"/>
  <c r="N213"/>
  <c r="P213"/>
  <c r="R213"/>
  <c r="T213"/>
  <c r="X213"/>
  <c r="Z213"/>
  <c r="AB213"/>
  <c r="AD213"/>
  <c r="AF213"/>
  <c r="AH213"/>
  <c r="AJ213"/>
  <c r="AL213"/>
  <c r="AN213"/>
  <c r="AP213"/>
  <c r="AR213"/>
  <c r="AT213"/>
  <c r="AV213"/>
  <c r="AX213"/>
  <c r="AZ213"/>
  <c r="BB213"/>
  <c r="BD213"/>
  <c r="BF213"/>
  <c r="BH213"/>
  <c r="C219"/>
  <c r="G219"/>
  <c r="K219"/>
  <c r="O219"/>
  <c r="S219"/>
  <c r="W219"/>
  <c r="AA219"/>
  <c r="AE219"/>
  <c r="AI219"/>
  <c r="AM219"/>
  <c r="AQ219"/>
  <c r="AU219"/>
  <c r="AY219"/>
  <c r="BC219"/>
  <c r="BG219"/>
  <c r="E228"/>
  <c r="I228"/>
  <c r="M228"/>
  <c r="Q228"/>
  <c r="U228"/>
  <c r="Y228"/>
  <c r="AC228"/>
  <c r="AG228"/>
  <c r="AK228"/>
  <c r="AO228"/>
  <c r="AS228"/>
  <c r="AW228"/>
  <c r="BA228"/>
  <c r="BE228"/>
  <c r="BI228"/>
  <c r="F231"/>
  <c r="J231"/>
  <c r="N231"/>
  <c r="R231"/>
  <c r="V231"/>
  <c r="Z231"/>
  <c r="AD231"/>
  <c r="AH231"/>
  <c r="AL231"/>
  <c r="AP231"/>
  <c r="AT231"/>
  <c r="AX231"/>
  <c r="BB231"/>
  <c r="BF231"/>
  <c r="BJ231"/>
  <c r="D233"/>
  <c r="H233"/>
  <c r="L233"/>
  <c r="P233"/>
  <c r="T233"/>
  <c r="X233"/>
  <c r="AB233"/>
  <c r="AF233"/>
  <c r="AJ233"/>
  <c r="AN233"/>
  <c r="AR233"/>
  <c r="AV233"/>
  <c r="AZ233"/>
  <c r="BD233"/>
  <c r="BH233"/>
  <c r="D237"/>
  <c r="H237"/>
  <c r="L237"/>
  <c r="P237"/>
  <c r="T237"/>
  <c r="X237"/>
  <c r="AB237"/>
  <c r="AF237"/>
  <c r="AJ237"/>
  <c r="AN237"/>
  <c r="AR237"/>
  <c r="AV237"/>
  <c r="AZ237"/>
  <c r="BD237"/>
  <c r="BH237"/>
  <c r="D240"/>
  <c r="F243"/>
  <c r="AJ248"/>
  <c r="D350"/>
  <c r="H350"/>
  <c r="L350"/>
  <c r="P350"/>
  <c r="T350"/>
  <c r="X350"/>
  <c r="AB350"/>
  <c r="AF350"/>
  <c r="AJ350"/>
  <c r="AN350"/>
  <c r="AR350"/>
  <c r="AV350"/>
  <c r="AZ350"/>
  <c r="BD350"/>
  <c r="BH350"/>
  <c r="B294"/>
  <c r="F352"/>
  <c r="J352"/>
  <c r="N352"/>
  <c r="R352"/>
  <c r="V352"/>
  <c r="Z352"/>
  <c r="AD352"/>
  <c r="AH352"/>
  <c r="AL352"/>
  <c r="AP352"/>
  <c r="AT352"/>
  <c r="AX352"/>
  <c r="BB352"/>
  <c r="BF352"/>
  <c r="BJ352"/>
  <c r="F362"/>
  <c r="D359"/>
  <c r="AI305"/>
  <c r="AI362" s="1"/>
  <c r="D306"/>
  <c r="E307"/>
  <c r="E364" s="1"/>
  <c r="X314"/>
  <c r="AB314"/>
  <c r="AF314"/>
  <c r="AJ314"/>
  <c r="AN314"/>
  <c r="AN371" s="1"/>
  <c r="AR314"/>
  <c r="AR371" s="1"/>
  <c r="AV314"/>
  <c r="AV371" s="1"/>
  <c r="AZ314"/>
  <c r="AZ371" s="1"/>
  <c r="BD314"/>
  <c r="BD371" s="1"/>
  <c r="BH314"/>
  <c r="BH371" s="1"/>
  <c r="Y372"/>
  <c r="AC372"/>
  <c r="AG372"/>
  <c r="AK372"/>
  <c r="AO372"/>
  <c r="AS372"/>
  <c r="AW372"/>
  <c r="BA372"/>
  <c r="BE372"/>
  <c r="BI372"/>
  <c r="X316"/>
  <c r="X373" s="1"/>
  <c r="AB316"/>
  <c r="AB373" s="1"/>
  <c r="AF316"/>
  <c r="AF373" s="1"/>
  <c r="AJ316"/>
  <c r="AJ373" s="1"/>
  <c r="AN316"/>
  <c r="AN373" s="1"/>
  <c r="AR316"/>
  <c r="AR373" s="1"/>
  <c r="AV316"/>
  <c r="AV373" s="1"/>
  <c r="AZ316"/>
  <c r="AZ373" s="1"/>
  <c r="BD316"/>
  <c r="BD373" s="1"/>
  <c r="BH316"/>
  <c r="BH373" s="1"/>
  <c r="C317"/>
  <c r="AA374"/>
  <c r="AE374"/>
  <c r="AI374"/>
  <c r="AM374"/>
  <c r="AQ374"/>
  <c r="AU374"/>
  <c r="AY374"/>
  <c r="BC374"/>
  <c r="BG374"/>
  <c r="AM376"/>
  <c r="AQ376"/>
  <c r="AU376"/>
  <c r="AY376"/>
  <c r="BC376"/>
  <c r="BG376"/>
  <c r="F320"/>
  <c r="F377" s="1"/>
  <c r="Z320"/>
  <c r="Z377" s="1"/>
  <c r="AD320"/>
  <c r="AD377" s="1"/>
  <c r="AH320"/>
  <c r="AH377" s="1"/>
  <c r="AL320"/>
  <c r="AL377" s="1"/>
  <c r="AP320"/>
  <c r="AP377" s="1"/>
  <c r="AT320"/>
  <c r="AT377" s="1"/>
  <c r="AX320"/>
  <c r="AX377" s="1"/>
  <c r="BB320"/>
  <c r="BB377" s="1"/>
  <c r="BF320"/>
  <c r="BF377" s="1"/>
  <c r="BJ320"/>
  <c r="BJ377" s="1"/>
  <c r="Y378"/>
  <c r="AC378"/>
  <c r="AG378"/>
  <c r="AK378"/>
  <c r="AO378"/>
  <c r="AS378"/>
  <c r="AW378"/>
  <c r="BA378"/>
  <c r="BE378"/>
  <c r="BI378"/>
  <c r="X322"/>
  <c r="X379" s="1"/>
  <c r="AB322"/>
  <c r="AB379" s="1"/>
  <c r="AF322"/>
  <c r="AF379" s="1"/>
  <c r="AJ322"/>
  <c r="AJ379" s="1"/>
  <c r="AN322"/>
  <c r="AN379" s="1"/>
  <c r="AR322"/>
  <c r="AR379" s="1"/>
  <c r="AV322"/>
  <c r="AV379" s="1"/>
  <c r="AZ322"/>
  <c r="AZ379" s="1"/>
  <c r="BD322"/>
  <c r="BD379" s="1"/>
  <c r="BH322"/>
  <c r="BH379" s="1"/>
  <c r="K329"/>
  <c r="O329"/>
  <c r="S329"/>
  <c r="AA329"/>
  <c r="AE329"/>
  <c r="AI329"/>
  <c r="AM329"/>
  <c r="AQ329"/>
  <c r="AU329"/>
  <c r="AY329"/>
  <c r="BC329"/>
  <c r="BG329"/>
  <c r="D335"/>
  <c r="H335"/>
  <c r="L335"/>
  <c r="P335"/>
  <c r="T335"/>
  <c r="X335"/>
  <c r="AB335"/>
  <c r="AF335"/>
  <c r="AJ335"/>
  <c r="AN335"/>
  <c r="AR335"/>
  <c r="AV335"/>
  <c r="AZ335"/>
  <c r="BD335"/>
  <c r="BH335"/>
  <c r="F344"/>
  <c r="J344"/>
  <c r="N344"/>
  <c r="R344"/>
  <c r="V344"/>
  <c r="Z344"/>
  <c r="AD344"/>
  <c r="AH344"/>
  <c r="AL344"/>
  <c r="AP344"/>
  <c r="AT344"/>
  <c r="AX344"/>
  <c r="BB344"/>
  <c r="BF344"/>
  <c r="BJ344"/>
  <c r="C347"/>
  <c r="G347"/>
  <c r="K347"/>
  <c r="O347"/>
  <c r="S347"/>
  <c r="W347"/>
  <c r="AA347"/>
  <c r="AE347"/>
  <c r="AI347"/>
  <c r="AM347"/>
  <c r="AQ347"/>
  <c r="AU347"/>
  <c r="AY347"/>
  <c r="BC347"/>
  <c r="BG347"/>
  <c r="E349"/>
  <c r="I349"/>
  <c r="M349"/>
  <c r="Q349"/>
  <c r="U349"/>
  <c r="Y349"/>
  <c r="AC349"/>
  <c r="AG349"/>
  <c r="AK349"/>
  <c r="AO349"/>
  <c r="AS349"/>
  <c r="AW349"/>
  <c r="BA349"/>
  <c r="BE349"/>
  <c r="BI349"/>
  <c r="C351"/>
  <c r="I353"/>
  <c r="M353"/>
  <c r="Q353"/>
  <c r="U353"/>
  <c r="Y353"/>
  <c r="AC353"/>
  <c r="AG353"/>
  <c r="AK353"/>
  <c r="AO353"/>
  <c r="AS353"/>
  <c r="AW353"/>
  <c r="BA353"/>
  <c r="BE353"/>
  <c r="BI353"/>
  <c r="E356"/>
  <c r="C357"/>
  <c r="C359"/>
  <c r="G359"/>
  <c r="C362"/>
  <c r="C366"/>
  <c r="C371"/>
  <c r="E466"/>
  <c r="I466"/>
  <c r="M466"/>
  <c r="Q466"/>
  <c r="U466"/>
  <c r="Y466"/>
  <c r="AC466"/>
  <c r="AG466"/>
  <c r="AK466"/>
  <c r="AO466"/>
  <c r="AS466"/>
  <c r="AW466"/>
  <c r="BA466"/>
  <c r="BE466"/>
  <c r="BI466"/>
  <c r="G468"/>
  <c r="K468"/>
  <c r="O468"/>
  <c r="S468"/>
  <c r="W468"/>
  <c r="AA468"/>
  <c r="AE468"/>
  <c r="AI468"/>
  <c r="AM468"/>
  <c r="AQ468"/>
  <c r="AU468"/>
  <c r="AY468"/>
  <c r="BC468"/>
  <c r="BG468"/>
  <c r="C422"/>
  <c r="AA430"/>
  <c r="AE430"/>
  <c r="AI430"/>
  <c r="AM430"/>
  <c r="AM487" s="1"/>
  <c r="AQ430"/>
  <c r="AQ487" s="1"/>
  <c r="AU430"/>
  <c r="AU487" s="1"/>
  <c r="AY430"/>
  <c r="AY487" s="1"/>
  <c r="BC430"/>
  <c r="BC487" s="1"/>
  <c r="BG430"/>
  <c r="BG487" s="1"/>
  <c r="AA432"/>
  <c r="AA489" s="1"/>
  <c r="AE432"/>
  <c r="AE489" s="1"/>
  <c r="AI432"/>
  <c r="AI489" s="1"/>
  <c r="AM432"/>
  <c r="AM489" s="1"/>
  <c r="AQ432"/>
  <c r="AQ489" s="1"/>
  <c r="AU432"/>
  <c r="AU489" s="1"/>
  <c r="AY432"/>
  <c r="AY489" s="1"/>
  <c r="BC432"/>
  <c r="BC489" s="1"/>
  <c r="BG432"/>
  <c r="BG489" s="1"/>
  <c r="E436"/>
  <c r="E493" s="1"/>
  <c r="Y436"/>
  <c r="Y493" s="1"/>
  <c r="AC436"/>
  <c r="AC493" s="1"/>
  <c r="AG436"/>
  <c r="AG493" s="1"/>
  <c r="AK436"/>
  <c r="AK493" s="1"/>
  <c r="AO436"/>
  <c r="AO493" s="1"/>
  <c r="AS436"/>
  <c r="AS493" s="1"/>
  <c r="AW436"/>
  <c r="AW493" s="1"/>
  <c r="BA436"/>
  <c r="BA493" s="1"/>
  <c r="BE436"/>
  <c r="BE493" s="1"/>
  <c r="BI436"/>
  <c r="BI493" s="1"/>
  <c r="AA438"/>
  <c r="AA495" s="1"/>
  <c r="AE438"/>
  <c r="AE495" s="1"/>
  <c r="AI438"/>
  <c r="AI495" s="1"/>
  <c r="AM438"/>
  <c r="AM495" s="1"/>
  <c r="AQ438"/>
  <c r="AQ495" s="1"/>
  <c r="AU438"/>
  <c r="AU495" s="1"/>
  <c r="AY438"/>
  <c r="AY495" s="1"/>
  <c r="BC438"/>
  <c r="BC495" s="1"/>
  <c r="BG438"/>
  <c r="BG495" s="1"/>
  <c r="J445"/>
  <c r="N445"/>
  <c r="R445"/>
  <c r="V445"/>
  <c r="Z445"/>
  <c r="AD445"/>
  <c r="AH445"/>
  <c r="AL445"/>
  <c r="AP445"/>
  <c r="AT445"/>
  <c r="AX445"/>
  <c r="BB445"/>
  <c r="BF445"/>
  <c r="C451"/>
  <c r="G451"/>
  <c r="K451"/>
  <c r="O451"/>
  <c r="S451"/>
  <c r="W451"/>
  <c r="AA451"/>
  <c r="AE451"/>
  <c r="AI451"/>
  <c r="AM451"/>
  <c r="AQ451"/>
  <c r="AU451"/>
  <c r="AY451"/>
  <c r="BC451"/>
  <c r="BG451"/>
  <c r="D454"/>
  <c r="H454"/>
  <c r="L454"/>
  <c r="P454"/>
  <c r="T454"/>
  <c r="X454"/>
  <c r="AB454"/>
  <c r="AF454"/>
  <c r="AJ454"/>
  <c r="AN454"/>
  <c r="AR454"/>
  <c r="AV454"/>
  <c r="AZ454"/>
  <c r="BD454"/>
  <c r="BH454"/>
  <c r="E460"/>
  <c r="I460"/>
  <c r="M460"/>
  <c r="Q460"/>
  <c r="U460"/>
  <c r="Y460"/>
  <c r="AC460"/>
  <c r="AG460"/>
  <c r="AK460"/>
  <c r="AO460"/>
  <c r="AS460"/>
  <c r="AW460"/>
  <c r="BA460"/>
  <c r="BE460"/>
  <c r="BI460"/>
  <c r="D469"/>
  <c r="D582"/>
  <c r="H582"/>
  <c r="L582"/>
  <c r="P582"/>
  <c r="T582"/>
  <c r="X582"/>
  <c r="AB582"/>
  <c r="AF582"/>
  <c r="AJ582"/>
  <c r="AN582"/>
  <c r="AR582"/>
  <c r="AV582"/>
  <c r="AZ582"/>
  <c r="BD582"/>
  <c r="BH582"/>
  <c r="G583"/>
  <c r="K583"/>
  <c r="O583"/>
  <c r="S583"/>
  <c r="W583"/>
  <c r="AA583"/>
  <c r="AE583"/>
  <c r="AI583"/>
  <c r="AM583"/>
  <c r="AQ583"/>
  <c r="AU583"/>
  <c r="AY583"/>
  <c r="BC583"/>
  <c r="BG583"/>
  <c r="F584"/>
  <c r="J584"/>
  <c r="N584"/>
  <c r="R584"/>
  <c r="V584"/>
  <c r="Z584"/>
  <c r="AD584"/>
  <c r="AH584"/>
  <c r="AL584"/>
  <c r="AP584"/>
  <c r="AT584"/>
  <c r="AX584"/>
  <c r="BB584"/>
  <c r="BF584"/>
  <c r="BJ584"/>
  <c r="F594"/>
  <c r="D591"/>
  <c r="AI537"/>
  <c r="AI594" s="1"/>
  <c r="D538"/>
  <c r="D553" s="1"/>
  <c r="D610" s="1"/>
  <c r="E539"/>
  <c r="E596" s="1"/>
  <c r="AD546"/>
  <c r="AL546"/>
  <c r="AL603" s="1"/>
  <c r="AT546"/>
  <c r="AT603" s="1"/>
  <c r="BB546"/>
  <c r="BB603" s="1"/>
  <c r="BJ546"/>
  <c r="BJ603" s="1"/>
  <c r="AA604"/>
  <c r="AI604"/>
  <c r="AQ604"/>
  <c r="AY604"/>
  <c r="BG604"/>
  <c r="AD548"/>
  <c r="AD605" s="1"/>
  <c r="AL548"/>
  <c r="AL605" s="1"/>
  <c r="AT548"/>
  <c r="AT605" s="1"/>
  <c r="BB548"/>
  <c r="BB605" s="1"/>
  <c r="BJ548"/>
  <c r="BJ605" s="1"/>
  <c r="Y606"/>
  <c r="AG606"/>
  <c r="AO606"/>
  <c r="AW606"/>
  <c r="BE606"/>
  <c r="AO608"/>
  <c r="AW608"/>
  <c r="BE608"/>
  <c r="D552"/>
  <c r="D609" s="1"/>
  <c r="AB552"/>
  <c r="AB609" s="1"/>
  <c r="AJ552"/>
  <c r="AJ609" s="1"/>
  <c r="AR552"/>
  <c r="AR609" s="1"/>
  <c r="AZ552"/>
  <c r="AZ609" s="1"/>
  <c r="BH552"/>
  <c r="BH609" s="1"/>
  <c r="AE610"/>
  <c r="AM610"/>
  <c r="AU610"/>
  <c r="BC610"/>
  <c r="Z554"/>
  <c r="Z611" s="1"/>
  <c r="AH554"/>
  <c r="AH611" s="1"/>
  <c r="AP554"/>
  <c r="AP611" s="1"/>
  <c r="AX554"/>
  <c r="AX611" s="1"/>
  <c r="BF554"/>
  <c r="BF611" s="1"/>
  <c r="M561"/>
  <c r="U561"/>
  <c r="AC561"/>
  <c r="AK561"/>
  <c r="AS561"/>
  <c r="BA561"/>
  <c r="BI561"/>
  <c r="J567"/>
  <c r="R567"/>
  <c r="Z567"/>
  <c r="AH567"/>
  <c r="AP567"/>
  <c r="AX567"/>
  <c r="BF567"/>
  <c r="D576"/>
  <c r="L576"/>
  <c r="T576"/>
  <c r="AB576"/>
  <c r="AJ576"/>
  <c r="D256"/>
  <c r="C255"/>
  <c r="C251"/>
  <c r="C250"/>
  <c r="AI248"/>
  <c r="C246"/>
  <c r="D245"/>
  <c r="G243"/>
  <c r="E243"/>
  <c r="B243" s="1"/>
  <c r="C17" s="1"/>
  <c r="C241"/>
  <c r="C240"/>
  <c r="BI237"/>
  <c r="BG237"/>
  <c r="BE237"/>
  <c r="BC237"/>
  <c r="BA237"/>
  <c r="AY237"/>
  <c r="AW237"/>
  <c r="AU237"/>
  <c r="AS237"/>
  <c r="AQ237"/>
  <c r="AO237"/>
  <c r="AM237"/>
  <c r="AK237"/>
  <c r="AI237"/>
  <c r="AG237"/>
  <c r="AE237"/>
  <c r="AC237"/>
  <c r="AA237"/>
  <c r="Y237"/>
  <c r="W237"/>
  <c r="U237"/>
  <c r="S237"/>
  <c r="Q237"/>
  <c r="O237"/>
  <c r="M237"/>
  <c r="K237"/>
  <c r="I237"/>
  <c r="D228"/>
  <c r="D219"/>
  <c r="F228"/>
  <c r="F219"/>
  <c r="H228"/>
  <c r="H219"/>
  <c r="J228"/>
  <c r="J219"/>
  <c r="L228"/>
  <c r="L219"/>
  <c r="N228"/>
  <c r="N219"/>
  <c r="P228"/>
  <c r="P219"/>
  <c r="R228"/>
  <c r="R219"/>
  <c r="T228"/>
  <c r="T219"/>
  <c r="V228"/>
  <c r="V219"/>
  <c r="X228"/>
  <c r="X219"/>
  <c r="Z228"/>
  <c r="Z219"/>
  <c r="AB228"/>
  <c r="AB219"/>
  <c r="AD228"/>
  <c r="AD219"/>
  <c r="AF228"/>
  <c r="AF219"/>
  <c r="AH228"/>
  <c r="AH219"/>
  <c r="AJ228"/>
  <c r="AJ219"/>
  <c r="AL228"/>
  <c r="AL219"/>
  <c r="AN228"/>
  <c r="AN219"/>
  <c r="AP228"/>
  <c r="AP219"/>
  <c r="AR228"/>
  <c r="AR219"/>
  <c r="AT228"/>
  <c r="AT219"/>
  <c r="AV228"/>
  <c r="AV219"/>
  <c r="AX228"/>
  <c r="AX219"/>
  <c r="AZ228"/>
  <c r="AZ219"/>
  <c r="BB228"/>
  <c r="BB219"/>
  <c r="BD228"/>
  <c r="BD219"/>
  <c r="BF228"/>
  <c r="BF219"/>
  <c r="BH228"/>
  <c r="BH219"/>
  <c r="BJ228"/>
  <c r="BJ219"/>
  <c r="E392"/>
  <c r="G392"/>
  <c r="I392"/>
  <c r="K392"/>
  <c r="J386"/>
  <c r="M392"/>
  <c r="O392"/>
  <c r="N386"/>
  <c r="Q392"/>
  <c r="S392"/>
  <c r="R386"/>
  <c r="U392"/>
  <c r="W392"/>
  <c r="V386"/>
  <c r="Y392"/>
  <c r="AA392"/>
  <c r="Z386"/>
  <c r="AC392"/>
  <c r="AE392"/>
  <c r="AD386"/>
  <c r="AG392"/>
  <c r="AI392"/>
  <c r="AH386"/>
  <c r="AK392"/>
  <c r="AM392"/>
  <c r="AL386"/>
  <c r="AO392"/>
  <c r="AQ392"/>
  <c r="AP386"/>
  <c r="AS392"/>
  <c r="AU392"/>
  <c r="AT386"/>
  <c r="AW392"/>
  <c r="AY392"/>
  <c r="AX386"/>
  <c r="BA392"/>
  <c r="BC392"/>
  <c r="BB386"/>
  <c r="BE392"/>
  <c r="BG392"/>
  <c r="BF386"/>
  <c r="BI392"/>
  <c r="C291"/>
  <c r="C348" s="1"/>
  <c r="D296"/>
  <c r="F357"/>
  <c r="G300"/>
  <c r="AJ305"/>
  <c r="AJ362" s="1"/>
  <c r="Y376"/>
  <c r="AC376"/>
  <c r="AG376"/>
  <c r="F508"/>
  <c r="H508"/>
  <c r="J508"/>
  <c r="I502"/>
  <c r="L508"/>
  <c r="N508"/>
  <c r="M502"/>
  <c r="P508"/>
  <c r="R508"/>
  <c r="Q502"/>
  <c r="T508"/>
  <c r="V508"/>
  <c r="U502"/>
  <c r="X508"/>
  <c r="Z508"/>
  <c r="Y502"/>
  <c r="AB508"/>
  <c r="AD508"/>
  <c r="AC502"/>
  <c r="AF508"/>
  <c r="AH508"/>
  <c r="AG502"/>
  <c r="AJ508"/>
  <c r="AL508"/>
  <c r="AK502"/>
  <c r="AN508"/>
  <c r="AP508"/>
  <c r="AO502"/>
  <c r="AR508"/>
  <c r="AT508"/>
  <c r="AS502"/>
  <c r="AV508"/>
  <c r="AX508"/>
  <c r="AW502"/>
  <c r="AZ508"/>
  <c r="BB508"/>
  <c r="BA502"/>
  <c r="BD508"/>
  <c r="BF508"/>
  <c r="BE502"/>
  <c r="BH508"/>
  <c r="BJ508"/>
  <c r="BI502"/>
  <c r="C475"/>
  <c r="G423"/>
  <c r="E423"/>
  <c r="E480" s="1"/>
  <c r="C423"/>
  <c r="B418"/>
  <c r="D492"/>
  <c r="AB492"/>
  <c r="AF492"/>
  <c r="AJ492"/>
  <c r="E579"/>
  <c r="I579"/>
  <c r="M579"/>
  <c r="Q579"/>
  <c r="U579"/>
  <c r="Y579"/>
  <c r="AC579"/>
  <c r="AG579"/>
  <c r="AK579"/>
  <c r="AO579"/>
  <c r="AS579"/>
  <c r="AW579"/>
  <c r="BA579"/>
  <c r="BE579"/>
  <c r="BI579"/>
  <c r="C581"/>
  <c r="G581"/>
  <c r="K581"/>
  <c r="O581"/>
  <c r="S581"/>
  <c r="W581"/>
  <c r="AA581"/>
  <c r="AE581"/>
  <c r="AI581"/>
  <c r="AM581"/>
  <c r="AQ581"/>
  <c r="AU581"/>
  <c r="AY581"/>
  <c r="BC581"/>
  <c r="BG581"/>
  <c r="C585"/>
  <c r="D528"/>
  <c r="F589"/>
  <c r="G532"/>
  <c r="E594"/>
  <c r="AJ537"/>
  <c r="AJ594" s="1"/>
  <c r="C596"/>
  <c r="AC608"/>
  <c r="G68"/>
  <c r="E69"/>
  <c r="C74"/>
  <c r="E74"/>
  <c r="E89" s="1"/>
  <c r="E146" s="1"/>
  <c r="D75"/>
  <c r="Y82"/>
  <c r="AA82"/>
  <c r="AC82"/>
  <c r="AE82"/>
  <c r="AG82"/>
  <c r="AI82"/>
  <c r="AK82"/>
  <c r="AK139" s="1"/>
  <c r="AM82"/>
  <c r="AM139" s="1"/>
  <c r="AO82"/>
  <c r="AO139" s="1"/>
  <c r="AQ82"/>
  <c r="AQ139" s="1"/>
  <c r="AS82"/>
  <c r="AS139" s="1"/>
  <c r="AU82"/>
  <c r="AU139" s="1"/>
  <c r="AW82"/>
  <c r="AW139" s="1"/>
  <c r="AY82"/>
  <c r="AY139" s="1"/>
  <c r="BA82"/>
  <c r="BA139" s="1"/>
  <c r="BC82"/>
  <c r="BC139" s="1"/>
  <c r="BE82"/>
  <c r="BE139" s="1"/>
  <c r="BG82"/>
  <c r="BG139" s="1"/>
  <c r="BI82"/>
  <c r="BI139" s="1"/>
  <c r="Z83"/>
  <c r="Z140" s="1"/>
  <c r="AB83"/>
  <c r="AB140" s="1"/>
  <c r="AD83"/>
  <c r="AD140" s="1"/>
  <c r="AF83"/>
  <c r="AF140" s="1"/>
  <c r="AH83"/>
  <c r="AH140" s="1"/>
  <c r="AJ83"/>
  <c r="AJ140" s="1"/>
  <c r="AL83"/>
  <c r="AL140" s="1"/>
  <c r="AN83"/>
  <c r="AN140" s="1"/>
  <c r="AP83"/>
  <c r="AP140" s="1"/>
  <c r="AR83"/>
  <c r="AR140" s="1"/>
  <c r="AT83"/>
  <c r="AT140" s="1"/>
  <c r="AV83"/>
  <c r="AV140" s="1"/>
  <c r="AX83"/>
  <c r="AX140" s="1"/>
  <c r="AZ83"/>
  <c r="AZ140" s="1"/>
  <c r="BB83"/>
  <c r="BB140" s="1"/>
  <c r="BD83"/>
  <c r="BD140" s="1"/>
  <c r="BF83"/>
  <c r="BF140" s="1"/>
  <c r="BH83"/>
  <c r="BH140" s="1"/>
  <c r="BJ83"/>
  <c r="BJ140" s="1"/>
  <c r="Y84"/>
  <c r="Y141" s="1"/>
  <c r="AA84"/>
  <c r="AA141" s="1"/>
  <c r="AC84"/>
  <c r="AC141" s="1"/>
  <c r="AE84"/>
  <c r="AE141" s="1"/>
  <c r="AG84"/>
  <c r="AG141" s="1"/>
  <c r="AI84"/>
  <c r="AI141" s="1"/>
  <c r="AK84"/>
  <c r="AK141" s="1"/>
  <c r="AM84"/>
  <c r="AM141" s="1"/>
  <c r="AO84"/>
  <c r="AO141" s="1"/>
  <c r="AQ84"/>
  <c r="AQ141" s="1"/>
  <c r="AS84"/>
  <c r="AS141" s="1"/>
  <c r="AU84"/>
  <c r="AU141" s="1"/>
  <c r="AW84"/>
  <c r="AW141" s="1"/>
  <c r="AY84"/>
  <c r="AY141" s="1"/>
  <c r="BA84"/>
  <c r="BA141" s="1"/>
  <c r="BC84"/>
  <c r="BC141" s="1"/>
  <c r="BE84"/>
  <c r="BE141" s="1"/>
  <c r="BG84"/>
  <c r="BG141" s="1"/>
  <c r="BI84"/>
  <c r="BI141" s="1"/>
  <c r="Z85"/>
  <c r="Z142" s="1"/>
  <c r="AB85"/>
  <c r="AB142" s="1"/>
  <c r="AD85"/>
  <c r="AD142" s="1"/>
  <c r="AF85"/>
  <c r="AF142" s="1"/>
  <c r="AH85"/>
  <c r="AH142" s="1"/>
  <c r="AJ85"/>
  <c r="AJ142" s="1"/>
  <c r="AL85"/>
  <c r="AL142" s="1"/>
  <c r="AN85"/>
  <c r="AN142" s="1"/>
  <c r="AP85"/>
  <c r="AP142" s="1"/>
  <c r="AR85"/>
  <c r="AR142" s="1"/>
  <c r="AT85"/>
  <c r="AT142" s="1"/>
  <c r="AV85"/>
  <c r="AV142" s="1"/>
  <c r="AX85"/>
  <c r="AX142" s="1"/>
  <c r="AZ85"/>
  <c r="AZ142" s="1"/>
  <c r="BB85"/>
  <c r="BB142" s="1"/>
  <c r="BD85"/>
  <c r="BD142" s="1"/>
  <c r="BF85"/>
  <c r="BF142" s="1"/>
  <c r="BH85"/>
  <c r="BH142" s="1"/>
  <c r="BJ85"/>
  <c r="BJ142" s="1"/>
  <c r="D87"/>
  <c r="Z87"/>
  <c r="AB87"/>
  <c r="AD87"/>
  <c r="AF87"/>
  <c r="AH87"/>
  <c r="AJ87"/>
  <c r="AL87"/>
  <c r="AL144" s="1"/>
  <c r="AN87"/>
  <c r="AN144" s="1"/>
  <c r="AP87"/>
  <c r="AP144" s="1"/>
  <c r="AR87"/>
  <c r="AR144" s="1"/>
  <c r="AT87"/>
  <c r="AT144" s="1"/>
  <c r="AV87"/>
  <c r="AV144" s="1"/>
  <c r="AX87"/>
  <c r="AX144" s="1"/>
  <c r="AZ87"/>
  <c r="AZ144" s="1"/>
  <c r="BB87"/>
  <c r="BB144" s="1"/>
  <c r="BD87"/>
  <c r="BD144" s="1"/>
  <c r="BF87"/>
  <c r="BF144" s="1"/>
  <c r="BH87"/>
  <c r="BH144" s="1"/>
  <c r="BJ87"/>
  <c r="BJ144" s="1"/>
  <c r="C88"/>
  <c r="E88"/>
  <c r="E145" s="1"/>
  <c r="Y88"/>
  <c r="Y145" s="1"/>
  <c r="AA88"/>
  <c r="AA145" s="1"/>
  <c r="AC88"/>
  <c r="AC145" s="1"/>
  <c r="AE88"/>
  <c r="AE145" s="1"/>
  <c r="AG88"/>
  <c r="AG145" s="1"/>
  <c r="AI88"/>
  <c r="AI145" s="1"/>
  <c r="AK88"/>
  <c r="AK145" s="1"/>
  <c r="AM88"/>
  <c r="AM145" s="1"/>
  <c r="AO88"/>
  <c r="AO145" s="1"/>
  <c r="AQ88"/>
  <c r="AQ145" s="1"/>
  <c r="AS88"/>
  <c r="AS145" s="1"/>
  <c r="AU88"/>
  <c r="AU145" s="1"/>
  <c r="AW88"/>
  <c r="AW145" s="1"/>
  <c r="AY88"/>
  <c r="AY145" s="1"/>
  <c r="BA88"/>
  <c r="BA145" s="1"/>
  <c r="BC88"/>
  <c r="BC145" s="1"/>
  <c r="BE88"/>
  <c r="BE145" s="1"/>
  <c r="BG88"/>
  <c r="BG145" s="1"/>
  <c r="BI88"/>
  <c r="BI145" s="1"/>
  <c r="D89"/>
  <c r="D146" s="1"/>
  <c r="Z89"/>
  <c r="Z146" s="1"/>
  <c r="AB89"/>
  <c r="AB146" s="1"/>
  <c r="AD89"/>
  <c r="AD146" s="1"/>
  <c r="AF89"/>
  <c r="AF146" s="1"/>
  <c r="AH89"/>
  <c r="AH146" s="1"/>
  <c r="AJ89"/>
  <c r="AJ146" s="1"/>
  <c r="AL89"/>
  <c r="AL146" s="1"/>
  <c r="AN89"/>
  <c r="AN146" s="1"/>
  <c r="AP89"/>
  <c r="AP146" s="1"/>
  <c r="AR89"/>
  <c r="AR146" s="1"/>
  <c r="AT89"/>
  <c r="AT146" s="1"/>
  <c r="AV89"/>
  <c r="AV146" s="1"/>
  <c r="AX89"/>
  <c r="AX146" s="1"/>
  <c r="AZ89"/>
  <c r="AZ146" s="1"/>
  <c r="BB89"/>
  <c r="BB146" s="1"/>
  <c r="BD89"/>
  <c r="BD146" s="1"/>
  <c r="BF89"/>
  <c r="BF146" s="1"/>
  <c r="BH89"/>
  <c r="BH146" s="1"/>
  <c r="BJ89"/>
  <c r="BJ146" s="1"/>
  <c r="C90"/>
  <c r="E90"/>
  <c r="E147" s="1"/>
  <c r="G90"/>
  <c r="G147" s="1"/>
  <c r="Y90"/>
  <c r="Y147" s="1"/>
  <c r="AA90"/>
  <c r="AA147" s="1"/>
  <c r="AC90"/>
  <c r="AC147" s="1"/>
  <c r="AE90"/>
  <c r="AE147" s="1"/>
  <c r="AG90"/>
  <c r="AG147" s="1"/>
  <c r="AI90"/>
  <c r="AI147" s="1"/>
  <c r="AK90"/>
  <c r="AK147" s="1"/>
  <c r="AM90"/>
  <c r="AM147" s="1"/>
  <c r="AO90"/>
  <c r="AO147" s="1"/>
  <c r="AQ90"/>
  <c r="AQ147" s="1"/>
  <c r="AS90"/>
  <c r="AS147" s="1"/>
  <c r="AU90"/>
  <c r="AU147" s="1"/>
  <c r="AW90"/>
  <c r="AW147" s="1"/>
  <c r="AY90"/>
  <c r="AY147" s="1"/>
  <c r="BA90"/>
  <c r="BA147" s="1"/>
  <c r="BC90"/>
  <c r="BC147" s="1"/>
  <c r="BE90"/>
  <c r="BE147" s="1"/>
  <c r="BG90"/>
  <c r="BG147" s="1"/>
  <c r="BI90"/>
  <c r="BI147" s="1"/>
  <c r="Z95"/>
  <c r="AB95"/>
  <c r="AD95"/>
  <c r="AF95"/>
  <c r="AH95"/>
  <c r="AJ95"/>
  <c r="AL95"/>
  <c r="AN95"/>
  <c r="AP95"/>
  <c r="AR95"/>
  <c r="AT95"/>
  <c r="AV95"/>
  <c r="AX95"/>
  <c r="AZ95"/>
  <c r="BB95"/>
  <c r="BD95"/>
  <c r="BF95"/>
  <c r="BH95"/>
  <c r="BJ95"/>
  <c r="D97"/>
  <c r="H97"/>
  <c r="J97"/>
  <c r="L97"/>
  <c r="N97"/>
  <c r="P97"/>
  <c r="R97"/>
  <c r="T97"/>
  <c r="V97"/>
  <c r="Z97"/>
  <c r="AB97"/>
  <c r="AD97"/>
  <c r="AF97"/>
  <c r="AH97"/>
  <c r="AJ97"/>
  <c r="AL97"/>
  <c r="AN97"/>
  <c r="AP97"/>
  <c r="AR97"/>
  <c r="AT97"/>
  <c r="AV97"/>
  <c r="AX97"/>
  <c r="AZ97"/>
  <c r="BB97"/>
  <c r="BD97"/>
  <c r="BF97"/>
  <c r="BH97"/>
  <c r="BJ97"/>
  <c r="C103"/>
  <c r="E103"/>
  <c r="G103"/>
  <c r="I103"/>
  <c r="K103"/>
  <c r="M103"/>
  <c r="O103"/>
  <c r="Q103"/>
  <c r="S103"/>
  <c r="U103"/>
  <c r="W103"/>
  <c r="Y103"/>
  <c r="AA103"/>
  <c r="AC103"/>
  <c r="AE103"/>
  <c r="AG103"/>
  <c r="AI103"/>
  <c r="AK103"/>
  <c r="AM103"/>
  <c r="AO103"/>
  <c r="AQ103"/>
  <c r="AS103"/>
  <c r="AU103"/>
  <c r="AW103"/>
  <c r="AY103"/>
  <c r="BA103"/>
  <c r="BC103"/>
  <c r="BE103"/>
  <c r="BG103"/>
  <c r="BI103"/>
  <c r="H121"/>
  <c r="J121"/>
  <c r="L121"/>
  <c r="N121"/>
  <c r="P121"/>
  <c r="R121"/>
  <c r="T121"/>
  <c r="V121"/>
  <c r="X121"/>
  <c r="Z121"/>
  <c r="AB121"/>
  <c r="AD121"/>
  <c r="AF121"/>
  <c r="AH121"/>
  <c r="AJ121"/>
  <c r="AL121"/>
  <c r="AN121"/>
  <c r="AP121"/>
  <c r="AR121"/>
  <c r="AT121"/>
  <c r="AV121"/>
  <c r="AX121"/>
  <c r="AZ121"/>
  <c r="BB121"/>
  <c r="BD121"/>
  <c r="BF121"/>
  <c r="BH121"/>
  <c r="BJ121"/>
  <c r="D124"/>
  <c r="D125"/>
  <c r="F127"/>
  <c r="C129"/>
  <c r="D130"/>
  <c r="AH132"/>
  <c r="AJ132"/>
  <c r="D133"/>
  <c r="F133"/>
  <c r="H133"/>
  <c r="J133"/>
  <c r="L133"/>
  <c r="N133"/>
  <c r="P133"/>
  <c r="R133"/>
  <c r="T133"/>
  <c r="V133"/>
  <c r="X133"/>
  <c r="Z133"/>
  <c r="AB133"/>
  <c r="AD133"/>
  <c r="AF133"/>
  <c r="AH133"/>
  <c r="AJ133"/>
  <c r="D134"/>
  <c r="D135"/>
  <c r="D139"/>
  <c r="B171"/>
  <c r="J175"/>
  <c r="J232" s="1"/>
  <c r="R175"/>
  <c r="R232" s="1"/>
  <c r="Z175"/>
  <c r="Z232" s="1"/>
  <c r="AH175"/>
  <c r="AH232" s="1"/>
  <c r="AP175"/>
  <c r="AP232" s="1"/>
  <c r="AX175"/>
  <c r="AX232" s="1"/>
  <c r="BF175"/>
  <c r="BF232" s="1"/>
  <c r="F234"/>
  <c r="H234"/>
  <c r="J234"/>
  <c r="N234"/>
  <c r="P234"/>
  <c r="R234"/>
  <c r="V234"/>
  <c r="X234"/>
  <c r="Z234"/>
  <c r="AD234"/>
  <c r="AF234"/>
  <c r="AH234"/>
  <c r="AL234"/>
  <c r="AN234"/>
  <c r="AP234"/>
  <c r="AT234"/>
  <c r="AV234"/>
  <c r="AX234"/>
  <c r="BB234"/>
  <c r="BD234"/>
  <c r="BF234"/>
  <c r="BJ234"/>
  <c r="E235"/>
  <c r="G235"/>
  <c r="I235"/>
  <c r="K235"/>
  <c r="M235"/>
  <c r="O235"/>
  <c r="Q235"/>
  <c r="S235"/>
  <c r="U235"/>
  <c r="W235"/>
  <c r="Y235"/>
  <c r="AA235"/>
  <c r="AC235"/>
  <c r="AE235"/>
  <c r="AG235"/>
  <c r="AI235"/>
  <c r="AK235"/>
  <c r="AM235"/>
  <c r="AO235"/>
  <c r="AQ235"/>
  <c r="AS235"/>
  <c r="AU235"/>
  <c r="AW235"/>
  <c r="AY235"/>
  <c r="BA235"/>
  <c r="BC235"/>
  <c r="BE235"/>
  <c r="BG235"/>
  <c r="BI235"/>
  <c r="D236"/>
  <c r="F236"/>
  <c r="H236"/>
  <c r="J236"/>
  <c r="L236"/>
  <c r="N236"/>
  <c r="P236"/>
  <c r="R236"/>
  <c r="T236"/>
  <c r="V236"/>
  <c r="X236"/>
  <c r="Z236"/>
  <c r="AB236"/>
  <c r="AD236"/>
  <c r="AF236"/>
  <c r="AH236"/>
  <c r="AJ236"/>
  <c r="AL236"/>
  <c r="AN236"/>
  <c r="AP236"/>
  <c r="AR236"/>
  <c r="AT236"/>
  <c r="AV236"/>
  <c r="AX236"/>
  <c r="AZ236"/>
  <c r="BB236"/>
  <c r="BD236"/>
  <c r="BF236"/>
  <c r="BH236"/>
  <c r="BJ236"/>
  <c r="C237"/>
  <c r="F183"/>
  <c r="F184"/>
  <c r="D185"/>
  <c r="B186"/>
  <c r="F188"/>
  <c r="E189"/>
  <c r="C191"/>
  <c r="E191"/>
  <c r="E248" s="1"/>
  <c r="G191"/>
  <c r="X198"/>
  <c r="Z198"/>
  <c r="AB198"/>
  <c r="AD198"/>
  <c r="AF198"/>
  <c r="AH198"/>
  <c r="AJ198"/>
  <c r="AL198"/>
  <c r="AL255" s="1"/>
  <c r="AN198"/>
  <c r="AN255" s="1"/>
  <c r="AP198"/>
  <c r="AP255" s="1"/>
  <c r="AR198"/>
  <c r="AR255" s="1"/>
  <c r="AT198"/>
  <c r="AT255" s="1"/>
  <c r="AV198"/>
  <c r="AV255" s="1"/>
  <c r="AX198"/>
  <c r="AX255" s="1"/>
  <c r="AZ198"/>
  <c r="AZ255" s="1"/>
  <c r="BB198"/>
  <c r="BB255" s="1"/>
  <c r="BD198"/>
  <c r="BD255" s="1"/>
  <c r="BF198"/>
  <c r="BF255" s="1"/>
  <c r="BH198"/>
  <c r="BH255" s="1"/>
  <c r="BJ198"/>
  <c r="BJ255" s="1"/>
  <c r="W199"/>
  <c r="W256" s="1"/>
  <c r="Y199"/>
  <c r="Y256" s="1"/>
  <c r="AA199"/>
  <c r="AA256" s="1"/>
  <c r="AC199"/>
  <c r="AC256" s="1"/>
  <c r="AE199"/>
  <c r="AE256" s="1"/>
  <c r="AG199"/>
  <c r="AG256" s="1"/>
  <c r="AI199"/>
  <c r="AI256" s="1"/>
  <c r="AK199"/>
  <c r="AK256" s="1"/>
  <c r="AM199"/>
  <c r="AM256" s="1"/>
  <c r="AO199"/>
  <c r="AO256" s="1"/>
  <c r="AQ199"/>
  <c r="AQ256" s="1"/>
  <c r="AS199"/>
  <c r="AS256" s="1"/>
  <c r="AU199"/>
  <c r="AU256" s="1"/>
  <c r="AW199"/>
  <c r="AW256" s="1"/>
  <c r="AY199"/>
  <c r="AY256" s="1"/>
  <c r="BA199"/>
  <c r="BA256" s="1"/>
  <c r="BC199"/>
  <c r="BC256" s="1"/>
  <c r="BE199"/>
  <c r="BE256" s="1"/>
  <c r="BG199"/>
  <c r="BG256" s="1"/>
  <c r="BI199"/>
  <c r="BI256" s="1"/>
  <c r="X200"/>
  <c r="X257" s="1"/>
  <c r="Z200"/>
  <c r="Z257" s="1"/>
  <c r="AB200"/>
  <c r="AB257" s="1"/>
  <c r="AD200"/>
  <c r="AD257" s="1"/>
  <c r="AF200"/>
  <c r="AF257" s="1"/>
  <c r="AH200"/>
  <c r="AH257" s="1"/>
  <c r="AJ200"/>
  <c r="AJ257" s="1"/>
  <c r="AL200"/>
  <c r="AL257" s="1"/>
  <c r="AN200"/>
  <c r="AN257" s="1"/>
  <c r="AP200"/>
  <c r="AP257" s="1"/>
  <c r="AR200"/>
  <c r="AR257" s="1"/>
  <c r="AT200"/>
  <c r="AT257" s="1"/>
  <c r="AV200"/>
  <c r="AV257" s="1"/>
  <c r="AX200"/>
  <c r="AX257" s="1"/>
  <c r="AZ200"/>
  <c r="AZ257" s="1"/>
  <c r="BB200"/>
  <c r="BB257" s="1"/>
  <c r="BD200"/>
  <c r="BD257" s="1"/>
  <c r="BF200"/>
  <c r="BF257" s="1"/>
  <c r="BH200"/>
  <c r="BH257" s="1"/>
  <c r="BJ200"/>
  <c r="BJ257" s="1"/>
  <c r="W201"/>
  <c r="W258" s="1"/>
  <c r="Y201"/>
  <c r="Y258" s="1"/>
  <c r="AA201"/>
  <c r="AA258" s="1"/>
  <c r="AC201"/>
  <c r="AC258" s="1"/>
  <c r="AE201"/>
  <c r="AE258" s="1"/>
  <c r="AG201"/>
  <c r="AG258" s="1"/>
  <c r="AI201"/>
  <c r="AI258" s="1"/>
  <c r="AK201"/>
  <c r="AK258" s="1"/>
  <c r="AM201"/>
  <c r="AM258" s="1"/>
  <c r="AO201"/>
  <c r="AO258" s="1"/>
  <c r="AQ201"/>
  <c r="AQ258" s="1"/>
  <c r="AS201"/>
  <c r="AS258" s="1"/>
  <c r="AU201"/>
  <c r="AU258" s="1"/>
  <c r="AW201"/>
  <c r="AW258" s="1"/>
  <c r="AY201"/>
  <c r="AY258" s="1"/>
  <c r="BA201"/>
  <c r="BA258" s="1"/>
  <c r="BC201"/>
  <c r="BC258" s="1"/>
  <c r="BE201"/>
  <c r="BE258" s="1"/>
  <c r="BG201"/>
  <c r="BG258" s="1"/>
  <c r="BI201"/>
  <c r="BI258" s="1"/>
  <c r="C203"/>
  <c r="E203"/>
  <c r="W203"/>
  <c r="Y203"/>
  <c r="AA203"/>
  <c r="AC203"/>
  <c r="AE203"/>
  <c r="AG203"/>
  <c r="AI203"/>
  <c r="AK203"/>
  <c r="AK260" s="1"/>
  <c r="AM203"/>
  <c r="AM260" s="1"/>
  <c r="AO203"/>
  <c r="AO260" s="1"/>
  <c r="AQ203"/>
  <c r="AQ260" s="1"/>
  <c r="AS203"/>
  <c r="AS260" s="1"/>
  <c r="AU203"/>
  <c r="AU260" s="1"/>
  <c r="AW203"/>
  <c r="AW260" s="1"/>
  <c r="AY203"/>
  <c r="AY260" s="1"/>
  <c r="BA203"/>
  <c r="BA260" s="1"/>
  <c r="BC203"/>
  <c r="BC260" s="1"/>
  <c r="BE203"/>
  <c r="BE260" s="1"/>
  <c r="BG203"/>
  <c r="BG260" s="1"/>
  <c r="BI203"/>
  <c r="BI260" s="1"/>
  <c r="D204"/>
  <c r="D261" s="1"/>
  <c r="X204"/>
  <c r="X261" s="1"/>
  <c r="Z204"/>
  <c r="Z261" s="1"/>
  <c r="AB204"/>
  <c r="AB261" s="1"/>
  <c r="AD204"/>
  <c r="AD261" s="1"/>
  <c r="AF204"/>
  <c r="AF261" s="1"/>
  <c r="AH204"/>
  <c r="AH261" s="1"/>
  <c r="AJ204"/>
  <c r="AJ261" s="1"/>
  <c r="AL204"/>
  <c r="AL261" s="1"/>
  <c r="AN204"/>
  <c r="AN261" s="1"/>
  <c r="AP204"/>
  <c r="AP261" s="1"/>
  <c r="AR204"/>
  <c r="AR261" s="1"/>
  <c r="AT204"/>
  <c r="AT261" s="1"/>
  <c r="AV204"/>
  <c r="AV261" s="1"/>
  <c r="AX204"/>
  <c r="AX261" s="1"/>
  <c r="AZ204"/>
  <c r="AZ261" s="1"/>
  <c r="BB204"/>
  <c r="BB261" s="1"/>
  <c r="BD204"/>
  <c r="BD261" s="1"/>
  <c r="BF204"/>
  <c r="BF261" s="1"/>
  <c r="BH204"/>
  <c r="BH261" s="1"/>
  <c r="BJ204"/>
  <c r="BJ261" s="1"/>
  <c r="C205"/>
  <c r="W205"/>
  <c r="W262" s="1"/>
  <c r="Y205"/>
  <c r="Y262" s="1"/>
  <c r="AA205"/>
  <c r="AA262" s="1"/>
  <c r="AC205"/>
  <c r="AC262" s="1"/>
  <c r="AE205"/>
  <c r="AE262" s="1"/>
  <c r="AG205"/>
  <c r="AG262" s="1"/>
  <c r="AI205"/>
  <c r="AI262" s="1"/>
  <c r="AK205"/>
  <c r="AK262" s="1"/>
  <c r="AM205"/>
  <c r="AM262" s="1"/>
  <c r="AO205"/>
  <c r="AO262" s="1"/>
  <c r="AQ205"/>
  <c r="AQ262" s="1"/>
  <c r="AS205"/>
  <c r="AS262" s="1"/>
  <c r="AU205"/>
  <c r="AU262" s="1"/>
  <c r="AW205"/>
  <c r="AW262" s="1"/>
  <c r="AY205"/>
  <c r="AY262" s="1"/>
  <c r="BA205"/>
  <c r="BA262" s="1"/>
  <c r="BC205"/>
  <c r="BC262" s="1"/>
  <c r="BE205"/>
  <c r="BE262" s="1"/>
  <c r="BG205"/>
  <c r="BG262" s="1"/>
  <c r="BI205"/>
  <c r="BI262" s="1"/>
  <c r="D206"/>
  <c r="D263" s="1"/>
  <c r="F206"/>
  <c r="F263" s="1"/>
  <c r="X206"/>
  <c r="X263" s="1"/>
  <c r="Z206"/>
  <c r="Z263" s="1"/>
  <c r="AB206"/>
  <c r="AB263" s="1"/>
  <c r="AD206"/>
  <c r="AD263" s="1"/>
  <c r="AF206"/>
  <c r="AF263" s="1"/>
  <c r="AH206"/>
  <c r="AH263" s="1"/>
  <c r="AJ206"/>
  <c r="AJ263" s="1"/>
  <c r="AL206"/>
  <c r="AL263" s="1"/>
  <c r="AN206"/>
  <c r="AN263" s="1"/>
  <c r="AP206"/>
  <c r="AP263" s="1"/>
  <c r="AR206"/>
  <c r="AR263" s="1"/>
  <c r="AT206"/>
  <c r="AT263" s="1"/>
  <c r="AV206"/>
  <c r="AV263" s="1"/>
  <c r="AX206"/>
  <c r="AX263" s="1"/>
  <c r="AZ206"/>
  <c r="AZ263" s="1"/>
  <c r="BB206"/>
  <c r="BB263" s="1"/>
  <c r="BD206"/>
  <c r="BD263" s="1"/>
  <c r="BF206"/>
  <c r="BF263" s="1"/>
  <c r="BH206"/>
  <c r="BH263" s="1"/>
  <c r="BJ206"/>
  <c r="BJ263" s="1"/>
  <c r="W211"/>
  <c r="Y211"/>
  <c r="AA211"/>
  <c r="AC211"/>
  <c r="AE211"/>
  <c r="AG211"/>
  <c r="AI211"/>
  <c r="AK211"/>
  <c r="AM211"/>
  <c r="AO211"/>
  <c r="AQ211"/>
  <c r="AS211"/>
  <c r="AU211"/>
  <c r="AW211"/>
  <c r="AY211"/>
  <c r="BA211"/>
  <c r="BC211"/>
  <c r="BE211"/>
  <c r="BG211"/>
  <c r="BI211"/>
  <c r="I213"/>
  <c r="K213"/>
  <c r="M213"/>
  <c r="O213"/>
  <c r="Q213"/>
  <c r="S213"/>
  <c r="U213"/>
  <c r="W213"/>
  <c r="Y213"/>
  <c r="AA213"/>
  <c r="AC213"/>
  <c r="AE213"/>
  <c r="AG213"/>
  <c r="AI213"/>
  <c r="AK213"/>
  <c r="AM213"/>
  <c r="AO213"/>
  <c r="AQ213"/>
  <c r="AS213"/>
  <c r="AU213"/>
  <c r="AW213"/>
  <c r="AY213"/>
  <c r="BA213"/>
  <c r="BC213"/>
  <c r="BE213"/>
  <c r="BG213"/>
  <c r="BI213"/>
  <c r="E219"/>
  <c r="I219"/>
  <c r="M219"/>
  <c r="Q219"/>
  <c r="U219"/>
  <c r="Y219"/>
  <c r="AC219"/>
  <c r="AG219"/>
  <c r="AK219"/>
  <c r="AO219"/>
  <c r="AS219"/>
  <c r="AW219"/>
  <c r="BA219"/>
  <c r="BE219"/>
  <c r="BI219"/>
  <c r="F222"/>
  <c r="J222"/>
  <c r="N222"/>
  <c r="R222"/>
  <c r="V222"/>
  <c r="Z222"/>
  <c r="AD222"/>
  <c r="AH222"/>
  <c r="AL222"/>
  <c r="AP222"/>
  <c r="AT222"/>
  <c r="AX222"/>
  <c r="BB222"/>
  <c r="BF222"/>
  <c r="BJ222"/>
  <c r="C228"/>
  <c r="G228"/>
  <c r="K228"/>
  <c r="O228"/>
  <c r="S228"/>
  <c r="W228"/>
  <c r="AA228"/>
  <c r="AE228"/>
  <c r="AI228"/>
  <c r="AM228"/>
  <c r="AQ228"/>
  <c r="AU228"/>
  <c r="AY228"/>
  <c r="BC228"/>
  <c r="BG228"/>
  <c r="J237"/>
  <c r="N237"/>
  <c r="R237"/>
  <c r="V237"/>
  <c r="Z237"/>
  <c r="AD237"/>
  <c r="AH237"/>
  <c r="AL237"/>
  <c r="AP237"/>
  <c r="AT237"/>
  <c r="AX237"/>
  <c r="BB237"/>
  <c r="BF237"/>
  <c r="BJ237"/>
  <c r="D241"/>
  <c r="C245"/>
  <c r="D246"/>
  <c r="AH248"/>
  <c r="D250"/>
  <c r="D255"/>
  <c r="C256"/>
  <c r="C392"/>
  <c r="G291"/>
  <c r="G348" s="1"/>
  <c r="O291"/>
  <c r="O348" s="1"/>
  <c r="W291"/>
  <c r="W348" s="1"/>
  <c r="AE291"/>
  <c r="AE348" s="1"/>
  <c r="AM291"/>
  <c r="AM348" s="1"/>
  <c r="AU291"/>
  <c r="AU348" s="1"/>
  <c r="BC291"/>
  <c r="BC348" s="1"/>
  <c r="F350"/>
  <c r="J350"/>
  <c r="N350"/>
  <c r="R350"/>
  <c r="V350"/>
  <c r="Z350"/>
  <c r="AD350"/>
  <c r="AH350"/>
  <c r="AL350"/>
  <c r="AP350"/>
  <c r="AT350"/>
  <c r="AX350"/>
  <c r="BB350"/>
  <c r="BF350"/>
  <c r="BJ350"/>
  <c r="D352"/>
  <c r="H352"/>
  <c r="L352"/>
  <c r="P352"/>
  <c r="T352"/>
  <c r="X352"/>
  <c r="AB352"/>
  <c r="AF352"/>
  <c r="AJ352"/>
  <c r="AN352"/>
  <c r="AR352"/>
  <c r="AV352"/>
  <c r="AZ352"/>
  <c r="BD352"/>
  <c r="BH352"/>
  <c r="G304"/>
  <c r="F307"/>
  <c r="F364" s="1"/>
  <c r="F304"/>
  <c r="G307"/>
  <c r="Z314"/>
  <c r="AD314"/>
  <c r="AH314"/>
  <c r="AL314"/>
  <c r="AL371" s="1"/>
  <c r="AP314"/>
  <c r="AP371" s="1"/>
  <c r="AT314"/>
  <c r="AT371" s="1"/>
  <c r="AX314"/>
  <c r="AX371" s="1"/>
  <c r="BB314"/>
  <c r="BB371" s="1"/>
  <c r="BF314"/>
  <c r="BF371" s="1"/>
  <c r="BJ314"/>
  <c r="BJ371" s="1"/>
  <c r="AA372"/>
  <c r="AE372"/>
  <c r="AI372"/>
  <c r="AM372"/>
  <c r="AQ372"/>
  <c r="AU372"/>
  <c r="AY372"/>
  <c r="BC372"/>
  <c r="BG372"/>
  <c r="Z316"/>
  <c r="Z373" s="1"/>
  <c r="AD316"/>
  <c r="AD373" s="1"/>
  <c r="AH316"/>
  <c r="AH373" s="1"/>
  <c r="AL316"/>
  <c r="AL373" s="1"/>
  <c r="AP316"/>
  <c r="AP373" s="1"/>
  <c r="AT316"/>
  <c r="AT373" s="1"/>
  <c r="AX316"/>
  <c r="AX373" s="1"/>
  <c r="BB316"/>
  <c r="BB373" s="1"/>
  <c r="BF316"/>
  <c r="BF373" s="1"/>
  <c r="BJ316"/>
  <c r="BJ373" s="1"/>
  <c r="Y374"/>
  <c r="AC374"/>
  <c r="AG374"/>
  <c r="AK374"/>
  <c r="AO374"/>
  <c r="AS374"/>
  <c r="AW374"/>
  <c r="BA374"/>
  <c r="BE374"/>
  <c r="BI374"/>
  <c r="AK376"/>
  <c r="AO376"/>
  <c r="AS376"/>
  <c r="AW376"/>
  <c r="BA376"/>
  <c r="BE376"/>
  <c r="BI376"/>
  <c r="D320"/>
  <c r="D377" s="1"/>
  <c r="X320"/>
  <c r="X377" s="1"/>
  <c r="AB320"/>
  <c r="AB377" s="1"/>
  <c r="AF320"/>
  <c r="AF377" s="1"/>
  <c r="AJ320"/>
  <c r="AJ377" s="1"/>
  <c r="AN320"/>
  <c r="AN377" s="1"/>
  <c r="AR320"/>
  <c r="AR377" s="1"/>
  <c r="AV320"/>
  <c r="AV377" s="1"/>
  <c r="AZ320"/>
  <c r="AZ377" s="1"/>
  <c r="BD320"/>
  <c r="BD377" s="1"/>
  <c r="BH320"/>
  <c r="BH377" s="1"/>
  <c r="AA378"/>
  <c r="AE378"/>
  <c r="AI378"/>
  <c r="AM378"/>
  <c r="AQ378"/>
  <c r="AU378"/>
  <c r="AY378"/>
  <c r="BC378"/>
  <c r="BG378"/>
  <c r="F322"/>
  <c r="F379" s="1"/>
  <c r="Z322"/>
  <c r="Z379" s="1"/>
  <c r="AD322"/>
  <c r="AD379" s="1"/>
  <c r="AH322"/>
  <c r="AH379" s="1"/>
  <c r="AL322"/>
  <c r="AL379" s="1"/>
  <c r="AP322"/>
  <c r="AP379" s="1"/>
  <c r="AT322"/>
  <c r="AT379" s="1"/>
  <c r="AX322"/>
  <c r="AX379" s="1"/>
  <c r="BB322"/>
  <c r="BB379" s="1"/>
  <c r="BF322"/>
  <c r="BF379" s="1"/>
  <c r="BJ322"/>
  <c r="BJ379" s="1"/>
  <c r="I329"/>
  <c r="M329"/>
  <c r="Q329"/>
  <c r="U329"/>
  <c r="Y329"/>
  <c r="AC329"/>
  <c r="AG329"/>
  <c r="AK329"/>
  <c r="AO329"/>
  <c r="AS329"/>
  <c r="AW329"/>
  <c r="BA329"/>
  <c r="BE329"/>
  <c r="BI329"/>
  <c r="F335"/>
  <c r="J335"/>
  <c r="N335"/>
  <c r="R335"/>
  <c r="V335"/>
  <c r="Z335"/>
  <c r="AD335"/>
  <c r="AH335"/>
  <c r="AL335"/>
  <c r="AP335"/>
  <c r="AT335"/>
  <c r="AX335"/>
  <c r="BB335"/>
  <c r="BF335"/>
  <c r="BJ335"/>
  <c r="B338"/>
  <c r="D344"/>
  <c r="H344"/>
  <c r="L344"/>
  <c r="P344"/>
  <c r="T344"/>
  <c r="X344"/>
  <c r="AB344"/>
  <c r="AF344"/>
  <c r="AJ344"/>
  <c r="AN344"/>
  <c r="AR344"/>
  <c r="AV344"/>
  <c r="AZ344"/>
  <c r="BD344"/>
  <c r="BH344"/>
  <c r="E347"/>
  <c r="I347"/>
  <c r="M347"/>
  <c r="Q347"/>
  <c r="U347"/>
  <c r="Y347"/>
  <c r="AC347"/>
  <c r="AG347"/>
  <c r="AK347"/>
  <c r="AO347"/>
  <c r="AS347"/>
  <c r="AW347"/>
  <c r="BA347"/>
  <c r="BE347"/>
  <c r="BI347"/>
  <c r="C349"/>
  <c r="G349"/>
  <c r="K349"/>
  <c r="O349"/>
  <c r="S349"/>
  <c r="W349"/>
  <c r="AA349"/>
  <c r="AE349"/>
  <c r="AI349"/>
  <c r="AM349"/>
  <c r="AQ349"/>
  <c r="AU349"/>
  <c r="AY349"/>
  <c r="BC349"/>
  <c r="BG349"/>
  <c r="C353"/>
  <c r="K353"/>
  <c r="O353"/>
  <c r="S353"/>
  <c r="W353"/>
  <c r="AA353"/>
  <c r="AE353"/>
  <c r="AI353"/>
  <c r="AM353"/>
  <c r="AQ353"/>
  <c r="AU353"/>
  <c r="AY353"/>
  <c r="BC353"/>
  <c r="BG353"/>
  <c r="C356"/>
  <c r="E357"/>
  <c r="C358"/>
  <c r="E359"/>
  <c r="D361"/>
  <c r="E362"/>
  <c r="C364"/>
  <c r="AI364"/>
  <c r="C367"/>
  <c r="D372"/>
  <c r="AA384"/>
  <c r="AE384"/>
  <c r="AI384"/>
  <c r="AM384"/>
  <c r="AQ384"/>
  <c r="AU384"/>
  <c r="AY384"/>
  <c r="BC384"/>
  <c r="BG384"/>
  <c r="E395"/>
  <c r="I395"/>
  <c r="M395"/>
  <c r="Q395"/>
  <c r="U395"/>
  <c r="Y395"/>
  <c r="AC395"/>
  <c r="AG395"/>
  <c r="AK395"/>
  <c r="AO395"/>
  <c r="AS395"/>
  <c r="AW395"/>
  <c r="BA395"/>
  <c r="BE395"/>
  <c r="BI395"/>
  <c r="D508"/>
  <c r="H407"/>
  <c r="P407"/>
  <c r="X407"/>
  <c r="AF407"/>
  <c r="AN407"/>
  <c r="AV407"/>
  <c r="BD407"/>
  <c r="G466"/>
  <c r="K466"/>
  <c r="O466"/>
  <c r="S466"/>
  <c r="W466"/>
  <c r="AA466"/>
  <c r="AE466"/>
  <c r="AI466"/>
  <c r="AM466"/>
  <c r="AQ466"/>
  <c r="AU466"/>
  <c r="AY466"/>
  <c r="BC466"/>
  <c r="BG466"/>
  <c r="E468"/>
  <c r="I468"/>
  <c r="M468"/>
  <c r="Q468"/>
  <c r="U468"/>
  <c r="Y468"/>
  <c r="AC468"/>
  <c r="AG468"/>
  <c r="AK468"/>
  <c r="AO468"/>
  <c r="AS468"/>
  <c r="AW468"/>
  <c r="BA468"/>
  <c r="BE468"/>
  <c r="BI468"/>
  <c r="F412"/>
  <c r="C414"/>
  <c r="E420"/>
  <c r="F423"/>
  <c r="Y430"/>
  <c r="AC430"/>
  <c r="AG430"/>
  <c r="AK430"/>
  <c r="AK487" s="1"/>
  <c r="AO430"/>
  <c r="AO487" s="1"/>
  <c r="AS430"/>
  <c r="AS487" s="1"/>
  <c r="AW430"/>
  <c r="AW487" s="1"/>
  <c r="BA430"/>
  <c r="BA487" s="1"/>
  <c r="BE430"/>
  <c r="BE487" s="1"/>
  <c r="BI430"/>
  <c r="BI487" s="1"/>
  <c r="Y432"/>
  <c r="Y489" s="1"/>
  <c r="AC432"/>
  <c r="AC489" s="1"/>
  <c r="AG432"/>
  <c r="AG489" s="1"/>
  <c r="AK432"/>
  <c r="AK489" s="1"/>
  <c r="AO432"/>
  <c r="AO489" s="1"/>
  <c r="AS432"/>
  <c r="AS489" s="1"/>
  <c r="AW432"/>
  <c r="AW489" s="1"/>
  <c r="BA432"/>
  <c r="BA489" s="1"/>
  <c r="BE432"/>
  <c r="BE489" s="1"/>
  <c r="BI432"/>
  <c r="BI489" s="1"/>
  <c r="C436"/>
  <c r="AA436"/>
  <c r="AA493" s="1"/>
  <c r="AE436"/>
  <c r="AE493" s="1"/>
  <c r="AI436"/>
  <c r="AI493" s="1"/>
  <c r="AM436"/>
  <c r="AM493" s="1"/>
  <c r="AQ436"/>
  <c r="AQ493" s="1"/>
  <c r="AU436"/>
  <c r="AU493" s="1"/>
  <c r="AY436"/>
  <c r="AY493" s="1"/>
  <c r="BC436"/>
  <c r="BC493" s="1"/>
  <c r="BG436"/>
  <c r="BG493" s="1"/>
  <c r="E438"/>
  <c r="E495" s="1"/>
  <c r="Y438"/>
  <c r="Y495" s="1"/>
  <c r="AC438"/>
  <c r="AC495" s="1"/>
  <c r="AG438"/>
  <c r="AG495" s="1"/>
  <c r="AK438"/>
  <c r="AK495" s="1"/>
  <c r="AO438"/>
  <c r="AO495" s="1"/>
  <c r="AS438"/>
  <c r="AS495" s="1"/>
  <c r="AW438"/>
  <c r="AW495" s="1"/>
  <c r="BA438"/>
  <c r="BA495" s="1"/>
  <c r="BE438"/>
  <c r="BE495" s="1"/>
  <c r="BI438"/>
  <c r="BI495" s="1"/>
  <c r="H445"/>
  <c r="L445"/>
  <c r="P445"/>
  <c r="T445"/>
  <c r="AB445"/>
  <c r="AF445"/>
  <c r="AJ445"/>
  <c r="AN445"/>
  <c r="AR445"/>
  <c r="AV445"/>
  <c r="AZ445"/>
  <c r="BD445"/>
  <c r="BH445"/>
  <c r="E451"/>
  <c r="I451"/>
  <c r="M451"/>
  <c r="Q451"/>
  <c r="U451"/>
  <c r="Y451"/>
  <c r="AC451"/>
  <c r="AG451"/>
  <c r="AK451"/>
  <c r="AO451"/>
  <c r="AS451"/>
  <c r="AW451"/>
  <c r="BA451"/>
  <c r="BE451"/>
  <c r="BI451"/>
  <c r="F454"/>
  <c r="J454"/>
  <c r="N454"/>
  <c r="R454"/>
  <c r="V454"/>
  <c r="Z454"/>
  <c r="AD454"/>
  <c r="AH454"/>
  <c r="AL454"/>
  <c r="AP454"/>
  <c r="AT454"/>
  <c r="AX454"/>
  <c r="BB454"/>
  <c r="BF454"/>
  <c r="C460"/>
  <c r="G460"/>
  <c r="K460"/>
  <c r="K502" s="1"/>
  <c r="O460"/>
  <c r="S460"/>
  <c r="S502" s="1"/>
  <c r="W460"/>
  <c r="AA460"/>
  <c r="AA502" s="1"/>
  <c r="AE460"/>
  <c r="AI460"/>
  <c r="AI502" s="1"/>
  <c r="AM460"/>
  <c r="AQ460"/>
  <c r="AQ502" s="1"/>
  <c r="AU460"/>
  <c r="AY460"/>
  <c r="AY502" s="1"/>
  <c r="BC460"/>
  <c r="BG460"/>
  <c r="BG502" s="1"/>
  <c r="D463"/>
  <c r="H463"/>
  <c r="L463"/>
  <c r="P463"/>
  <c r="T463"/>
  <c r="X463"/>
  <c r="AB463"/>
  <c r="AF463"/>
  <c r="AJ463"/>
  <c r="AN463"/>
  <c r="AR463"/>
  <c r="AV463"/>
  <c r="AZ463"/>
  <c r="BD463"/>
  <c r="BH463"/>
  <c r="F465"/>
  <c r="J465"/>
  <c r="N465"/>
  <c r="R465"/>
  <c r="V465"/>
  <c r="Z465"/>
  <c r="AD465"/>
  <c r="AH465"/>
  <c r="AL465"/>
  <c r="AP465"/>
  <c r="AT465"/>
  <c r="AX465"/>
  <c r="BB465"/>
  <c r="BF465"/>
  <c r="BJ465"/>
  <c r="Z500"/>
  <c r="AD500"/>
  <c r="AH500"/>
  <c r="AL500"/>
  <c r="AP500"/>
  <c r="AT500"/>
  <c r="AX500"/>
  <c r="BB500"/>
  <c r="BF500"/>
  <c r="BJ500"/>
  <c r="BJ502"/>
  <c r="D511"/>
  <c r="H511"/>
  <c r="L511"/>
  <c r="P511"/>
  <c r="T511"/>
  <c r="X511"/>
  <c r="AB511"/>
  <c r="AF511"/>
  <c r="AJ511"/>
  <c r="AN511"/>
  <c r="AR511"/>
  <c r="AV511"/>
  <c r="AZ511"/>
  <c r="BD511"/>
  <c r="BH511"/>
  <c r="F582"/>
  <c r="J582"/>
  <c r="N582"/>
  <c r="R582"/>
  <c r="V582"/>
  <c r="Z582"/>
  <c r="AD582"/>
  <c r="AH582"/>
  <c r="AL582"/>
  <c r="AP582"/>
  <c r="AT582"/>
  <c r="AX582"/>
  <c r="BB582"/>
  <c r="BF582"/>
  <c r="BJ582"/>
  <c r="E583"/>
  <c r="I583"/>
  <c r="M583"/>
  <c r="Q583"/>
  <c r="U583"/>
  <c r="Y583"/>
  <c r="AC583"/>
  <c r="AG583"/>
  <c r="AK583"/>
  <c r="AO583"/>
  <c r="AS583"/>
  <c r="AW583"/>
  <c r="BA583"/>
  <c r="BE583"/>
  <c r="BI583"/>
  <c r="D584"/>
  <c r="H584"/>
  <c r="L584"/>
  <c r="P584"/>
  <c r="T584"/>
  <c r="X584"/>
  <c r="AB584"/>
  <c r="AF584"/>
  <c r="AJ584"/>
  <c r="AN584"/>
  <c r="AR584"/>
  <c r="AV584"/>
  <c r="AZ584"/>
  <c r="BD584"/>
  <c r="BH584"/>
  <c r="E588"/>
  <c r="C591"/>
  <c r="B591" s="1"/>
  <c r="F17" s="1"/>
  <c r="F536"/>
  <c r="G539"/>
  <c r="Z546"/>
  <c r="AH546"/>
  <c r="AP546"/>
  <c r="AP603" s="1"/>
  <c r="AX546"/>
  <c r="AX603" s="1"/>
  <c r="BF546"/>
  <c r="BF603" s="1"/>
  <c r="AE604"/>
  <c r="AM604"/>
  <c r="AU604"/>
  <c r="BC604"/>
  <c r="Z548"/>
  <c r="Z605" s="1"/>
  <c r="AH548"/>
  <c r="AH605" s="1"/>
  <c r="AP548"/>
  <c r="AP605" s="1"/>
  <c r="AX548"/>
  <c r="AX605" s="1"/>
  <c r="BF548"/>
  <c r="BF605" s="1"/>
  <c r="AC606"/>
  <c r="AK606"/>
  <c r="AS606"/>
  <c r="BA606"/>
  <c r="BI606"/>
  <c r="AK608"/>
  <c r="AS608"/>
  <c r="BA608"/>
  <c r="BI608"/>
  <c r="X552"/>
  <c r="X609" s="1"/>
  <c r="AF552"/>
  <c r="AF609" s="1"/>
  <c r="AN552"/>
  <c r="AN609" s="1"/>
  <c r="AV552"/>
  <c r="AV609" s="1"/>
  <c r="BD552"/>
  <c r="BD609" s="1"/>
  <c r="AA610"/>
  <c r="AI610"/>
  <c r="AQ610"/>
  <c r="AY610"/>
  <c r="BG610"/>
  <c r="AD554"/>
  <c r="AD611" s="1"/>
  <c r="AL554"/>
  <c r="AL611" s="1"/>
  <c r="AT554"/>
  <c r="AT611" s="1"/>
  <c r="BB554"/>
  <c r="BB611" s="1"/>
  <c r="BJ554"/>
  <c r="BJ611" s="1"/>
  <c r="I561"/>
  <c r="Q561"/>
  <c r="Y561"/>
  <c r="AG561"/>
  <c r="AO561"/>
  <c r="AW561"/>
  <c r="BE561"/>
  <c r="F567"/>
  <c r="N567"/>
  <c r="V567"/>
  <c r="AD567"/>
  <c r="AL567"/>
  <c r="AT567"/>
  <c r="BB567"/>
  <c r="BJ567"/>
  <c r="H576"/>
  <c r="P576"/>
  <c r="X576"/>
  <c r="AF576"/>
  <c r="AN576"/>
  <c r="C576"/>
  <c r="C567"/>
  <c r="C554"/>
  <c r="C552"/>
  <c r="E576"/>
  <c r="E567"/>
  <c r="D561"/>
  <c r="E552"/>
  <c r="E609" s="1"/>
  <c r="G576"/>
  <c r="G567"/>
  <c r="G554"/>
  <c r="G611" s="1"/>
  <c r="I576"/>
  <c r="I567"/>
  <c r="H561"/>
  <c r="K576"/>
  <c r="K567"/>
  <c r="J561"/>
  <c r="M576"/>
  <c r="M567"/>
  <c r="L561"/>
  <c r="O576"/>
  <c r="O567"/>
  <c r="N561"/>
  <c r="Q576"/>
  <c r="Q567"/>
  <c r="P561"/>
  <c r="S576"/>
  <c r="S567"/>
  <c r="R561"/>
  <c r="U576"/>
  <c r="U567"/>
  <c r="T561"/>
  <c r="W576"/>
  <c r="W567"/>
  <c r="V561"/>
  <c r="Y576"/>
  <c r="Y567"/>
  <c r="X561"/>
  <c r="Y554"/>
  <c r="Y611" s="1"/>
  <c r="Y552"/>
  <c r="Y548"/>
  <c r="Y605" s="1"/>
  <c r="Y546"/>
  <c r="AA576"/>
  <c r="AA567"/>
  <c r="Z561"/>
  <c r="AA554"/>
  <c r="AA611" s="1"/>
  <c r="AA552"/>
  <c r="AA609" s="1"/>
  <c r="AA548"/>
  <c r="AA605" s="1"/>
  <c r="AA546"/>
  <c r="AC576"/>
  <c r="AC567"/>
  <c r="AB561"/>
  <c r="AC554"/>
  <c r="AC611" s="1"/>
  <c r="AC552"/>
  <c r="AC548"/>
  <c r="AC605" s="1"/>
  <c r="AC546"/>
  <c r="AE576"/>
  <c r="AE567"/>
  <c r="AD561"/>
  <c r="AE554"/>
  <c r="AE611" s="1"/>
  <c r="AE552"/>
  <c r="AE609" s="1"/>
  <c r="AE548"/>
  <c r="AE605" s="1"/>
  <c r="AE546"/>
  <c r="AG576"/>
  <c r="AG567"/>
  <c r="AF561"/>
  <c r="AG554"/>
  <c r="AG611" s="1"/>
  <c r="AG552"/>
  <c r="AG548"/>
  <c r="AG605" s="1"/>
  <c r="AG546"/>
  <c r="AI576"/>
  <c r="AI567"/>
  <c r="AH561"/>
  <c r="AI554"/>
  <c r="AI611" s="1"/>
  <c r="AI552"/>
  <c r="AI609" s="1"/>
  <c r="AI548"/>
  <c r="AI605" s="1"/>
  <c r="AI546"/>
  <c r="AK576"/>
  <c r="AK567"/>
  <c r="AJ561"/>
  <c r="AK554"/>
  <c r="AK611" s="1"/>
  <c r="AK552"/>
  <c r="AK609" s="1"/>
  <c r="AK548"/>
  <c r="AK605" s="1"/>
  <c r="AK546"/>
  <c r="AK603" s="1"/>
  <c r="AM576"/>
  <c r="AM567"/>
  <c r="AL561"/>
  <c r="AM554"/>
  <c r="AM611" s="1"/>
  <c r="AM552"/>
  <c r="AM609" s="1"/>
  <c r="AM548"/>
  <c r="AM605" s="1"/>
  <c r="AM546"/>
  <c r="AM603" s="1"/>
  <c r="AO576"/>
  <c r="AO567"/>
  <c r="AN561"/>
  <c r="AO554"/>
  <c r="AO611" s="1"/>
  <c r="AO552"/>
  <c r="AO609" s="1"/>
  <c r="AO548"/>
  <c r="AO605" s="1"/>
  <c r="AO546"/>
  <c r="AO603" s="1"/>
  <c r="AQ576"/>
  <c r="AQ567"/>
  <c r="AP561"/>
  <c r="AQ554"/>
  <c r="AQ611" s="1"/>
  <c r="AQ552"/>
  <c r="AQ609" s="1"/>
  <c r="AQ548"/>
  <c r="AQ605" s="1"/>
  <c r="AQ546"/>
  <c r="AQ603" s="1"/>
  <c r="AS576"/>
  <c r="AS567"/>
  <c r="AR561"/>
  <c r="AS554"/>
  <c r="AS611" s="1"/>
  <c r="AS552"/>
  <c r="AS609" s="1"/>
  <c r="AS548"/>
  <c r="AS605" s="1"/>
  <c r="AS546"/>
  <c r="AS603" s="1"/>
  <c r="AU576"/>
  <c r="AU567"/>
  <c r="AT561"/>
  <c r="AU554"/>
  <c r="AU611" s="1"/>
  <c r="AU552"/>
  <c r="AU609" s="1"/>
  <c r="AU548"/>
  <c r="AU605" s="1"/>
  <c r="AU546"/>
  <c r="AU603" s="1"/>
  <c r="AW576"/>
  <c r="AW567"/>
  <c r="AV561"/>
  <c r="AW554"/>
  <c r="AW611" s="1"/>
  <c r="AW552"/>
  <c r="AW609" s="1"/>
  <c r="AW548"/>
  <c r="AW605" s="1"/>
  <c r="AW546"/>
  <c r="AW603" s="1"/>
  <c r="AY576"/>
  <c r="AY567"/>
  <c r="AX561"/>
  <c r="AY554"/>
  <c r="AY611" s="1"/>
  <c r="AY552"/>
  <c r="AY609" s="1"/>
  <c r="AY548"/>
  <c r="AY605" s="1"/>
  <c r="AY546"/>
  <c r="AY603" s="1"/>
  <c r="BA576"/>
  <c r="BA567"/>
  <c r="AZ561"/>
  <c r="BA554"/>
  <c r="BA611" s="1"/>
  <c r="BA552"/>
  <c r="BA609" s="1"/>
  <c r="BA548"/>
  <c r="BA605" s="1"/>
  <c r="BA546"/>
  <c r="BA603" s="1"/>
  <c r="BC576"/>
  <c r="BC567"/>
  <c r="BB561"/>
  <c r="BC554"/>
  <c r="BC611" s="1"/>
  <c r="BC552"/>
  <c r="BC609" s="1"/>
  <c r="BC548"/>
  <c r="BC605" s="1"/>
  <c r="BC546"/>
  <c r="BC603" s="1"/>
  <c r="BE576"/>
  <c r="BE567"/>
  <c r="BD561"/>
  <c r="BE554"/>
  <c r="BE611" s="1"/>
  <c r="BE552"/>
  <c r="BE609" s="1"/>
  <c r="BE548"/>
  <c r="BE605" s="1"/>
  <c r="BE546"/>
  <c r="BE603" s="1"/>
  <c r="BG576"/>
  <c r="BG567"/>
  <c r="BF561"/>
  <c r="BG554"/>
  <c r="BG611" s="1"/>
  <c r="BG552"/>
  <c r="BG609" s="1"/>
  <c r="BG548"/>
  <c r="BG605" s="1"/>
  <c r="BG546"/>
  <c r="BG603" s="1"/>
  <c r="BI576"/>
  <c r="BI567"/>
  <c r="BH561"/>
  <c r="BI554"/>
  <c r="BI611" s="1"/>
  <c r="BI552"/>
  <c r="BI609" s="1"/>
  <c r="BI548"/>
  <c r="BI605" s="1"/>
  <c r="BI546"/>
  <c r="BI603" s="1"/>
  <c r="C686"/>
  <c r="C667"/>
  <c r="B635"/>
  <c r="E686"/>
  <c r="E667"/>
  <c r="E699"/>
  <c r="G686"/>
  <c r="G699"/>
  <c r="I686"/>
  <c r="I699"/>
  <c r="K686"/>
  <c r="K699"/>
  <c r="M686"/>
  <c r="M699"/>
  <c r="O686"/>
  <c r="O699"/>
  <c r="Q686"/>
  <c r="Q699"/>
  <c r="S686"/>
  <c r="S699"/>
  <c r="U686"/>
  <c r="U699"/>
  <c r="W686"/>
  <c r="W675"/>
  <c r="W669"/>
  <c r="W726" s="1"/>
  <c r="W667"/>
  <c r="W665"/>
  <c r="W722" s="1"/>
  <c r="W663"/>
  <c r="W720" s="1"/>
  <c r="W699"/>
  <c r="Y686"/>
  <c r="Y675"/>
  <c r="Y669"/>
  <c r="Y726" s="1"/>
  <c r="Y667"/>
  <c r="Y665"/>
  <c r="Y722" s="1"/>
  <c r="Y663"/>
  <c r="Y699"/>
  <c r="AA686"/>
  <c r="AA675"/>
  <c r="AA669"/>
  <c r="AA726" s="1"/>
  <c r="AA667"/>
  <c r="AA665"/>
  <c r="AA722" s="1"/>
  <c r="AA663"/>
  <c r="AA720" s="1"/>
  <c r="AA699"/>
  <c r="AC686"/>
  <c r="AC675"/>
  <c r="AC669"/>
  <c r="AC726" s="1"/>
  <c r="AC667"/>
  <c r="AC665"/>
  <c r="AC722" s="1"/>
  <c r="AC663"/>
  <c r="AC699"/>
  <c r="AE686"/>
  <c r="AE675"/>
  <c r="AE669"/>
  <c r="AE726" s="1"/>
  <c r="AE667"/>
  <c r="AE665"/>
  <c r="AE722" s="1"/>
  <c r="AE663"/>
  <c r="AE720" s="1"/>
  <c r="AE699"/>
  <c r="AG686"/>
  <c r="AG675"/>
  <c r="AG669"/>
  <c r="AG726" s="1"/>
  <c r="AG667"/>
  <c r="AG665"/>
  <c r="AG722" s="1"/>
  <c r="AG663"/>
  <c r="AG699"/>
  <c r="AI686"/>
  <c r="AI675"/>
  <c r="AI669"/>
  <c r="AI726" s="1"/>
  <c r="AI667"/>
  <c r="AI665"/>
  <c r="AI722" s="1"/>
  <c r="AI663"/>
  <c r="AI720" s="1"/>
  <c r="AI699"/>
  <c r="AK686"/>
  <c r="AK675"/>
  <c r="AK669"/>
  <c r="AK726" s="1"/>
  <c r="AK667"/>
  <c r="AK724" s="1"/>
  <c r="AK665"/>
  <c r="AK722" s="1"/>
  <c r="AK663"/>
  <c r="AK720" s="1"/>
  <c r="AK699"/>
  <c r="AM686"/>
  <c r="AM675"/>
  <c r="AM669"/>
  <c r="AM726" s="1"/>
  <c r="AM667"/>
  <c r="AM724" s="1"/>
  <c r="AM665"/>
  <c r="AM722" s="1"/>
  <c r="AM663"/>
  <c r="AM720" s="1"/>
  <c r="AM699"/>
  <c r="AO686"/>
  <c r="AO675"/>
  <c r="AO669"/>
  <c r="AO726" s="1"/>
  <c r="AO667"/>
  <c r="AO724" s="1"/>
  <c r="AO665"/>
  <c r="AO722" s="1"/>
  <c r="AO663"/>
  <c r="AO720" s="1"/>
  <c r="AO699"/>
  <c r="AQ686"/>
  <c r="AQ675"/>
  <c r="AQ669"/>
  <c r="AQ726" s="1"/>
  <c r="AQ667"/>
  <c r="AQ724" s="1"/>
  <c r="AQ665"/>
  <c r="AQ722" s="1"/>
  <c r="AQ663"/>
  <c r="AQ720" s="1"/>
  <c r="AQ699"/>
  <c r="AS686"/>
  <c r="AS675"/>
  <c r="AS669"/>
  <c r="AS726" s="1"/>
  <c r="AS667"/>
  <c r="AS724" s="1"/>
  <c r="AS665"/>
  <c r="AS722" s="1"/>
  <c r="AS663"/>
  <c r="AS720" s="1"/>
  <c r="AS699"/>
  <c r="AU686"/>
  <c r="AU675"/>
  <c r="AU669"/>
  <c r="AU726" s="1"/>
  <c r="AU667"/>
  <c r="AU724" s="1"/>
  <c r="AU665"/>
  <c r="AU722" s="1"/>
  <c r="AU663"/>
  <c r="AU720" s="1"/>
  <c r="AU699"/>
  <c r="AW686"/>
  <c r="AW675"/>
  <c r="AW669"/>
  <c r="AW726" s="1"/>
  <c r="AW667"/>
  <c r="AW724" s="1"/>
  <c r="AW665"/>
  <c r="AW722" s="1"/>
  <c r="AW663"/>
  <c r="AW720" s="1"/>
  <c r="AW699"/>
  <c r="AY686"/>
  <c r="AY675"/>
  <c r="AY669"/>
  <c r="AY726" s="1"/>
  <c r="AY667"/>
  <c r="AY724" s="1"/>
  <c r="AY665"/>
  <c r="AY722" s="1"/>
  <c r="AY663"/>
  <c r="AY720" s="1"/>
  <c r="AY699"/>
  <c r="BA686"/>
  <c r="BA675"/>
  <c r="BA669"/>
  <c r="BA726" s="1"/>
  <c r="BA667"/>
  <c r="BA724" s="1"/>
  <c r="BA665"/>
  <c r="BA722" s="1"/>
  <c r="BA663"/>
  <c r="BA720" s="1"/>
  <c r="BA699"/>
  <c r="BC686"/>
  <c r="BC675"/>
  <c r="BC669"/>
  <c r="BC726" s="1"/>
  <c r="BC667"/>
  <c r="BC724" s="1"/>
  <c r="BC665"/>
  <c r="BC722" s="1"/>
  <c r="BC663"/>
  <c r="BC720" s="1"/>
  <c r="BC699"/>
  <c r="BE686"/>
  <c r="BE675"/>
  <c r="BE669"/>
  <c r="BE726" s="1"/>
  <c r="BE667"/>
  <c r="BE724" s="1"/>
  <c r="BE665"/>
  <c r="BE722" s="1"/>
  <c r="BE663"/>
  <c r="BE720" s="1"/>
  <c r="BE699"/>
  <c r="BG686"/>
  <c r="BG675"/>
  <c r="BG669"/>
  <c r="BG726" s="1"/>
  <c r="BG667"/>
  <c r="BG724" s="1"/>
  <c r="BG665"/>
  <c r="BG722" s="1"/>
  <c r="BG663"/>
  <c r="BG720" s="1"/>
  <c r="BG699"/>
  <c r="BI686"/>
  <c r="BI675"/>
  <c r="BI669"/>
  <c r="BI726" s="1"/>
  <c r="BI667"/>
  <c r="BI724" s="1"/>
  <c r="BI665"/>
  <c r="BI722" s="1"/>
  <c r="BI663"/>
  <c r="BI720" s="1"/>
  <c r="BI699"/>
  <c r="E701"/>
  <c r="E704"/>
  <c r="F647"/>
  <c r="E705"/>
  <c r="E653"/>
  <c r="F648"/>
  <c r="C706"/>
  <c r="D649"/>
  <c r="Z724"/>
  <c r="AD724"/>
  <c r="AH724"/>
  <c r="G350"/>
  <c r="K350"/>
  <c r="O350"/>
  <c r="S350"/>
  <c r="W350"/>
  <c r="AA350"/>
  <c r="AE350"/>
  <c r="AI350"/>
  <c r="AM350"/>
  <c r="AQ350"/>
  <c r="AU350"/>
  <c r="AY350"/>
  <c r="BC350"/>
  <c r="BG350"/>
  <c r="E352"/>
  <c r="G352"/>
  <c r="I352"/>
  <c r="K352"/>
  <c r="M352"/>
  <c r="O352"/>
  <c r="Q352"/>
  <c r="S352"/>
  <c r="U352"/>
  <c r="W352"/>
  <c r="Y352"/>
  <c r="AA352"/>
  <c r="AC352"/>
  <c r="AE352"/>
  <c r="AG352"/>
  <c r="AI352"/>
  <c r="AK352"/>
  <c r="AM352"/>
  <c r="AO352"/>
  <c r="AQ352"/>
  <c r="AS352"/>
  <c r="AU352"/>
  <c r="AW352"/>
  <c r="AY352"/>
  <c r="BA352"/>
  <c r="BC352"/>
  <c r="BE352"/>
  <c r="BG352"/>
  <c r="BI352"/>
  <c r="E304"/>
  <c r="C306"/>
  <c r="E306"/>
  <c r="D307"/>
  <c r="Y314"/>
  <c r="AA314"/>
  <c r="AC314"/>
  <c r="AE314"/>
  <c r="AG314"/>
  <c r="AI314"/>
  <c r="AK314"/>
  <c r="AK371" s="1"/>
  <c r="AM314"/>
  <c r="AM371" s="1"/>
  <c r="AO314"/>
  <c r="AO371" s="1"/>
  <c r="AQ314"/>
  <c r="AQ371" s="1"/>
  <c r="AS314"/>
  <c r="AS371" s="1"/>
  <c r="AU314"/>
  <c r="AU371" s="1"/>
  <c r="AW314"/>
  <c r="AW371" s="1"/>
  <c r="AY314"/>
  <c r="AY371" s="1"/>
  <c r="BA314"/>
  <c r="BA371" s="1"/>
  <c r="BC314"/>
  <c r="BC371" s="1"/>
  <c r="BE314"/>
  <c r="BE371" s="1"/>
  <c r="BG314"/>
  <c r="BG371" s="1"/>
  <c r="BI314"/>
  <c r="BI371" s="1"/>
  <c r="Y316"/>
  <c r="Y373" s="1"/>
  <c r="AA316"/>
  <c r="AA373" s="1"/>
  <c r="AC316"/>
  <c r="AC373" s="1"/>
  <c r="AE316"/>
  <c r="AE373" s="1"/>
  <c r="AG316"/>
  <c r="AG373" s="1"/>
  <c r="AI316"/>
  <c r="AI373" s="1"/>
  <c r="AK316"/>
  <c r="AK373" s="1"/>
  <c r="AM316"/>
  <c r="AM373" s="1"/>
  <c r="AO316"/>
  <c r="AO373" s="1"/>
  <c r="AQ316"/>
  <c r="AQ373" s="1"/>
  <c r="AS316"/>
  <c r="AS373" s="1"/>
  <c r="AU316"/>
  <c r="AU373" s="1"/>
  <c r="AW316"/>
  <c r="AW373" s="1"/>
  <c r="AY316"/>
  <c r="AY373" s="1"/>
  <c r="BA316"/>
  <c r="BA373" s="1"/>
  <c r="BC316"/>
  <c r="BC373" s="1"/>
  <c r="BE316"/>
  <c r="BE373" s="1"/>
  <c r="BG316"/>
  <c r="BG373" s="1"/>
  <c r="BI316"/>
  <c r="BI373" s="1"/>
  <c r="C320"/>
  <c r="E320"/>
  <c r="E377" s="1"/>
  <c r="Y320"/>
  <c r="Y377" s="1"/>
  <c r="AA320"/>
  <c r="AC320"/>
  <c r="AC377" s="1"/>
  <c r="AE320"/>
  <c r="AG320"/>
  <c r="AG377" s="1"/>
  <c r="AI320"/>
  <c r="AK320"/>
  <c r="AK377" s="1"/>
  <c r="AM320"/>
  <c r="AM377" s="1"/>
  <c r="AO320"/>
  <c r="AO377" s="1"/>
  <c r="AQ320"/>
  <c r="AQ377" s="1"/>
  <c r="AS320"/>
  <c r="AS377" s="1"/>
  <c r="AU320"/>
  <c r="AU377" s="1"/>
  <c r="AW320"/>
  <c r="AW377" s="1"/>
  <c r="AY320"/>
  <c r="AY377" s="1"/>
  <c r="BA320"/>
  <c r="BA377" s="1"/>
  <c r="BC320"/>
  <c r="BC377" s="1"/>
  <c r="BE320"/>
  <c r="BE377" s="1"/>
  <c r="BG320"/>
  <c r="BG377" s="1"/>
  <c r="BI320"/>
  <c r="BI377" s="1"/>
  <c r="C322"/>
  <c r="E322"/>
  <c r="E379" s="1"/>
  <c r="G322"/>
  <c r="G379" s="1"/>
  <c r="Y322"/>
  <c r="Y379" s="1"/>
  <c r="AA322"/>
  <c r="AA379" s="1"/>
  <c r="AC322"/>
  <c r="AC379" s="1"/>
  <c r="AE322"/>
  <c r="AE379" s="1"/>
  <c r="AG322"/>
  <c r="AG379" s="1"/>
  <c r="AI322"/>
  <c r="AI379" s="1"/>
  <c r="AK322"/>
  <c r="AK379" s="1"/>
  <c r="AM322"/>
  <c r="AM379" s="1"/>
  <c r="AO322"/>
  <c r="AO379" s="1"/>
  <c r="AQ322"/>
  <c r="AQ379" s="1"/>
  <c r="AS322"/>
  <c r="AS379" s="1"/>
  <c r="AU322"/>
  <c r="AU379" s="1"/>
  <c r="AW322"/>
  <c r="AW379" s="1"/>
  <c r="AY322"/>
  <c r="AY379" s="1"/>
  <c r="BA322"/>
  <c r="BA379" s="1"/>
  <c r="BC322"/>
  <c r="BC379" s="1"/>
  <c r="BE322"/>
  <c r="BE379" s="1"/>
  <c r="BG322"/>
  <c r="BG379" s="1"/>
  <c r="BI322"/>
  <c r="BI379" s="1"/>
  <c r="D329"/>
  <c r="H329"/>
  <c r="J329"/>
  <c r="L329"/>
  <c r="N329"/>
  <c r="P329"/>
  <c r="R329"/>
  <c r="T329"/>
  <c r="V329"/>
  <c r="X329"/>
  <c r="Z329"/>
  <c r="AB329"/>
  <c r="AD329"/>
  <c r="AF329"/>
  <c r="AH329"/>
  <c r="AJ329"/>
  <c r="AL329"/>
  <c r="AN329"/>
  <c r="AP329"/>
  <c r="AR329"/>
  <c r="AT329"/>
  <c r="AV329"/>
  <c r="AX329"/>
  <c r="AZ329"/>
  <c r="BB329"/>
  <c r="BD329"/>
  <c r="BF329"/>
  <c r="BH329"/>
  <c r="C335"/>
  <c r="E335"/>
  <c r="G335"/>
  <c r="I335"/>
  <c r="K335"/>
  <c r="M335"/>
  <c r="O335"/>
  <c r="Q335"/>
  <c r="S335"/>
  <c r="U335"/>
  <c r="W335"/>
  <c r="Y335"/>
  <c r="AA335"/>
  <c r="AC335"/>
  <c r="AE335"/>
  <c r="AG335"/>
  <c r="AI335"/>
  <c r="AK335"/>
  <c r="AM335"/>
  <c r="AO335"/>
  <c r="AQ335"/>
  <c r="AS335"/>
  <c r="AU335"/>
  <c r="AW335"/>
  <c r="AY335"/>
  <c r="BA335"/>
  <c r="BC335"/>
  <c r="BE335"/>
  <c r="BG335"/>
  <c r="BI335"/>
  <c r="D466"/>
  <c r="H466"/>
  <c r="L466"/>
  <c r="P466"/>
  <c r="T466"/>
  <c r="X466"/>
  <c r="AB466"/>
  <c r="AF466"/>
  <c r="AJ466"/>
  <c r="AN466"/>
  <c r="AR466"/>
  <c r="AV466"/>
  <c r="AZ466"/>
  <c r="BD466"/>
  <c r="BH466"/>
  <c r="D468"/>
  <c r="F468"/>
  <c r="H468"/>
  <c r="J468"/>
  <c r="L468"/>
  <c r="N468"/>
  <c r="P468"/>
  <c r="R468"/>
  <c r="T468"/>
  <c r="V468"/>
  <c r="X468"/>
  <c r="Z468"/>
  <c r="AB468"/>
  <c r="AD468"/>
  <c r="AF468"/>
  <c r="AH468"/>
  <c r="AJ468"/>
  <c r="AL468"/>
  <c r="AN468"/>
  <c r="AP468"/>
  <c r="AR468"/>
  <c r="AT468"/>
  <c r="AV468"/>
  <c r="AX468"/>
  <c r="AZ468"/>
  <c r="BB468"/>
  <c r="BD468"/>
  <c r="BF468"/>
  <c r="BH468"/>
  <c r="BJ468"/>
  <c r="Z430"/>
  <c r="AB430"/>
  <c r="AD430"/>
  <c r="AF430"/>
  <c r="AH430"/>
  <c r="AJ430"/>
  <c r="AL430"/>
  <c r="AL487" s="1"/>
  <c r="AN430"/>
  <c r="AN487" s="1"/>
  <c r="AP430"/>
  <c r="AP487" s="1"/>
  <c r="AR430"/>
  <c r="AR487" s="1"/>
  <c r="AT430"/>
  <c r="AT487" s="1"/>
  <c r="AV430"/>
  <c r="AV487" s="1"/>
  <c r="AX430"/>
  <c r="AX487" s="1"/>
  <c r="AZ430"/>
  <c r="AZ487" s="1"/>
  <c r="BB430"/>
  <c r="BB487" s="1"/>
  <c r="BD430"/>
  <c r="BD487" s="1"/>
  <c r="BF430"/>
  <c r="BF487" s="1"/>
  <c r="BH430"/>
  <c r="BH487" s="1"/>
  <c r="BJ430"/>
  <c r="BJ487" s="1"/>
  <c r="Z432"/>
  <c r="Z489" s="1"/>
  <c r="AB432"/>
  <c r="AB489" s="1"/>
  <c r="AD432"/>
  <c r="AD489" s="1"/>
  <c r="AF432"/>
  <c r="AF489" s="1"/>
  <c r="AH432"/>
  <c r="AH489" s="1"/>
  <c r="AJ432"/>
  <c r="AJ489" s="1"/>
  <c r="AL432"/>
  <c r="AL489" s="1"/>
  <c r="AN432"/>
  <c r="AN489" s="1"/>
  <c r="AP432"/>
  <c r="AP489" s="1"/>
  <c r="AR432"/>
  <c r="AR489" s="1"/>
  <c r="AT432"/>
  <c r="AT489" s="1"/>
  <c r="AV432"/>
  <c r="AV489" s="1"/>
  <c r="AX432"/>
  <c r="AX489" s="1"/>
  <c r="AZ432"/>
  <c r="AZ489" s="1"/>
  <c r="BB432"/>
  <c r="BB489" s="1"/>
  <c r="BD432"/>
  <c r="BD489" s="1"/>
  <c r="BF432"/>
  <c r="BF489" s="1"/>
  <c r="BH432"/>
  <c r="BH489" s="1"/>
  <c r="BJ432"/>
  <c r="BJ489" s="1"/>
  <c r="D436"/>
  <c r="Z436"/>
  <c r="Z493" s="1"/>
  <c r="AB436"/>
  <c r="AD436"/>
  <c r="AD493" s="1"/>
  <c r="AF436"/>
  <c r="AH436"/>
  <c r="AH493" s="1"/>
  <c r="AJ436"/>
  <c r="AL436"/>
  <c r="AL493" s="1"/>
  <c r="AN436"/>
  <c r="AN493" s="1"/>
  <c r="AP436"/>
  <c r="AP493" s="1"/>
  <c r="AR436"/>
  <c r="AR493" s="1"/>
  <c r="AT436"/>
  <c r="AT493" s="1"/>
  <c r="AV436"/>
  <c r="AV493" s="1"/>
  <c r="AX436"/>
  <c r="AX493" s="1"/>
  <c r="AZ436"/>
  <c r="AZ493" s="1"/>
  <c r="BB436"/>
  <c r="BB493" s="1"/>
  <c r="BD436"/>
  <c r="BD493" s="1"/>
  <c r="BF436"/>
  <c r="BF493" s="1"/>
  <c r="BH436"/>
  <c r="BH493" s="1"/>
  <c r="BJ436"/>
  <c r="BJ493" s="1"/>
  <c r="D438"/>
  <c r="D495" s="1"/>
  <c r="Z438"/>
  <c r="Z495" s="1"/>
  <c r="AB438"/>
  <c r="AB495" s="1"/>
  <c r="AD438"/>
  <c r="AD495" s="1"/>
  <c r="AF438"/>
  <c r="AF495" s="1"/>
  <c r="AH438"/>
  <c r="AH495" s="1"/>
  <c r="AJ438"/>
  <c r="AJ495" s="1"/>
  <c r="AL438"/>
  <c r="AL495" s="1"/>
  <c r="AN438"/>
  <c r="AN495" s="1"/>
  <c r="AP438"/>
  <c r="AP495" s="1"/>
  <c r="AR438"/>
  <c r="AR495" s="1"/>
  <c r="AT438"/>
  <c r="AT495" s="1"/>
  <c r="AV438"/>
  <c r="AV495" s="1"/>
  <c r="AX438"/>
  <c r="AX495" s="1"/>
  <c r="AZ438"/>
  <c r="AZ495" s="1"/>
  <c r="BB438"/>
  <c r="BB495" s="1"/>
  <c r="BD438"/>
  <c r="BD495" s="1"/>
  <c r="BF438"/>
  <c r="BF495" s="1"/>
  <c r="BH438"/>
  <c r="BH495" s="1"/>
  <c r="BJ438"/>
  <c r="BJ495" s="1"/>
  <c r="I445"/>
  <c r="K445"/>
  <c r="M445"/>
  <c r="O445"/>
  <c r="Q445"/>
  <c r="S445"/>
  <c r="U445"/>
  <c r="W445"/>
  <c r="Y445"/>
  <c r="AA445"/>
  <c r="AC445"/>
  <c r="AE445"/>
  <c r="AG445"/>
  <c r="AI445"/>
  <c r="AK445"/>
  <c r="AM445"/>
  <c r="AO445"/>
  <c r="AQ445"/>
  <c r="AS445"/>
  <c r="AU445"/>
  <c r="AW445"/>
  <c r="AY445"/>
  <c r="BA445"/>
  <c r="BC445"/>
  <c r="BE445"/>
  <c r="BG445"/>
  <c r="BI445"/>
  <c r="D451"/>
  <c r="F451"/>
  <c r="H451"/>
  <c r="J451"/>
  <c r="L451"/>
  <c r="N451"/>
  <c r="P451"/>
  <c r="R451"/>
  <c r="T451"/>
  <c r="V451"/>
  <c r="X451"/>
  <c r="Z451"/>
  <c r="AB451"/>
  <c r="AD451"/>
  <c r="AF451"/>
  <c r="AH451"/>
  <c r="AJ451"/>
  <c r="AL451"/>
  <c r="AN451"/>
  <c r="AP451"/>
  <c r="AR451"/>
  <c r="AT451"/>
  <c r="AV451"/>
  <c r="AX451"/>
  <c r="AZ451"/>
  <c r="BB451"/>
  <c r="BD451"/>
  <c r="BF451"/>
  <c r="BH451"/>
  <c r="BJ451"/>
  <c r="I469"/>
  <c r="K469"/>
  <c r="M469"/>
  <c r="O469"/>
  <c r="Q469"/>
  <c r="S469"/>
  <c r="U469"/>
  <c r="W469"/>
  <c r="Y469"/>
  <c r="AA469"/>
  <c r="AC469"/>
  <c r="AE469"/>
  <c r="AG469"/>
  <c r="AI469"/>
  <c r="AK469"/>
  <c r="AM469"/>
  <c r="AO469"/>
  <c r="AQ469"/>
  <c r="AS469"/>
  <c r="AU469"/>
  <c r="AW469"/>
  <c r="AY469"/>
  <c r="BA469"/>
  <c r="BC469"/>
  <c r="BE469"/>
  <c r="BG469"/>
  <c r="BI469"/>
  <c r="C472"/>
  <c r="C473"/>
  <c r="E475"/>
  <c r="G475"/>
  <c r="D477"/>
  <c r="C478"/>
  <c r="AI480"/>
  <c r="C482"/>
  <c r="C483"/>
  <c r="C487"/>
  <c r="G582"/>
  <c r="K582"/>
  <c r="O582"/>
  <c r="S582"/>
  <c r="W582"/>
  <c r="AA582"/>
  <c r="AE582"/>
  <c r="AI582"/>
  <c r="AM582"/>
  <c r="AQ582"/>
  <c r="AU582"/>
  <c r="AY582"/>
  <c r="BC582"/>
  <c r="BG582"/>
  <c r="E584"/>
  <c r="G584"/>
  <c r="I584"/>
  <c r="K584"/>
  <c r="M584"/>
  <c r="O584"/>
  <c r="Q584"/>
  <c r="S584"/>
  <c r="U584"/>
  <c r="W584"/>
  <c r="Y584"/>
  <c r="AA584"/>
  <c r="AC584"/>
  <c r="AE584"/>
  <c r="AG584"/>
  <c r="AI584"/>
  <c r="AK584"/>
  <c r="AM584"/>
  <c r="AO584"/>
  <c r="AQ584"/>
  <c r="AS584"/>
  <c r="AU584"/>
  <c r="AW584"/>
  <c r="AY584"/>
  <c r="BA584"/>
  <c r="BC584"/>
  <c r="BE584"/>
  <c r="BG584"/>
  <c r="BI584"/>
  <c r="E536"/>
  <c r="G536"/>
  <c r="C538"/>
  <c r="E538"/>
  <c r="D539"/>
  <c r="D596" s="1"/>
  <c r="F539"/>
  <c r="F596" s="1"/>
  <c r="Y547"/>
  <c r="Y604" s="1"/>
  <c r="AC547"/>
  <c r="AC604" s="1"/>
  <c r="AG547"/>
  <c r="AG604" s="1"/>
  <c r="AK547"/>
  <c r="AK604" s="1"/>
  <c r="AO547"/>
  <c r="AO604" s="1"/>
  <c r="AS547"/>
  <c r="AS604" s="1"/>
  <c r="AW547"/>
  <c r="AW604" s="1"/>
  <c r="BA547"/>
  <c r="BA604" s="1"/>
  <c r="BE547"/>
  <c r="BE604" s="1"/>
  <c r="BI547"/>
  <c r="BI604" s="1"/>
  <c r="C549"/>
  <c r="AA549"/>
  <c r="AA606" s="1"/>
  <c r="AE549"/>
  <c r="AE606" s="1"/>
  <c r="AI549"/>
  <c r="AI606" s="1"/>
  <c r="AM549"/>
  <c r="AM606" s="1"/>
  <c r="AQ549"/>
  <c r="AQ606" s="1"/>
  <c r="AU549"/>
  <c r="AU606" s="1"/>
  <c r="AY549"/>
  <c r="AY606" s="1"/>
  <c r="BC549"/>
  <c r="BC606" s="1"/>
  <c r="BG549"/>
  <c r="BG606" s="1"/>
  <c r="C551"/>
  <c r="G551"/>
  <c r="AA551"/>
  <c r="AE551"/>
  <c r="AI551"/>
  <c r="AM551"/>
  <c r="AM608" s="1"/>
  <c r="AQ551"/>
  <c r="AQ608" s="1"/>
  <c r="AU551"/>
  <c r="AU608" s="1"/>
  <c r="AY551"/>
  <c r="AY608" s="1"/>
  <c r="BC551"/>
  <c r="BC608" s="1"/>
  <c r="BG551"/>
  <c r="BG608" s="1"/>
  <c r="E553"/>
  <c r="E610" s="1"/>
  <c r="Y553"/>
  <c r="Y610" s="1"/>
  <c r="AC553"/>
  <c r="AC610" s="1"/>
  <c r="AG553"/>
  <c r="AG610" s="1"/>
  <c r="AK553"/>
  <c r="AK610" s="1"/>
  <c r="AO553"/>
  <c r="AO610" s="1"/>
  <c r="AS553"/>
  <c r="AS610" s="1"/>
  <c r="AW553"/>
  <c r="AW610" s="1"/>
  <c r="BA553"/>
  <c r="BA610" s="1"/>
  <c r="BE553"/>
  <c r="BE610" s="1"/>
  <c r="BI553"/>
  <c r="BI610" s="1"/>
  <c r="AA559"/>
  <c r="AE559"/>
  <c r="AI559"/>
  <c r="AM559"/>
  <c r="AQ559"/>
  <c r="AU559"/>
  <c r="AY559"/>
  <c r="BC559"/>
  <c r="BG559"/>
  <c r="E570"/>
  <c r="I570"/>
  <c r="M570"/>
  <c r="Q570"/>
  <c r="U570"/>
  <c r="Y570"/>
  <c r="AC570"/>
  <c r="AG570"/>
  <c r="AK570"/>
  <c r="AO570"/>
  <c r="AS570"/>
  <c r="AW570"/>
  <c r="BA570"/>
  <c r="BE570"/>
  <c r="BI570"/>
  <c r="N639"/>
  <c r="N696" s="1"/>
  <c r="N694" s="1"/>
  <c r="E698"/>
  <c r="I698"/>
  <c r="M698"/>
  <c r="Q698"/>
  <c r="U698"/>
  <c r="Y698"/>
  <c r="AC698"/>
  <c r="AG698"/>
  <c r="AK698"/>
  <c r="AO698"/>
  <c r="AS698"/>
  <c r="AW698"/>
  <c r="BA698"/>
  <c r="BE698"/>
  <c r="BI698"/>
  <c r="G700"/>
  <c r="K700"/>
  <c r="O700"/>
  <c r="S700"/>
  <c r="W700"/>
  <c r="AA700"/>
  <c r="AE700"/>
  <c r="AI700"/>
  <c r="AM700"/>
  <c r="AQ700"/>
  <c r="AU700"/>
  <c r="AY700"/>
  <c r="BC700"/>
  <c r="BG700"/>
  <c r="B644"/>
  <c r="F653"/>
  <c r="C654"/>
  <c r="W662"/>
  <c r="AA662"/>
  <c r="AE662"/>
  <c r="AI662"/>
  <c r="AM662"/>
  <c r="AM719" s="1"/>
  <c r="AQ662"/>
  <c r="AQ719" s="1"/>
  <c r="AU662"/>
  <c r="AU719" s="1"/>
  <c r="AY662"/>
  <c r="AY719" s="1"/>
  <c r="BC662"/>
  <c r="BC719" s="1"/>
  <c r="BG662"/>
  <c r="BG719" s="1"/>
  <c r="W664"/>
  <c r="W721" s="1"/>
  <c r="AA664"/>
  <c r="AA721" s="1"/>
  <c r="AE664"/>
  <c r="AE721" s="1"/>
  <c r="AI664"/>
  <c r="AI721" s="1"/>
  <c r="AM664"/>
  <c r="AM721" s="1"/>
  <c r="AQ664"/>
  <c r="AQ721" s="1"/>
  <c r="AU664"/>
  <c r="AU721" s="1"/>
  <c r="AY664"/>
  <c r="AY721" s="1"/>
  <c r="BC664"/>
  <c r="BC721" s="1"/>
  <c r="BG664"/>
  <c r="BG721" s="1"/>
  <c r="Y668"/>
  <c r="Y725" s="1"/>
  <c r="AC668"/>
  <c r="AC725" s="1"/>
  <c r="AG668"/>
  <c r="AG725" s="1"/>
  <c r="AK668"/>
  <c r="AK725" s="1"/>
  <c r="AO668"/>
  <c r="AO725" s="1"/>
  <c r="AS668"/>
  <c r="AS725" s="1"/>
  <c r="AW668"/>
  <c r="AW725" s="1"/>
  <c r="BA668"/>
  <c r="BA725" s="1"/>
  <c r="BE668"/>
  <c r="BE725" s="1"/>
  <c r="BI668"/>
  <c r="BI725" s="1"/>
  <c r="W670"/>
  <c r="W727" s="1"/>
  <c r="AA670"/>
  <c r="AA727" s="1"/>
  <c r="AE670"/>
  <c r="AE727" s="1"/>
  <c r="AI670"/>
  <c r="AI727" s="1"/>
  <c r="AM670"/>
  <c r="AM727" s="1"/>
  <c r="AQ670"/>
  <c r="AQ727" s="1"/>
  <c r="AU670"/>
  <c r="AU727" s="1"/>
  <c r="AY670"/>
  <c r="AY727" s="1"/>
  <c r="BC670"/>
  <c r="BC727" s="1"/>
  <c r="BG670"/>
  <c r="BG727" s="1"/>
  <c r="J677"/>
  <c r="N677"/>
  <c r="R677"/>
  <c r="Z677"/>
  <c r="AD677"/>
  <c r="AH677"/>
  <c r="AL677"/>
  <c r="AP677"/>
  <c r="AT677"/>
  <c r="AX677"/>
  <c r="BB677"/>
  <c r="BF677"/>
  <c r="C683"/>
  <c r="G683"/>
  <c r="K683"/>
  <c r="O683"/>
  <c r="S683"/>
  <c r="W683"/>
  <c r="AA683"/>
  <c r="AE683"/>
  <c r="AI683"/>
  <c r="AM683"/>
  <c r="AQ683"/>
  <c r="AU683"/>
  <c r="AY683"/>
  <c r="BC683"/>
  <c r="BG683"/>
  <c r="D686"/>
  <c r="H686"/>
  <c r="L686"/>
  <c r="P686"/>
  <c r="T686"/>
  <c r="X686"/>
  <c r="AB686"/>
  <c r="AF686"/>
  <c r="AJ686"/>
  <c r="AN686"/>
  <c r="AR686"/>
  <c r="AV686"/>
  <c r="AZ686"/>
  <c r="BD686"/>
  <c r="BH686"/>
  <c r="E692"/>
  <c r="I692"/>
  <c r="M692"/>
  <c r="Q692"/>
  <c r="U692"/>
  <c r="Y692"/>
  <c r="AC692"/>
  <c r="AG692"/>
  <c r="AK692"/>
  <c r="AO692"/>
  <c r="AS692"/>
  <c r="AW692"/>
  <c r="BA692"/>
  <c r="BE692"/>
  <c r="BE734" s="1"/>
  <c r="BI692"/>
  <c r="D701"/>
  <c r="D743"/>
  <c r="D740"/>
  <c r="F743"/>
  <c r="F740"/>
  <c r="H743"/>
  <c r="H740"/>
  <c r="J743"/>
  <c r="J740"/>
  <c r="L743"/>
  <c r="L740"/>
  <c r="K734"/>
  <c r="N743"/>
  <c r="N740"/>
  <c r="M734"/>
  <c r="P743"/>
  <c r="P740"/>
  <c r="O734"/>
  <c r="R743"/>
  <c r="R740"/>
  <c r="T743"/>
  <c r="T740"/>
  <c r="S734"/>
  <c r="V743"/>
  <c r="V740"/>
  <c r="U734"/>
  <c r="X743"/>
  <c r="X740"/>
  <c r="W734"/>
  <c r="Z743"/>
  <c r="Z740"/>
  <c r="AB743"/>
  <c r="AB740"/>
  <c r="AA734"/>
  <c r="AD743"/>
  <c r="AD740"/>
  <c r="AC734"/>
  <c r="AF743"/>
  <c r="AF740"/>
  <c r="AE734"/>
  <c r="AH743"/>
  <c r="AH740"/>
  <c r="AJ743"/>
  <c r="AJ740"/>
  <c r="AI734"/>
  <c r="AL743"/>
  <c r="AL740"/>
  <c r="AK734"/>
  <c r="AN743"/>
  <c r="AN740"/>
  <c r="AM734"/>
  <c r="AP743"/>
  <c r="AP740"/>
  <c r="AR743"/>
  <c r="AR740"/>
  <c r="AQ734"/>
  <c r="AT743"/>
  <c r="AT740"/>
  <c r="AS734"/>
  <c r="AV743"/>
  <c r="AV740"/>
  <c r="AU734"/>
  <c r="AX743"/>
  <c r="AX740"/>
  <c r="AZ743"/>
  <c r="AZ740"/>
  <c r="AY734"/>
  <c r="BB743"/>
  <c r="BB740"/>
  <c r="BA734"/>
  <c r="BD743"/>
  <c r="BD740"/>
  <c r="BC734"/>
  <c r="BF743"/>
  <c r="BH743"/>
  <c r="BH740"/>
  <c r="BG734"/>
  <c r="BJ743"/>
  <c r="BI734"/>
  <c r="G701"/>
  <c r="C677"/>
  <c r="C707"/>
  <c r="G655"/>
  <c r="E655"/>
  <c r="C655"/>
  <c r="C670" s="1"/>
  <c r="B650"/>
  <c r="C660" s="1"/>
  <c r="AJ652"/>
  <c r="Y719"/>
  <c r="AC719"/>
  <c r="AG719"/>
  <c r="D724"/>
  <c r="X724"/>
  <c r="AB724"/>
  <c r="AF724"/>
  <c r="AJ724"/>
  <c r="C725"/>
  <c r="S743"/>
  <c r="W743"/>
  <c r="W732"/>
  <c r="AA743"/>
  <c r="AA732"/>
  <c r="AE743"/>
  <c r="AE732"/>
  <c r="AI743"/>
  <c r="AI732"/>
  <c r="AM743"/>
  <c r="AM732"/>
  <c r="AQ743"/>
  <c r="AQ732"/>
  <c r="AU743"/>
  <c r="AU732"/>
  <c r="AY743"/>
  <c r="AY732"/>
  <c r="BC743"/>
  <c r="BC732"/>
  <c r="BG740"/>
  <c r="BG743"/>
  <c r="BG732"/>
  <c r="N637"/>
  <c r="F655"/>
  <c r="F712" s="1"/>
  <c r="E683"/>
  <c r="I683"/>
  <c r="M683"/>
  <c r="Q683"/>
  <c r="U683"/>
  <c r="Y683"/>
  <c r="AC683"/>
  <c r="AG683"/>
  <c r="AK683"/>
  <c r="AO683"/>
  <c r="AS683"/>
  <c r="AW683"/>
  <c r="BA683"/>
  <c r="BE683"/>
  <c r="BI683"/>
  <c r="F686"/>
  <c r="J686"/>
  <c r="N686"/>
  <c r="R686"/>
  <c r="V686"/>
  <c r="Z686"/>
  <c r="AD686"/>
  <c r="AH686"/>
  <c r="AL686"/>
  <c r="AP686"/>
  <c r="AT686"/>
  <c r="AX686"/>
  <c r="BB686"/>
  <c r="BF686"/>
  <c r="F701"/>
  <c r="Z732"/>
  <c r="AD732"/>
  <c r="AH732"/>
  <c r="AL732"/>
  <c r="AP732"/>
  <c r="AT732"/>
  <c r="AX732"/>
  <c r="BB732"/>
  <c r="BF732"/>
  <c r="BJ732"/>
  <c r="J734"/>
  <c r="N734"/>
  <c r="R734"/>
  <c r="Z734"/>
  <c r="AD734"/>
  <c r="AH734"/>
  <c r="AL734"/>
  <c r="AP734"/>
  <c r="AT734"/>
  <c r="AX734"/>
  <c r="BB734"/>
  <c r="BF734"/>
  <c r="BJ734"/>
  <c r="C740"/>
  <c r="G740"/>
  <c r="K740"/>
  <c r="O740"/>
  <c r="S740"/>
  <c r="W740"/>
  <c r="AA740"/>
  <c r="AE740"/>
  <c r="AI740"/>
  <c r="AM740"/>
  <c r="AQ740"/>
  <c r="AU740"/>
  <c r="AY740"/>
  <c r="BC740"/>
  <c r="BJ740"/>
  <c r="C743"/>
  <c r="K743"/>
  <c r="D856"/>
  <c r="D859"/>
  <c r="F856"/>
  <c r="F859"/>
  <c r="H856"/>
  <c r="H859"/>
  <c r="J856"/>
  <c r="J859"/>
  <c r="L856"/>
  <c r="L859"/>
  <c r="N856"/>
  <c r="N859"/>
  <c r="P856"/>
  <c r="P859"/>
  <c r="R856"/>
  <c r="R859"/>
  <c r="T856"/>
  <c r="T859"/>
  <c r="V856"/>
  <c r="V859"/>
  <c r="V848"/>
  <c r="X856"/>
  <c r="X859"/>
  <c r="X848"/>
  <c r="Z856"/>
  <c r="Z859"/>
  <c r="Z848"/>
  <c r="AB856"/>
  <c r="AB859"/>
  <c r="AB848"/>
  <c r="AD856"/>
  <c r="AD859"/>
  <c r="AD848"/>
  <c r="AF856"/>
  <c r="AF859"/>
  <c r="AF848"/>
  <c r="AH856"/>
  <c r="AH859"/>
  <c r="AH848"/>
  <c r="AJ856"/>
  <c r="AJ859"/>
  <c r="AJ848"/>
  <c r="AL856"/>
  <c r="AL859"/>
  <c r="AL848"/>
  <c r="AN856"/>
  <c r="AN859"/>
  <c r="AN848"/>
  <c r="AP856"/>
  <c r="AP859"/>
  <c r="AP848"/>
  <c r="AR856"/>
  <c r="AR859"/>
  <c r="AR848"/>
  <c r="AT856"/>
  <c r="AT859"/>
  <c r="AT848"/>
  <c r="AV856"/>
  <c r="AV859"/>
  <c r="AV848"/>
  <c r="AX856"/>
  <c r="AX859"/>
  <c r="AX848"/>
  <c r="AZ856"/>
  <c r="AZ859"/>
  <c r="AZ848"/>
  <c r="BB856"/>
  <c r="BB859"/>
  <c r="BB848"/>
  <c r="BD856"/>
  <c r="BD859"/>
  <c r="BD848"/>
  <c r="BF856"/>
  <c r="BF859"/>
  <c r="BF848"/>
  <c r="BH856"/>
  <c r="BH859"/>
  <c r="BH848"/>
  <c r="BJ856"/>
  <c r="BJ859"/>
  <c r="BJ850"/>
  <c r="BJ848"/>
  <c r="E817"/>
  <c r="F760"/>
  <c r="C972"/>
  <c r="C975"/>
  <c r="E972"/>
  <c r="E975"/>
  <c r="G972"/>
  <c r="G975"/>
  <c r="I972"/>
  <c r="I975"/>
  <c r="K972"/>
  <c r="K975"/>
  <c r="M972"/>
  <c r="M975"/>
  <c r="O972"/>
  <c r="O975"/>
  <c r="Q972"/>
  <c r="Q975"/>
  <c r="S972"/>
  <c r="S975"/>
  <c r="S964"/>
  <c r="U972"/>
  <c r="U975"/>
  <c r="U964"/>
  <c r="W972"/>
  <c r="W975"/>
  <c r="W964"/>
  <c r="Y972"/>
  <c r="Y975"/>
  <c r="Y964"/>
  <c r="AA972"/>
  <c r="AA975"/>
  <c r="AA964"/>
  <c r="AC972"/>
  <c r="AC975"/>
  <c r="AC964"/>
  <c r="AE972"/>
  <c r="AE975"/>
  <c r="AE964"/>
  <c r="AG972"/>
  <c r="AG975"/>
  <c r="AG964"/>
  <c r="AI972"/>
  <c r="AI975"/>
  <c r="AI964"/>
  <c r="AK972"/>
  <c r="AK975"/>
  <c r="AK964"/>
  <c r="AM972"/>
  <c r="AM975"/>
  <c r="AM964"/>
  <c r="AO972"/>
  <c r="AO975"/>
  <c r="AO964"/>
  <c r="AQ972"/>
  <c r="AQ975"/>
  <c r="AQ964"/>
  <c r="AS972"/>
  <c r="AS975"/>
  <c r="AS964"/>
  <c r="AU972"/>
  <c r="AU975"/>
  <c r="AU964"/>
  <c r="AW972"/>
  <c r="AW975"/>
  <c r="AW964"/>
  <c r="AY972"/>
  <c r="AY975"/>
  <c r="AY964"/>
  <c r="BA972"/>
  <c r="BA975"/>
  <c r="BA964"/>
  <c r="BC972"/>
  <c r="BC975"/>
  <c r="BC964"/>
  <c r="BE972"/>
  <c r="BE975"/>
  <c r="BE964"/>
  <c r="BG972"/>
  <c r="BG975"/>
  <c r="BG964"/>
  <c r="BI972"/>
  <c r="BI975"/>
  <c r="BI964"/>
  <c r="F698"/>
  <c r="H698"/>
  <c r="J698"/>
  <c r="N698"/>
  <c r="P698"/>
  <c r="R698"/>
  <c r="V698"/>
  <c r="X698"/>
  <c r="Z698"/>
  <c r="AD698"/>
  <c r="AF698"/>
  <c r="AH698"/>
  <c r="AL698"/>
  <c r="AN698"/>
  <c r="AP698"/>
  <c r="AT698"/>
  <c r="AV698"/>
  <c r="AX698"/>
  <c r="BB698"/>
  <c r="BD698"/>
  <c r="BJ698"/>
  <c r="D700"/>
  <c r="F700"/>
  <c r="H700"/>
  <c r="J700"/>
  <c r="L700"/>
  <c r="N700"/>
  <c r="P700"/>
  <c r="R700"/>
  <c r="T700"/>
  <c r="V700"/>
  <c r="X700"/>
  <c r="Z700"/>
  <c r="AB700"/>
  <c r="AD700"/>
  <c r="AF700"/>
  <c r="AH700"/>
  <c r="AJ700"/>
  <c r="AL700"/>
  <c r="AN700"/>
  <c r="AP700"/>
  <c r="AR700"/>
  <c r="AT700"/>
  <c r="AV700"/>
  <c r="AX700"/>
  <c r="AZ700"/>
  <c r="BB700"/>
  <c r="BD700"/>
  <c r="BF700"/>
  <c r="BH700"/>
  <c r="BJ700"/>
  <c r="X662"/>
  <c r="Z662"/>
  <c r="AB662"/>
  <c r="AD662"/>
  <c r="AF662"/>
  <c r="AH662"/>
  <c r="AJ662"/>
  <c r="AL662"/>
  <c r="AL719" s="1"/>
  <c r="AN662"/>
  <c r="AN719" s="1"/>
  <c r="AP662"/>
  <c r="AP719" s="1"/>
  <c r="AR662"/>
  <c r="AR719" s="1"/>
  <c r="AT662"/>
  <c r="AT719" s="1"/>
  <c r="AV662"/>
  <c r="AV719" s="1"/>
  <c r="AX662"/>
  <c r="AX719" s="1"/>
  <c r="AZ662"/>
  <c r="AZ719" s="1"/>
  <c r="BB662"/>
  <c r="BB719" s="1"/>
  <c r="BD662"/>
  <c r="BD719" s="1"/>
  <c r="BF662"/>
  <c r="BF719" s="1"/>
  <c r="BH662"/>
  <c r="BH719" s="1"/>
  <c r="BJ662"/>
  <c r="BJ719" s="1"/>
  <c r="X664"/>
  <c r="X721" s="1"/>
  <c r="Z664"/>
  <c r="Z721" s="1"/>
  <c r="AB664"/>
  <c r="AB721" s="1"/>
  <c r="AD664"/>
  <c r="AD721" s="1"/>
  <c r="AF664"/>
  <c r="AF721" s="1"/>
  <c r="AH664"/>
  <c r="AH721" s="1"/>
  <c r="AJ664"/>
  <c r="AJ721" s="1"/>
  <c r="AL664"/>
  <c r="AL721" s="1"/>
  <c r="AN664"/>
  <c r="AN721" s="1"/>
  <c r="AP664"/>
  <c r="AP721" s="1"/>
  <c r="AR664"/>
  <c r="AR721" s="1"/>
  <c r="AT664"/>
  <c r="AT721" s="1"/>
  <c r="AV664"/>
  <c r="AV721" s="1"/>
  <c r="AX664"/>
  <c r="AX721" s="1"/>
  <c r="AZ664"/>
  <c r="AZ721" s="1"/>
  <c r="BB664"/>
  <c r="BB721" s="1"/>
  <c r="BD664"/>
  <c r="BD721" s="1"/>
  <c r="BF664"/>
  <c r="BF721" s="1"/>
  <c r="BH664"/>
  <c r="BH721" s="1"/>
  <c r="BJ664"/>
  <c r="BJ721" s="1"/>
  <c r="D668"/>
  <c r="F668"/>
  <c r="F725" s="1"/>
  <c r="X668"/>
  <c r="Z668"/>
  <c r="AB668"/>
  <c r="AD668"/>
  <c r="AF668"/>
  <c r="AH668"/>
  <c r="AJ668"/>
  <c r="AL668"/>
  <c r="AL725" s="1"/>
  <c r="AN668"/>
  <c r="AN725" s="1"/>
  <c r="AP668"/>
  <c r="AP725" s="1"/>
  <c r="AR668"/>
  <c r="AR725" s="1"/>
  <c r="AT668"/>
  <c r="AT725" s="1"/>
  <c r="AV668"/>
  <c r="AV725" s="1"/>
  <c r="AX668"/>
  <c r="AX725" s="1"/>
  <c r="AZ668"/>
  <c r="AZ725" s="1"/>
  <c r="BB668"/>
  <c r="BB725" s="1"/>
  <c r="BD668"/>
  <c r="BD725" s="1"/>
  <c r="BF668"/>
  <c r="BF725" s="1"/>
  <c r="BH668"/>
  <c r="BH725" s="1"/>
  <c r="BJ668"/>
  <c r="BJ725" s="1"/>
  <c r="D670"/>
  <c r="D727" s="1"/>
  <c r="F670"/>
  <c r="F727" s="1"/>
  <c r="X670"/>
  <c r="X727" s="1"/>
  <c r="Z670"/>
  <c r="Z727" s="1"/>
  <c r="AB670"/>
  <c r="AB727" s="1"/>
  <c r="AD670"/>
  <c r="AD727" s="1"/>
  <c r="AF670"/>
  <c r="AF727" s="1"/>
  <c r="AH670"/>
  <c r="AH727" s="1"/>
  <c r="AJ670"/>
  <c r="AJ727" s="1"/>
  <c r="AL670"/>
  <c r="AL727" s="1"/>
  <c r="AN670"/>
  <c r="AN727" s="1"/>
  <c r="AP670"/>
  <c r="AP727" s="1"/>
  <c r="AR670"/>
  <c r="AR727" s="1"/>
  <c r="AT670"/>
  <c r="AT727" s="1"/>
  <c r="AV670"/>
  <c r="AV727" s="1"/>
  <c r="AX670"/>
  <c r="AX727" s="1"/>
  <c r="AZ670"/>
  <c r="AZ727" s="1"/>
  <c r="BB670"/>
  <c r="BB727" s="1"/>
  <c r="BD670"/>
  <c r="BD727" s="1"/>
  <c r="BF670"/>
  <c r="BF727" s="1"/>
  <c r="BH670"/>
  <c r="BH727" s="1"/>
  <c r="BJ670"/>
  <c r="BJ727" s="1"/>
  <c r="I677"/>
  <c r="K677"/>
  <c r="M677"/>
  <c r="O677"/>
  <c r="Q677"/>
  <c r="S677"/>
  <c r="U677"/>
  <c r="W677"/>
  <c r="Y677"/>
  <c r="AA677"/>
  <c r="AC677"/>
  <c r="AE677"/>
  <c r="AG677"/>
  <c r="AI677"/>
  <c r="AK677"/>
  <c r="AM677"/>
  <c r="AO677"/>
  <c r="AQ677"/>
  <c r="AS677"/>
  <c r="AU677"/>
  <c r="AW677"/>
  <c r="AY677"/>
  <c r="BA677"/>
  <c r="BC677"/>
  <c r="BE677"/>
  <c r="BG677"/>
  <c r="BI677"/>
  <c r="D683"/>
  <c r="F683"/>
  <c r="H683"/>
  <c r="J683"/>
  <c r="L683"/>
  <c r="N683"/>
  <c r="P683"/>
  <c r="R683"/>
  <c r="T683"/>
  <c r="V683"/>
  <c r="X683"/>
  <c r="Z683"/>
  <c r="AB683"/>
  <c r="AD683"/>
  <c r="AF683"/>
  <c r="AH683"/>
  <c r="AJ683"/>
  <c r="AL683"/>
  <c r="AN683"/>
  <c r="AP683"/>
  <c r="AR683"/>
  <c r="AT683"/>
  <c r="AV683"/>
  <c r="AX683"/>
  <c r="AZ683"/>
  <c r="BB683"/>
  <c r="BD683"/>
  <c r="BF683"/>
  <c r="BH683"/>
  <c r="BJ683"/>
  <c r="I701"/>
  <c r="K701"/>
  <c r="M701"/>
  <c r="O701"/>
  <c r="Q701"/>
  <c r="S701"/>
  <c r="U701"/>
  <c r="W701"/>
  <c r="Y701"/>
  <c r="AA701"/>
  <c r="AC701"/>
  <c r="AE701"/>
  <c r="AG701"/>
  <c r="AI701"/>
  <c r="AK701"/>
  <c r="AM701"/>
  <c r="AO701"/>
  <c r="AQ701"/>
  <c r="AS701"/>
  <c r="AU701"/>
  <c r="AW701"/>
  <c r="AY701"/>
  <c r="BA701"/>
  <c r="BC701"/>
  <c r="BE701"/>
  <c r="BG701"/>
  <c r="BI701"/>
  <c r="C704"/>
  <c r="C705"/>
  <c r="E707"/>
  <c r="G707"/>
  <c r="D709"/>
  <c r="C710"/>
  <c r="AI712"/>
  <c r="C714"/>
  <c r="C715"/>
  <c r="C719"/>
  <c r="D1088"/>
  <c r="D1091"/>
  <c r="F1088"/>
  <c r="F1091"/>
  <c r="H1088"/>
  <c r="H1091"/>
  <c r="J1088"/>
  <c r="J1091"/>
  <c r="L1088"/>
  <c r="L1091"/>
  <c r="N1088"/>
  <c r="N1091"/>
  <c r="P1088"/>
  <c r="P1091"/>
  <c r="R1088"/>
  <c r="R1091"/>
  <c r="T1088"/>
  <c r="T1091"/>
  <c r="V1088"/>
  <c r="V1091"/>
  <c r="X1088"/>
  <c r="X1080"/>
  <c r="X1091"/>
  <c r="Z1088"/>
  <c r="Z1091"/>
  <c r="Z1080"/>
  <c r="AB1088"/>
  <c r="AB1080"/>
  <c r="AB1091"/>
  <c r="AD1088"/>
  <c r="AD1091"/>
  <c r="AD1080"/>
  <c r="AF1088"/>
  <c r="AF1080"/>
  <c r="AF1091"/>
  <c r="AH1088"/>
  <c r="AH1091"/>
  <c r="AH1080"/>
  <c r="AJ1088"/>
  <c r="AJ1080"/>
  <c r="AJ1091"/>
  <c r="AL1088"/>
  <c r="AL1091"/>
  <c r="AL1080"/>
  <c r="AN1088"/>
  <c r="AN1080"/>
  <c r="AN1091"/>
  <c r="AP1088"/>
  <c r="AP1091"/>
  <c r="AP1080"/>
  <c r="AR1088"/>
  <c r="AR1080"/>
  <c r="AR1091"/>
  <c r="AT1088"/>
  <c r="AT1091"/>
  <c r="AT1080"/>
  <c r="AV1088"/>
  <c r="AV1080"/>
  <c r="AV1091"/>
  <c r="AX1088"/>
  <c r="AX1091"/>
  <c r="AX1080"/>
  <c r="AZ1088"/>
  <c r="AZ1080"/>
  <c r="AZ1091"/>
  <c r="BB1088"/>
  <c r="BB1091"/>
  <c r="BB1080"/>
  <c r="BD1088"/>
  <c r="BD1080"/>
  <c r="BD1091"/>
  <c r="BF1088"/>
  <c r="BF1091"/>
  <c r="BF1080"/>
  <c r="BH1088"/>
  <c r="BH1080"/>
  <c r="BH1091"/>
  <c r="BJ1088"/>
  <c r="BJ1091"/>
  <c r="BJ1082"/>
  <c r="BJ1080"/>
  <c r="E814"/>
  <c r="G814"/>
  <c r="I814"/>
  <c r="K814"/>
  <c r="M814"/>
  <c r="O814"/>
  <c r="Q814"/>
  <c r="S814"/>
  <c r="U814"/>
  <c r="W814"/>
  <c r="Y814"/>
  <c r="AA814"/>
  <c r="AC814"/>
  <c r="AE814"/>
  <c r="AG814"/>
  <c r="AI814"/>
  <c r="AK814"/>
  <c r="AM814"/>
  <c r="AO814"/>
  <c r="AQ814"/>
  <c r="AS814"/>
  <c r="AU814"/>
  <c r="AW814"/>
  <c r="AY814"/>
  <c r="BA814"/>
  <c r="BC814"/>
  <c r="BE814"/>
  <c r="BG814"/>
  <c r="BI814"/>
  <c r="D815"/>
  <c r="F815"/>
  <c r="H815"/>
  <c r="J815"/>
  <c r="L815"/>
  <c r="N815"/>
  <c r="P815"/>
  <c r="R815"/>
  <c r="T815"/>
  <c r="V815"/>
  <c r="X815"/>
  <c r="Z815"/>
  <c r="AB815"/>
  <c r="AD815"/>
  <c r="AF815"/>
  <c r="AH815"/>
  <c r="AJ815"/>
  <c r="AL815"/>
  <c r="AN815"/>
  <c r="AP815"/>
  <c r="AR815"/>
  <c r="AT815"/>
  <c r="AV815"/>
  <c r="AX815"/>
  <c r="AZ815"/>
  <c r="BB815"/>
  <c r="BD815"/>
  <c r="BF815"/>
  <c r="BH815"/>
  <c r="BJ815"/>
  <c r="E816"/>
  <c r="G816"/>
  <c r="I816"/>
  <c r="K816"/>
  <c r="M816"/>
  <c r="O816"/>
  <c r="Q816"/>
  <c r="S816"/>
  <c r="U816"/>
  <c r="W816"/>
  <c r="Y816"/>
  <c r="AA816"/>
  <c r="AC816"/>
  <c r="AE816"/>
  <c r="AG816"/>
  <c r="AI816"/>
  <c r="AK816"/>
  <c r="AM816"/>
  <c r="AO816"/>
  <c r="AQ816"/>
  <c r="AS816"/>
  <c r="AU816"/>
  <c r="AW816"/>
  <c r="AY816"/>
  <c r="BA816"/>
  <c r="BC816"/>
  <c r="BE816"/>
  <c r="BG816"/>
  <c r="BI816"/>
  <c r="E768"/>
  <c r="C770"/>
  <c r="D771"/>
  <c r="D828" s="1"/>
  <c r="F771"/>
  <c r="F828" s="1"/>
  <c r="W778"/>
  <c r="Y778"/>
  <c r="AA778"/>
  <c r="AC778"/>
  <c r="AE778"/>
  <c r="AG778"/>
  <c r="AI778"/>
  <c r="AK778"/>
  <c r="AK835" s="1"/>
  <c r="AM778"/>
  <c r="AM835" s="1"/>
  <c r="AO778"/>
  <c r="AO835" s="1"/>
  <c r="AQ778"/>
  <c r="AQ835" s="1"/>
  <c r="AS778"/>
  <c r="AS835" s="1"/>
  <c r="AU778"/>
  <c r="AU835" s="1"/>
  <c r="AW778"/>
  <c r="AW835" s="1"/>
  <c r="AY778"/>
  <c r="AY835" s="1"/>
  <c r="BA778"/>
  <c r="BA835" s="1"/>
  <c r="BC778"/>
  <c r="BC835" s="1"/>
  <c r="BE778"/>
  <c r="BE835" s="1"/>
  <c r="BG778"/>
  <c r="BG835" s="1"/>
  <c r="BI778"/>
  <c r="BI835" s="1"/>
  <c r="V779"/>
  <c r="V836" s="1"/>
  <c r="X779"/>
  <c r="X836" s="1"/>
  <c r="Z779"/>
  <c r="Z836" s="1"/>
  <c r="AB779"/>
  <c r="AB836" s="1"/>
  <c r="AD779"/>
  <c r="AD836" s="1"/>
  <c r="AF779"/>
  <c r="AF836" s="1"/>
  <c r="AH779"/>
  <c r="AH836" s="1"/>
  <c r="AJ779"/>
  <c r="AJ836" s="1"/>
  <c r="AL779"/>
  <c r="AL836" s="1"/>
  <c r="AN779"/>
  <c r="AN836" s="1"/>
  <c r="AP779"/>
  <c r="AP836" s="1"/>
  <c r="AR779"/>
  <c r="AR836" s="1"/>
  <c r="AT779"/>
  <c r="AT836" s="1"/>
  <c r="AV779"/>
  <c r="AV836" s="1"/>
  <c r="AX779"/>
  <c r="AX836" s="1"/>
  <c r="AZ779"/>
  <c r="AZ836" s="1"/>
  <c r="BB779"/>
  <c r="BB836" s="1"/>
  <c r="BD779"/>
  <c r="BD836" s="1"/>
  <c r="BF779"/>
  <c r="BF836" s="1"/>
  <c r="BH779"/>
  <c r="BH836" s="1"/>
  <c r="BJ779"/>
  <c r="BJ836" s="1"/>
  <c r="W780"/>
  <c r="W837" s="1"/>
  <c r="Y780"/>
  <c r="Y837" s="1"/>
  <c r="AA780"/>
  <c r="AA837" s="1"/>
  <c r="AC780"/>
  <c r="AC837" s="1"/>
  <c r="AE780"/>
  <c r="AE837" s="1"/>
  <c r="AG780"/>
  <c r="AG837" s="1"/>
  <c r="AI780"/>
  <c r="AI837" s="1"/>
  <c r="AK780"/>
  <c r="AK837" s="1"/>
  <c r="AM780"/>
  <c r="AM837" s="1"/>
  <c r="AO780"/>
  <c r="AO837" s="1"/>
  <c r="AQ780"/>
  <c r="AQ837" s="1"/>
  <c r="AS780"/>
  <c r="AS837" s="1"/>
  <c r="AU780"/>
  <c r="AU837" s="1"/>
  <c r="AW780"/>
  <c r="AW837" s="1"/>
  <c r="AY780"/>
  <c r="AY837" s="1"/>
  <c r="BA780"/>
  <c r="BA837" s="1"/>
  <c r="BC780"/>
  <c r="BC837" s="1"/>
  <c r="BE780"/>
  <c r="BE837" s="1"/>
  <c r="BG780"/>
  <c r="BG837" s="1"/>
  <c r="BI780"/>
  <c r="BI837" s="1"/>
  <c r="V781"/>
  <c r="V838" s="1"/>
  <c r="X781"/>
  <c r="X838" s="1"/>
  <c r="Z781"/>
  <c r="Z838" s="1"/>
  <c r="AB781"/>
  <c r="AB838" s="1"/>
  <c r="AD781"/>
  <c r="AD838" s="1"/>
  <c r="AF781"/>
  <c r="AF838" s="1"/>
  <c r="AH781"/>
  <c r="AH838" s="1"/>
  <c r="AJ781"/>
  <c r="AJ838" s="1"/>
  <c r="AL781"/>
  <c r="AL838" s="1"/>
  <c r="AN781"/>
  <c r="AN838" s="1"/>
  <c r="AP781"/>
  <c r="AP838" s="1"/>
  <c r="AR781"/>
  <c r="AR838" s="1"/>
  <c r="AT781"/>
  <c r="AT838" s="1"/>
  <c r="AV781"/>
  <c r="AV838" s="1"/>
  <c r="AX781"/>
  <c r="AX838" s="1"/>
  <c r="AZ781"/>
  <c r="AZ838" s="1"/>
  <c r="BB781"/>
  <c r="BB838" s="1"/>
  <c r="BD781"/>
  <c r="BD838" s="1"/>
  <c r="BF781"/>
  <c r="BF838" s="1"/>
  <c r="BH781"/>
  <c r="BH838" s="1"/>
  <c r="BJ781"/>
  <c r="BJ838" s="1"/>
  <c r="D783"/>
  <c r="V783"/>
  <c r="X783"/>
  <c r="Z783"/>
  <c r="AB783"/>
  <c r="AD783"/>
  <c r="AF783"/>
  <c r="AH783"/>
  <c r="AJ783"/>
  <c r="AL783"/>
  <c r="AL840" s="1"/>
  <c r="AN783"/>
  <c r="AN840" s="1"/>
  <c r="AP783"/>
  <c r="AP840" s="1"/>
  <c r="AR783"/>
  <c r="AR840" s="1"/>
  <c r="AT783"/>
  <c r="AT840" s="1"/>
  <c r="AV783"/>
  <c r="AV840" s="1"/>
  <c r="AX783"/>
  <c r="AX840" s="1"/>
  <c r="AZ783"/>
  <c r="AZ840" s="1"/>
  <c r="BB783"/>
  <c r="BB840" s="1"/>
  <c r="BD783"/>
  <c r="BD840" s="1"/>
  <c r="BF783"/>
  <c r="BF840" s="1"/>
  <c r="BH783"/>
  <c r="BH840" s="1"/>
  <c r="BJ783"/>
  <c r="BJ840" s="1"/>
  <c r="C784"/>
  <c r="W784"/>
  <c r="W841" s="1"/>
  <c r="Y784"/>
  <c r="Y841" s="1"/>
  <c r="AA784"/>
  <c r="AA841" s="1"/>
  <c r="AC784"/>
  <c r="AC841" s="1"/>
  <c r="AE784"/>
  <c r="AE841" s="1"/>
  <c r="AG784"/>
  <c r="AG841" s="1"/>
  <c r="AI784"/>
  <c r="AI841" s="1"/>
  <c r="AK784"/>
  <c r="AK841" s="1"/>
  <c r="AM784"/>
  <c r="AM841" s="1"/>
  <c r="AO784"/>
  <c r="AO841" s="1"/>
  <c r="AQ784"/>
  <c r="AQ841" s="1"/>
  <c r="AS784"/>
  <c r="AS841" s="1"/>
  <c r="AU784"/>
  <c r="AU841" s="1"/>
  <c r="AW784"/>
  <c r="AW841" s="1"/>
  <c r="AY784"/>
  <c r="AY841" s="1"/>
  <c r="BA784"/>
  <c r="BA841" s="1"/>
  <c r="BC784"/>
  <c r="BC841" s="1"/>
  <c r="BE784"/>
  <c r="BE841" s="1"/>
  <c r="BG784"/>
  <c r="BG841" s="1"/>
  <c r="BI784"/>
  <c r="BI841" s="1"/>
  <c r="V785"/>
  <c r="V842" s="1"/>
  <c r="X785"/>
  <c r="X842" s="1"/>
  <c r="Z785"/>
  <c r="Z842" s="1"/>
  <c r="AB785"/>
  <c r="AB842" s="1"/>
  <c r="AD785"/>
  <c r="AD842" s="1"/>
  <c r="AF785"/>
  <c r="AF842" s="1"/>
  <c r="AH785"/>
  <c r="AH842" s="1"/>
  <c r="AJ785"/>
  <c r="AJ842" s="1"/>
  <c r="AL785"/>
  <c r="AL842" s="1"/>
  <c r="AN785"/>
  <c r="AN842" s="1"/>
  <c r="AP785"/>
  <c r="AP842" s="1"/>
  <c r="AR785"/>
  <c r="AR842" s="1"/>
  <c r="AT785"/>
  <c r="AT842" s="1"/>
  <c r="AV785"/>
  <c r="AV842" s="1"/>
  <c r="AX785"/>
  <c r="AX842" s="1"/>
  <c r="AZ785"/>
  <c r="AZ842" s="1"/>
  <c r="BB785"/>
  <c r="BB842" s="1"/>
  <c r="BD785"/>
  <c r="BD842" s="1"/>
  <c r="BF785"/>
  <c r="BF842" s="1"/>
  <c r="BH785"/>
  <c r="BH842" s="1"/>
  <c r="BJ785"/>
  <c r="BJ842" s="1"/>
  <c r="W786"/>
  <c r="W843" s="1"/>
  <c r="Y786"/>
  <c r="Y843" s="1"/>
  <c r="AA786"/>
  <c r="AA843" s="1"/>
  <c r="AC786"/>
  <c r="AC843" s="1"/>
  <c r="AE786"/>
  <c r="AE843" s="1"/>
  <c r="AG786"/>
  <c r="AG843" s="1"/>
  <c r="AI786"/>
  <c r="AI843" s="1"/>
  <c r="AK786"/>
  <c r="AK843" s="1"/>
  <c r="AM786"/>
  <c r="AM843" s="1"/>
  <c r="AO786"/>
  <c r="AO843" s="1"/>
  <c r="AQ786"/>
  <c r="AQ843" s="1"/>
  <c r="AS786"/>
  <c r="AS843" s="1"/>
  <c r="AU786"/>
  <c r="AU843" s="1"/>
  <c r="AW786"/>
  <c r="AW843" s="1"/>
  <c r="AY786"/>
  <c r="AY843" s="1"/>
  <c r="BA786"/>
  <c r="BA843" s="1"/>
  <c r="BC786"/>
  <c r="BC843" s="1"/>
  <c r="BE786"/>
  <c r="BE843" s="1"/>
  <c r="BG786"/>
  <c r="BG843" s="1"/>
  <c r="BI786"/>
  <c r="BI843" s="1"/>
  <c r="V791"/>
  <c r="X791"/>
  <c r="Z791"/>
  <c r="AB791"/>
  <c r="AD791"/>
  <c r="AF791"/>
  <c r="AH791"/>
  <c r="AJ791"/>
  <c r="AL791"/>
  <c r="AN791"/>
  <c r="AP791"/>
  <c r="AR791"/>
  <c r="AT791"/>
  <c r="AV791"/>
  <c r="AX791"/>
  <c r="AZ791"/>
  <c r="BB791"/>
  <c r="BD791"/>
  <c r="BF791"/>
  <c r="BH791"/>
  <c r="BJ791"/>
  <c r="H793"/>
  <c r="J793"/>
  <c r="L793"/>
  <c r="N793"/>
  <c r="P793"/>
  <c r="R793"/>
  <c r="T793"/>
  <c r="V793"/>
  <c r="X793"/>
  <c r="Z793"/>
  <c r="AB793"/>
  <c r="AD793"/>
  <c r="AF793"/>
  <c r="AH793"/>
  <c r="AJ793"/>
  <c r="AL793"/>
  <c r="AN793"/>
  <c r="AP793"/>
  <c r="AR793"/>
  <c r="AT793"/>
  <c r="AV793"/>
  <c r="AX793"/>
  <c r="AZ793"/>
  <c r="BB793"/>
  <c r="BD793"/>
  <c r="BF793"/>
  <c r="BH793"/>
  <c r="BJ793"/>
  <c r="C799"/>
  <c r="E799"/>
  <c r="G799"/>
  <c r="I799"/>
  <c r="K799"/>
  <c r="M799"/>
  <c r="O799"/>
  <c r="Q799"/>
  <c r="S799"/>
  <c r="U799"/>
  <c r="W799"/>
  <c r="Y799"/>
  <c r="AA799"/>
  <c r="AC799"/>
  <c r="AE799"/>
  <c r="AG799"/>
  <c r="AI799"/>
  <c r="AK799"/>
  <c r="AM799"/>
  <c r="AO799"/>
  <c r="AQ799"/>
  <c r="AS799"/>
  <c r="AU799"/>
  <c r="AW799"/>
  <c r="AY799"/>
  <c r="BA799"/>
  <c r="BC799"/>
  <c r="BE799"/>
  <c r="BG799"/>
  <c r="BI799"/>
  <c r="D802"/>
  <c r="F802"/>
  <c r="H802"/>
  <c r="J802"/>
  <c r="L802"/>
  <c r="N802"/>
  <c r="P802"/>
  <c r="R802"/>
  <c r="T802"/>
  <c r="V802"/>
  <c r="X802"/>
  <c r="Z802"/>
  <c r="AB802"/>
  <c r="AD802"/>
  <c r="AF802"/>
  <c r="AH802"/>
  <c r="AJ802"/>
  <c r="AL802"/>
  <c r="AN802"/>
  <c r="AP802"/>
  <c r="AR802"/>
  <c r="AT802"/>
  <c r="AV802"/>
  <c r="AX802"/>
  <c r="AZ802"/>
  <c r="BB802"/>
  <c r="BD802"/>
  <c r="BF802"/>
  <c r="BH802"/>
  <c r="BJ802"/>
  <c r="C808"/>
  <c r="E808"/>
  <c r="G808"/>
  <c r="I808"/>
  <c r="K808"/>
  <c r="M808"/>
  <c r="O808"/>
  <c r="Q808"/>
  <c r="S808"/>
  <c r="U808"/>
  <c r="W808"/>
  <c r="Y808"/>
  <c r="AA808"/>
  <c r="AC808"/>
  <c r="AE808"/>
  <c r="AG808"/>
  <c r="AI808"/>
  <c r="AK808"/>
  <c r="AM808"/>
  <c r="AO808"/>
  <c r="AQ808"/>
  <c r="AS808"/>
  <c r="AU808"/>
  <c r="AW808"/>
  <c r="AY808"/>
  <c r="BA808"/>
  <c r="BC808"/>
  <c r="BE808"/>
  <c r="BG808"/>
  <c r="BI808"/>
  <c r="D817"/>
  <c r="H817"/>
  <c r="J817"/>
  <c r="L817"/>
  <c r="N817"/>
  <c r="P817"/>
  <c r="R817"/>
  <c r="T817"/>
  <c r="V817"/>
  <c r="X817"/>
  <c r="Z817"/>
  <c r="AB817"/>
  <c r="AD817"/>
  <c r="AF817"/>
  <c r="AH817"/>
  <c r="AJ817"/>
  <c r="AL817"/>
  <c r="AN817"/>
  <c r="AP817"/>
  <c r="AR817"/>
  <c r="AT817"/>
  <c r="AV817"/>
  <c r="AX817"/>
  <c r="AZ817"/>
  <c r="BB817"/>
  <c r="BD817"/>
  <c r="BF817"/>
  <c r="BH817"/>
  <c r="BJ817"/>
  <c r="D820"/>
  <c r="D821"/>
  <c r="F823"/>
  <c r="C825"/>
  <c r="D826"/>
  <c r="AH828"/>
  <c r="AJ828"/>
  <c r="D830"/>
  <c r="D831"/>
  <c r="D835"/>
  <c r="C836"/>
  <c r="B867"/>
  <c r="D930"/>
  <c r="F930"/>
  <c r="H930"/>
  <c r="J930"/>
  <c r="L930"/>
  <c r="N930"/>
  <c r="P930"/>
  <c r="R930"/>
  <c r="T930"/>
  <c r="V930"/>
  <c r="X930"/>
  <c r="Z930"/>
  <c r="AB930"/>
  <c r="AD930"/>
  <c r="AF930"/>
  <c r="AH930"/>
  <c r="AJ930"/>
  <c r="AL930"/>
  <c r="AN930"/>
  <c r="AP930"/>
  <c r="AR930"/>
  <c r="AT930"/>
  <c r="AV930"/>
  <c r="AX930"/>
  <c r="AZ930"/>
  <c r="BB930"/>
  <c r="BD930"/>
  <c r="BF930"/>
  <c r="BH930"/>
  <c r="BJ930"/>
  <c r="E931"/>
  <c r="G931"/>
  <c r="I931"/>
  <c r="K931"/>
  <c r="M931"/>
  <c r="O931"/>
  <c r="Q931"/>
  <c r="S931"/>
  <c r="U931"/>
  <c r="W931"/>
  <c r="Y931"/>
  <c r="AA931"/>
  <c r="AC931"/>
  <c r="AE931"/>
  <c r="AG931"/>
  <c r="AI931"/>
  <c r="AK931"/>
  <c r="AM931"/>
  <c r="AO931"/>
  <c r="AQ931"/>
  <c r="AS931"/>
  <c r="AU931"/>
  <c r="AW931"/>
  <c r="AY931"/>
  <c r="BA931"/>
  <c r="BC931"/>
  <c r="BE931"/>
  <c r="BG931"/>
  <c r="BI931"/>
  <c r="D932"/>
  <c r="F932"/>
  <c r="H932"/>
  <c r="J932"/>
  <c r="L932"/>
  <c r="N932"/>
  <c r="P932"/>
  <c r="R932"/>
  <c r="T932"/>
  <c r="V932"/>
  <c r="X932"/>
  <c r="Z932"/>
  <c r="AB932"/>
  <c r="AD932"/>
  <c r="AF932"/>
  <c r="AH932"/>
  <c r="AJ932"/>
  <c r="AL932"/>
  <c r="AN932"/>
  <c r="AP932"/>
  <c r="AR932"/>
  <c r="AT932"/>
  <c r="AV932"/>
  <c r="AX932"/>
  <c r="AZ932"/>
  <c r="BB932"/>
  <c r="BD932"/>
  <c r="BF932"/>
  <c r="BH932"/>
  <c r="BJ932"/>
  <c r="E876"/>
  <c r="F879"/>
  <c r="F880"/>
  <c r="D881"/>
  <c r="B882"/>
  <c r="F884"/>
  <c r="E885"/>
  <c r="D886"/>
  <c r="C887"/>
  <c r="E887"/>
  <c r="E944" s="1"/>
  <c r="G887"/>
  <c r="T894"/>
  <c r="V894"/>
  <c r="X894"/>
  <c r="Z894"/>
  <c r="AB894"/>
  <c r="AD894"/>
  <c r="AF894"/>
  <c r="AH894"/>
  <c r="AJ894"/>
  <c r="AL894"/>
  <c r="AL951" s="1"/>
  <c r="AN894"/>
  <c r="AN951" s="1"/>
  <c r="AP894"/>
  <c r="AP951" s="1"/>
  <c r="AR894"/>
  <c r="AR951" s="1"/>
  <c r="AT894"/>
  <c r="AT951" s="1"/>
  <c r="AV894"/>
  <c r="AV951" s="1"/>
  <c r="AX894"/>
  <c r="AX951" s="1"/>
  <c r="AZ894"/>
  <c r="AZ951" s="1"/>
  <c r="BB894"/>
  <c r="BB951" s="1"/>
  <c r="BD894"/>
  <c r="BD951" s="1"/>
  <c r="BF894"/>
  <c r="BF951" s="1"/>
  <c r="BH894"/>
  <c r="BH951" s="1"/>
  <c r="BJ894"/>
  <c r="BJ951" s="1"/>
  <c r="S895"/>
  <c r="S952" s="1"/>
  <c r="U895"/>
  <c r="U952" s="1"/>
  <c r="W895"/>
  <c r="W952" s="1"/>
  <c r="Y895"/>
  <c r="Y952" s="1"/>
  <c r="AA895"/>
  <c r="AA952" s="1"/>
  <c r="AC895"/>
  <c r="AC952" s="1"/>
  <c r="AE895"/>
  <c r="AE952" s="1"/>
  <c r="AG895"/>
  <c r="AG952" s="1"/>
  <c r="AI895"/>
  <c r="AI952" s="1"/>
  <c r="AK895"/>
  <c r="AK952" s="1"/>
  <c r="AM895"/>
  <c r="AM952" s="1"/>
  <c r="AO895"/>
  <c r="AO952" s="1"/>
  <c r="AQ895"/>
  <c r="AQ952" s="1"/>
  <c r="AS895"/>
  <c r="AS952" s="1"/>
  <c r="AU895"/>
  <c r="AU952" s="1"/>
  <c r="AW895"/>
  <c r="AW952" s="1"/>
  <c r="AY895"/>
  <c r="AY952" s="1"/>
  <c r="BA895"/>
  <c r="BA952" s="1"/>
  <c r="BC895"/>
  <c r="BC952" s="1"/>
  <c r="BE895"/>
  <c r="BE952" s="1"/>
  <c r="BG895"/>
  <c r="BG952" s="1"/>
  <c r="BI895"/>
  <c r="BI952" s="1"/>
  <c r="T896"/>
  <c r="T953" s="1"/>
  <c r="V896"/>
  <c r="V953" s="1"/>
  <c r="X896"/>
  <c r="X953" s="1"/>
  <c r="Z896"/>
  <c r="Z953" s="1"/>
  <c r="AB896"/>
  <c r="AB953" s="1"/>
  <c r="AD896"/>
  <c r="AD953" s="1"/>
  <c r="AF896"/>
  <c r="AF953" s="1"/>
  <c r="AH896"/>
  <c r="AH953" s="1"/>
  <c r="AJ896"/>
  <c r="AJ953" s="1"/>
  <c r="AL896"/>
  <c r="AL953" s="1"/>
  <c r="AN896"/>
  <c r="AN953" s="1"/>
  <c r="AP896"/>
  <c r="AP953" s="1"/>
  <c r="AR896"/>
  <c r="AR953" s="1"/>
  <c r="AT896"/>
  <c r="AT953" s="1"/>
  <c r="AV896"/>
  <c r="AV953" s="1"/>
  <c r="AX896"/>
  <c r="AX953" s="1"/>
  <c r="AZ896"/>
  <c r="AZ953" s="1"/>
  <c r="BB896"/>
  <c r="BB953" s="1"/>
  <c r="BD896"/>
  <c r="BD953" s="1"/>
  <c r="BF896"/>
  <c r="BF953" s="1"/>
  <c r="BH896"/>
  <c r="BH953" s="1"/>
  <c r="BJ896"/>
  <c r="BJ953" s="1"/>
  <c r="S897"/>
  <c r="S954" s="1"/>
  <c r="U897"/>
  <c r="U954" s="1"/>
  <c r="W897"/>
  <c r="W954" s="1"/>
  <c r="Y897"/>
  <c r="Y954" s="1"/>
  <c r="AA897"/>
  <c r="AA954" s="1"/>
  <c r="AC897"/>
  <c r="AC954" s="1"/>
  <c r="AE897"/>
  <c r="AE954" s="1"/>
  <c r="AG897"/>
  <c r="AG954" s="1"/>
  <c r="AI897"/>
  <c r="AI954" s="1"/>
  <c r="AK897"/>
  <c r="AK954" s="1"/>
  <c r="AM897"/>
  <c r="AM954" s="1"/>
  <c r="AO897"/>
  <c r="AO954" s="1"/>
  <c r="AQ897"/>
  <c r="AQ954" s="1"/>
  <c r="AS897"/>
  <c r="AS954" s="1"/>
  <c r="AU897"/>
  <c r="AU954" s="1"/>
  <c r="AW897"/>
  <c r="AW954" s="1"/>
  <c r="AY897"/>
  <c r="AY954" s="1"/>
  <c r="BA897"/>
  <c r="BA954" s="1"/>
  <c r="BC897"/>
  <c r="BC954" s="1"/>
  <c r="BE897"/>
  <c r="BE954" s="1"/>
  <c r="BG897"/>
  <c r="BG954" s="1"/>
  <c r="BI897"/>
  <c r="BI954" s="1"/>
  <c r="C899"/>
  <c r="S899"/>
  <c r="U899"/>
  <c r="W899"/>
  <c r="Y899"/>
  <c r="AA899"/>
  <c r="AC899"/>
  <c r="AE899"/>
  <c r="AG899"/>
  <c r="AI899"/>
  <c r="AK899"/>
  <c r="AK956" s="1"/>
  <c r="AM899"/>
  <c r="AM956" s="1"/>
  <c r="AO899"/>
  <c r="AO956" s="1"/>
  <c r="AQ899"/>
  <c r="AQ956" s="1"/>
  <c r="AS899"/>
  <c r="AS956" s="1"/>
  <c r="AU899"/>
  <c r="AU956" s="1"/>
  <c r="AW899"/>
  <c r="AW956" s="1"/>
  <c r="AY899"/>
  <c r="AY956" s="1"/>
  <c r="BA899"/>
  <c r="BA956" s="1"/>
  <c r="BC899"/>
  <c r="BC956" s="1"/>
  <c r="BE899"/>
  <c r="BE956" s="1"/>
  <c r="BG899"/>
  <c r="BG956" s="1"/>
  <c r="BI899"/>
  <c r="BI956" s="1"/>
  <c r="D900"/>
  <c r="D957" s="1"/>
  <c r="T900"/>
  <c r="T957" s="1"/>
  <c r="V900"/>
  <c r="V957" s="1"/>
  <c r="X900"/>
  <c r="X957" s="1"/>
  <c r="Z900"/>
  <c r="Z957" s="1"/>
  <c r="AB900"/>
  <c r="AB957" s="1"/>
  <c r="AD900"/>
  <c r="AD957" s="1"/>
  <c r="AF900"/>
  <c r="AF957" s="1"/>
  <c r="AH900"/>
  <c r="AH957" s="1"/>
  <c r="AJ900"/>
  <c r="AJ957" s="1"/>
  <c r="AL900"/>
  <c r="AL957" s="1"/>
  <c r="AN900"/>
  <c r="AN957" s="1"/>
  <c r="AP900"/>
  <c r="AP957" s="1"/>
  <c r="AR900"/>
  <c r="AR957" s="1"/>
  <c r="AT900"/>
  <c r="AT957" s="1"/>
  <c r="AV900"/>
  <c r="AV957" s="1"/>
  <c r="AX900"/>
  <c r="AX957" s="1"/>
  <c r="AZ900"/>
  <c r="AZ957" s="1"/>
  <c r="BB900"/>
  <c r="BB957" s="1"/>
  <c r="BD900"/>
  <c r="BD957" s="1"/>
  <c r="BF900"/>
  <c r="BF957" s="1"/>
  <c r="BH900"/>
  <c r="BH957" s="1"/>
  <c r="BJ900"/>
  <c r="BJ957" s="1"/>
  <c r="S901"/>
  <c r="S958" s="1"/>
  <c r="U901"/>
  <c r="U958" s="1"/>
  <c r="W901"/>
  <c r="W958" s="1"/>
  <c r="Y901"/>
  <c r="Y958" s="1"/>
  <c r="AA901"/>
  <c r="AA958" s="1"/>
  <c r="AC901"/>
  <c r="AC958" s="1"/>
  <c r="AE901"/>
  <c r="AE958" s="1"/>
  <c r="AG901"/>
  <c r="AG958" s="1"/>
  <c r="AI901"/>
  <c r="AI958" s="1"/>
  <c r="AK901"/>
  <c r="AK958" s="1"/>
  <c r="AM901"/>
  <c r="AM958" s="1"/>
  <c r="AO901"/>
  <c r="AO958" s="1"/>
  <c r="AQ901"/>
  <c r="AQ958" s="1"/>
  <c r="AS901"/>
  <c r="AS958" s="1"/>
  <c r="AU901"/>
  <c r="AU958" s="1"/>
  <c r="AW901"/>
  <c r="AW958" s="1"/>
  <c r="AY901"/>
  <c r="AY958" s="1"/>
  <c r="BA901"/>
  <c r="BA958" s="1"/>
  <c r="BC901"/>
  <c r="BC958" s="1"/>
  <c r="BE901"/>
  <c r="BE958" s="1"/>
  <c r="BG901"/>
  <c r="BG958" s="1"/>
  <c r="BI901"/>
  <c r="BI958" s="1"/>
  <c r="F902"/>
  <c r="F959" s="1"/>
  <c r="T902"/>
  <c r="T959" s="1"/>
  <c r="V902"/>
  <c r="V959" s="1"/>
  <c r="X902"/>
  <c r="X959" s="1"/>
  <c r="Z902"/>
  <c r="Z959" s="1"/>
  <c r="AB902"/>
  <c r="AB959" s="1"/>
  <c r="AD902"/>
  <c r="AD959" s="1"/>
  <c r="AF902"/>
  <c r="AF959" s="1"/>
  <c r="AH902"/>
  <c r="AH959" s="1"/>
  <c r="AJ902"/>
  <c r="AJ959" s="1"/>
  <c r="AL902"/>
  <c r="AL959" s="1"/>
  <c r="AN902"/>
  <c r="AN959" s="1"/>
  <c r="AP902"/>
  <c r="AP959" s="1"/>
  <c r="AR902"/>
  <c r="AR959" s="1"/>
  <c r="AT902"/>
  <c r="AT959" s="1"/>
  <c r="AV902"/>
  <c r="AV959" s="1"/>
  <c r="AX902"/>
  <c r="AX959" s="1"/>
  <c r="AZ902"/>
  <c r="AZ959" s="1"/>
  <c r="BB902"/>
  <c r="BB959" s="1"/>
  <c r="BD902"/>
  <c r="BD959" s="1"/>
  <c r="BF902"/>
  <c r="BF959" s="1"/>
  <c r="BH902"/>
  <c r="BH959" s="1"/>
  <c r="BJ902"/>
  <c r="BJ959" s="1"/>
  <c r="S907"/>
  <c r="U907"/>
  <c r="W907"/>
  <c r="Y907"/>
  <c r="AA907"/>
  <c r="AC907"/>
  <c r="AE907"/>
  <c r="AG907"/>
  <c r="AI907"/>
  <c r="AK907"/>
  <c r="AM907"/>
  <c r="AO907"/>
  <c r="AQ907"/>
  <c r="AS907"/>
  <c r="AU907"/>
  <c r="AW907"/>
  <c r="AY907"/>
  <c r="BA907"/>
  <c r="BC907"/>
  <c r="BE907"/>
  <c r="BG907"/>
  <c r="BI907"/>
  <c r="I909"/>
  <c r="K909"/>
  <c r="M909"/>
  <c r="O909"/>
  <c r="Q909"/>
  <c r="S909"/>
  <c r="U909"/>
  <c r="W909"/>
  <c r="Y909"/>
  <c r="AA909"/>
  <c r="AC909"/>
  <c r="AE909"/>
  <c r="AG909"/>
  <c r="AI909"/>
  <c r="AK909"/>
  <c r="AM909"/>
  <c r="AO909"/>
  <c r="AQ909"/>
  <c r="AS909"/>
  <c r="AU909"/>
  <c r="AW909"/>
  <c r="AY909"/>
  <c r="BA909"/>
  <c r="BC909"/>
  <c r="BE909"/>
  <c r="BG909"/>
  <c r="BI909"/>
  <c r="D915"/>
  <c r="F915"/>
  <c r="H915"/>
  <c r="J915"/>
  <c r="L915"/>
  <c r="N915"/>
  <c r="P915"/>
  <c r="R915"/>
  <c r="T915"/>
  <c r="V915"/>
  <c r="X915"/>
  <c r="Z915"/>
  <c r="AB915"/>
  <c r="AD915"/>
  <c r="AF915"/>
  <c r="AH915"/>
  <c r="AJ915"/>
  <c r="AL915"/>
  <c r="AN915"/>
  <c r="AP915"/>
  <c r="AR915"/>
  <c r="AT915"/>
  <c r="AV915"/>
  <c r="AX915"/>
  <c r="AZ915"/>
  <c r="BB915"/>
  <c r="BD915"/>
  <c r="BF915"/>
  <c r="BH915"/>
  <c r="BJ915"/>
  <c r="C918"/>
  <c r="E918"/>
  <c r="G918"/>
  <c r="I918"/>
  <c r="K918"/>
  <c r="M918"/>
  <c r="O918"/>
  <c r="Q918"/>
  <c r="S918"/>
  <c r="U918"/>
  <c r="W918"/>
  <c r="Y918"/>
  <c r="AA918"/>
  <c r="AC918"/>
  <c r="AE918"/>
  <c r="AG918"/>
  <c r="AI918"/>
  <c r="AK918"/>
  <c r="AM918"/>
  <c r="AO918"/>
  <c r="AQ918"/>
  <c r="AS918"/>
  <c r="AU918"/>
  <c r="AW918"/>
  <c r="AY918"/>
  <c r="BA918"/>
  <c r="BC918"/>
  <c r="BE918"/>
  <c r="BG918"/>
  <c r="BI918"/>
  <c r="D924"/>
  <c r="F924"/>
  <c r="H924"/>
  <c r="J924"/>
  <c r="L924"/>
  <c r="N924"/>
  <c r="P924"/>
  <c r="R924"/>
  <c r="T924"/>
  <c r="V924"/>
  <c r="X924"/>
  <c r="Z924"/>
  <c r="AB924"/>
  <c r="AD924"/>
  <c r="AF924"/>
  <c r="AH924"/>
  <c r="AJ924"/>
  <c r="AL924"/>
  <c r="AN924"/>
  <c r="AP924"/>
  <c r="AR924"/>
  <c r="AT924"/>
  <c r="AV924"/>
  <c r="AX924"/>
  <c r="AZ924"/>
  <c r="BB924"/>
  <c r="BD924"/>
  <c r="BF924"/>
  <c r="BH924"/>
  <c r="BJ924"/>
  <c r="I933"/>
  <c r="K933"/>
  <c r="M933"/>
  <c r="O933"/>
  <c r="Q933"/>
  <c r="S933"/>
  <c r="U933"/>
  <c r="W933"/>
  <c r="Y933"/>
  <c r="AA933"/>
  <c r="AC933"/>
  <c r="AE933"/>
  <c r="AG933"/>
  <c r="AI933"/>
  <c r="AK933"/>
  <c r="AM933"/>
  <c r="AO933"/>
  <c r="AQ933"/>
  <c r="AS933"/>
  <c r="AU933"/>
  <c r="AW933"/>
  <c r="AY933"/>
  <c r="BA933"/>
  <c r="BC933"/>
  <c r="BE933"/>
  <c r="BG933"/>
  <c r="BI933"/>
  <c r="C936"/>
  <c r="E936"/>
  <c r="C937"/>
  <c r="E937"/>
  <c r="C938"/>
  <c r="C939"/>
  <c r="E939"/>
  <c r="G939"/>
  <c r="D941"/>
  <c r="C942"/>
  <c r="AI944"/>
  <c r="C946"/>
  <c r="C947"/>
  <c r="C951"/>
  <c r="D952"/>
  <c r="B751"/>
  <c r="D814"/>
  <c r="F814"/>
  <c r="H814"/>
  <c r="J814"/>
  <c r="L814"/>
  <c r="N814"/>
  <c r="P814"/>
  <c r="R814"/>
  <c r="T814"/>
  <c r="V814"/>
  <c r="X814"/>
  <c r="Z814"/>
  <c r="AB814"/>
  <c r="AD814"/>
  <c r="AF814"/>
  <c r="AH814"/>
  <c r="AJ814"/>
  <c r="AL814"/>
  <c r="AN814"/>
  <c r="AP814"/>
  <c r="AR814"/>
  <c r="AT814"/>
  <c r="AV814"/>
  <c r="AX814"/>
  <c r="AZ814"/>
  <c r="BB814"/>
  <c r="BD814"/>
  <c r="BF814"/>
  <c r="BH814"/>
  <c r="BJ814"/>
  <c r="E815"/>
  <c r="G815"/>
  <c r="I815"/>
  <c r="K815"/>
  <c r="M815"/>
  <c r="O815"/>
  <c r="Q815"/>
  <c r="S815"/>
  <c r="U815"/>
  <c r="W815"/>
  <c r="Y815"/>
  <c r="AA815"/>
  <c r="AC815"/>
  <c r="AE815"/>
  <c r="AG815"/>
  <c r="AI815"/>
  <c r="AK815"/>
  <c r="AM815"/>
  <c r="AO815"/>
  <c r="AQ815"/>
  <c r="AS815"/>
  <c r="AU815"/>
  <c r="AW815"/>
  <c r="AY815"/>
  <c r="BA815"/>
  <c r="BC815"/>
  <c r="BE815"/>
  <c r="BG815"/>
  <c r="BI815"/>
  <c r="D816"/>
  <c r="F816"/>
  <c r="H816"/>
  <c r="J816"/>
  <c r="L816"/>
  <c r="N816"/>
  <c r="P816"/>
  <c r="R816"/>
  <c r="T816"/>
  <c r="V816"/>
  <c r="X816"/>
  <c r="Z816"/>
  <c r="AB816"/>
  <c r="AD816"/>
  <c r="AF816"/>
  <c r="AH816"/>
  <c r="AJ816"/>
  <c r="AL816"/>
  <c r="AN816"/>
  <c r="AP816"/>
  <c r="AR816"/>
  <c r="AT816"/>
  <c r="AV816"/>
  <c r="AX816"/>
  <c r="AZ816"/>
  <c r="BB816"/>
  <c r="BD816"/>
  <c r="BF816"/>
  <c r="BH816"/>
  <c r="BJ816"/>
  <c r="F763"/>
  <c r="F768" s="1"/>
  <c r="F783" s="1"/>
  <c r="F764"/>
  <c r="D765"/>
  <c r="D770" s="1"/>
  <c r="E769"/>
  <c r="C771"/>
  <c r="E771"/>
  <c r="E828" s="1"/>
  <c r="G771"/>
  <c r="V778"/>
  <c r="X778"/>
  <c r="Z778"/>
  <c r="AB778"/>
  <c r="AD778"/>
  <c r="AF778"/>
  <c r="AH778"/>
  <c r="AJ778"/>
  <c r="AL778"/>
  <c r="AL835" s="1"/>
  <c r="AN778"/>
  <c r="AN835" s="1"/>
  <c r="AP778"/>
  <c r="AP835" s="1"/>
  <c r="AR778"/>
  <c r="AR835" s="1"/>
  <c r="AT778"/>
  <c r="AT835" s="1"/>
  <c r="AV778"/>
  <c r="AV835" s="1"/>
  <c r="AX778"/>
  <c r="AX835" s="1"/>
  <c r="AZ778"/>
  <c r="AZ835" s="1"/>
  <c r="BB778"/>
  <c r="BB835" s="1"/>
  <c r="BD778"/>
  <c r="BD835" s="1"/>
  <c r="BF778"/>
  <c r="BF835" s="1"/>
  <c r="BH778"/>
  <c r="BH835" s="1"/>
  <c r="BJ778"/>
  <c r="BJ835" s="1"/>
  <c r="W779"/>
  <c r="W836" s="1"/>
  <c r="Y779"/>
  <c r="Y836" s="1"/>
  <c r="AA779"/>
  <c r="AA836" s="1"/>
  <c r="AC779"/>
  <c r="AC836" s="1"/>
  <c r="AE779"/>
  <c r="AE836" s="1"/>
  <c r="AG779"/>
  <c r="AG836" s="1"/>
  <c r="AI779"/>
  <c r="AI836" s="1"/>
  <c r="AK779"/>
  <c r="AK836" s="1"/>
  <c r="AM779"/>
  <c r="AM836" s="1"/>
  <c r="AO779"/>
  <c r="AO836" s="1"/>
  <c r="AQ779"/>
  <c r="AQ836" s="1"/>
  <c r="AS779"/>
  <c r="AS836" s="1"/>
  <c r="AU779"/>
  <c r="AU836" s="1"/>
  <c r="AW779"/>
  <c r="AW836" s="1"/>
  <c r="AY779"/>
  <c r="AY836" s="1"/>
  <c r="BA779"/>
  <c r="BA836" s="1"/>
  <c r="BC779"/>
  <c r="BC836" s="1"/>
  <c r="BE779"/>
  <c r="BE836" s="1"/>
  <c r="BG779"/>
  <c r="BG836" s="1"/>
  <c r="BI779"/>
  <c r="BI836" s="1"/>
  <c r="V780"/>
  <c r="V837" s="1"/>
  <c r="X780"/>
  <c r="X837" s="1"/>
  <c r="Z780"/>
  <c r="Z837" s="1"/>
  <c r="AB780"/>
  <c r="AB837" s="1"/>
  <c r="AD780"/>
  <c r="AD837" s="1"/>
  <c r="AF780"/>
  <c r="AF837" s="1"/>
  <c r="AH780"/>
  <c r="AH837" s="1"/>
  <c r="AJ780"/>
  <c r="AJ837" s="1"/>
  <c r="AL780"/>
  <c r="AL837" s="1"/>
  <c r="AN780"/>
  <c r="AN837" s="1"/>
  <c r="AP780"/>
  <c r="AP837" s="1"/>
  <c r="AR780"/>
  <c r="AR837" s="1"/>
  <c r="AT780"/>
  <c r="AT837" s="1"/>
  <c r="AV780"/>
  <c r="AV837" s="1"/>
  <c r="AX780"/>
  <c r="AX837" s="1"/>
  <c r="AZ780"/>
  <c r="AZ837" s="1"/>
  <c r="BB780"/>
  <c r="BB837" s="1"/>
  <c r="BD780"/>
  <c r="BD837" s="1"/>
  <c r="BF780"/>
  <c r="BF837" s="1"/>
  <c r="BH780"/>
  <c r="BH837" s="1"/>
  <c r="BJ780"/>
  <c r="BJ837" s="1"/>
  <c r="W781"/>
  <c r="W838" s="1"/>
  <c r="Y781"/>
  <c r="Y838" s="1"/>
  <c r="AA781"/>
  <c r="AA838" s="1"/>
  <c r="AC781"/>
  <c r="AC838" s="1"/>
  <c r="AE781"/>
  <c r="AE838" s="1"/>
  <c r="AG781"/>
  <c r="AG838" s="1"/>
  <c r="AI781"/>
  <c r="AI838" s="1"/>
  <c r="AK781"/>
  <c r="AK838" s="1"/>
  <c r="AM781"/>
  <c r="AM838" s="1"/>
  <c r="AO781"/>
  <c r="AO838" s="1"/>
  <c r="AQ781"/>
  <c r="AQ838" s="1"/>
  <c r="AS781"/>
  <c r="AS838" s="1"/>
  <c r="AU781"/>
  <c r="AU838" s="1"/>
  <c r="AW781"/>
  <c r="AW838" s="1"/>
  <c r="AY781"/>
  <c r="AY838" s="1"/>
  <c r="BA781"/>
  <c r="BA838" s="1"/>
  <c r="BC781"/>
  <c r="BC838" s="1"/>
  <c r="BE781"/>
  <c r="BE838" s="1"/>
  <c r="BG781"/>
  <c r="BG838" s="1"/>
  <c r="BI781"/>
  <c r="BI838" s="1"/>
  <c r="C783"/>
  <c r="E783"/>
  <c r="W783"/>
  <c r="Y783"/>
  <c r="AA783"/>
  <c r="AC783"/>
  <c r="AE783"/>
  <c r="AG783"/>
  <c r="AI783"/>
  <c r="AK783"/>
  <c r="AK840" s="1"/>
  <c r="AM783"/>
  <c r="AM840" s="1"/>
  <c r="AO783"/>
  <c r="AO840" s="1"/>
  <c r="AQ783"/>
  <c r="AQ840" s="1"/>
  <c r="AS783"/>
  <c r="AS840" s="1"/>
  <c r="AU783"/>
  <c r="AU840" s="1"/>
  <c r="AW783"/>
  <c r="AW840" s="1"/>
  <c r="AY783"/>
  <c r="AY840" s="1"/>
  <c r="BA783"/>
  <c r="BA840" s="1"/>
  <c r="BC783"/>
  <c r="BC840" s="1"/>
  <c r="BE783"/>
  <c r="BE840" s="1"/>
  <c r="BG783"/>
  <c r="BG840" s="1"/>
  <c r="BI783"/>
  <c r="BI840" s="1"/>
  <c r="D784"/>
  <c r="D841" s="1"/>
  <c r="V784"/>
  <c r="V841" s="1"/>
  <c r="X784"/>
  <c r="X841" s="1"/>
  <c r="Z784"/>
  <c r="Z841" s="1"/>
  <c r="AB784"/>
  <c r="AB841" s="1"/>
  <c r="AD784"/>
  <c r="AD841" s="1"/>
  <c r="AF784"/>
  <c r="AF841" s="1"/>
  <c r="AH784"/>
  <c r="AH841" s="1"/>
  <c r="AJ784"/>
  <c r="AJ841" s="1"/>
  <c r="AL784"/>
  <c r="AL841" s="1"/>
  <c r="AN784"/>
  <c r="AN841" s="1"/>
  <c r="AP784"/>
  <c r="AP841" s="1"/>
  <c r="AR784"/>
  <c r="AR841" s="1"/>
  <c r="AT784"/>
  <c r="AT841" s="1"/>
  <c r="AV784"/>
  <c r="AV841" s="1"/>
  <c r="AX784"/>
  <c r="AX841" s="1"/>
  <c r="AZ784"/>
  <c r="AZ841" s="1"/>
  <c r="BB784"/>
  <c r="BB841" s="1"/>
  <c r="BD784"/>
  <c r="BD841" s="1"/>
  <c r="BF784"/>
  <c r="BF841" s="1"/>
  <c r="BH784"/>
  <c r="BH841" s="1"/>
  <c r="BJ784"/>
  <c r="BJ841" s="1"/>
  <c r="C785"/>
  <c r="W785"/>
  <c r="W842" s="1"/>
  <c r="Y785"/>
  <c r="Y842" s="1"/>
  <c r="AA785"/>
  <c r="AA842" s="1"/>
  <c r="AC785"/>
  <c r="AC842" s="1"/>
  <c r="AE785"/>
  <c r="AE842" s="1"/>
  <c r="AG785"/>
  <c r="AG842" s="1"/>
  <c r="AI785"/>
  <c r="AI842" s="1"/>
  <c r="AK785"/>
  <c r="AK842" s="1"/>
  <c r="AM785"/>
  <c r="AM842" s="1"/>
  <c r="AO785"/>
  <c r="AO842" s="1"/>
  <c r="AQ785"/>
  <c r="AQ842" s="1"/>
  <c r="AS785"/>
  <c r="AS842" s="1"/>
  <c r="AU785"/>
  <c r="AU842" s="1"/>
  <c r="AW785"/>
  <c r="AW842" s="1"/>
  <c r="AY785"/>
  <c r="AY842" s="1"/>
  <c r="BA785"/>
  <c r="BA842" s="1"/>
  <c r="BC785"/>
  <c r="BC842" s="1"/>
  <c r="BE785"/>
  <c r="BE842" s="1"/>
  <c r="BG785"/>
  <c r="BG842" s="1"/>
  <c r="BI785"/>
  <c r="BI842" s="1"/>
  <c r="D786"/>
  <c r="D843" s="1"/>
  <c r="F786"/>
  <c r="F843" s="1"/>
  <c r="V786"/>
  <c r="V843" s="1"/>
  <c r="X786"/>
  <c r="X843" s="1"/>
  <c r="Z786"/>
  <c r="Z843" s="1"/>
  <c r="AB786"/>
  <c r="AB843" s="1"/>
  <c r="AD786"/>
  <c r="AD843" s="1"/>
  <c r="AF786"/>
  <c r="AF843" s="1"/>
  <c r="AH786"/>
  <c r="AH843" s="1"/>
  <c r="AJ786"/>
  <c r="AJ843" s="1"/>
  <c r="AL786"/>
  <c r="AL843" s="1"/>
  <c r="AN786"/>
  <c r="AN843" s="1"/>
  <c r="AP786"/>
  <c r="AP843" s="1"/>
  <c r="AR786"/>
  <c r="AR843" s="1"/>
  <c r="AT786"/>
  <c r="AT843" s="1"/>
  <c r="AV786"/>
  <c r="AV843" s="1"/>
  <c r="AX786"/>
  <c r="AX843" s="1"/>
  <c r="AZ786"/>
  <c r="AZ843" s="1"/>
  <c r="BB786"/>
  <c r="BB843" s="1"/>
  <c r="BD786"/>
  <c r="BD843" s="1"/>
  <c r="BF786"/>
  <c r="BF843" s="1"/>
  <c r="BH786"/>
  <c r="BH843" s="1"/>
  <c r="BJ786"/>
  <c r="BJ843" s="1"/>
  <c r="W791"/>
  <c r="Y791"/>
  <c r="AA791"/>
  <c r="AC791"/>
  <c r="AE791"/>
  <c r="AG791"/>
  <c r="AI791"/>
  <c r="AK791"/>
  <c r="AM791"/>
  <c r="AO791"/>
  <c r="AQ791"/>
  <c r="AS791"/>
  <c r="AU791"/>
  <c r="AW791"/>
  <c r="AY791"/>
  <c r="BA791"/>
  <c r="BC791"/>
  <c r="BE791"/>
  <c r="BG791"/>
  <c r="BI791"/>
  <c r="I793"/>
  <c r="K793"/>
  <c r="M793"/>
  <c r="O793"/>
  <c r="Q793"/>
  <c r="S793"/>
  <c r="W793"/>
  <c r="Y793"/>
  <c r="AA793"/>
  <c r="AC793"/>
  <c r="AE793"/>
  <c r="AG793"/>
  <c r="AI793"/>
  <c r="AK793"/>
  <c r="AM793"/>
  <c r="AO793"/>
  <c r="AQ793"/>
  <c r="AS793"/>
  <c r="AU793"/>
  <c r="AW793"/>
  <c r="AY793"/>
  <c r="BA793"/>
  <c r="BC793"/>
  <c r="BE793"/>
  <c r="BG793"/>
  <c r="BI793"/>
  <c r="D799"/>
  <c r="F799"/>
  <c r="H799"/>
  <c r="J799"/>
  <c r="L799"/>
  <c r="N799"/>
  <c r="P799"/>
  <c r="R799"/>
  <c r="T799"/>
  <c r="V799"/>
  <c r="X799"/>
  <c r="Z799"/>
  <c r="AB799"/>
  <c r="AD799"/>
  <c r="AF799"/>
  <c r="AH799"/>
  <c r="AJ799"/>
  <c r="AL799"/>
  <c r="AN799"/>
  <c r="AP799"/>
  <c r="AR799"/>
  <c r="AT799"/>
  <c r="AV799"/>
  <c r="AX799"/>
  <c r="AZ799"/>
  <c r="BB799"/>
  <c r="BD799"/>
  <c r="BF799"/>
  <c r="BH799"/>
  <c r="BJ799"/>
  <c r="I817"/>
  <c r="K817"/>
  <c r="M817"/>
  <c r="O817"/>
  <c r="Q817"/>
  <c r="S817"/>
  <c r="U817"/>
  <c r="W817"/>
  <c r="Y817"/>
  <c r="AA817"/>
  <c r="AC817"/>
  <c r="AE817"/>
  <c r="AG817"/>
  <c r="AI817"/>
  <c r="AK817"/>
  <c r="AM817"/>
  <c r="AO817"/>
  <c r="AQ817"/>
  <c r="AS817"/>
  <c r="AU817"/>
  <c r="AW817"/>
  <c r="AY817"/>
  <c r="BA817"/>
  <c r="BC817"/>
  <c r="BE817"/>
  <c r="BG817"/>
  <c r="BI817"/>
  <c r="C820"/>
  <c r="C821"/>
  <c r="E823"/>
  <c r="B823" s="1"/>
  <c r="H17" s="1"/>
  <c r="G823"/>
  <c r="D825"/>
  <c r="C826"/>
  <c r="AI828"/>
  <c r="C830"/>
  <c r="C831"/>
  <c r="C835"/>
  <c r="E930"/>
  <c r="G930"/>
  <c r="I930"/>
  <c r="K930"/>
  <c r="M930"/>
  <c r="O930"/>
  <c r="Q930"/>
  <c r="S930"/>
  <c r="U930"/>
  <c r="W930"/>
  <c r="Y930"/>
  <c r="AA930"/>
  <c r="AC930"/>
  <c r="AE930"/>
  <c r="AG930"/>
  <c r="AI930"/>
  <c r="AK930"/>
  <c r="AM930"/>
  <c r="AO930"/>
  <c r="AQ930"/>
  <c r="AS930"/>
  <c r="AU930"/>
  <c r="AW930"/>
  <c r="AY930"/>
  <c r="BA930"/>
  <c r="BC930"/>
  <c r="BE930"/>
  <c r="BG930"/>
  <c r="BI930"/>
  <c r="D931"/>
  <c r="F931"/>
  <c r="H931"/>
  <c r="J931"/>
  <c r="L931"/>
  <c r="N931"/>
  <c r="P931"/>
  <c r="R931"/>
  <c r="T931"/>
  <c r="V931"/>
  <c r="X931"/>
  <c r="Z931"/>
  <c r="AB931"/>
  <c r="AD931"/>
  <c r="AF931"/>
  <c r="AH931"/>
  <c r="AJ931"/>
  <c r="AL931"/>
  <c r="AN931"/>
  <c r="AP931"/>
  <c r="AR931"/>
  <c r="AT931"/>
  <c r="AV931"/>
  <c r="AX931"/>
  <c r="AZ931"/>
  <c r="BB931"/>
  <c r="BD931"/>
  <c r="BF931"/>
  <c r="BH931"/>
  <c r="BJ931"/>
  <c r="E932"/>
  <c r="G932"/>
  <c r="I932"/>
  <c r="K932"/>
  <c r="M932"/>
  <c r="O932"/>
  <c r="Q932"/>
  <c r="S932"/>
  <c r="U932"/>
  <c r="W932"/>
  <c r="Y932"/>
  <c r="AA932"/>
  <c r="AC932"/>
  <c r="AE932"/>
  <c r="AG932"/>
  <c r="AI932"/>
  <c r="AK932"/>
  <c r="AM932"/>
  <c r="AO932"/>
  <c r="AQ932"/>
  <c r="AS932"/>
  <c r="AU932"/>
  <c r="AW932"/>
  <c r="AY932"/>
  <c r="BA932"/>
  <c r="BC932"/>
  <c r="BE932"/>
  <c r="BG932"/>
  <c r="BI932"/>
  <c r="E884"/>
  <c r="C886"/>
  <c r="D887"/>
  <c r="D944" s="1"/>
  <c r="S894"/>
  <c r="U894"/>
  <c r="W894"/>
  <c r="Y894"/>
  <c r="AA894"/>
  <c r="AC894"/>
  <c r="AE894"/>
  <c r="AG894"/>
  <c r="AI894"/>
  <c r="AK894"/>
  <c r="AK951" s="1"/>
  <c r="AM894"/>
  <c r="AM951" s="1"/>
  <c r="AO894"/>
  <c r="AO951" s="1"/>
  <c r="AQ894"/>
  <c r="AQ951" s="1"/>
  <c r="AS894"/>
  <c r="AS951" s="1"/>
  <c r="AU894"/>
  <c r="AU951" s="1"/>
  <c r="AW894"/>
  <c r="AW951" s="1"/>
  <c r="AY894"/>
  <c r="AY951" s="1"/>
  <c r="BA894"/>
  <c r="BA951" s="1"/>
  <c r="BC894"/>
  <c r="BC951" s="1"/>
  <c r="BE894"/>
  <c r="BE951" s="1"/>
  <c r="BG894"/>
  <c r="BG951" s="1"/>
  <c r="BI894"/>
  <c r="BI951" s="1"/>
  <c r="T895"/>
  <c r="T952" s="1"/>
  <c r="V895"/>
  <c r="V952" s="1"/>
  <c r="X895"/>
  <c r="X952" s="1"/>
  <c r="Z895"/>
  <c r="Z952" s="1"/>
  <c r="AB895"/>
  <c r="AB952" s="1"/>
  <c r="AD895"/>
  <c r="AD952" s="1"/>
  <c r="AF895"/>
  <c r="AF952" s="1"/>
  <c r="AH895"/>
  <c r="AH952" s="1"/>
  <c r="AJ895"/>
  <c r="AJ952" s="1"/>
  <c r="AL895"/>
  <c r="AL952" s="1"/>
  <c r="AN895"/>
  <c r="AN952" s="1"/>
  <c r="AP895"/>
  <c r="AP952" s="1"/>
  <c r="AR895"/>
  <c r="AR952" s="1"/>
  <c r="AT895"/>
  <c r="AT952" s="1"/>
  <c r="AV895"/>
  <c r="AV952" s="1"/>
  <c r="AX895"/>
  <c r="AX952" s="1"/>
  <c r="AZ895"/>
  <c r="AZ952" s="1"/>
  <c r="BB895"/>
  <c r="BB952" s="1"/>
  <c r="BD895"/>
  <c r="BD952" s="1"/>
  <c r="BF895"/>
  <c r="BF952" s="1"/>
  <c r="BH895"/>
  <c r="BH952" s="1"/>
  <c r="BJ895"/>
  <c r="BJ952" s="1"/>
  <c r="S896"/>
  <c r="S953" s="1"/>
  <c r="U896"/>
  <c r="U953" s="1"/>
  <c r="W896"/>
  <c r="W953" s="1"/>
  <c r="Y896"/>
  <c r="Y953" s="1"/>
  <c r="AA896"/>
  <c r="AA953" s="1"/>
  <c r="AC896"/>
  <c r="AC953" s="1"/>
  <c r="AE896"/>
  <c r="AE953" s="1"/>
  <c r="AG896"/>
  <c r="AG953" s="1"/>
  <c r="AI896"/>
  <c r="AI953" s="1"/>
  <c r="AK896"/>
  <c r="AK953" s="1"/>
  <c r="AM896"/>
  <c r="AM953" s="1"/>
  <c r="AO896"/>
  <c r="AO953" s="1"/>
  <c r="AQ896"/>
  <c r="AQ953" s="1"/>
  <c r="AS896"/>
  <c r="AS953" s="1"/>
  <c r="AU896"/>
  <c r="AU953" s="1"/>
  <c r="AW896"/>
  <c r="AW953" s="1"/>
  <c r="AY896"/>
  <c r="AY953" s="1"/>
  <c r="BA896"/>
  <c r="BA953" s="1"/>
  <c r="BC896"/>
  <c r="BC953" s="1"/>
  <c r="BE896"/>
  <c r="BE953" s="1"/>
  <c r="BG896"/>
  <c r="BG953" s="1"/>
  <c r="BI896"/>
  <c r="BI953" s="1"/>
  <c r="T897"/>
  <c r="T954" s="1"/>
  <c r="V897"/>
  <c r="V954" s="1"/>
  <c r="X897"/>
  <c r="X954" s="1"/>
  <c r="Z897"/>
  <c r="Z954" s="1"/>
  <c r="AB897"/>
  <c r="AB954" s="1"/>
  <c r="AD897"/>
  <c r="AD954" s="1"/>
  <c r="AF897"/>
  <c r="AF954" s="1"/>
  <c r="AH897"/>
  <c r="AH954" s="1"/>
  <c r="AJ897"/>
  <c r="AJ954" s="1"/>
  <c r="AL897"/>
  <c r="AL954" s="1"/>
  <c r="AN897"/>
  <c r="AN954" s="1"/>
  <c r="AP897"/>
  <c r="AP954" s="1"/>
  <c r="AR897"/>
  <c r="AR954" s="1"/>
  <c r="AT897"/>
  <c r="AT954" s="1"/>
  <c r="AV897"/>
  <c r="AV954" s="1"/>
  <c r="AX897"/>
  <c r="AX954" s="1"/>
  <c r="AZ897"/>
  <c r="AZ954" s="1"/>
  <c r="BB897"/>
  <c r="BB954" s="1"/>
  <c r="BD897"/>
  <c r="BD954" s="1"/>
  <c r="BF897"/>
  <c r="BF954" s="1"/>
  <c r="BH897"/>
  <c r="BH954" s="1"/>
  <c r="BJ897"/>
  <c r="BJ954" s="1"/>
  <c r="D899"/>
  <c r="F899"/>
  <c r="T899"/>
  <c r="V899"/>
  <c r="X899"/>
  <c r="Z899"/>
  <c r="AB899"/>
  <c r="AD899"/>
  <c r="AF899"/>
  <c r="AH899"/>
  <c r="AJ899"/>
  <c r="AL899"/>
  <c r="AL956" s="1"/>
  <c r="AN899"/>
  <c r="AN956" s="1"/>
  <c r="AP899"/>
  <c r="AP956" s="1"/>
  <c r="AR899"/>
  <c r="AR956" s="1"/>
  <c r="AT899"/>
  <c r="AT956" s="1"/>
  <c r="AV899"/>
  <c r="AV956" s="1"/>
  <c r="AX899"/>
  <c r="AX956" s="1"/>
  <c r="AZ899"/>
  <c r="AZ956" s="1"/>
  <c r="BB899"/>
  <c r="BB956" s="1"/>
  <c r="BD899"/>
  <c r="BD956" s="1"/>
  <c r="BF899"/>
  <c r="BF956" s="1"/>
  <c r="BH899"/>
  <c r="BH956" s="1"/>
  <c r="BJ899"/>
  <c r="BJ956" s="1"/>
  <c r="C900"/>
  <c r="E900"/>
  <c r="E957" s="1"/>
  <c r="S900"/>
  <c r="S957" s="1"/>
  <c r="U900"/>
  <c r="U957" s="1"/>
  <c r="W900"/>
  <c r="W957" s="1"/>
  <c r="Y900"/>
  <c r="Y957" s="1"/>
  <c r="AA900"/>
  <c r="AA957" s="1"/>
  <c r="AC900"/>
  <c r="AC957" s="1"/>
  <c r="AE900"/>
  <c r="AE957" s="1"/>
  <c r="AG900"/>
  <c r="AG957" s="1"/>
  <c r="AI900"/>
  <c r="AI957" s="1"/>
  <c r="AK900"/>
  <c r="AK957" s="1"/>
  <c r="AM900"/>
  <c r="AM957" s="1"/>
  <c r="AO900"/>
  <c r="AO957" s="1"/>
  <c r="AQ900"/>
  <c r="AQ957" s="1"/>
  <c r="AS900"/>
  <c r="AS957" s="1"/>
  <c r="AU900"/>
  <c r="AU957" s="1"/>
  <c r="AW900"/>
  <c r="AW957" s="1"/>
  <c r="AY900"/>
  <c r="AY957" s="1"/>
  <c r="BA900"/>
  <c r="BA957" s="1"/>
  <c r="BC900"/>
  <c r="BC957" s="1"/>
  <c r="BE900"/>
  <c r="BE957" s="1"/>
  <c r="BG900"/>
  <c r="BG957" s="1"/>
  <c r="BI900"/>
  <c r="BI957" s="1"/>
  <c r="D901"/>
  <c r="D958" s="1"/>
  <c r="T901"/>
  <c r="T958" s="1"/>
  <c r="V901"/>
  <c r="V958" s="1"/>
  <c r="X901"/>
  <c r="X958" s="1"/>
  <c r="Z901"/>
  <c r="Z958" s="1"/>
  <c r="AB901"/>
  <c r="AB958" s="1"/>
  <c r="AD901"/>
  <c r="AD958" s="1"/>
  <c r="AF901"/>
  <c r="AF958" s="1"/>
  <c r="AH901"/>
  <c r="AH958" s="1"/>
  <c r="AJ901"/>
  <c r="AJ958" s="1"/>
  <c r="AL901"/>
  <c r="AL958" s="1"/>
  <c r="AN901"/>
  <c r="AN958" s="1"/>
  <c r="AP901"/>
  <c r="AP958" s="1"/>
  <c r="AR901"/>
  <c r="AR958" s="1"/>
  <c r="AT901"/>
  <c r="AT958" s="1"/>
  <c r="AV901"/>
  <c r="AV958" s="1"/>
  <c r="AX901"/>
  <c r="AX958" s="1"/>
  <c r="AZ901"/>
  <c r="AZ958" s="1"/>
  <c r="BB901"/>
  <c r="BB958" s="1"/>
  <c r="BD901"/>
  <c r="BD958" s="1"/>
  <c r="BF901"/>
  <c r="BF958" s="1"/>
  <c r="BH901"/>
  <c r="BH958" s="1"/>
  <c r="BJ901"/>
  <c r="BJ958" s="1"/>
  <c r="C902"/>
  <c r="E902"/>
  <c r="E959" s="1"/>
  <c r="G902"/>
  <c r="G959" s="1"/>
  <c r="S902"/>
  <c r="S959" s="1"/>
  <c r="U902"/>
  <c r="U959" s="1"/>
  <c r="W902"/>
  <c r="W959" s="1"/>
  <c r="Y902"/>
  <c r="Y959" s="1"/>
  <c r="AA902"/>
  <c r="AA959" s="1"/>
  <c r="AC902"/>
  <c r="AC959" s="1"/>
  <c r="AE902"/>
  <c r="AE959" s="1"/>
  <c r="AG902"/>
  <c r="AG959" s="1"/>
  <c r="AI902"/>
  <c r="AI959" s="1"/>
  <c r="AK902"/>
  <c r="AK959" s="1"/>
  <c r="AM902"/>
  <c r="AM959" s="1"/>
  <c r="AO902"/>
  <c r="AO959" s="1"/>
  <c r="AQ902"/>
  <c r="AQ959" s="1"/>
  <c r="AS902"/>
  <c r="AS959" s="1"/>
  <c r="AU902"/>
  <c r="AU959" s="1"/>
  <c r="AW902"/>
  <c r="AW959" s="1"/>
  <c r="AY902"/>
  <c r="AY959" s="1"/>
  <c r="BA902"/>
  <c r="BA959" s="1"/>
  <c r="BC902"/>
  <c r="BC959" s="1"/>
  <c r="BE902"/>
  <c r="BE959" s="1"/>
  <c r="BG902"/>
  <c r="BG959" s="1"/>
  <c r="BI902"/>
  <c r="BI959" s="1"/>
  <c r="T907"/>
  <c r="V907"/>
  <c r="X907"/>
  <c r="Z907"/>
  <c r="AB907"/>
  <c r="AD907"/>
  <c r="AF907"/>
  <c r="AH907"/>
  <c r="AJ907"/>
  <c r="AL907"/>
  <c r="AN907"/>
  <c r="AP907"/>
  <c r="AR907"/>
  <c r="AT907"/>
  <c r="AV907"/>
  <c r="AX907"/>
  <c r="AZ907"/>
  <c r="BB907"/>
  <c r="BD907"/>
  <c r="BF907"/>
  <c r="BH907"/>
  <c r="BJ907"/>
  <c r="H909"/>
  <c r="J909"/>
  <c r="L909"/>
  <c r="N909"/>
  <c r="P909"/>
  <c r="T909"/>
  <c r="V909"/>
  <c r="X909"/>
  <c r="Z909"/>
  <c r="AB909"/>
  <c r="AD909"/>
  <c r="AF909"/>
  <c r="AH909"/>
  <c r="AJ909"/>
  <c r="AL909"/>
  <c r="AN909"/>
  <c r="AP909"/>
  <c r="AR909"/>
  <c r="AT909"/>
  <c r="AV909"/>
  <c r="AX909"/>
  <c r="AZ909"/>
  <c r="BB909"/>
  <c r="BD909"/>
  <c r="BF909"/>
  <c r="BH909"/>
  <c r="BJ909"/>
  <c r="C915"/>
  <c r="E915"/>
  <c r="G915"/>
  <c r="I915"/>
  <c r="K915"/>
  <c r="M915"/>
  <c r="O915"/>
  <c r="Q915"/>
  <c r="S915"/>
  <c r="U915"/>
  <c r="W915"/>
  <c r="Y915"/>
  <c r="AA915"/>
  <c r="AC915"/>
  <c r="AE915"/>
  <c r="AG915"/>
  <c r="AI915"/>
  <c r="AK915"/>
  <c r="AM915"/>
  <c r="AO915"/>
  <c r="AQ915"/>
  <c r="AS915"/>
  <c r="AU915"/>
  <c r="AW915"/>
  <c r="AY915"/>
  <c r="BA915"/>
  <c r="BC915"/>
  <c r="BE915"/>
  <c r="BG915"/>
  <c r="BI915"/>
  <c r="H933"/>
  <c r="J933"/>
  <c r="L933"/>
  <c r="N933"/>
  <c r="P933"/>
  <c r="R933"/>
  <c r="T933"/>
  <c r="V933"/>
  <c r="X933"/>
  <c r="Z933"/>
  <c r="AB933"/>
  <c r="AD933"/>
  <c r="AF933"/>
  <c r="AH933"/>
  <c r="AJ933"/>
  <c r="AL933"/>
  <c r="AN933"/>
  <c r="AP933"/>
  <c r="AR933"/>
  <c r="AT933"/>
  <c r="AV933"/>
  <c r="AX933"/>
  <c r="AZ933"/>
  <c r="BB933"/>
  <c r="BD933"/>
  <c r="BF933"/>
  <c r="BH933"/>
  <c r="BJ933"/>
  <c r="D936"/>
  <c r="D937"/>
  <c r="F939"/>
  <c r="C941"/>
  <c r="D942"/>
  <c r="AH944"/>
  <c r="AJ944"/>
  <c r="D946"/>
  <c r="D947"/>
  <c r="D951"/>
  <c r="F1173"/>
  <c r="AI1116"/>
  <c r="E1046"/>
  <c r="G1046"/>
  <c r="I1046"/>
  <c r="K1046"/>
  <c r="M1046"/>
  <c r="O1046"/>
  <c r="Q1046"/>
  <c r="S1046"/>
  <c r="U1046"/>
  <c r="W1046"/>
  <c r="Y1046"/>
  <c r="AA1046"/>
  <c r="AC1046"/>
  <c r="AE1046"/>
  <c r="AG1046"/>
  <c r="AI1046"/>
  <c r="AK1046"/>
  <c r="AM1046"/>
  <c r="AO1046"/>
  <c r="AQ1046"/>
  <c r="AS1046"/>
  <c r="AU1046"/>
  <c r="AW1046"/>
  <c r="AY1046"/>
  <c r="BA1046"/>
  <c r="BC1046"/>
  <c r="BE1046"/>
  <c r="BG1046"/>
  <c r="BI1046"/>
  <c r="D1047"/>
  <c r="F1047"/>
  <c r="H1047"/>
  <c r="J1047"/>
  <c r="L1047"/>
  <c r="N1047"/>
  <c r="P1047"/>
  <c r="R1047"/>
  <c r="T1047"/>
  <c r="V1047"/>
  <c r="X1047"/>
  <c r="Z1047"/>
  <c r="AB1047"/>
  <c r="AD1047"/>
  <c r="AF1047"/>
  <c r="AH1047"/>
  <c r="AJ1047"/>
  <c r="AL1047"/>
  <c r="AN1047"/>
  <c r="AP1047"/>
  <c r="AR1047"/>
  <c r="AT1047"/>
  <c r="AV1047"/>
  <c r="AX1047"/>
  <c r="AZ1047"/>
  <c r="BB1047"/>
  <c r="BD1047"/>
  <c r="BF1047"/>
  <c r="BH1047"/>
  <c r="BJ1047"/>
  <c r="E1048"/>
  <c r="G1048"/>
  <c r="I1048"/>
  <c r="K1048"/>
  <c r="M1048"/>
  <c r="O1048"/>
  <c r="Q1048"/>
  <c r="S1048"/>
  <c r="U1048"/>
  <c r="W1048"/>
  <c r="Y1048"/>
  <c r="AA1048"/>
  <c r="AC1048"/>
  <c r="AE1048"/>
  <c r="AG1048"/>
  <c r="AI1048"/>
  <c r="AK1048"/>
  <c r="AM1048"/>
  <c r="AO1048"/>
  <c r="AQ1048"/>
  <c r="AS1048"/>
  <c r="AU1048"/>
  <c r="AW1048"/>
  <c r="AY1048"/>
  <c r="BA1048"/>
  <c r="BC1048"/>
  <c r="BE1048"/>
  <c r="BG1048"/>
  <c r="BI1048"/>
  <c r="D992"/>
  <c r="G995"/>
  <c r="G996"/>
  <c r="E997"/>
  <c r="E1002" s="1"/>
  <c r="E1000"/>
  <c r="G1000"/>
  <c r="F1001"/>
  <c r="C1002"/>
  <c r="D1003"/>
  <c r="D1060" s="1"/>
  <c r="F1003"/>
  <c r="F1060" s="1"/>
  <c r="W1010"/>
  <c r="Y1010"/>
  <c r="AA1010"/>
  <c r="AC1010"/>
  <c r="AE1010"/>
  <c r="AG1010"/>
  <c r="AI1010"/>
  <c r="AK1010"/>
  <c r="AK1067" s="1"/>
  <c r="AM1010"/>
  <c r="AM1067" s="1"/>
  <c r="AO1010"/>
  <c r="AO1067" s="1"/>
  <c r="AQ1010"/>
  <c r="AQ1067" s="1"/>
  <c r="AS1010"/>
  <c r="AS1067" s="1"/>
  <c r="AU1010"/>
  <c r="AU1067" s="1"/>
  <c r="AW1010"/>
  <c r="AW1067" s="1"/>
  <c r="AY1010"/>
  <c r="AY1067" s="1"/>
  <c r="BA1010"/>
  <c r="BA1067" s="1"/>
  <c r="BC1010"/>
  <c r="BC1067" s="1"/>
  <c r="BE1010"/>
  <c r="BE1067" s="1"/>
  <c r="BG1010"/>
  <c r="BG1067" s="1"/>
  <c r="BI1010"/>
  <c r="BI1067" s="1"/>
  <c r="X1011"/>
  <c r="X1068" s="1"/>
  <c r="Z1011"/>
  <c r="Z1068" s="1"/>
  <c r="AB1011"/>
  <c r="AB1068" s="1"/>
  <c r="AD1011"/>
  <c r="AD1068" s="1"/>
  <c r="AF1011"/>
  <c r="AF1068" s="1"/>
  <c r="AH1011"/>
  <c r="AH1068" s="1"/>
  <c r="AJ1011"/>
  <c r="AJ1068" s="1"/>
  <c r="AL1011"/>
  <c r="AL1068" s="1"/>
  <c r="AN1011"/>
  <c r="AN1068" s="1"/>
  <c r="AP1011"/>
  <c r="AP1068" s="1"/>
  <c r="AR1011"/>
  <c r="AR1068" s="1"/>
  <c r="AT1011"/>
  <c r="AT1068" s="1"/>
  <c r="AV1011"/>
  <c r="AV1068" s="1"/>
  <c r="AX1011"/>
  <c r="AX1068" s="1"/>
  <c r="AZ1011"/>
  <c r="AZ1068" s="1"/>
  <c r="BB1011"/>
  <c r="BB1068" s="1"/>
  <c r="BD1011"/>
  <c r="BD1068" s="1"/>
  <c r="BF1011"/>
  <c r="BF1068" s="1"/>
  <c r="BH1011"/>
  <c r="BH1068" s="1"/>
  <c r="BJ1011"/>
  <c r="BJ1068" s="1"/>
  <c r="W1012"/>
  <c r="W1069" s="1"/>
  <c r="Y1012"/>
  <c r="Y1069" s="1"/>
  <c r="AA1012"/>
  <c r="AA1069" s="1"/>
  <c r="AC1012"/>
  <c r="AC1069" s="1"/>
  <c r="AE1012"/>
  <c r="AE1069" s="1"/>
  <c r="AG1012"/>
  <c r="AG1069" s="1"/>
  <c r="AI1012"/>
  <c r="AI1069" s="1"/>
  <c r="AK1012"/>
  <c r="AK1069" s="1"/>
  <c r="AM1012"/>
  <c r="AM1069" s="1"/>
  <c r="AO1012"/>
  <c r="AO1069" s="1"/>
  <c r="AQ1012"/>
  <c r="AQ1069" s="1"/>
  <c r="AS1012"/>
  <c r="AS1069" s="1"/>
  <c r="AU1012"/>
  <c r="AU1069" s="1"/>
  <c r="AW1012"/>
  <c r="AW1069" s="1"/>
  <c r="AY1012"/>
  <c r="AY1069" s="1"/>
  <c r="BA1012"/>
  <c r="BA1069" s="1"/>
  <c r="BC1012"/>
  <c r="BC1069" s="1"/>
  <c r="BE1012"/>
  <c r="BE1069" s="1"/>
  <c r="BG1012"/>
  <c r="BG1069" s="1"/>
  <c r="BI1012"/>
  <c r="BI1069" s="1"/>
  <c r="X1013"/>
  <c r="X1070" s="1"/>
  <c r="Z1013"/>
  <c r="Z1070" s="1"/>
  <c r="AB1013"/>
  <c r="AB1070" s="1"/>
  <c r="AD1013"/>
  <c r="AD1070" s="1"/>
  <c r="AF1013"/>
  <c r="AF1070" s="1"/>
  <c r="AH1013"/>
  <c r="AH1070" s="1"/>
  <c r="AJ1013"/>
  <c r="AJ1070" s="1"/>
  <c r="AL1013"/>
  <c r="AL1070" s="1"/>
  <c r="AN1013"/>
  <c r="AN1070" s="1"/>
  <c r="AP1013"/>
  <c r="AP1070" s="1"/>
  <c r="AR1013"/>
  <c r="AR1070" s="1"/>
  <c r="AT1013"/>
  <c r="AT1070" s="1"/>
  <c r="AV1013"/>
  <c r="AV1070" s="1"/>
  <c r="AX1013"/>
  <c r="AX1070" s="1"/>
  <c r="AZ1013"/>
  <c r="AZ1070" s="1"/>
  <c r="BB1013"/>
  <c r="BB1070" s="1"/>
  <c r="BD1013"/>
  <c r="BD1070" s="1"/>
  <c r="BF1013"/>
  <c r="BF1070" s="1"/>
  <c r="BH1013"/>
  <c r="BH1070" s="1"/>
  <c r="BJ1013"/>
  <c r="BJ1070" s="1"/>
  <c r="D1015"/>
  <c r="X1015"/>
  <c r="Z1015"/>
  <c r="AB1015"/>
  <c r="AD1015"/>
  <c r="AF1015"/>
  <c r="AH1015"/>
  <c r="AJ1015"/>
  <c r="AL1015"/>
  <c r="AL1072" s="1"/>
  <c r="AN1015"/>
  <c r="AN1072" s="1"/>
  <c r="AP1015"/>
  <c r="AP1072" s="1"/>
  <c r="AR1015"/>
  <c r="AR1072" s="1"/>
  <c r="AT1015"/>
  <c r="AT1072" s="1"/>
  <c r="AV1015"/>
  <c r="AV1072" s="1"/>
  <c r="AX1015"/>
  <c r="AX1072" s="1"/>
  <c r="AZ1015"/>
  <c r="AZ1072" s="1"/>
  <c r="BB1015"/>
  <c r="BB1072" s="1"/>
  <c r="BD1015"/>
  <c r="BD1072" s="1"/>
  <c r="BF1015"/>
  <c r="BF1072" s="1"/>
  <c r="BH1015"/>
  <c r="BH1072" s="1"/>
  <c r="BJ1015"/>
  <c r="BJ1072" s="1"/>
  <c r="C1016"/>
  <c r="W1016"/>
  <c r="W1073" s="1"/>
  <c r="Y1016"/>
  <c r="Y1073" s="1"/>
  <c r="AA1016"/>
  <c r="AA1073" s="1"/>
  <c r="AC1016"/>
  <c r="AC1073" s="1"/>
  <c r="AE1016"/>
  <c r="AE1073" s="1"/>
  <c r="AG1016"/>
  <c r="AG1073" s="1"/>
  <c r="AI1016"/>
  <c r="AI1073" s="1"/>
  <c r="AK1016"/>
  <c r="AK1073" s="1"/>
  <c r="AM1016"/>
  <c r="AM1073" s="1"/>
  <c r="AO1016"/>
  <c r="AO1073" s="1"/>
  <c r="AQ1016"/>
  <c r="AQ1073" s="1"/>
  <c r="AS1016"/>
  <c r="AS1073" s="1"/>
  <c r="AU1016"/>
  <c r="AU1073" s="1"/>
  <c r="AW1016"/>
  <c r="AW1073" s="1"/>
  <c r="AY1016"/>
  <c r="AY1073" s="1"/>
  <c r="BA1016"/>
  <c r="BA1073" s="1"/>
  <c r="BC1016"/>
  <c r="BC1073" s="1"/>
  <c r="BE1016"/>
  <c r="BE1073" s="1"/>
  <c r="BG1016"/>
  <c r="BG1073" s="1"/>
  <c r="BI1016"/>
  <c r="BI1073" s="1"/>
  <c r="X1017"/>
  <c r="X1074" s="1"/>
  <c r="Z1017"/>
  <c r="Z1074" s="1"/>
  <c r="AB1017"/>
  <c r="AB1074" s="1"/>
  <c r="AD1017"/>
  <c r="AD1074" s="1"/>
  <c r="AF1017"/>
  <c r="AF1074" s="1"/>
  <c r="AH1017"/>
  <c r="AH1074" s="1"/>
  <c r="AJ1017"/>
  <c r="AJ1074" s="1"/>
  <c r="AL1017"/>
  <c r="AL1074" s="1"/>
  <c r="AN1017"/>
  <c r="AN1074" s="1"/>
  <c r="AP1017"/>
  <c r="AP1074" s="1"/>
  <c r="AR1017"/>
  <c r="AR1074" s="1"/>
  <c r="AT1017"/>
  <c r="AT1074" s="1"/>
  <c r="AV1017"/>
  <c r="AV1074" s="1"/>
  <c r="AX1017"/>
  <c r="AX1074" s="1"/>
  <c r="AZ1017"/>
  <c r="AZ1074" s="1"/>
  <c r="BB1017"/>
  <c r="BB1074" s="1"/>
  <c r="BD1017"/>
  <c r="BD1074" s="1"/>
  <c r="BF1017"/>
  <c r="BF1074" s="1"/>
  <c r="BH1017"/>
  <c r="BH1074" s="1"/>
  <c r="BJ1017"/>
  <c r="BJ1074" s="1"/>
  <c r="W1018"/>
  <c r="W1075" s="1"/>
  <c r="Y1018"/>
  <c r="Y1075" s="1"/>
  <c r="AA1018"/>
  <c r="AA1075" s="1"/>
  <c r="AC1018"/>
  <c r="AC1075" s="1"/>
  <c r="AE1018"/>
  <c r="AE1075" s="1"/>
  <c r="AG1018"/>
  <c r="AG1075" s="1"/>
  <c r="AI1018"/>
  <c r="AI1075" s="1"/>
  <c r="AK1018"/>
  <c r="AK1075" s="1"/>
  <c r="AM1018"/>
  <c r="AM1075" s="1"/>
  <c r="AO1018"/>
  <c r="AO1075" s="1"/>
  <c r="AQ1018"/>
  <c r="AQ1075" s="1"/>
  <c r="AS1018"/>
  <c r="AS1075" s="1"/>
  <c r="AU1018"/>
  <c r="AU1075" s="1"/>
  <c r="AW1018"/>
  <c r="AW1075" s="1"/>
  <c r="AY1018"/>
  <c r="AY1075" s="1"/>
  <c r="BA1018"/>
  <c r="BA1075" s="1"/>
  <c r="BC1018"/>
  <c r="BC1075" s="1"/>
  <c r="BE1018"/>
  <c r="BE1075" s="1"/>
  <c r="BG1018"/>
  <c r="BG1075" s="1"/>
  <c r="BI1018"/>
  <c r="BI1075" s="1"/>
  <c r="X1023"/>
  <c r="Z1023"/>
  <c r="AB1023"/>
  <c r="AD1023"/>
  <c r="AF1023"/>
  <c r="AH1023"/>
  <c r="AJ1023"/>
  <c r="AL1023"/>
  <c r="AN1023"/>
  <c r="AP1023"/>
  <c r="AR1023"/>
  <c r="AT1023"/>
  <c r="AV1023"/>
  <c r="AX1023"/>
  <c r="AZ1023"/>
  <c r="BB1023"/>
  <c r="BD1023"/>
  <c r="BF1023"/>
  <c r="BH1023"/>
  <c r="BJ1023"/>
  <c r="D1025"/>
  <c r="H1025"/>
  <c r="J1025"/>
  <c r="L1025"/>
  <c r="N1025"/>
  <c r="P1025"/>
  <c r="R1025"/>
  <c r="T1025"/>
  <c r="X1025"/>
  <c r="Z1025"/>
  <c r="AB1025"/>
  <c r="AD1025"/>
  <c r="AF1025"/>
  <c r="AH1025"/>
  <c r="AJ1025"/>
  <c r="AL1025"/>
  <c r="AN1025"/>
  <c r="AP1025"/>
  <c r="AR1025"/>
  <c r="AT1025"/>
  <c r="AV1025"/>
  <c r="AX1025"/>
  <c r="AZ1025"/>
  <c r="BB1025"/>
  <c r="BD1025"/>
  <c r="BF1025"/>
  <c r="BH1025"/>
  <c r="BJ1025"/>
  <c r="C1031"/>
  <c r="E1031"/>
  <c r="G1031"/>
  <c r="I1031"/>
  <c r="K1031"/>
  <c r="M1031"/>
  <c r="O1031"/>
  <c r="Q1031"/>
  <c r="S1031"/>
  <c r="U1031"/>
  <c r="W1031"/>
  <c r="Y1031"/>
  <c r="AA1031"/>
  <c r="AC1031"/>
  <c r="AE1031"/>
  <c r="AG1031"/>
  <c r="AI1031"/>
  <c r="AK1031"/>
  <c r="AM1031"/>
  <c r="AO1031"/>
  <c r="AQ1031"/>
  <c r="AS1031"/>
  <c r="AU1031"/>
  <c r="AW1031"/>
  <c r="AY1031"/>
  <c r="BA1031"/>
  <c r="BC1031"/>
  <c r="BE1031"/>
  <c r="BG1031"/>
  <c r="BI1031"/>
  <c r="D1034"/>
  <c r="F1034"/>
  <c r="H1034"/>
  <c r="J1034"/>
  <c r="L1034"/>
  <c r="N1034"/>
  <c r="P1034"/>
  <c r="R1034"/>
  <c r="T1034"/>
  <c r="V1034"/>
  <c r="X1034"/>
  <c r="Z1034"/>
  <c r="AB1034"/>
  <c r="AD1034"/>
  <c r="AF1034"/>
  <c r="AH1034"/>
  <c r="AJ1034"/>
  <c r="AL1034"/>
  <c r="AN1034"/>
  <c r="AP1034"/>
  <c r="AR1034"/>
  <c r="AT1034"/>
  <c r="AV1034"/>
  <c r="AX1034"/>
  <c r="AZ1034"/>
  <c r="BB1034"/>
  <c r="BD1034"/>
  <c r="BF1034"/>
  <c r="BH1034"/>
  <c r="BJ1034"/>
  <c r="C1040"/>
  <c r="E1040"/>
  <c r="G1040"/>
  <c r="I1040"/>
  <c r="I1082" s="1"/>
  <c r="K1040"/>
  <c r="M1040"/>
  <c r="M1082" s="1"/>
  <c r="O1040"/>
  <c r="Q1040"/>
  <c r="Q1082" s="1"/>
  <c r="S1040"/>
  <c r="U1040"/>
  <c r="U1082" s="1"/>
  <c r="W1040"/>
  <c r="Y1040"/>
  <c r="Y1082" s="1"/>
  <c r="AA1040"/>
  <c r="AC1040"/>
  <c r="AC1082" s="1"/>
  <c r="AE1040"/>
  <c r="AG1040"/>
  <c r="AG1082" s="1"/>
  <c r="AI1040"/>
  <c r="AK1040"/>
  <c r="AK1082" s="1"/>
  <c r="AM1040"/>
  <c r="AO1040"/>
  <c r="AO1082" s="1"/>
  <c r="AQ1040"/>
  <c r="AS1040"/>
  <c r="AS1082" s="1"/>
  <c r="AU1040"/>
  <c r="AW1040"/>
  <c r="AW1082" s="1"/>
  <c r="AY1040"/>
  <c r="BA1040"/>
  <c r="BA1082" s="1"/>
  <c r="BC1040"/>
  <c r="BE1040"/>
  <c r="BE1082" s="1"/>
  <c r="BG1040"/>
  <c r="BI1040"/>
  <c r="BI1082" s="1"/>
  <c r="H1049"/>
  <c r="J1049"/>
  <c r="L1049"/>
  <c r="N1049"/>
  <c r="P1049"/>
  <c r="R1049"/>
  <c r="T1049"/>
  <c r="V1049"/>
  <c r="X1049"/>
  <c r="Z1049"/>
  <c r="AB1049"/>
  <c r="AD1049"/>
  <c r="AF1049"/>
  <c r="AH1049"/>
  <c r="AJ1049"/>
  <c r="AL1049"/>
  <c r="AN1049"/>
  <c r="AP1049"/>
  <c r="AR1049"/>
  <c r="AT1049"/>
  <c r="AV1049"/>
  <c r="AX1049"/>
  <c r="AZ1049"/>
  <c r="BB1049"/>
  <c r="BD1049"/>
  <c r="BF1049"/>
  <c r="BH1049"/>
  <c r="BJ1049"/>
  <c r="D1052"/>
  <c r="D1053"/>
  <c r="F1055"/>
  <c r="D1057"/>
  <c r="D1068"/>
  <c r="C1067"/>
  <c r="C1063"/>
  <c r="C1062"/>
  <c r="AI1060"/>
  <c r="C1058"/>
  <c r="C1068"/>
  <c r="D1067"/>
  <c r="D1062"/>
  <c r="AH1060"/>
  <c r="D1058"/>
  <c r="C1057"/>
  <c r="D1204"/>
  <c r="D1207"/>
  <c r="L1204"/>
  <c r="L1207"/>
  <c r="T1204"/>
  <c r="T1207"/>
  <c r="AB1204"/>
  <c r="AB1207"/>
  <c r="AB1196"/>
  <c r="AJ1204"/>
  <c r="AJ1207"/>
  <c r="AJ1196"/>
  <c r="AR1204"/>
  <c r="AR1207"/>
  <c r="AR1196"/>
  <c r="AZ1204"/>
  <c r="AZ1207"/>
  <c r="AZ1196"/>
  <c r="BH1204"/>
  <c r="BH1207"/>
  <c r="BH1196"/>
  <c r="C1186"/>
  <c r="H1119"/>
  <c r="G1176"/>
  <c r="D1046"/>
  <c r="F1046"/>
  <c r="H1046"/>
  <c r="J1046"/>
  <c r="L1046"/>
  <c r="N1046"/>
  <c r="P1046"/>
  <c r="R1046"/>
  <c r="T1046"/>
  <c r="V1046"/>
  <c r="X1046"/>
  <c r="Z1046"/>
  <c r="AB1046"/>
  <c r="AD1046"/>
  <c r="AF1046"/>
  <c r="AH1046"/>
  <c r="AJ1046"/>
  <c r="AL1046"/>
  <c r="AN1046"/>
  <c r="AP1046"/>
  <c r="AR1046"/>
  <c r="AT1046"/>
  <c r="AV1046"/>
  <c r="AX1046"/>
  <c r="AZ1046"/>
  <c r="BB1046"/>
  <c r="BD1046"/>
  <c r="BF1046"/>
  <c r="BH1046"/>
  <c r="BJ1046"/>
  <c r="E1047"/>
  <c r="G1047"/>
  <c r="I1047"/>
  <c r="K1047"/>
  <c r="M1047"/>
  <c r="O1047"/>
  <c r="Q1047"/>
  <c r="S1047"/>
  <c r="U1047"/>
  <c r="W1047"/>
  <c r="Y1047"/>
  <c r="AA1047"/>
  <c r="AC1047"/>
  <c r="AE1047"/>
  <c r="AG1047"/>
  <c r="AI1047"/>
  <c r="AK1047"/>
  <c r="AM1047"/>
  <c r="AO1047"/>
  <c r="AQ1047"/>
  <c r="AS1047"/>
  <c r="AU1047"/>
  <c r="AW1047"/>
  <c r="AY1047"/>
  <c r="BA1047"/>
  <c r="BC1047"/>
  <c r="BE1047"/>
  <c r="BG1047"/>
  <c r="BI1047"/>
  <c r="D1048"/>
  <c r="F1048"/>
  <c r="H1048"/>
  <c r="J1048"/>
  <c r="L1048"/>
  <c r="N1048"/>
  <c r="P1048"/>
  <c r="R1048"/>
  <c r="T1048"/>
  <c r="V1048"/>
  <c r="X1048"/>
  <c r="Z1048"/>
  <c r="AB1048"/>
  <c r="AD1048"/>
  <c r="AF1048"/>
  <c r="AH1048"/>
  <c r="AJ1048"/>
  <c r="AL1048"/>
  <c r="AN1048"/>
  <c r="AP1048"/>
  <c r="AR1048"/>
  <c r="AT1048"/>
  <c r="AV1048"/>
  <c r="AX1048"/>
  <c r="AZ1048"/>
  <c r="BB1048"/>
  <c r="BD1048"/>
  <c r="BF1048"/>
  <c r="BH1048"/>
  <c r="BJ1048"/>
  <c r="F1000"/>
  <c r="E1001"/>
  <c r="G1001"/>
  <c r="G1016" s="1"/>
  <c r="G1073" s="1"/>
  <c r="D1002"/>
  <c r="C1003"/>
  <c r="E1003"/>
  <c r="E1060" s="1"/>
  <c r="G1003"/>
  <c r="X1010"/>
  <c r="Z1010"/>
  <c r="AB1010"/>
  <c r="AD1010"/>
  <c r="AF1010"/>
  <c r="AH1010"/>
  <c r="AJ1010"/>
  <c r="AL1010"/>
  <c r="AL1067" s="1"/>
  <c r="AN1010"/>
  <c r="AN1067" s="1"/>
  <c r="AP1010"/>
  <c r="AP1067" s="1"/>
  <c r="AR1010"/>
  <c r="AR1067" s="1"/>
  <c r="AT1010"/>
  <c r="AT1067" s="1"/>
  <c r="AV1010"/>
  <c r="AV1067" s="1"/>
  <c r="AX1010"/>
  <c r="AX1067" s="1"/>
  <c r="AZ1010"/>
  <c r="AZ1067" s="1"/>
  <c r="BB1010"/>
  <c r="BB1067" s="1"/>
  <c r="BD1010"/>
  <c r="BD1067" s="1"/>
  <c r="BF1010"/>
  <c r="BF1067" s="1"/>
  <c r="BH1010"/>
  <c r="BH1067" s="1"/>
  <c r="BJ1010"/>
  <c r="BJ1067" s="1"/>
  <c r="W1011"/>
  <c r="W1068" s="1"/>
  <c r="Y1011"/>
  <c r="Y1068" s="1"/>
  <c r="AA1011"/>
  <c r="AA1068" s="1"/>
  <c r="AC1011"/>
  <c r="AC1068" s="1"/>
  <c r="AE1011"/>
  <c r="AE1068" s="1"/>
  <c r="AG1011"/>
  <c r="AG1068" s="1"/>
  <c r="AI1011"/>
  <c r="AI1068" s="1"/>
  <c r="AK1011"/>
  <c r="AK1068" s="1"/>
  <c r="AM1011"/>
  <c r="AM1068" s="1"/>
  <c r="AO1011"/>
  <c r="AO1068" s="1"/>
  <c r="AQ1011"/>
  <c r="AQ1068" s="1"/>
  <c r="AS1011"/>
  <c r="AS1068" s="1"/>
  <c r="AU1011"/>
  <c r="AU1068" s="1"/>
  <c r="AW1011"/>
  <c r="AW1068" s="1"/>
  <c r="AY1011"/>
  <c r="AY1068" s="1"/>
  <c r="BA1011"/>
  <c r="BA1068" s="1"/>
  <c r="BC1011"/>
  <c r="BC1068" s="1"/>
  <c r="BE1011"/>
  <c r="BE1068" s="1"/>
  <c r="BG1011"/>
  <c r="BG1068" s="1"/>
  <c r="BI1011"/>
  <c r="BI1068" s="1"/>
  <c r="X1012"/>
  <c r="X1069" s="1"/>
  <c r="Z1012"/>
  <c r="Z1069" s="1"/>
  <c r="AB1012"/>
  <c r="AB1069" s="1"/>
  <c r="AD1012"/>
  <c r="AD1069" s="1"/>
  <c r="AF1012"/>
  <c r="AF1069" s="1"/>
  <c r="AH1012"/>
  <c r="AH1069" s="1"/>
  <c r="AJ1012"/>
  <c r="AJ1069" s="1"/>
  <c r="AL1012"/>
  <c r="AL1069" s="1"/>
  <c r="AN1012"/>
  <c r="AN1069" s="1"/>
  <c r="AP1012"/>
  <c r="AP1069" s="1"/>
  <c r="AR1012"/>
  <c r="AR1069" s="1"/>
  <c r="AT1012"/>
  <c r="AT1069" s="1"/>
  <c r="AV1012"/>
  <c r="AV1069" s="1"/>
  <c r="AX1012"/>
  <c r="AX1069" s="1"/>
  <c r="AZ1012"/>
  <c r="AZ1069" s="1"/>
  <c r="BB1012"/>
  <c r="BB1069" s="1"/>
  <c r="BD1012"/>
  <c r="BD1069" s="1"/>
  <c r="BF1012"/>
  <c r="BF1069" s="1"/>
  <c r="BH1012"/>
  <c r="BH1069" s="1"/>
  <c r="BJ1012"/>
  <c r="BJ1069" s="1"/>
  <c r="W1013"/>
  <c r="W1070" s="1"/>
  <c r="Y1013"/>
  <c r="Y1070" s="1"/>
  <c r="AA1013"/>
  <c r="AA1070" s="1"/>
  <c r="AC1013"/>
  <c r="AC1070" s="1"/>
  <c r="AE1013"/>
  <c r="AE1070" s="1"/>
  <c r="AG1013"/>
  <c r="AG1070" s="1"/>
  <c r="AI1013"/>
  <c r="AI1070" s="1"/>
  <c r="AK1013"/>
  <c r="AK1070" s="1"/>
  <c r="AM1013"/>
  <c r="AM1070" s="1"/>
  <c r="AO1013"/>
  <c r="AO1070" s="1"/>
  <c r="AQ1013"/>
  <c r="AQ1070" s="1"/>
  <c r="AS1013"/>
  <c r="AS1070" s="1"/>
  <c r="AU1013"/>
  <c r="AU1070" s="1"/>
  <c r="AW1013"/>
  <c r="AW1070" s="1"/>
  <c r="AY1013"/>
  <c r="AY1070" s="1"/>
  <c r="BA1013"/>
  <c r="BA1070" s="1"/>
  <c r="BC1013"/>
  <c r="BC1070" s="1"/>
  <c r="BE1013"/>
  <c r="BE1070" s="1"/>
  <c r="BG1013"/>
  <c r="BG1070" s="1"/>
  <c r="BI1013"/>
  <c r="BI1070" s="1"/>
  <c r="C1015"/>
  <c r="E1015"/>
  <c r="G1015"/>
  <c r="W1015"/>
  <c r="Y1015"/>
  <c r="AA1015"/>
  <c r="AC1015"/>
  <c r="AE1015"/>
  <c r="AG1015"/>
  <c r="AI1015"/>
  <c r="AK1015"/>
  <c r="AK1072" s="1"/>
  <c r="AM1015"/>
  <c r="AM1072" s="1"/>
  <c r="AO1015"/>
  <c r="AO1072" s="1"/>
  <c r="AQ1015"/>
  <c r="AQ1072" s="1"/>
  <c r="AS1015"/>
  <c r="AS1072" s="1"/>
  <c r="AU1015"/>
  <c r="AU1072" s="1"/>
  <c r="AW1015"/>
  <c r="AW1072" s="1"/>
  <c r="AY1015"/>
  <c r="AY1072" s="1"/>
  <c r="BA1015"/>
  <c r="BA1072" s="1"/>
  <c r="BC1015"/>
  <c r="BC1072" s="1"/>
  <c r="BE1015"/>
  <c r="BE1072" s="1"/>
  <c r="BG1015"/>
  <c r="BG1072" s="1"/>
  <c r="BI1015"/>
  <c r="BI1072" s="1"/>
  <c r="D1016"/>
  <c r="D1073" s="1"/>
  <c r="F1016"/>
  <c r="F1073" s="1"/>
  <c r="X1016"/>
  <c r="X1073" s="1"/>
  <c r="Z1016"/>
  <c r="Z1073" s="1"/>
  <c r="AB1016"/>
  <c r="AB1073" s="1"/>
  <c r="AD1016"/>
  <c r="AD1073" s="1"/>
  <c r="AF1016"/>
  <c r="AF1073" s="1"/>
  <c r="AH1016"/>
  <c r="AH1073" s="1"/>
  <c r="AJ1016"/>
  <c r="AJ1073" s="1"/>
  <c r="AL1016"/>
  <c r="AL1073" s="1"/>
  <c r="AN1016"/>
  <c r="AN1073" s="1"/>
  <c r="AP1016"/>
  <c r="AP1073" s="1"/>
  <c r="AR1016"/>
  <c r="AR1073" s="1"/>
  <c r="AT1016"/>
  <c r="AT1073" s="1"/>
  <c r="AV1016"/>
  <c r="AV1073" s="1"/>
  <c r="AX1016"/>
  <c r="AX1073" s="1"/>
  <c r="AZ1016"/>
  <c r="AZ1073" s="1"/>
  <c r="BB1016"/>
  <c r="BB1073" s="1"/>
  <c r="BD1016"/>
  <c r="BD1073" s="1"/>
  <c r="BF1016"/>
  <c r="BF1073" s="1"/>
  <c r="BH1016"/>
  <c r="BH1073" s="1"/>
  <c r="BJ1016"/>
  <c r="BJ1073" s="1"/>
  <c r="C1017"/>
  <c r="W1017"/>
  <c r="W1074" s="1"/>
  <c r="Y1017"/>
  <c r="Y1074" s="1"/>
  <c r="AA1017"/>
  <c r="AA1074" s="1"/>
  <c r="AC1017"/>
  <c r="AC1074" s="1"/>
  <c r="AE1017"/>
  <c r="AE1074" s="1"/>
  <c r="AG1017"/>
  <c r="AG1074" s="1"/>
  <c r="AI1017"/>
  <c r="AI1074" s="1"/>
  <c r="AK1017"/>
  <c r="AK1074" s="1"/>
  <c r="AM1017"/>
  <c r="AM1074" s="1"/>
  <c r="AO1017"/>
  <c r="AO1074" s="1"/>
  <c r="AQ1017"/>
  <c r="AQ1074" s="1"/>
  <c r="AS1017"/>
  <c r="AS1074" s="1"/>
  <c r="AU1017"/>
  <c r="AU1074" s="1"/>
  <c r="AW1017"/>
  <c r="AW1074" s="1"/>
  <c r="AY1017"/>
  <c r="AY1074" s="1"/>
  <c r="BA1017"/>
  <c r="BA1074" s="1"/>
  <c r="BC1017"/>
  <c r="BC1074" s="1"/>
  <c r="BE1017"/>
  <c r="BE1074" s="1"/>
  <c r="BG1017"/>
  <c r="BG1074" s="1"/>
  <c r="BI1017"/>
  <c r="BI1074" s="1"/>
  <c r="D1018"/>
  <c r="D1075" s="1"/>
  <c r="F1018"/>
  <c r="F1075" s="1"/>
  <c r="X1018"/>
  <c r="X1075" s="1"/>
  <c r="Z1018"/>
  <c r="Z1075" s="1"/>
  <c r="AB1018"/>
  <c r="AB1075" s="1"/>
  <c r="AD1018"/>
  <c r="AD1075" s="1"/>
  <c r="AF1018"/>
  <c r="AF1075" s="1"/>
  <c r="AH1018"/>
  <c r="AH1075" s="1"/>
  <c r="AJ1018"/>
  <c r="AJ1075" s="1"/>
  <c r="AL1018"/>
  <c r="AL1075" s="1"/>
  <c r="AN1018"/>
  <c r="AN1075" s="1"/>
  <c r="AP1018"/>
  <c r="AP1075" s="1"/>
  <c r="AR1018"/>
  <c r="AR1075" s="1"/>
  <c r="AT1018"/>
  <c r="AT1075" s="1"/>
  <c r="AV1018"/>
  <c r="AV1075" s="1"/>
  <c r="AX1018"/>
  <c r="AX1075" s="1"/>
  <c r="AZ1018"/>
  <c r="AZ1075" s="1"/>
  <c r="BB1018"/>
  <c r="BB1075" s="1"/>
  <c r="BD1018"/>
  <c r="BD1075" s="1"/>
  <c r="BF1018"/>
  <c r="BF1075" s="1"/>
  <c r="BH1018"/>
  <c r="BH1075" s="1"/>
  <c r="BJ1018"/>
  <c r="BJ1075" s="1"/>
  <c r="W1023"/>
  <c r="Y1023"/>
  <c r="AA1023"/>
  <c r="AC1023"/>
  <c r="AE1023"/>
  <c r="AG1023"/>
  <c r="AI1023"/>
  <c r="AK1023"/>
  <c r="AM1023"/>
  <c r="AO1023"/>
  <c r="AQ1023"/>
  <c r="AS1023"/>
  <c r="AU1023"/>
  <c r="AW1023"/>
  <c r="AY1023"/>
  <c r="BA1023"/>
  <c r="BC1023"/>
  <c r="BE1023"/>
  <c r="BG1023"/>
  <c r="BI1023"/>
  <c r="I1025"/>
  <c r="K1025"/>
  <c r="M1025"/>
  <c r="O1025"/>
  <c r="Q1025"/>
  <c r="S1025"/>
  <c r="U1025"/>
  <c r="W1025"/>
  <c r="Y1025"/>
  <c r="AA1025"/>
  <c r="AC1025"/>
  <c r="AE1025"/>
  <c r="AG1025"/>
  <c r="AI1025"/>
  <c r="AK1025"/>
  <c r="AM1025"/>
  <c r="AO1025"/>
  <c r="AQ1025"/>
  <c r="AS1025"/>
  <c r="AU1025"/>
  <c r="AW1025"/>
  <c r="AY1025"/>
  <c r="BA1025"/>
  <c r="BC1025"/>
  <c r="BE1025"/>
  <c r="BG1025"/>
  <c r="BI1025"/>
  <c r="D1031"/>
  <c r="F1031"/>
  <c r="H1031"/>
  <c r="J1031"/>
  <c r="L1031"/>
  <c r="N1031"/>
  <c r="P1031"/>
  <c r="R1031"/>
  <c r="T1031"/>
  <c r="V1031"/>
  <c r="X1031"/>
  <c r="Z1031"/>
  <c r="AB1031"/>
  <c r="AD1031"/>
  <c r="AF1031"/>
  <c r="AH1031"/>
  <c r="AJ1031"/>
  <c r="AL1031"/>
  <c r="AN1031"/>
  <c r="AP1031"/>
  <c r="AR1031"/>
  <c r="AT1031"/>
  <c r="AV1031"/>
  <c r="AX1031"/>
  <c r="AZ1031"/>
  <c r="BB1031"/>
  <c r="BD1031"/>
  <c r="BF1031"/>
  <c r="BH1031"/>
  <c r="BJ1031"/>
  <c r="I1049"/>
  <c r="K1049"/>
  <c r="M1049"/>
  <c r="O1049"/>
  <c r="Q1049"/>
  <c r="S1049"/>
  <c r="U1049"/>
  <c r="W1049"/>
  <c r="Y1049"/>
  <c r="AA1049"/>
  <c r="AC1049"/>
  <c r="AE1049"/>
  <c r="AG1049"/>
  <c r="AI1049"/>
  <c r="AK1049"/>
  <c r="AM1049"/>
  <c r="AO1049"/>
  <c r="AQ1049"/>
  <c r="AS1049"/>
  <c r="AU1049"/>
  <c r="AW1049"/>
  <c r="AY1049"/>
  <c r="BA1049"/>
  <c r="BC1049"/>
  <c r="BE1049"/>
  <c r="BG1049"/>
  <c r="BI1049"/>
  <c r="C1052"/>
  <c r="C1053"/>
  <c r="E1055"/>
  <c r="B1055" s="1"/>
  <c r="J17" s="1"/>
  <c r="G1055"/>
  <c r="AJ1060"/>
  <c r="D1108"/>
  <c r="F1169"/>
  <c r="G1112"/>
  <c r="AJ1117"/>
  <c r="AJ1174" s="1"/>
  <c r="Y1188"/>
  <c r="AC1188"/>
  <c r="AG1188"/>
  <c r="F1162"/>
  <c r="J1162"/>
  <c r="N1162"/>
  <c r="R1162"/>
  <c r="V1162"/>
  <c r="Z1162"/>
  <c r="AD1162"/>
  <c r="AH1162"/>
  <c r="AL1162"/>
  <c r="AP1162"/>
  <c r="AT1162"/>
  <c r="AX1162"/>
  <c r="BB1162"/>
  <c r="BF1162"/>
  <c r="BJ1162"/>
  <c r="D1164"/>
  <c r="H1164"/>
  <c r="L1164"/>
  <c r="P1164"/>
  <c r="T1164"/>
  <c r="X1164"/>
  <c r="AB1164"/>
  <c r="AF1164"/>
  <c r="AJ1164"/>
  <c r="AN1164"/>
  <c r="AR1164"/>
  <c r="AV1164"/>
  <c r="AZ1164"/>
  <c r="BD1164"/>
  <c r="BH1164"/>
  <c r="E1168"/>
  <c r="C1171"/>
  <c r="Z1126"/>
  <c r="AD1126"/>
  <c r="AH1126"/>
  <c r="AL1126"/>
  <c r="AL1183" s="1"/>
  <c r="AP1126"/>
  <c r="AP1183" s="1"/>
  <c r="AT1126"/>
  <c r="AT1183" s="1"/>
  <c r="AX1126"/>
  <c r="AX1183" s="1"/>
  <c r="BB1126"/>
  <c r="BB1183" s="1"/>
  <c r="BF1126"/>
  <c r="BF1183" s="1"/>
  <c r="BJ1126"/>
  <c r="BJ1183" s="1"/>
  <c r="AA1184"/>
  <c r="AE1184"/>
  <c r="AI1184"/>
  <c r="AM1184"/>
  <c r="AQ1184"/>
  <c r="AU1184"/>
  <c r="AY1184"/>
  <c r="BC1184"/>
  <c r="BG1184"/>
  <c r="Z1128"/>
  <c r="Z1185" s="1"/>
  <c r="AD1128"/>
  <c r="AD1185" s="1"/>
  <c r="AH1128"/>
  <c r="AH1185" s="1"/>
  <c r="AL1128"/>
  <c r="AL1185" s="1"/>
  <c r="AP1128"/>
  <c r="AP1185" s="1"/>
  <c r="AT1128"/>
  <c r="AT1185" s="1"/>
  <c r="AX1128"/>
  <c r="AX1185" s="1"/>
  <c r="BB1128"/>
  <c r="BB1185" s="1"/>
  <c r="BF1128"/>
  <c r="BF1185" s="1"/>
  <c r="BJ1128"/>
  <c r="BJ1185" s="1"/>
  <c r="Y1186"/>
  <c r="AC1186"/>
  <c r="AG1186"/>
  <c r="AK1186"/>
  <c r="AO1186"/>
  <c r="AS1186"/>
  <c r="AW1186"/>
  <c r="BA1186"/>
  <c r="BE1186"/>
  <c r="BI1186"/>
  <c r="AK1188"/>
  <c r="AO1188"/>
  <c r="AS1188"/>
  <c r="AW1188"/>
  <c r="BA1188"/>
  <c r="BE1188"/>
  <c r="BI1188"/>
  <c r="D1132"/>
  <c r="D1189" s="1"/>
  <c r="AB1132"/>
  <c r="AB1189" s="1"/>
  <c r="AJ1132"/>
  <c r="AJ1189" s="1"/>
  <c r="AR1132"/>
  <c r="AR1189" s="1"/>
  <c r="AZ1132"/>
  <c r="AZ1189" s="1"/>
  <c r="BH1132"/>
  <c r="BH1189" s="1"/>
  <c r="AA1190"/>
  <c r="AE1190"/>
  <c r="AI1190"/>
  <c r="AM1190"/>
  <c r="AQ1190"/>
  <c r="AU1190"/>
  <c r="AY1190"/>
  <c r="BC1190"/>
  <c r="BG1190"/>
  <c r="Z1134"/>
  <c r="Z1191" s="1"/>
  <c r="AD1134"/>
  <c r="AD1191" s="1"/>
  <c r="AH1134"/>
  <c r="AH1191" s="1"/>
  <c r="AL1134"/>
  <c r="AL1191" s="1"/>
  <c r="AP1134"/>
  <c r="AP1191" s="1"/>
  <c r="AT1134"/>
  <c r="AT1191" s="1"/>
  <c r="AX1134"/>
  <c r="AX1191" s="1"/>
  <c r="BB1134"/>
  <c r="BB1191" s="1"/>
  <c r="BF1134"/>
  <c r="BF1191" s="1"/>
  <c r="BJ1134"/>
  <c r="BJ1191" s="1"/>
  <c r="E1159"/>
  <c r="M1159"/>
  <c r="U1159"/>
  <c r="AC1159"/>
  <c r="AK1159"/>
  <c r="AS1159"/>
  <c r="BA1159"/>
  <c r="BI1159"/>
  <c r="C1161"/>
  <c r="K1161"/>
  <c r="S1161"/>
  <c r="AA1161"/>
  <c r="AI1161"/>
  <c r="AQ1161"/>
  <c r="AY1161"/>
  <c r="BG1161"/>
  <c r="O1165"/>
  <c r="W1165"/>
  <c r="AE1165"/>
  <c r="AM1165"/>
  <c r="AU1165"/>
  <c r="BC1165"/>
  <c r="C1170"/>
  <c r="E1171"/>
  <c r="D1173"/>
  <c r="C1176"/>
  <c r="C1181"/>
  <c r="C1184"/>
  <c r="D1183"/>
  <c r="D1179"/>
  <c r="D1178"/>
  <c r="AJ1176"/>
  <c r="AH1176"/>
  <c r="D1174"/>
  <c r="C1173"/>
  <c r="F1171"/>
  <c r="D1169"/>
  <c r="D1168"/>
  <c r="BJ1165"/>
  <c r="BH1165"/>
  <c r="BF1165"/>
  <c r="BD1165"/>
  <c r="BB1165"/>
  <c r="AZ1165"/>
  <c r="AX1165"/>
  <c r="AV1165"/>
  <c r="AT1165"/>
  <c r="AR1165"/>
  <c r="AP1165"/>
  <c r="AN1165"/>
  <c r="AL1165"/>
  <c r="AJ1165"/>
  <c r="AH1165"/>
  <c r="AF1165"/>
  <c r="AD1165"/>
  <c r="AB1165"/>
  <c r="Z1165"/>
  <c r="X1165"/>
  <c r="V1165"/>
  <c r="T1165"/>
  <c r="R1165"/>
  <c r="P1165"/>
  <c r="N1165"/>
  <c r="L1165"/>
  <c r="J1165"/>
  <c r="H1165"/>
  <c r="C1183"/>
  <c r="C1178"/>
  <c r="C1174"/>
  <c r="G1171"/>
  <c r="C1169"/>
  <c r="BI1165"/>
  <c r="BE1165"/>
  <c r="BA1165"/>
  <c r="AW1165"/>
  <c r="AS1165"/>
  <c r="AO1165"/>
  <c r="AK1165"/>
  <c r="AG1165"/>
  <c r="AC1165"/>
  <c r="Y1165"/>
  <c r="U1165"/>
  <c r="Q1165"/>
  <c r="M1165"/>
  <c r="I1165"/>
  <c r="D1150"/>
  <c r="D1147"/>
  <c r="D1131"/>
  <c r="D1163"/>
  <c r="F1150"/>
  <c r="F1156"/>
  <c r="F1131"/>
  <c r="F1163"/>
  <c r="H1150"/>
  <c r="H1147"/>
  <c r="H1163"/>
  <c r="J1150"/>
  <c r="J1156"/>
  <c r="J1163"/>
  <c r="L1150"/>
  <c r="L1147"/>
  <c r="K1141"/>
  <c r="L1163"/>
  <c r="N1150"/>
  <c r="N1156"/>
  <c r="N1163"/>
  <c r="P1150"/>
  <c r="P1147"/>
  <c r="O1141"/>
  <c r="P1163"/>
  <c r="R1150"/>
  <c r="R1156"/>
  <c r="R1163"/>
  <c r="T1150"/>
  <c r="T1147"/>
  <c r="S1141"/>
  <c r="T1163"/>
  <c r="V1150"/>
  <c r="V1156"/>
  <c r="V1163"/>
  <c r="X1150"/>
  <c r="X1139"/>
  <c r="X1147"/>
  <c r="X1133"/>
  <c r="X1190" s="1"/>
  <c r="X1131"/>
  <c r="X1129"/>
  <c r="X1186" s="1"/>
  <c r="X1127"/>
  <c r="X1184" s="1"/>
  <c r="X1163"/>
  <c r="Z1150"/>
  <c r="Z1139"/>
  <c r="Z1156"/>
  <c r="Z1133"/>
  <c r="Z1190" s="1"/>
  <c r="Z1131"/>
  <c r="Z1129"/>
  <c r="Z1186" s="1"/>
  <c r="Z1127"/>
  <c r="Z1184" s="1"/>
  <c r="Z1163"/>
  <c r="AB1150"/>
  <c r="AB1139"/>
  <c r="AB1147"/>
  <c r="AA1141"/>
  <c r="AB1133"/>
  <c r="AB1190" s="1"/>
  <c r="AB1131"/>
  <c r="AB1129"/>
  <c r="AB1186" s="1"/>
  <c r="AB1127"/>
  <c r="AB1184" s="1"/>
  <c r="AB1163"/>
  <c r="AD1150"/>
  <c r="AD1139"/>
  <c r="AD1156"/>
  <c r="AD1133"/>
  <c r="AD1190" s="1"/>
  <c r="AD1131"/>
  <c r="AD1129"/>
  <c r="AD1186" s="1"/>
  <c r="AD1127"/>
  <c r="AD1184" s="1"/>
  <c r="AD1163"/>
  <c r="AF1150"/>
  <c r="AF1139"/>
  <c r="AF1147"/>
  <c r="AE1141"/>
  <c r="AF1133"/>
  <c r="AF1190" s="1"/>
  <c r="AF1131"/>
  <c r="AF1129"/>
  <c r="AF1186" s="1"/>
  <c r="AF1127"/>
  <c r="AF1184" s="1"/>
  <c r="AF1163"/>
  <c r="AH1150"/>
  <c r="AH1139"/>
  <c r="AH1156"/>
  <c r="AH1133"/>
  <c r="AH1190" s="1"/>
  <c r="AH1131"/>
  <c r="AH1129"/>
  <c r="AH1186" s="1"/>
  <c r="AH1127"/>
  <c r="AH1184" s="1"/>
  <c r="AH1163"/>
  <c r="AJ1150"/>
  <c r="AJ1139"/>
  <c r="AJ1147"/>
  <c r="AI1141"/>
  <c r="AJ1133"/>
  <c r="AJ1190" s="1"/>
  <c r="AJ1131"/>
  <c r="AJ1129"/>
  <c r="AJ1186" s="1"/>
  <c r="AJ1127"/>
  <c r="AJ1184" s="1"/>
  <c r="AJ1163"/>
  <c r="AL1150"/>
  <c r="AL1139"/>
  <c r="AL1156"/>
  <c r="AL1133"/>
  <c r="AL1190" s="1"/>
  <c r="AL1131"/>
  <c r="AL1188" s="1"/>
  <c r="AL1129"/>
  <c r="AL1186" s="1"/>
  <c r="AL1127"/>
  <c r="AL1184" s="1"/>
  <c r="AL1163"/>
  <c r="AN1150"/>
  <c r="AN1139"/>
  <c r="AN1147"/>
  <c r="AM1141"/>
  <c r="AN1133"/>
  <c r="AN1190" s="1"/>
  <c r="AN1131"/>
  <c r="AN1188" s="1"/>
  <c r="AN1129"/>
  <c r="AN1186" s="1"/>
  <c r="AN1127"/>
  <c r="AN1184" s="1"/>
  <c r="AN1163"/>
  <c r="AP1150"/>
  <c r="AP1139"/>
  <c r="AP1156"/>
  <c r="AP1133"/>
  <c r="AP1190" s="1"/>
  <c r="AP1131"/>
  <c r="AP1188" s="1"/>
  <c r="AP1129"/>
  <c r="AP1186" s="1"/>
  <c r="AP1127"/>
  <c r="AP1184" s="1"/>
  <c r="AP1163"/>
  <c r="AR1150"/>
  <c r="AR1139"/>
  <c r="AR1147"/>
  <c r="AQ1141"/>
  <c r="AR1133"/>
  <c r="AR1190" s="1"/>
  <c r="AR1131"/>
  <c r="AR1188" s="1"/>
  <c r="AR1129"/>
  <c r="AR1186" s="1"/>
  <c r="AR1127"/>
  <c r="AR1184" s="1"/>
  <c r="AR1163"/>
  <c r="AT1150"/>
  <c r="AT1139"/>
  <c r="AT1156"/>
  <c r="AT1133"/>
  <c r="AT1190" s="1"/>
  <c r="AT1131"/>
  <c r="AT1188" s="1"/>
  <c r="AT1129"/>
  <c r="AT1186" s="1"/>
  <c r="AT1127"/>
  <c r="AT1184" s="1"/>
  <c r="AT1163"/>
  <c r="AV1150"/>
  <c r="AV1139"/>
  <c r="AV1147"/>
  <c r="AU1141"/>
  <c r="AV1133"/>
  <c r="AV1190" s="1"/>
  <c r="AV1131"/>
  <c r="AV1188" s="1"/>
  <c r="AV1129"/>
  <c r="AV1186" s="1"/>
  <c r="AV1127"/>
  <c r="AV1184" s="1"/>
  <c r="AV1163"/>
  <c r="AX1150"/>
  <c r="AX1139"/>
  <c r="AX1156"/>
  <c r="AX1133"/>
  <c r="AX1190" s="1"/>
  <c r="AX1131"/>
  <c r="AX1188" s="1"/>
  <c r="AX1129"/>
  <c r="AX1186" s="1"/>
  <c r="AX1127"/>
  <c r="AX1184" s="1"/>
  <c r="AX1163"/>
  <c r="AZ1150"/>
  <c r="AZ1139"/>
  <c r="AZ1147"/>
  <c r="AY1141"/>
  <c r="AZ1133"/>
  <c r="AZ1190" s="1"/>
  <c r="AZ1131"/>
  <c r="AZ1188" s="1"/>
  <c r="AZ1129"/>
  <c r="AZ1186" s="1"/>
  <c r="AZ1127"/>
  <c r="AZ1184" s="1"/>
  <c r="AZ1163"/>
  <c r="BB1150"/>
  <c r="BB1139"/>
  <c r="BB1156"/>
  <c r="BB1133"/>
  <c r="BB1190" s="1"/>
  <c r="BB1131"/>
  <c r="BB1188" s="1"/>
  <c r="BB1129"/>
  <c r="BB1186" s="1"/>
  <c r="BB1127"/>
  <c r="BB1184" s="1"/>
  <c r="BB1163"/>
  <c r="BD1150"/>
  <c r="BD1139"/>
  <c r="BD1147"/>
  <c r="BC1141"/>
  <c r="BD1133"/>
  <c r="BD1190" s="1"/>
  <c r="BD1131"/>
  <c r="BD1188" s="1"/>
  <c r="BD1129"/>
  <c r="BD1186" s="1"/>
  <c r="BD1127"/>
  <c r="BD1184" s="1"/>
  <c r="BD1163"/>
  <c r="BF1150"/>
  <c r="BF1139"/>
  <c r="BF1156"/>
  <c r="BF1133"/>
  <c r="BF1190" s="1"/>
  <c r="BF1131"/>
  <c r="BF1188" s="1"/>
  <c r="BF1129"/>
  <c r="BF1186" s="1"/>
  <c r="BF1127"/>
  <c r="BF1184" s="1"/>
  <c r="BF1163"/>
  <c r="BH1150"/>
  <c r="BH1139"/>
  <c r="BH1147"/>
  <c r="BG1141"/>
  <c r="BH1133"/>
  <c r="BH1190" s="1"/>
  <c r="BH1131"/>
  <c r="BH1188" s="1"/>
  <c r="BH1129"/>
  <c r="BH1186" s="1"/>
  <c r="BH1127"/>
  <c r="BH1184" s="1"/>
  <c r="BH1163"/>
  <c r="BJ1150"/>
  <c r="BJ1141"/>
  <c r="BJ1139"/>
  <c r="BJ1156"/>
  <c r="BJ1133"/>
  <c r="BJ1190" s="1"/>
  <c r="BJ1131"/>
  <c r="BJ1188" s="1"/>
  <c r="BJ1129"/>
  <c r="BJ1186" s="1"/>
  <c r="BJ1127"/>
  <c r="BJ1184" s="1"/>
  <c r="BJ1163"/>
  <c r="C1159"/>
  <c r="B1102"/>
  <c r="G1159"/>
  <c r="K1159"/>
  <c r="O1159"/>
  <c r="S1159"/>
  <c r="W1159"/>
  <c r="AA1159"/>
  <c r="AE1159"/>
  <c r="AI1159"/>
  <c r="AM1159"/>
  <c r="AQ1159"/>
  <c r="AU1159"/>
  <c r="AY1159"/>
  <c r="BC1159"/>
  <c r="BG1159"/>
  <c r="E1161"/>
  <c r="I1161"/>
  <c r="M1161"/>
  <c r="Q1161"/>
  <c r="U1161"/>
  <c r="Y1161"/>
  <c r="AC1161"/>
  <c r="AG1161"/>
  <c r="AK1161"/>
  <c r="AO1161"/>
  <c r="AS1161"/>
  <c r="AW1161"/>
  <c r="BA1161"/>
  <c r="BE1161"/>
  <c r="BI1161"/>
  <c r="C1163"/>
  <c r="F1168"/>
  <c r="G1111"/>
  <c r="D1170"/>
  <c r="E1113"/>
  <c r="C1188"/>
  <c r="AA1188"/>
  <c r="AE1188"/>
  <c r="AI1188"/>
  <c r="D1162"/>
  <c r="H1162"/>
  <c r="L1162"/>
  <c r="P1162"/>
  <c r="T1162"/>
  <c r="X1162"/>
  <c r="AB1162"/>
  <c r="AF1162"/>
  <c r="AJ1162"/>
  <c r="AN1162"/>
  <c r="AR1162"/>
  <c r="AV1162"/>
  <c r="AZ1162"/>
  <c r="BD1162"/>
  <c r="BH1162"/>
  <c r="G1163"/>
  <c r="K1163"/>
  <c r="O1163"/>
  <c r="S1163"/>
  <c r="W1163"/>
  <c r="AA1163"/>
  <c r="AE1163"/>
  <c r="AI1163"/>
  <c r="AM1163"/>
  <c r="AQ1163"/>
  <c r="AU1163"/>
  <c r="AY1163"/>
  <c r="BC1163"/>
  <c r="BG1163"/>
  <c r="F1164"/>
  <c r="J1164"/>
  <c r="N1164"/>
  <c r="R1164"/>
  <c r="V1164"/>
  <c r="Z1164"/>
  <c r="AD1164"/>
  <c r="AH1164"/>
  <c r="AL1164"/>
  <c r="AP1164"/>
  <c r="AT1164"/>
  <c r="AX1164"/>
  <c r="BB1164"/>
  <c r="BF1164"/>
  <c r="BJ1164"/>
  <c r="F1174"/>
  <c r="D1171"/>
  <c r="G1117"/>
  <c r="AI1117"/>
  <c r="AI1174" s="1"/>
  <c r="D1118"/>
  <c r="E1119"/>
  <c r="E1176" s="1"/>
  <c r="X1126"/>
  <c r="AB1126"/>
  <c r="AF1126"/>
  <c r="AJ1126"/>
  <c r="AN1126"/>
  <c r="AN1183" s="1"/>
  <c r="AR1126"/>
  <c r="AR1183" s="1"/>
  <c r="AV1126"/>
  <c r="AV1183" s="1"/>
  <c r="AZ1126"/>
  <c r="AZ1183" s="1"/>
  <c r="BD1126"/>
  <c r="BD1183" s="1"/>
  <c r="BH1126"/>
  <c r="BH1183" s="1"/>
  <c r="Y1184"/>
  <c r="AC1184"/>
  <c r="AG1184"/>
  <c r="AK1184"/>
  <c r="AO1184"/>
  <c r="AS1184"/>
  <c r="AW1184"/>
  <c r="BA1184"/>
  <c r="BE1184"/>
  <c r="BI1184"/>
  <c r="X1128"/>
  <c r="X1185" s="1"/>
  <c r="AB1128"/>
  <c r="AB1185" s="1"/>
  <c r="AF1128"/>
  <c r="AF1185" s="1"/>
  <c r="AJ1128"/>
  <c r="AJ1185" s="1"/>
  <c r="AN1128"/>
  <c r="AN1185" s="1"/>
  <c r="AR1128"/>
  <c r="AR1185" s="1"/>
  <c r="AV1128"/>
  <c r="AV1185" s="1"/>
  <c r="AZ1128"/>
  <c r="AZ1185" s="1"/>
  <c r="BD1128"/>
  <c r="BD1185" s="1"/>
  <c r="BH1128"/>
  <c r="BH1185" s="1"/>
  <c r="AA1186"/>
  <c r="AE1186"/>
  <c r="AI1186"/>
  <c r="AM1186"/>
  <c r="AQ1186"/>
  <c r="AU1186"/>
  <c r="AY1186"/>
  <c r="BC1186"/>
  <c r="BG1186"/>
  <c r="AM1188"/>
  <c r="AQ1188"/>
  <c r="AU1188"/>
  <c r="AY1188"/>
  <c r="BC1188"/>
  <c r="BG1188"/>
  <c r="F1132"/>
  <c r="F1189" s="1"/>
  <c r="Z1132"/>
  <c r="Z1189" s="1"/>
  <c r="AD1132"/>
  <c r="AD1189" s="1"/>
  <c r="AH1132"/>
  <c r="AH1189" s="1"/>
  <c r="AL1132"/>
  <c r="AL1189" s="1"/>
  <c r="AP1132"/>
  <c r="AP1189" s="1"/>
  <c r="AT1132"/>
  <c r="AT1189" s="1"/>
  <c r="AX1132"/>
  <c r="AX1189" s="1"/>
  <c r="BB1132"/>
  <c r="BB1189" s="1"/>
  <c r="BF1132"/>
  <c r="BF1189" s="1"/>
  <c r="BJ1132"/>
  <c r="BJ1189" s="1"/>
  <c r="Y1190"/>
  <c r="AC1190"/>
  <c r="AG1190"/>
  <c r="AK1190"/>
  <c r="AO1190"/>
  <c r="AS1190"/>
  <c r="AW1190"/>
  <c r="BA1190"/>
  <c r="BE1190"/>
  <c r="BI1190"/>
  <c r="H1134"/>
  <c r="H1191" s="1"/>
  <c r="X1134"/>
  <c r="X1191" s="1"/>
  <c r="AB1134"/>
  <c r="AB1191" s="1"/>
  <c r="AF1134"/>
  <c r="AF1191" s="1"/>
  <c r="AJ1134"/>
  <c r="AJ1191" s="1"/>
  <c r="AN1134"/>
  <c r="AN1191" s="1"/>
  <c r="AR1134"/>
  <c r="AR1191" s="1"/>
  <c r="AV1134"/>
  <c r="AV1191" s="1"/>
  <c r="AZ1134"/>
  <c r="AZ1191" s="1"/>
  <c r="BD1134"/>
  <c r="BD1191" s="1"/>
  <c r="BH1134"/>
  <c r="BH1191" s="1"/>
  <c r="I1141"/>
  <c r="Q1141"/>
  <c r="Y1141"/>
  <c r="AG1141"/>
  <c r="AO1141"/>
  <c r="AW1141"/>
  <c r="BE1141"/>
  <c r="F1147"/>
  <c r="N1147"/>
  <c r="V1147"/>
  <c r="AD1147"/>
  <c r="AL1147"/>
  <c r="AT1147"/>
  <c r="BB1147"/>
  <c r="BJ1147"/>
  <c r="H1156"/>
  <c r="P1156"/>
  <c r="X1156"/>
  <c r="AF1156"/>
  <c r="AN1156"/>
  <c r="AV1156"/>
  <c r="BD1156"/>
  <c r="I1159"/>
  <c r="Q1159"/>
  <c r="Y1159"/>
  <c r="AG1159"/>
  <c r="AO1159"/>
  <c r="AW1159"/>
  <c r="BE1159"/>
  <c r="G1161"/>
  <c r="O1161"/>
  <c r="W1161"/>
  <c r="AE1161"/>
  <c r="AM1161"/>
  <c r="AU1161"/>
  <c r="BC1161"/>
  <c r="C1165"/>
  <c r="K1165"/>
  <c r="S1165"/>
  <c r="AA1165"/>
  <c r="AI1165"/>
  <c r="AQ1165"/>
  <c r="AY1165"/>
  <c r="BG1165"/>
  <c r="C1168"/>
  <c r="E1169"/>
  <c r="E1174"/>
  <c r="C1179"/>
  <c r="D1184"/>
  <c r="C1156"/>
  <c r="C1147"/>
  <c r="E1156"/>
  <c r="E1147"/>
  <c r="D1141"/>
  <c r="G1156"/>
  <c r="G1147"/>
  <c r="I1156"/>
  <c r="I1147"/>
  <c r="H1141"/>
  <c r="K1156"/>
  <c r="K1147"/>
  <c r="J1141"/>
  <c r="M1156"/>
  <c r="M1147"/>
  <c r="L1141"/>
  <c r="O1156"/>
  <c r="O1147"/>
  <c r="N1141"/>
  <c r="Q1156"/>
  <c r="Q1147"/>
  <c r="P1141"/>
  <c r="S1156"/>
  <c r="S1147"/>
  <c r="R1141"/>
  <c r="U1156"/>
  <c r="U1147"/>
  <c r="T1141"/>
  <c r="W1156"/>
  <c r="W1147"/>
  <c r="V1141"/>
  <c r="Y1156"/>
  <c r="Y1147"/>
  <c r="X1141"/>
  <c r="AA1156"/>
  <c r="AA1147"/>
  <c r="Z1141"/>
  <c r="AC1156"/>
  <c r="AC1147"/>
  <c r="AB1141"/>
  <c r="AE1156"/>
  <c r="AE1147"/>
  <c r="AD1141"/>
  <c r="AG1156"/>
  <c r="AG1147"/>
  <c r="AF1141"/>
  <c r="AI1156"/>
  <c r="AI1147"/>
  <c r="AH1141"/>
  <c r="AK1156"/>
  <c r="AK1147"/>
  <c r="AJ1141"/>
  <c r="AM1156"/>
  <c r="AM1147"/>
  <c r="AL1141"/>
  <c r="AO1156"/>
  <c r="AO1147"/>
  <c r="AN1141"/>
  <c r="AQ1156"/>
  <c r="AQ1147"/>
  <c r="AP1141"/>
  <c r="AS1156"/>
  <c r="AS1147"/>
  <c r="AR1141"/>
  <c r="AU1156"/>
  <c r="AU1147"/>
  <c r="AT1141"/>
  <c r="AW1156"/>
  <c r="AW1147"/>
  <c r="AV1141"/>
  <c r="AY1156"/>
  <c r="AY1147"/>
  <c r="AX1141"/>
  <c r="BA1156"/>
  <c r="BA1147"/>
  <c r="AZ1141"/>
  <c r="BC1156"/>
  <c r="BC1147"/>
  <c r="BB1141"/>
  <c r="BE1156"/>
  <c r="BE1147"/>
  <c r="BD1141"/>
  <c r="BG1156"/>
  <c r="BG1147"/>
  <c r="BF1141"/>
  <c r="BI1156"/>
  <c r="BI1147"/>
  <c r="BH1141"/>
  <c r="C1103"/>
  <c r="E1162"/>
  <c r="G1162"/>
  <c r="I1162"/>
  <c r="K1162"/>
  <c r="M1162"/>
  <c r="O1162"/>
  <c r="Q1162"/>
  <c r="S1162"/>
  <c r="U1162"/>
  <c r="W1162"/>
  <c r="Y1162"/>
  <c r="AA1162"/>
  <c r="AC1162"/>
  <c r="AE1162"/>
  <c r="AG1162"/>
  <c r="AI1162"/>
  <c r="AK1162"/>
  <c r="AM1162"/>
  <c r="AO1162"/>
  <c r="AQ1162"/>
  <c r="AS1162"/>
  <c r="AU1162"/>
  <c r="AW1162"/>
  <c r="AY1162"/>
  <c r="BA1162"/>
  <c r="BC1162"/>
  <c r="BE1162"/>
  <c r="BG1162"/>
  <c r="BI1162"/>
  <c r="E1164"/>
  <c r="G1164"/>
  <c r="I1164"/>
  <c r="K1164"/>
  <c r="M1164"/>
  <c r="O1164"/>
  <c r="Q1164"/>
  <c r="S1164"/>
  <c r="U1164"/>
  <c r="W1164"/>
  <c r="Y1164"/>
  <c r="AA1164"/>
  <c r="AC1164"/>
  <c r="AE1164"/>
  <c r="AG1164"/>
  <c r="AI1164"/>
  <c r="AK1164"/>
  <c r="AM1164"/>
  <c r="AO1164"/>
  <c r="AQ1164"/>
  <c r="AS1164"/>
  <c r="AU1164"/>
  <c r="AW1164"/>
  <c r="AY1164"/>
  <c r="BA1164"/>
  <c r="BC1164"/>
  <c r="BE1164"/>
  <c r="BG1164"/>
  <c r="BI1164"/>
  <c r="E1116"/>
  <c r="G1116"/>
  <c r="C1118"/>
  <c r="E1118"/>
  <c r="D1119"/>
  <c r="D1176" s="1"/>
  <c r="F1119"/>
  <c r="F1176" s="1"/>
  <c r="Y1126"/>
  <c r="AA1126"/>
  <c r="AC1126"/>
  <c r="AE1126"/>
  <c r="AG1126"/>
  <c r="AI1126"/>
  <c r="AK1126"/>
  <c r="AK1183" s="1"/>
  <c r="AM1126"/>
  <c r="AM1183" s="1"/>
  <c r="AO1126"/>
  <c r="AO1183" s="1"/>
  <c r="AQ1126"/>
  <c r="AQ1183" s="1"/>
  <c r="AS1126"/>
  <c r="AS1183" s="1"/>
  <c r="AU1126"/>
  <c r="AU1183" s="1"/>
  <c r="AW1126"/>
  <c r="AW1183" s="1"/>
  <c r="AY1126"/>
  <c r="AY1183" s="1"/>
  <c r="BA1126"/>
  <c r="BA1183" s="1"/>
  <c r="BC1126"/>
  <c r="BC1183" s="1"/>
  <c r="BE1126"/>
  <c r="BE1183" s="1"/>
  <c r="BG1126"/>
  <c r="BG1183" s="1"/>
  <c r="BI1126"/>
  <c r="BI1183" s="1"/>
  <c r="Y1128"/>
  <c r="Y1185" s="1"/>
  <c r="AA1128"/>
  <c r="AA1185" s="1"/>
  <c r="AC1128"/>
  <c r="AC1185" s="1"/>
  <c r="AE1128"/>
  <c r="AE1185" s="1"/>
  <c r="AG1128"/>
  <c r="AG1185" s="1"/>
  <c r="AI1128"/>
  <c r="AI1185" s="1"/>
  <c r="AK1128"/>
  <c r="AK1185" s="1"/>
  <c r="AM1128"/>
  <c r="AM1185" s="1"/>
  <c r="AO1128"/>
  <c r="AO1185" s="1"/>
  <c r="AQ1128"/>
  <c r="AQ1185" s="1"/>
  <c r="AS1128"/>
  <c r="AS1185" s="1"/>
  <c r="AU1128"/>
  <c r="AU1185" s="1"/>
  <c r="AW1128"/>
  <c r="AW1185" s="1"/>
  <c r="AY1128"/>
  <c r="AY1185" s="1"/>
  <c r="BA1128"/>
  <c r="BA1185" s="1"/>
  <c r="BC1128"/>
  <c r="BC1185" s="1"/>
  <c r="BE1128"/>
  <c r="BE1185" s="1"/>
  <c r="BG1128"/>
  <c r="BG1185" s="1"/>
  <c r="BI1128"/>
  <c r="BI1185" s="1"/>
  <c r="C1132"/>
  <c r="E1132"/>
  <c r="E1189" s="1"/>
  <c r="G1132"/>
  <c r="G1189" s="1"/>
  <c r="Y1132"/>
  <c r="Y1189" s="1"/>
  <c r="AA1132"/>
  <c r="AA1189" s="1"/>
  <c r="AC1132"/>
  <c r="AC1189" s="1"/>
  <c r="AE1132"/>
  <c r="AE1189" s="1"/>
  <c r="AG1132"/>
  <c r="AG1189" s="1"/>
  <c r="AI1132"/>
  <c r="AI1189" s="1"/>
  <c r="AK1132"/>
  <c r="AK1189" s="1"/>
  <c r="AM1132"/>
  <c r="AM1189" s="1"/>
  <c r="AO1132"/>
  <c r="AO1189" s="1"/>
  <c r="AQ1132"/>
  <c r="AQ1189" s="1"/>
  <c r="AS1132"/>
  <c r="AS1189" s="1"/>
  <c r="AU1132"/>
  <c r="AU1189" s="1"/>
  <c r="AW1132"/>
  <c r="AW1189" s="1"/>
  <c r="AY1132"/>
  <c r="AY1189" s="1"/>
  <c r="BA1132"/>
  <c r="BA1189" s="1"/>
  <c r="BC1132"/>
  <c r="BC1189" s="1"/>
  <c r="BE1132"/>
  <c r="BE1189" s="1"/>
  <c r="BG1132"/>
  <c r="BG1189" s="1"/>
  <c r="BI1132"/>
  <c r="BI1189" s="1"/>
  <c r="C1134"/>
  <c r="E1134"/>
  <c r="E1191" s="1"/>
  <c r="G1134"/>
  <c r="G1191" s="1"/>
  <c r="Y1134"/>
  <c r="Y1191" s="1"/>
  <c r="AA1134"/>
  <c r="AA1191" s="1"/>
  <c r="AC1134"/>
  <c r="AC1191" s="1"/>
  <c r="AE1134"/>
  <c r="AE1191" s="1"/>
  <c r="AG1134"/>
  <c r="AG1191" s="1"/>
  <c r="AI1134"/>
  <c r="AI1191" s="1"/>
  <c r="AK1134"/>
  <c r="AK1191" s="1"/>
  <c r="AM1134"/>
  <c r="AM1191" s="1"/>
  <c r="AO1134"/>
  <c r="AO1191" s="1"/>
  <c r="AQ1134"/>
  <c r="AQ1191" s="1"/>
  <c r="AS1134"/>
  <c r="AS1191" s="1"/>
  <c r="AU1134"/>
  <c r="AU1191" s="1"/>
  <c r="AW1134"/>
  <c r="AW1191" s="1"/>
  <c r="AY1134"/>
  <c r="AY1191" s="1"/>
  <c r="BA1134"/>
  <c r="BA1191" s="1"/>
  <c r="BC1134"/>
  <c r="BC1191" s="1"/>
  <c r="BE1134"/>
  <c r="BE1191" s="1"/>
  <c r="BG1134"/>
  <c r="BG1191" s="1"/>
  <c r="BI1134"/>
  <c r="BI1191" s="1"/>
  <c r="AA1139"/>
  <c r="AE1139"/>
  <c r="AI1139"/>
  <c r="AM1139"/>
  <c r="AQ1139"/>
  <c r="AU1139"/>
  <c r="AY1139"/>
  <c r="BC1139"/>
  <c r="BG1139"/>
  <c r="E1150"/>
  <c r="I1150"/>
  <c r="M1150"/>
  <c r="Q1150"/>
  <c r="U1150"/>
  <c r="Y1150"/>
  <c r="AC1150"/>
  <c r="AG1150"/>
  <c r="AK1150"/>
  <c r="AO1150"/>
  <c r="AS1150"/>
  <c r="AW1150"/>
  <c r="BA1150"/>
  <c r="BE1150"/>
  <c r="BI1150"/>
  <c r="B1262"/>
  <c r="B1264"/>
  <c r="B1266"/>
  <c r="B1268"/>
  <c r="B1270"/>
  <c r="G19" i="4"/>
  <c r="D33" s="1"/>
  <c r="D47" s="1"/>
  <c r="G26"/>
  <c r="F40" s="1"/>
  <c r="F54" s="1"/>
  <c r="G24"/>
  <c r="D38" s="1"/>
  <c r="D52" s="1"/>
  <c r="G22"/>
  <c r="F36" s="1"/>
  <c r="F50" s="1"/>
  <c r="G20"/>
  <c r="D34" s="1"/>
  <c r="D48" s="1"/>
  <c r="D76" s="1"/>
  <c r="G17"/>
  <c r="F31" s="1"/>
  <c r="F45" s="1"/>
  <c r="G15"/>
  <c r="D29" s="1"/>
  <c r="D43" s="1"/>
  <c r="G27"/>
  <c r="E41" s="1"/>
  <c r="E55" s="1"/>
  <c r="E78" s="1"/>
  <c r="G25"/>
  <c r="C39" s="1"/>
  <c r="C53" s="1"/>
  <c r="G23"/>
  <c r="E37" s="1"/>
  <c r="E51" s="1"/>
  <c r="G21"/>
  <c r="C35" s="1"/>
  <c r="C49" s="1"/>
  <c r="G18"/>
  <c r="E32" s="1"/>
  <c r="E46" s="1"/>
  <c r="G16"/>
  <c r="C30" s="1"/>
  <c r="C44" s="1"/>
  <c r="B10"/>
  <c r="G14"/>
  <c r="E5" i="7" l="1"/>
  <c r="W33"/>
  <c r="W45"/>
  <c r="G5"/>
  <c r="W69"/>
  <c r="K5"/>
  <c r="W51"/>
  <c r="H5"/>
  <c r="W57"/>
  <c r="I5"/>
  <c r="W39"/>
  <c r="F5"/>
  <c r="W63"/>
  <c r="J5"/>
  <c r="C12"/>
  <c r="C14" s="1"/>
  <c r="C15" s="1"/>
  <c r="D13" s="1"/>
  <c r="D14" s="1"/>
  <c r="D15" s="1"/>
  <c r="E13" s="1"/>
  <c r="E14" s="1"/>
  <c r="E15" s="1"/>
  <c r="F13" s="1"/>
  <c r="F14" s="1"/>
  <c r="F15" s="1"/>
  <c r="G13" s="1"/>
  <c r="G14" s="1"/>
  <c r="G15" s="1"/>
  <c r="H13" s="1"/>
  <c r="H14" s="1"/>
  <c r="H15" s="1"/>
  <c r="I13" s="1"/>
  <c r="I14" s="1"/>
  <c r="I15" s="1"/>
  <c r="J13" s="1"/>
  <c r="J14" s="1"/>
  <c r="J15" s="1"/>
  <c r="K13" s="1"/>
  <c r="K14" s="1"/>
  <c r="K15" s="1"/>
  <c r="L13" s="1"/>
  <c r="L14" s="1"/>
  <c r="L15" s="1"/>
  <c r="M13" s="1"/>
  <c r="M14" s="1"/>
  <c r="M15" s="1"/>
  <c r="N13" s="1"/>
  <c r="N14" s="1"/>
  <c r="N15" s="1"/>
  <c r="O13" s="1"/>
  <c r="O14" s="1"/>
  <c r="O15" s="1"/>
  <c r="P13" s="1"/>
  <c r="P14" s="1"/>
  <c r="P15" s="1"/>
  <c r="Q13" s="1"/>
  <c r="Q14" s="1"/>
  <c r="Q15" s="1"/>
  <c r="R13" s="1"/>
  <c r="R14" s="1"/>
  <c r="R15" s="1"/>
  <c r="S13" s="1"/>
  <c r="S14" s="1"/>
  <c r="S15" s="1"/>
  <c r="T13" s="1"/>
  <c r="T14" s="1"/>
  <c r="T15" s="1"/>
  <c r="U13" s="1"/>
  <c r="U14" s="1"/>
  <c r="U15" s="1"/>
  <c r="V13" s="1"/>
  <c r="V14" s="1"/>
  <c r="V15" s="1"/>
  <c r="W13" s="1"/>
  <c r="W14" s="1"/>
  <c r="BJ60" i="5"/>
  <c r="BH60"/>
  <c r="BH117" s="1"/>
  <c r="BF60"/>
  <c r="BD60"/>
  <c r="BD117" s="1"/>
  <c r="BB60"/>
  <c r="AZ60"/>
  <c r="AZ117" s="1"/>
  <c r="AX60"/>
  <c r="AV60"/>
  <c r="AV117" s="1"/>
  <c r="AT60"/>
  <c r="AR60"/>
  <c r="AR117" s="1"/>
  <c r="AP60"/>
  <c r="AN60"/>
  <c r="AN117" s="1"/>
  <c r="AL60"/>
  <c r="AJ60"/>
  <c r="AJ117" s="1"/>
  <c r="AH60"/>
  <c r="AF60"/>
  <c r="AF117" s="1"/>
  <c r="AD60"/>
  <c r="AB60"/>
  <c r="AB117" s="1"/>
  <c r="Z60"/>
  <c r="X60"/>
  <c r="X117" s="1"/>
  <c r="V60"/>
  <c r="T60"/>
  <c r="T117" s="1"/>
  <c r="R60"/>
  <c r="P60"/>
  <c r="P117" s="1"/>
  <c r="N60"/>
  <c r="L60"/>
  <c r="L117" s="1"/>
  <c r="J60"/>
  <c r="H60"/>
  <c r="H117" s="1"/>
  <c r="F60"/>
  <c r="D60"/>
  <c r="D117" s="1"/>
  <c r="BI60"/>
  <c r="BI117" s="1"/>
  <c r="BG60"/>
  <c r="BG117" s="1"/>
  <c r="BE60"/>
  <c r="BE117" s="1"/>
  <c r="BC60"/>
  <c r="BC117" s="1"/>
  <c r="BA60"/>
  <c r="BA117" s="1"/>
  <c r="AY60"/>
  <c r="AY117" s="1"/>
  <c r="AW60"/>
  <c r="AW117" s="1"/>
  <c r="AU60"/>
  <c r="AS60"/>
  <c r="AS117" s="1"/>
  <c r="AQ60"/>
  <c r="AQ117" s="1"/>
  <c r="AO60"/>
  <c r="AO117" s="1"/>
  <c r="AM60"/>
  <c r="AM117" s="1"/>
  <c r="AK60"/>
  <c r="AK117" s="1"/>
  <c r="AI60"/>
  <c r="AI117" s="1"/>
  <c r="AG60"/>
  <c r="AG117" s="1"/>
  <c r="AE60"/>
  <c r="AC60"/>
  <c r="AC117" s="1"/>
  <c r="AA60"/>
  <c r="AA117" s="1"/>
  <c r="Y60"/>
  <c r="Y117" s="1"/>
  <c r="W60"/>
  <c r="W117" s="1"/>
  <c r="U60"/>
  <c r="U117" s="1"/>
  <c r="S60"/>
  <c r="S117" s="1"/>
  <c r="Q60"/>
  <c r="Q117" s="1"/>
  <c r="O60"/>
  <c r="M60"/>
  <c r="M117" s="1"/>
  <c r="K60"/>
  <c r="K117" s="1"/>
  <c r="I60"/>
  <c r="I117" s="1"/>
  <c r="G60"/>
  <c r="G117" s="1"/>
  <c r="E60"/>
  <c r="E117" s="1"/>
  <c r="C60"/>
  <c r="C117" s="1"/>
  <c r="BJ62"/>
  <c r="BJ119" s="1"/>
  <c r="BH62"/>
  <c r="BH119" s="1"/>
  <c r="BF62"/>
  <c r="BF119" s="1"/>
  <c r="BD62"/>
  <c r="BD119" s="1"/>
  <c r="BB62"/>
  <c r="BB119" s="1"/>
  <c r="AZ62"/>
  <c r="AZ119" s="1"/>
  <c r="AX62"/>
  <c r="AX119" s="1"/>
  <c r="AV62"/>
  <c r="AV119" s="1"/>
  <c r="AT62"/>
  <c r="AT119" s="1"/>
  <c r="AR62"/>
  <c r="AR119" s="1"/>
  <c r="AP62"/>
  <c r="AP119" s="1"/>
  <c r="AN62"/>
  <c r="AN119" s="1"/>
  <c r="AL62"/>
  <c r="AL119" s="1"/>
  <c r="AJ62"/>
  <c r="AJ119" s="1"/>
  <c r="AH62"/>
  <c r="AH119" s="1"/>
  <c r="AF62"/>
  <c r="AF119" s="1"/>
  <c r="AD62"/>
  <c r="AD119" s="1"/>
  <c r="AB62"/>
  <c r="AB119" s="1"/>
  <c r="Z62"/>
  <c r="Z119" s="1"/>
  <c r="X62"/>
  <c r="X119" s="1"/>
  <c r="V62"/>
  <c r="V119" s="1"/>
  <c r="T62"/>
  <c r="T119" s="1"/>
  <c r="R62"/>
  <c r="R119" s="1"/>
  <c r="P62"/>
  <c r="P119" s="1"/>
  <c r="N62"/>
  <c r="N119" s="1"/>
  <c r="L62"/>
  <c r="L119" s="1"/>
  <c r="J62"/>
  <c r="J119" s="1"/>
  <c r="H62"/>
  <c r="H119" s="1"/>
  <c r="F62"/>
  <c r="F119" s="1"/>
  <c r="D62"/>
  <c r="D119" s="1"/>
  <c r="BI62"/>
  <c r="BI119" s="1"/>
  <c r="BG62"/>
  <c r="BG119" s="1"/>
  <c r="BE62"/>
  <c r="BE119" s="1"/>
  <c r="BC62"/>
  <c r="BC119" s="1"/>
  <c r="BA62"/>
  <c r="BA119" s="1"/>
  <c r="AY62"/>
  <c r="AY119" s="1"/>
  <c r="AW62"/>
  <c r="AW119" s="1"/>
  <c r="AU62"/>
  <c r="AU119" s="1"/>
  <c r="AS62"/>
  <c r="AS119" s="1"/>
  <c r="AQ62"/>
  <c r="AQ119" s="1"/>
  <c r="AO62"/>
  <c r="AO119" s="1"/>
  <c r="AM62"/>
  <c r="AM119" s="1"/>
  <c r="AK62"/>
  <c r="AK119" s="1"/>
  <c r="AI62"/>
  <c r="AI119" s="1"/>
  <c r="AG62"/>
  <c r="AG119" s="1"/>
  <c r="AE62"/>
  <c r="AE119" s="1"/>
  <c r="AC62"/>
  <c r="AC119" s="1"/>
  <c r="AA62"/>
  <c r="AA119" s="1"/>
  <c r="Y62"/>
  <c r="Y119" s="1"/>
  <c r="W62"/>
  <c r="W119" s="1"/>
  <c r="U62"/>
  <c r="U119" s="1"/>
  <c r="S62"/>
  <c r="S119" s="1"/>
  <c r="Q62"/>
  <c r="Q119" s="1"/>
  <c r="O62"/>
  <c r="O119" s="1"/>
  <c r="M62"/>
  <c r="M119" s="1"/>
  <c r="K62"/>
  <c r="K119" s="1"/>
  <c r="I62"/>
  <c r="I119" s="1"/>
  <c r="G62"/>
  <c r="G119" s="1"/>
  <c r="E62"/>
  <c r="E119" s="1"/>
  <c r="C62"/>
  <c r="C119" s="1"/>
  <c r="BJ58"/>
  <c r="BH58"/>
  <c r="BF58"/>
  <c r="BD58"/>
  <c r="BB58"/>
  <c r="BB115" s="1"/>
  <c r="AZ58"/>
  <c r="AX58"/>
  <c r="AV58"/>
  <c r="AT58"/>
  <c r="AT115" s="1"/>
  <c r="AR58"/>
  <c r="AP58"/>
  <c r="AN58"/>
  <c r="AL58"/>
  <c r="AL115" s="1"/>
  <c r="AJ58"/>
  <c r="AH58"/>
  <c r="AF58"/>
  <c r="AD58"/>
  <c r="AD115" s="1"/>
  <c r="AB58"/>
  <c r="Z58"/>
  <c r="X58"/>
  <c r="V58"/>
  <c r="V115" s="1"/>
  <c r="T58"/>
  <c r="R58"/>
  <c r="P58"/>
  <c r="N58"/>
  <c r="N115" s="1"/>
  <c r="L58"/>
  <c r="J58"/>
  <c r="H58"/>
  <c r="F58"/>
  <c r="F115" s="1"/>
  <c r="D58"/>
  <c r="BI58"/>
  <c r="BI115" s="1"/>
  <c r="BG58"/>
  <c r="BG115" s="1"/>
  <c r="BE58"/>
  <c r="BE115" s="1"/>
  <c r="BC58"/>
  <c r="BC115" s="1"/>
  <c r="BA58"/>
  <c r="BA115" s="1"/>
  <c r="AY58"/>
  <c r="AY115" s="1"/>
  <c r="AW58"/>
  <c r="AW115" s="1"/>
  <c r="AU58"/>
  <c r="AU115" s="1"/>
  <c r="AS58"/>
  <c r="AS115" s="1"/>
  <c r="AQ58"/>
  <c r="AQ115" s="1"/>
  <c r="AO58"/>
  <c r="AO115" s="1"/>
  <c r="AM58"/>
  <c r="AM115" s="1"/>
  <c r="AK58"/>
  <c r="AK115" s="1"/>
  <c r="AI58"/>
  <c r="AI115" s="1"/>
  <c r="AG58"/>
  <c r="AG115" s="1"/>
  <c r="AE58"/>
  <c r="AE115" s="1"/>
  <c r="AC58"/>
  <c r="AC115" s="1"/>
  <c r="AA58"/>
  <c r="AA115" s="1"/>
  <c r="Y58"/>
  <c r="Y115" s="1"/>
  <c r="W58"/>
  <c r="W115" s="1"/>
  <c r="U58"/>
  <c r="U115" s="1"/>
  <c r="S58"/>
  <c r="S115" s="1"/>
  <c r="Q58"/>
  <c r="Q115" s="1"/>
  <c r="O58"/>
  <c r="O115" s="1"/>
  <c r="M58"/>
  <c r="M115" s="1"/>
  <c r="K58"/>
  <c r="K115" s="1"/>
  <c r="I58"/>
  <c r="I115" s="1"/>
  <c r="G58"/>
  <c r="G115" s="1"/>
  <c r="E58"/>
  <c r="E115" s="1"/>
  <c r="C58"/>
  <c r="C115" s="1"/>
  <c r="B1034"/>
  <c r="C18" i="7"/>
  <c r="C20" s="1"/>
  <c r="C21" s="1"/>
  <c r="D19" s="1"/>
  <c r="D20" s="1"/>
  <c r="D21" s="1"/>
  <c r="E19" s="1"/>
  <c r="E20" s="1"/>
  <c r="E21" s="1"/>
  <c r="F19" s="1"/>
  <c r="F20" s="1"/>
  <c r="F21" s="1"/>
  <c r="G19" s="1"/>
  <c r="G20" s="1"/>
  <c r="G21" s="1"/>
  <c r="H19" s="1"/>
  <c r="H20" s="1"/>
  <c r="H21" s="1"/>
  <c r="I19" s="1"/>
  <c r="I20" s="1"/>
  <c r="I21" s="1"/>
  <c r="J19" s="1"/>
  <c r="J20" s="1"/>
  <c r="J21" s="1"/>
  <c r="K19" s="1"/>
  <c r="K20" s="1"/>
  <c r="K21" s="1"/>
  <c r="L19" s="1"/>
  <c r="L20" s="1"/>
  <c r="L21" s="1"/>
  <c r="M19" s="1"/>
  <c r="M20" s="1"/>
  <c r="M21" s="1"/>
  <c r="N19" s="1"/>
  <c r="N20" s="1"/>
  <c r="N21" s="1"/>
  <c r="O19" s="1"/>
  <c r="O20" s="1"/>
  <c r="O21" s="1"/>
  <c r="P19" s="1"/>
  <c r="P20" s="1"/>
  <c r="P21" s="1"/>
  <c r="Q19" s="1"/>
  <c r="Q20" s="1"/>
  <c r="Q21" s="1"/>
  <c r="R19" s="1"/>
  <c r="R20" s="1"/>
  <c r="R21" s="1"/>
  <c r="S19" s="1"/>
  <c r="S20" s="1"/>
  <c r="S21" s="1"/>
  <c r="T19" s="1"/>
  <c r="T20" s="1"/>
  <c r="T21" s="1"/>
  <c r="U19" s="1"/>
  <c r="U20" s="1"/>
  <c r="U21" s="1"/>
  <c r="V19" s="1"/>
  <c r="V20" s="1"/>
  <c r="V21" s="1"/>
  <c r="W19" s="1"/>
  <c r="W20" s="1"/>
  <c r="C24"/>
  <c r="C26" s="1"/>
  <c r="C27" s="1"/>
  <c r="D25" s="1"/>
  <c r="D26" s="1"/>
  <c r="D27" s="1"/>
  <c r="E25" s="1"/>
  <c r="E26" s="1"/>
  <c r="E27" s="1"/>
  <c r="F25" s="1"/>
  <c r="F26" s="1"/>
  <c r="F27" s="1"/>
  <c r="G25" s="1"/>
  <c r="G26" s="1"/>
  <c r="G27" s="1"/>
  <c r="H25" s="1"/>
  <c r="H26" s="1"/>
  <c r="H27" s="1"/>
  <c r="I25" s="1"/>
  <c r="I26" s="1"/>
  <c r="I27" s="1"/>
  <c r="J25" s="1"/>
  <c r="J26" s="1"/>
  <c r="J27" s="1"/>
  <c r="K25" s="1"/>
  <c r="K26" s="1"/>
  <c r="K27" s="1"/>
  <c r="L25" s="1"/>
  <c r="L26" s="1"/>
  <c r="L27" s="1"/>
  <c r="M25" s="1"/>
  <c r="M26" s="1"/>
  <c r="M27" s="1"/>
  <c r="N25" s="1"/>
  <c r="N26" s="1"/>
  <c r="N27" s="1"/>
  <c r="O25" s="1"/>
  <c r="O26" s="1"/>
  <c r="O27" s="1"/>
  <c r="P25" s="1"/>
  <c r="P26" s="1"/>
  <c r="P27" s="1"/>
  <c r="Q25" s="1"/>
  <c r="Q26" s="1"/>
  <c r="Q27" s="1"/>
  <c r="R25" s="1"/>
  <c r="R26" s="1"/>
  <c r="R27" s="1"/>
  <c r="S25" s="1"/>
  <c r="S26" s="1"/>
  <c r="S27" s="1"/>
  <c r="T25" s="1"/>
  <c r="T26" s="1"/>
  <c r="T27" s="1"/>
  <c r="U25" s="1"/>
  <c r="U26" s="1"/>
  <c r="U27" s="1"/>
  <c r="V25" s="1"/>
  <c r="V26" s="1"/>
  <c r="V27" s="1"/>
  <c r="W25" s="1"/>
  <c r="W26" s="1"/>
  <c r="BJ61" i="5"/>
  <c r="BJ118" s="1"/>
  <c r="BH61"/>
  <c r="BH118" s="1"/>
  <c r="BF61"/>
  <c r="BF118" s="1"/>
  <c r="BD61"/>
  <c r="BD118" s="1"/>
  <c r="BB61"/>
  <c r="BB118" s="1"/>
  <c r="AZ61"/>
  <c r="AZ118" s="1"/>
  <c r="AX61"/>
  <c r="AX118" s="1"/>
  <c r="AV61"/>
  <c r="AV118" s="1"/>
  <c r="AT61"/>
  <c r="AT118" s="1"/>
  <c r="AR61"/>
  <c r="AR118" s="1"/>
  <c r="AP61"/>
  <c r="AP118" s="1"/>
  <c r="AN61"/>
  <c r="AN118" s="1"/>
  <c r="AL61"/>
  <c r="AL118" s="1"/>
  <c r="AJ61"/>
  <c r="AJ118" s="1"/>
  <c r="AH61"/>
  <c r="AH118" s="1"/>
  <c r="AF61"/>
  <c r="AF118" s="1"/>
  <c r="AD61"/>
  <c r="AD118" s="1"/>
  <c r="AB61"/>
  <c r="AB118" s="1"/>
  <c r="Z61"/>
  <c r="Z118" s="1"/>
  <c r="X61"/>
  <c r="X118" s="1"/>
  <c r="V61"/>
  <c r="V118" s="1"/>
  <c r="T61"/>
  <c r="T118" s="1"/>
  <c r="R61"/>
  <c r="R118" s="1"/>
  <c r="P61"/>
  <c r="P118" s="1"/>
  <c r="N61"/>
  <c r="N118" s="1"/>
  <c r="L61"/>
  <c r="L118" s="1"/>
  <c r="J61"/>
  <c r="J118" s="1"/>
  <c r="H61"/>
  <c r="H118" s="1"/>
  <c r="F61"/>
  <c r="F118" s="1"/>
  <c r="D61"/>
  <c r="D118" s="1"/>
  <c r="BI61"/>
  <c r="BG61"/>
  <c r="BE61"/>
  <c r="BE118" s="1"/>
  <c r="BC61"/>
  <c r="BC118" s="1"/>
  <c r="BA61"/>
  <c r="AY61"/>
  <c r="AW61"/>
  <c r="AW118" s="1"/>
  <c r="AU61"/>
  <c r="AU118" s="1"/>
  <c r="AS61"/>
  <c r="AQ61"/>
  <c r="AO61"/>
  <c r="AO118" s="1"/>
  <c r="AM61"/>
  <c r="AM118" s="1"/>
  <c r="AK61"/>
  <c r="AI61"/>
  <c r="AG61"/>
  <c r="AG118" s="1"/>
  <c r="AE61"/>
  <c r="AE118" s="1"/>
  <c r="AC61"/>
  <c r="AA61"/>
  <c r="Y61"/>
  <c r="Y118" s="1"/>
  <c r="W61"/>
  <c r="W118" s="1"/>
  <c r="U61"/>
  <c r="S61"/>
  <c r="Q61"/>
  <c r="Q118" s="1"/>
  <c r="O61"/>
  <c r="O118" s="1"/>
  <c r="M61"/>
  <c r="K61"/>
  <c r="I61"/>
  <c r="I118" s="1"/>
  <c r="G61"/>
  <c r="G118" s="1"/>
  <c r="E61"/>
  <c r="C61"/>
  <c r="B61" s="1"/>
  <c r="BJ63"/>
  <c r="BJ120" s="1"/>
  <c r="BH63"/>
  <c r="BH120" s="1"/>
  <c r="BF63"/>
  <c r="BF120" s="1"/>
  <c r="BD63"/>
  <c r="BD120" s="1"/>
  <c r="BB63"/>
  <c r="BB120" s="1"/>
  <c r="AZ63"/>
  <c r="AZ120" s="1"/>
  <c r="AX63"/>
  <c r="AX120" s="1"/>
  <c r="AV63"/>
  <c r="AV120" s="1"/>
  <c r="AT63"/>
  <c r="AT120" s="1"/>
  <c r="AR63"/>
  <c r="AR120" s="1"/>
  <c r="AP63"/>
  <c r="AP120" s="1"/>
  <c r="AN63"/>
  <c r="AN120" s="1"/>
  <c r="AL63"/>
  <c r="AL120" s="1"/>
  <c r="AJ63"/>
  <c r="AJ120" s="1"/>
  <c r="AH63"/>
  <c r="AH120" s="1"/>
  <c r="AF63"/>
  <c r="AF120" s="1"/>
  <c r="AD63"/>
  <c r="AD120" s="1"/>
  <c r="AB63"/>
  <c r="AB120" s="1"/>
  <c r="Z63"/>
  <c r="Z120" s="1"/>
  <c r="X63"/>
  <c r="X120" s="1"/>
  <c r="V63"/>
  <c r="V120" s="1"/>
  <c r="T63"/>
  <c r="T120" s="1"/>
  <c r="R63"/>
  <c r="R120" s="1"/>
  <c r="P63"/>
  <c r="P120" s="1"/>
  <c r="N63"/>
  <c r="N120" s="1"/>
  <c r="L63"/>
  <c r="L120" s="1"/>
  <c r="J63"/>
  <c r="J120" s="1"/>
  <c r="H63"/>
  <c r="H120" s="1"/>
  <c r="F63"/>
  <c r="F120" s="1"/>
  <c r="D63"/>
  <c r="D120" s="1"/>
  <c r="BI63"/>
  <c r="BI120" s="1"/>
  <c r="BG63"/>
  <c r="BG120" s="1"/>
  <c r="BE63"/>
  <c r="BE120" s="1"/>
  <c r="BC63"/>
  <c r="BC120" s="1"/>
  <c r="BA63"/>
  <c r="BA120" s="1"/>
  <c r="AY63"/>
  <c r="AY120" s="1"/>
  <c r="AW63"/>
  <c r="AW120" s="1"/>
  <c r="AU63"/>
  <c r="AU120" s="1"/>
  <c r="AS63"/>
  <c r="AS120" s="1"/>
  <c r="AQ63"/>
  <c r="AQ120" s="1"/>
  <c r="AO63"/>
  <c r="AO120" s="1"/>
  <c r="AM63"/>
  <c r="AM120" s="1"/>
  <c r="AK63"/>
  <c r="AK120" s="1"/>
  <c r="AI63"/>
  <c r="AI120" s="1"/>
  <c r="AG63"/>
  <c r="AG120" s="1"/>
  <c r="AE63"/>
  <c r="AE120" s="1"/>
  <c r="AC63"/>
  <c r="AC120" s="1"/>
  <c r="AA63"/>
  <c r="AA120" s="1"/>
  <c r="Y63"/>
  <c r="Y120" s="1"/>
  <c r="W63"/>
  <c r="W120" s="1"/>
  <c r="U63"/>
  <c r="U120" s="1"/>
  <c r="S63"/>
  <c r="S120" s="1"/>
  <c r="Q63"/>
  <c r="Q120" s="1"/>
  <c r="O63"/>
  <c r="O120" s="1"/>
  <c r="M63"/>
  <c r="M120" s="1"/>
  <c r="K63"/>
  <c r="K120" s="1"/>
  <c r="I63"/>
  <c r="I120" s="1"/>
  <c r="G63"/>
  <c r="G120" s="1"/>
  <c r="E63"/>
  <c r="E120" s="1"/>
  <c r="C63"/>
  <c r="B1150"/>
  <c r="B802"/>
  <c r="D355"/>
  <c r="D386" s="1"/>
  <c r="C1160"/>
  <c r="C1101"/>
  <c r="E1059"/>
  <c r="AH1002"/>
  <c r="AH1059" s="1"/>
  <c r="E1017"/>
  <c r="E1074" s="1"/>
  <c r="F840"/>
  <c r="C1191"/>
  <c r="C1189"/>
  <c r="AI1183"/>
  <c r="AI1182" s="1"/>
  <c r="AI1125"/>
  <c r="AE1183"/>
  <c r="AE1182" s="1"/>
  <c r="AE1125"/>
  <c r="AA1183"/>
  <c r="AA1182" s="1"/>
  <c r="AA1125"/>
  <c r="E1175"/>
  <c r="E1133"/>
  <c r="E1190" s="1"/>
  <c r="AH1118"/>
  <c r="AH1175" s="1"/>
  <c r="G1173"/>
  <c r="G1131"/>
  <c r="H1116"/>
  <c r="BG1207"/>
  <c r="BG1196"/>
  <c r="BG1204"/>
  <c r="BF1198"/>
  <c r="BC1207"/>
  <c r="BC1196"/>
  <c r="BC1204"/>
  <c r="BB1198"/>
  <c r="AY1207"/>
  <c r="AY1196"/>
  <c r="AY1204"/>
  <c r="AX1198"/>
  <c r="AU1207"/>
  <c r="AU1196"/>
  <c r="AU1204"/>
  <c r="AT1198"/>
  <c r="AQ1207"/>
  <c r="AQ1196"/>
  <c r="AQ1204"/>
  <c r="AP1198"/>
  <c r="AM1207"/>
  <c r="AM1196"/>
  <c r="AM1204"/>
  <c r="AL1198"/>
  <c r="AI1207"/>
  <c r="AI1196"/>
  <c r="AI1204"/>
  <c r="AH1198"/>
  <c r="AE1207"/>
  <c r="AE1196"/>
  <c r="AE1204"/>
  <c r="AD1198"/>
  <c r="AA1207"/>
  <c r="AA1196"/>
  <c r="AA1204"/>
  <c r="Z1198"/>
  <c r="W1207"/>
  <c r="W1204"/>
  <c r="V1198"/>
  <c r="S1207"/>
  <c r="S1204"/>
  <c r="R1198"/>
  <c r="O1207"/>
  <c r="O1204"/>
  <c r="N1198"/>
  <c r="K1207"/>
  <c r="K1204"/>
  <c r="J1198"/>
  <c r="G1207"/>
  <c r="G1204"/>
  <c r="C1167"/>
  <c r="AV1204"/>
  <c r="AU1198"/>
  <c r="AV1207"/>
  <c r="AV1196"/>
  <c r="AF1204"/>
  <c r="AE1198"/>
  <c r="AF1207"/>
  <c r="AF1196"/>
  <c r="P1204"/>
  <c r="O1198"/>
  <c r="P1207"/>
  <c r="AJ1183"/>
  <c r="AJ1182" s="1"/>
  <c r="AJ1125"/>
  <c r="AB1183"/>
  <c r="AB1182" s="1"/>
  <c r="AB1125"/>
  <c r="D1175"/>
  <c r="AI1118"/>
  <c r="AI1175" s="1"/>
  <c r="D1115"/>
  <c r="D1139" s="1"/>
  <c r="G1174"/>
  <c r="H1117"/>
  <c r="E1170"/>
  <c r="E1110"/>
  <c r="F1113"/>
  <c r="B1111"/>
  <c r="G1168"/>
  <c r="B1168" s="1"/>
  <c r="C1158"/>
  <c r="BJ1161"/>
  <c r="BJ1103"/>
  <c r="BJ1160" s="1"/>
  <c r="BJ1204"/>
  <c r="BI1198"/>
  <c r="BJ1207"/>
  <c r="BJ1198"/>
  <c r="BJ1196"/>
  <c r="BH1159"/>
  <c r="BF1161"/>
  <c r="BF1103"/>
  <c r="BF1160" s="1"/>
  <c r="BF1204"/>
  <c r="BE1198"/>
  <c r="BF1207"/>
  <c r="BF1196"/>
  <c r="BD1161"/>
  <c r="BD1103"/>
  <c r="BD1160" s="1"/>
  <c r="BB1159"/>
  <c r="AZ1159"/>
  <c r="AX1161"/>
  <c r="AX1103"/>
  <c r="AX1160" s="1"/>
  <c r="AX1204"/>
  <c r="AW1198"/>
  <c r="AX1207"/>
  <c r="AX1196"/>
  <c r="AV1161"/>
  <c r="AV1103"/>
  <c r="AV1160" s="1"/>
  <c r="AT1159"/>
  <c r="AR1159"/>
  <c r="AP1161"/>
  <c r="AP1103"/>
  <c r="AP1160" s="1"/>
  <c r="AP1204"/>
  <c r="AO1198"/>
  <c r="AP1207"/>
  <c r="AP1196"/>
  <c r="AN1161"/>
  <c r="AN1103"/>
  <c r="AN1160" s="1"/>
  <c r="AL1159"/>
  <c r="AJ1159"/>
  <c r="AH1161"/>
  <c r="AH1103"/>
  <c r="AH1160" s="1"/>
  <c r="AH1188"/>
  <c r="AH1187" s="1"/>
  <c r="AH1197" s="1"/>
  <c r="AH1130"/>
  <c r="AH1140" s="1"/>
  <c r="AH1204"/>
  <c r="AG1198"/>
  <c r="AH1207"/>
  <c r="AH1196"/>
  <c r="AF1161"/>
  <c r="AF1103"/>
  <c r="AF1160" s="1"/>
  <c r="AF1188"/>
  <c r="AF1187" s="1"/>
  <c r="AF1197" s="1"/>
  <c r="AF1130"/>
  <c r="AF1140" s="1"/>
  <c r="AD1159"/>
  <c r="AB1159"/>
  <c r="Z1161"/>
  <c r="Z1103"/>
  <c r="Z1160" s="1"/>
  <c r="Z1188"/>
  <c r="Z1187" s="1"/>
  <c r="Z1197" s="1"/>
  <c r="Z1130"/>
  <c r="Z1140" s="1"/>
  <c r="Z1204"/>
  <c r="Y1198"/>
  <c r="Z1207"/>
  <c r="Z1196"/>
  <c r="X1161"/>
  <c r="X1103"/>
  <c r="X1160" s="1"/>
  <c r="X1188"/>
  <c r="X1187" s="1"/>
  <c r="X1197" s="1"/>
  <c r="X1130"/>
  <c r="X1140" s="1"/>
  <c r="V1159"/>
  <c r="T1159"/>
  <c r="R1161"/>
  <c r="R1103"/>
  <c r="R1160" s="1"/>
  <c r="R1204"/>
  <c r="Q1198"/>
  <c r="R1207"/>
  <c r="P1161"/>
  <c r="P1103"/>
  <c r="P1160" s="1"/>
  <c r="N1159"/>
  <c r="L1159"/>
  <c r="J1161"/>
  <c r="J1103"/>
  <c r="J1160" s="1"/>
  <c r="J1204"/>
  <c r="I1198"/>
  <c r="J1207"/>
  <c r="H1161"/>
  <c r="H1103"/>
  <c r="H1160" s="1"/>
  <c r="F1159"/>
  <c r="D1159"/>
  <c r="D1188"/>
  <c r="AH1183"/>
  <c r="AH1182" s="1"/>
  <c r="AH1125"/>
  <c r="Z1183"/>
  <c r="Z1182" s="1"/>
  <c r="Z1125"/>
  <c r="G1169"/>
  <c r="B1112"/>
  <c r="E1122" s="1"/>
  <c r="AG1072"/>
  <c r="AG1071" s="1"/>
  <c r="AG1081" s="1"/>
  <c r="AG1014"/>
  <c r="AG1024" s="1"/>
  <c r="AC1072"/>
  <c r="AC1071" s="1"/>
  <c r="AC1081" s="1"/>
  <c r="AC1014"/>
  <c r="AC1024" s="1"/>
  <c r="Y1072"/>
  <c r="Y1071" s="1"/>
  <c r="Y1081" s="1"/>
  <c r="Y1014"/>
  <c r="Y1024" s="1"/>
  <c r="E1072"/>
  <c r="AJ1067"/>
  <c r="AJ1066" s="1"/>
  <c r="AJ1009"/>
  <c r="AF1067"/>
  <c r="AF1066" s="1"/>
  <c r="AF1009"/>
  <c r="AB1067"/>
  <c r="AB1066" s="1"/>
  <c r="AB1009"/>
  <c r="X1067"/>
  <c r="X1066" s="1"/>
  <c r="X1009"/>
  <c r="G1060"/>
  <c r="H1003"/>
  <c r="C1060"/>
  <c r="D1059"/>
  <c r="AI1002"/>
  <c r="AI1059" s="1"/>
  <c r="D999"/>
  <c r="D1023" s="1"/>
  <c r="E1058"/>
  <c r="AJ1001"/>
  <c r="AJ1058" s="1"/>
  <c r="BI1045"/>
  <c r="BI987"/>
  <c r="BI1044" s="1"/>
  <c r="BE1045"/>
  <c r="BE987"/>
  <c r="BE1044" s="1"/>
  <c r="BA1045"/>
  <c r="BA987"/>
  <c r="BA1044" s="1"/>
  <c r="AW1045"/>
  <c r="AW987"/>
  <c r="AW1044" s="1"/>
  <c r="AS1045"/>
  <c r="AS987"/>
  <c r="AS1044" s="1"/>
  <c r="AO1045"/>
  <c r="AO987"/>
  <c r="AO1044" s="1"/>
  <c r="AK1045"/>
  <c r="AK987"/>
  <c r="AK1044" s="1"/>
  <c r="AG1045"/>
  <c r="AG987"/>
  <c r="AG1044" s="1"/>
  <c r="AC1045"/>
  <c r="AC987"/>
  <c r="AC1044" s="1"/>
  <c r="Y1045"/>
  <c r="Y987"/>
  <c r="Y1044" s="1"/>
  <c r="U1045"/>
  <c r="U987"/>
  <c r="U1044" s="1"/>
  <c r="Q1045"/>
  <c r="Q987"/>
  <c r="Q1044" s="1"/>
  <c r="M1045"/>
  <c r="M987"/>
  <c r="M1044" s="1"/>
  <c r="I1045"/>
  <c r="I987"/>
  <c r="I1044" s="1"/>
  <c r="E1045"/>
  <c r="E987"/>
  <c r="E1044" s="1"/>
  <c r="BI1043"/>
  <c r="BI985"/>
  <c r="BE1043"/>
  <c r="BE985"/>
  <c r="BA1043"/>
  <c r="BA985"/>
  <c r="AW1043"/>
  <c r="AW985"/>
  <c r="AS1043"/>
  <c r="AS985"/>
  <c r="AO1043"/>
  <c r="AO985"/>
  <c r="AK1043"/>
  <c r="AK985"/>
  <c r="AG1043"/>
  <c r="AG985"/>
  <c r="AC1043"/>
  <c r="AC985"/>
  <c r="Y1043"/>
  <c r="Y985"/>
  <c r="U1043"/>
  <c r="U985"/>
  <c r="Q1043"/>
  <c r="Q985"/>
  <c r="M1043"/>
  <c r="M985"/>
  <c r="I1043"/>
  <c r="I985"/>
  <c r="E1043"/>
  <c r="H1176"/>
  <c r="I1119"/>
  <c r="BG1091"/>
  <c r="BG1080"/>
  <c r="BG1088"/>
  <c r="BF1082"/>
  <c r="BC1091"/>
  <c r="BC1080"/>
  <c r="BC1088"/>
  <c r="BB1082"/>
  <c r="AY1091"/>
  <c r="AY1080"/>
  <c r="AY1088"/>
  <c r="AX1082"/>
  <c r="AU1091"/>
  <c r="AU1080"/>
  <c r="AU1088"/>
  <c r="AT1082"/>
  <c r="AQ1091"/>
  <c r="AQ1080"/>
  <c r="AQ1088"/>
  <c r="AP1082"/>
  <c r="AM1091"/>
  <c r="AM1080"/>
  <c r="AM1088"/>
  <c r="AL1082"/>
  <c r="AI1091"/>
  <c r="AI1080"/>
  <c r="AI1088"/>
  <c r="AH1082"/>
  <c r="AE1091"/>
  <c r="AE1080"/>
  <c r="AE1088"/>
  <c r="AD1082"/>
  <c r="AA1091"/>
  <c r="AA1080"/>
  <c r="AA1088"/>
  <c r="Z1082"/>
  <c r="W1091"/>
  <c r="W1080"/>
  <c r="W1088"/>
  <c r="S1091"/>
  <c r="S1088"/>
  <c r="R1082"/>
  <c r="O1091"/>
  <c r="O1088"/>
  <c r="N1082"/>
  <c r="K1091"/>
  <c r="K1088"/>
  <c r="J1082"/>
  <c r="G1091"/>
  <c r="G1088"/>
  <c r="C1091"/>
  <c r="C1088"/>
  <c r="B1040"/>
  <c r="C1073"/>
  <c r="AJ1072"/>
  <c r="AJ1071" s="1"/>
  <c r="AJ1081" s="1"/>
  <c r="AJ1014"/>
  <c r="AJ1024" s="1"/>
  <c r="AF1072"/>
  <c r="AF1071" s="1"/>
  <c r="AF1081" s="1"/>
  <c r="AF1014"/>
  <c r="AF1024" s="1"/>
  <c r="AB1072"/>
  <c r="AB1071" s="1"/>
  <c r="AB1081" s="1"/>
  <c r="AB1014"/>
  <c r="AB1024" s="1"/>
  <c r="X1072"/>
  <c r="X1071" s="1"/>
  <c r="X1081" s="1"/>
  <c r="X1014"/>
  <c r="X1024" s="1"/>
  <c r="D1072"/>
  <c r="AG1067"/>
  <c r="AG1066" s="1"/>
  <c r="AG1009"/>
  <c r="AC1067"/>
  <c r="AC1066" s="1"/>
  <c r="AC1009"/>
  <c r="Y1067"/>
  <c r="Y1066" s="1"/>
  <c r="Y1009"/>
  <c r="AI1001"/>
  <c r="AI1058" s="1"/>
  <c r="F1058"/>
  <c r="E1057"/>
  <c r="AJ1000"/>
  <c r="E999"/>
  <c r="G1053"/>
  <c r="B996"/>
  <c r="E1006" s="1"/>
  <c r="E992"/>
  <c r="D1049"/>
  <c r="BJ987"/>
  <c r="BJ1044" s="1"/>
  <c r="BJ1045"/>
  <c r="BF987"/>
  <c r="BF1044" s="1"/>
  <c r="BF1045"/>
  <c r="BB987"/>
  <c r="BB1044" s="1"/>
  <c r="BB1045"/>
  <c r="AX987"/>
  <c r="AX1044" s="1"/>
  <c r="AX1045"/>
  <c r="AT987"/>
  <c r="AT1044" s="1"/>
  <c r="AT1045"/>
  <c r="AP987"/>
  <c r="AP1044" s="1"/>
  <c r="AP1045"/>
  <c r="AL987"/>
  <c r="AL1044" s="1"/>
  <c r="AL1045"/>
  <c r="AH987"/>
  <c r="AH1044" s="1"/>
  <c r="AH1045"/>
  <c r="AD987"/>
  <c r="AD1044" s="1"/>
  <c r="AD1045"/>
  <c r="Z987"/>
  <c r="Z1044" s="1"/>
  <c r="Z1045"/>
  <c r="V987"/>
  <c r="V1044" s="1"/>
  <c r="V1045"/>
  <c r="R987"/>
  <c r="R1044" s="1"/>
  <c r="R1045"/>
  <c r="N987"/>
  <c r="N1044" s="1"/>
  <c r="N1045"/>
  <c r="J987"/>
  <c r="J1044" s="1"/>
  <c r="J1045"/>
  <c r="F987"/>
  <c r="F1044" s="1"/>
  <c r="F1045"/>
  <c r="BJ985"/>
  <c r="BJ1043"/>
  <c r="BF985"/>
  <c r="BF1043"/>
  <c r="BB985"/>
  <c r="BB1043"/>
  <c r="AX985"/>
  <c r="AX1043"/>
  <c r="AT985"/>
  <c r="AT1043"/>
  <c r="AP985"/>
  <c r="AP1043"/>
  <c r="AL985"/>
  <c r="AL1043"/>
  <c r="AH985"/>
  <c r="AH1043"/>
  <c r="AD985"/>
  <c r="AD1043"/>
  <c r="Z985"/>
  <c r="Z1043"/>
  <c r="V985"/>
  <c r="V1043"/>
  <c r="R985"/>
  <c r="R1043"/>
  <c r="N985"/>
  <c r="N1043"/>
  <c r="J985"/>
  <c r="J1043"/>
  <c r="F1043"/>
  <c r="AH956"/>
  <c r="AH955" s="1"/>
  <c r="AH965" s="1"/>
  <c r="AH898"/>
  <c r="AH908" s="1"/>
  <c r="AD956"/>
  <c r="AD955" s="1"/>
  <c r="AD965" s="1"/>
  <c r="AD898"/>
  <c r="AD908" s="1"/>
  <c r="Z956"/>
  <c r="Z955" s="1"/>
  <c r="Z965" s="1"/>
  <c r="Z898"/>
  <c r="Z908" s="1"/>
  <c r="V956"/>
  <c r="V955" s="1"/>
  <c r="V965" s="1"/>
  <c r="V898"/>
  <c r="V908" s="1"/>
  <c r="F956"/>
  <c r="AI951"/>
  <c r="AI950" s="1"/>
  <c r="AI893"/>
  <c r="AE951"/>
  <c r="AE950" s="1"/>
  <c r="AE893"/>
  <c r="AA951"/>
  <c r="AA950" s="1"/>
  <c r="AA893"/>
  <c r="W951"/>
  <c r="W950" s="1"/>
  <c r="W893"/>
  <c r="S951"/>
  <c r="S950" s="1"/>
  <c r="S893"/>
  <c r="C943"/>
  <c r="AJ886"/>
  <c r="AJ943" s="1"/>
  <c r="C883"/>
  <c r="C907" s="1"/>
  <c r="BJ929"/>
  <c r="BJ871"/>
  <c r="BJ928" s="1"/>
  <c r="BF929"/>
  <c r="BF871"/>
  <c r="BF928" s="1"/>
  <c r="BB929"/>
  <c r="BB871"/>
  <c r="BB928" s="1"/>
  <c r="AX929"/>
  <c r="AX871"/>
  <c r="AX928" s="1"/>
  <c r="AT929"/>
  <c r="AT871"/>
  <c r="AT928" s="1"/>
  <c r="AP929"/>
  <c r="AP871"/>
  <c r="AP928" s="1"/>
  <c r="AL929"/>
  <c r="AL871"/>
  <c r="AL928" s="1"/>
  <c r="AH929"/>
  <c r="AH871"/>
  <c r="AH928" s="1"/>
  <c r="AD929"/>
  <c r="AD871"/>
  <c r="AD928" s="1"/>
  <c r="Z929"/>
  <c r="Z871"/>
  <c r="Z928" s="1"/>
  <c r="V929"/>
  <c r="V871"/>
  <c r="V928" s="1"/>
  <c r="R929"/>
  <c r="R871"/>
  <c r="R928" s="1"/>
  <c r="N929"/>
  <c r="N871"/>
  <c r="N928" s="1"/>
  <c r="J929"/>
  <c r="J871"/>
  <c r="J928" s="1"/>
  <c r="F929"/>
  <c r="F871"/>
  <c r="F928" s="1"/>
  <c r="BJ927"/>
  <c r="BJ869"/>
  <c r="BF927"/>
  <c r="BF869"/>
  <c r="BB927"/>
  <c r="BB869"/>
  <c r="AX927"/>
  <c r="AX869"/>
  <c r="AT927"/>
  <c r="AT869"/>
  <c r="AP927"/>
  <c r="AP869"/>
  <c r="AL927"/>
  <c r="AL869"/>
  <c r="AH927"/>
  <c r="AH869"/>
  <c r="AD927"/>
  <c r="AD869"/>
  <c r="Z927"/>
  <c r="Z869"/>
  <c r="V927"/>
  <c r="V869"/>
  <c r="R927"/>
  <c r="R869"/>
  <c r="N927"/>
  <c r="N869"/>
  <c r="J927"/>
  <c r="J869"/>
  <c r="F927"/>
  <c r="AG840"/>
  <c r="AG839" s="1"/>
  <c r="AG849" s="1"/>
  <c r="AG782"/>
  <c r="AG792" s="1"/>
  <c r="AC840"/>
  <c r="AC839" s="1"/>
  <c r="AC849" s="1"/>
  <c r="AC782"/>
  <c r="AC792" s="1"/>
  <c r="Y840"/>
  <c r="Y839" s="1"/>
  <c r="Y849" s="1"/>
  <c r="Y782"/>
  <c r="Y792" s="1"/>
  <c r="E840"/>
  <c r="AJ835"/>
  <c r="AJ834" s="1"/>
  <c r="AJ777"/>
  <c r="AF835"/>
  <c r="AF834" s="1"/>
  <c r="AF777"/>
  <c r="AB835"/>
  <c r="AB834" s="1"/>
  <c r="AB777"/>
  <c r="X835"/>
  <c r="X834" s="1"/>
  <c r="X777"/>
  <c r="G828"/>
  <c r="H771"/>
  <c r="C828"/>
  <c r="C776"/>
  <c r="D827"/>
  <c r="AI770"/>
  <c r="AI827" s="1"/>
  <c r="D767"/>
  <c r="E826"/>
  <c r="AJ769"/>
  <c r="AJ826" s="1"/>
  <c r="D762"/>
  <c r="D822"/>
  <c r="E765"/>
  <c r="E770" s="1"/>
  <c r="F821"/>
  <c r="G764"/>
  <c r="F820"/>
  <c r="G763"/>
  <c r="BI813"/>
  <c r="BI755"/>
  <c r="BI812" s="1"/>
  <c r="BE813"/>
  <c r="BE755"/>
  <c r="BE812" s="1"/>
  <c r="BA813"/>
  <c r="BA755"/>
  <c r="BA812" s="1"/>
  <c r="AW813"/>
  <c r="AW755"/>
  <c r="AW812" s="1"/>
  <c r="AS813"/>
  <c r="AS755"/>
  <c r="AS812" s="1"/>
  <c r="AO813"/>
  <c r="AO755"/>
  <c r="AO812" s="1"/>
  <c r="AK813"/>
  <c r="AK755"/>
  <c r="AK812" s="1"/>
  <c r="AG813"/>
  <c r="AG755"/>
  <c r="AG812" s="1"/>
  <c r="AC813"/>
  <c r="AC755"/>
  <c r="AC812" s="1"/>
  <c r="Y813"/>
  <c r="Y755"/>
  <c r="Y812" s="1"/>
  <c r="U813"/>
  <c r="U755"/>
  <c r="U812" s="1"/>
  <c r="Q813"/>
  <c r="Q755"/>
  <c r="Q812" s="1"/>
  <c r="M813"/>
  <c r="M755"/>
  <c r="M812" s="1"/>
  <c r="I813"/>
  <c r="I755"/>
  <c r="I812" s="1"/>
  <c r="E813"/>
  <c r="E755"/>
  <c r="E812" s="1"/>
  <c r="BI811"/>
  <c r="BI753"/>
  <c r="BE811"/>
  <c r="BE753"/>
  <c r="BA811"/>
  <c r="BA753"/>
  <c r="AW811"/>
  <c r="AW753"/>
  <c r="AS811"/>
  <c r="AS753"/>
  <c r="AO811"/>
  <c r="AO753"/>
  <c r="AK811"/>
  <c r="AK753"/>
  <c r="AG811"/>
  <c r="AG753"/>
  <c r="AC811"/>
  <c r="AC753"/>
  <c r="Y811"/>
  <c r="Y753"/>
  <c r="U811"/>
  <c r="U753"/>
  <c r="Q811"/>
  <c r="Q753"/>
  <c r="M811"/>
  <c r="M753"/>
  <c r="I811"/>
  <c r="I753"/>
  <c r="E811"/>
  <c r="E753"/>
  <c r="C935"/>
  <c r="BJ975"/>
  <c r="BJ966"/>
  <c r="BJ964"/>
  <c r="BJ972"/>
  <c r="BI966"/>
  <c r="BF975"/>
  <c r="BF964"/>
  <c r="BF972"/>
  <c r="BE966"/>
  <c r="BF966"/>
  <c r="BB975"/>
  <c r="BB964"/>
  <c r="BB972"/>
  <c r="BA966"/>
  <c r="BB966"/>
  <c r="AX975"/>
  <c r="AX964"/>
  <c r="AX972"/>
  <c r="AW966"/>
  <c r="AX966"/>
  <c r="AT975"/>
  <c r="AT964"/>
  <c r="AT972"/>
  <c r="AS966"/>
  <c r="AT966"/>
  <c r="AP975"/>
  <c r="AP964"/>
  <c r="AP972"/>
  <c r="AO966"/>
  <c r="AP966"/>
  <c r="AL975"/>
  <c r="AL964"/>
  <c r="AL972"/>
  <c r="AK966"/>
  <c r="AL966"/>
  <c r="AH975"/>
  <c r="AH964"/>
  <c r="AH972"/>
  <c r="AG966"/>
  <c r="AH966"/>
  <c r="AD975"/>
  <c r="AD964"/>
  <c r="AD972"/>
  <c r="AC966"/>
  <c r="AD966"/>
  <c r="Z975"/>
  <c r="Z964"/>
  <c r="Z972"/>
  <c r="Y966"/>
  <c r="Z966"/>
  <c r="V975"/>
  <c r="V964"/>
  <c r="V972"/>
  <c r="U966"/>
  <c r="V966"/>
  <c r="R975"/>
  <c r="R972"/>
  <c r="Q966"/>
  <c r="N975"/>
  <c r="N972"/>
  <c r="M966"/>
  <c r="N966"/>
  <c r="J975"/>
  <c r="J972"/>
  <c r="I966"/>
  <c r="J966"/>
  <c r="F975"/>
  <c r="F972"/>
  <c r="AI956"/>
  <c r="AI955" s="1"/>
  <c r="AI965" s="1"/>
  <c r="AI898"/>
  <c r="AI908" s="1"/>
  <c r="AE956"/>
  <c r="AE955" s="1"/>
  <c r="AE965" s="1"/>
  <c r="AE898"/>
  <c r="AE908" s="1"/>
  <c r="AA956"/>
  <c r="AA955" s="1"/>
  <c r="AA965" s="1"/>
  <c r="AA898"/>
  <c r="AA908" s="1"/>
  <c r="W956"/>
  <c r="W955" s="1"/>
  <c r="W965" s="1"/>
  <c r="W898"/>
  <c r="W908" s="1"/>
  <c r="S956"/>
  <c r="S955" s="1"/>
  <c r="S965" s="1"/>
  <c r="S898"/>
  <c r="S908" s="1"/>
  <c r="C956"/>
  <c r="AH951"/>
  <c r="AH950" s="1"/>
  <c r="AH893"/>
  <c r="AD951"/>
  <c r="AD950" s="1"/>
  <c r="AD893"/>
  <c r="Z951"/>
  <c r="Z950" s="1"/>
  <c r="Z893"/>
  <c r="V951"/>
  <c r="V950" s="1"/>
  <c r="V893"/>
  <c r="AI884"/>
  <c r="F941"/>
  <c r="D938"/>
  <c r="E881"/>
  <c r="D878"/>
  <c r="F937"/>
  <c r="G880"/>
  <c r="F936"/>
  <c r="G879"/>
  <c r="G884"/>
  <c r="F876"/>
  <c r="E933"/>
  <c r="B874"/>
  <c r="C931"/>
  <c r="B931" s="1"/>
  <c r="I9" s="1"/>
  <c r="BG871"/>
  <c r="BG928" s="1"/>
  <c r="BG929"/>
  <c r="BC871"/>
  <c r="BC928" s="1"/>
  <c r="BC929"/>
  <c r="AY871"/>
  <c r="AY928" s="1"/>
  <c r="AY929"/>
  <c r="AU871"/>
  <c r="AU928" s="1"/>
  <c r="AU929"/>
  <c r="AQ871"/>
  <c r="AQ928" s="1"/>
  <c r="AQ929"/>
  <c r="AM871"/>
  <c r="AM928" s="1"/>
  <c r="AM929"/>
  <c r="AI871"/>
  <c r="AI928" s="1"/>
  <c r="AI929"/>
  <c r="AE871"/>
  <c r="AE928" s="1"/>
  <c r="AE929"/>
  <c r="AA871"/>
  <c r="AA928" s="1"/>
  <c r="AA929"/>
  <c r="W871"/>
  <c r="W928" s="1"/>
  <c r="W929"/>
  <c r="S871"/>
  <c r="S928" s="1"/>
  <c r="S929"/>
  <c r="O871"/>
  <c r="O928" s="1"/>
  <c r="O929"/>
  <c r="K871"/>
  <c r="K928" s="1"/>
  <c r="K929"/>
  <c r="G871"/>
  <c r="G928" s="1"/>
  <c r="G929"/>
  <c r="B872"/>
  <c r="C871"/>
  <c r="C928" s="1"/>
  <c r="C929"/>
  <c r="BG869"/>
  <c r="BG927"/>
  <c r="BG926" s="1"/>
  <c r="BC869"/>
  <c r="BC927"/>
  <c r="BC926" s="1"/>
  <c r="AY869"/>
  <c r="AY927"/>
  <c r="AY926" s="1"/>
  <c r="AU869"/>
  <c r="AU927"/>
  <c r="AU926" s="1"/>
  <c r="AQ869"/>
  <c r="AQ927"/>
  <c r="AQ926" s="1"/>
  <c r="AM869"/>
  <c r="AM927"/>
  <c r="AM926" s="1"/>
  <c r="AI869"/>
  <c r="AI927"/>
  <c r="AI926" s="1"/>
  <c r="AE869"/>
  <c r="AE927"/>
  <c r="AE926" s="1"/>
  <c r="AA869"/>
  <c r="AA927"/>
  <c r="AA926" s="1"/>
  <c r="W869"/>
  <c r="W927"/>
  <c r="W926" s="1"/>
  <c r="S869"/>
  <c r="S927"/>
  <c r="S926" s="1"/>
  <c r="O869"/>
  <c r="O927"/>
  <c r="O926" s="1"/>
  <c r="K869"/>
  <c r="K927"/>
  <c r="K926" s="1"/>
  <c r="G927"/>
  <c r="B870"/>
  <c r="C869"/>
  <c r="C927"/>
  <c r="BI859"/>
  <c r="BI848"/>
  <c r="BI856"/>
  <c r="BH850"/>
  <c r="BI850"/>
  <c r="BE859"/>
  <c r="BE848"/>
  <c r="BE856"/>
  <c r="BD850"/>
  <c r="BE850"/>
  <c r="BA859"/>
  <c r="BA848"/>
  <c r="BA856"/>
  <c r="AZ850"/>
  <c r="BA850"/>
  <c r="AW859"/>
  <c r="AW848"/>
  <c r="AW856"/>
  <c r="AV850"/>
  <c r="AW850"/>
  <c r="AS859"/>
  <c r="AS848"/>
  <c r="AS856"/>
  <c r="AR850"/>
  <c r="AS850"/>
  <c r="AO859"/>
  <c r="AO848"/>
  <c r="AO856"/>
  <c r="AN850"/>
  <c r="AO850"/>
  <c r="AK859"/>
  <c r="AK848"/>
  <c r="AK856"/>
  <c r="AJ850"/>
  <c r="AK850"/>
  <c r="AG859"/>
  <c r="AG848"/>
  <c r="AG856"/>
  <c r="AF850"/>
  <c r="AG850"/>
  <c r="AC859"/>
  <c r="AC848"/>
  <c r="AC856"/>
  <c r="AB850"/>
  <c r="AC850"/>
  <c r="Y859"/>
  <c r="Y848"/>
  <c r="Y856"/>
  <c r="X850"/>
  <c r="Y850"/>
  <c r="U859"/>
  <c r="U856"/>
  <c r="T850"/>
  <c r="Q859"/>
  <c r="Q856"/>
  <c r="P850"/>
  <c r="Q850"/>
  <c r="M859"/>
  <c r="M856"/>
  <c r="L850"/>
  <c r="M850"/>
  <c r="I859"/>
  <c r="I856"/>
  <c r="H850"/>
  <c r="I850"/>
  <c r="E859"/>
  <c r="E856"/>
  <c r="AH840"/>
  <c r="AH839" s="1"/>
  <c r="AH849" s="1"/>
  <c r="AH782"/>
  <c r="AH792" s="1"/>
  <c r="AD840"/>
  <c r="AD839" s="1"/>
  <c r="AD849" s="1"/>
  <c r="AD782"/>
  <c r="AD792" s="1"/>
  <c r="Z840"/>
  <c r="Z839" s="1"/>
  <c r="Z849" s="1"/>
  <c r="Z782"/>
  <c r="Z792" s="1"/>
  <c r="V840"/>
  <c r="V839" s="1"/>
  <c r="V849" s="1"/>
  <c r="V782"/>
  <c r="V792" s="1"/>
  <c r="AI835"/>
  <c r="AI834" s="1"/>
  <c r="AI777"/>
  <c r="AE835"/>
  <c r="AE834" s="1"/>
  <c r="AE777"/>
  <c r="AA835"/>
  <c r="AA834" s="1"/>
  <c r="AA777"/>
  <c r="W835"/>
  <c r="W834" s="1"/>
  <c r="W777"/>
  <c r="AJ770"/>
  <c r="AJ827" s="1"/>
  <c r="C767"/>
  <c r="C791" s="1"/>
  <c r="C827"/>
  <c r="BJ755"/>
  <c r="BJ812" s="1"/>
  <c r="BJ813"/>
  <c r="BF755"/>
  <c r="BF812" s="1"/>
  <c r="BF813"/>
  <c r="BB755"/>
  <c r="BB812" s="1"/>
  <c r="BB813"/>
  <c r="AX755"/>
  <c r="AX812" s="1"/>
  <c r="AX813"/>
  <c r="AT755"/>
  <c r="AT812" s="1"/>
  <c r="AT813"/>
  <c r="AP755"/>
  <c r="AP812" s="1"/>
  <c r="AP813"/>
  <c r="AL755"/>
  <c r="AL812" s="1"/>
  <c r="AL813"/>
  <c r="AH755"/>
  <c r="AH812" s="1"/>
  <c r="AH813"/>
  <c r="AD755"/>
  <c r="AD812" s="1"/>
  <c r="AD813"/>
  <c r="Z755"/>
  <c r="Z812" s="1"/>
  <c r="Z813"/>
  <c r="V755"/>
  <c r="V812" s="1"/>
  <c r="V813"/>
  <c r="R755"/>
  <c r="R812" s="1"/>
  <c r="R813"/>
  <c r="N755"/>
  <c r="N812" s="1"/>
  <c r="N813"/>
  <c r="J755"/>
  <c r="J812" s="1"/>
  <c r="J813"/>
  <c r="F755"/>
  <c r="F812" s="1"/>
  <c r="F813"/>
  <c r="BJ753"/>
  <c r="BJ811"/>
  <c r="BJ810" s="1"/>
  <c r="BF753"/>
  <c r="BF811"/>
  <c r="BF810" s="1"/>
  <c r="BB753"/>
  <c r="BB811"/>
  <c r="BB810" s="1"/>
  <c r="AX753"/>
  <c r="AX811"/>
  <c r="AX810" s="1"/>
  <c r="AT753"/>
  <c r="AT811"/>
  <c r="AT810" s="1"/>
  <c r="AP753"/>
  <c r="AP811"/>
  <c r="AP810" s="1"/>
  <c r="AL753"/>
  <c r="AL811"/>
  <c r="AL810" s="1"/>
  <c r="AH753"/>
  <c r="AH811"/>
  <c r="AH810" s="1"/>
  <c r="AD753"/>
  <c r="AD811"/>
  <c r="AD810" s="1"/>
  <c r="Z753"/>
  <c r="Z811"/>
  <c r="Z810" s="1"/>
  <c r="V753"/>
  <c r="V811"/>
  <c r="V810" s="1"/>
  <c r="R753"/>
  <c r="R811"/>
  <c r="R810" s="1"/>
  <c r="N753"/>
  <c r="N811"/>
  <c r="N810" s="1"/>
  <c r="J753"/>
  <c r="J811"/>
  <c r="J810" s="1"/>
  <c r="F753"/>
  <c r="F811"/>
  <c r="C703"/>
  <c r="AJ725"/>
  <c r="AJ666"/>
  <c r="AJ676" s="1"/>
  <c r="AF725"/>
  <c r="AF666"/>
  <c r="AF676" s="1"/>
  <c r="AB725"/>
  <c r="AB666"/>
  <c r="AB676" s="1"/>
  <c r="X725"/>
  <c r="X666"/>
  <c r="X676" s="1"/>
  <c r="D725"/>
  <c r="AJ719"/>
  <c r="AJ718" s="1"/>
  <c r="AJ661"/>
  <c r="AF719"/>
  <c r="AF718" s="1"/>
  <c r="AF661"/>
  <c r="AB719"/>
  <c r="AB718" s="1"/>
  <c r="AB661"/>
  <c r="X719"/>
  <c r="X718" s="1"/>
  <c r="X661"/>
  <c r="BF698"/>
  <c r="BF639"/>
  <c r="C717"/>
  <c r="D660"/>
  <c r="E712"/>
  <c r="E670"/>
  <c r="E727" s="1"/>
  <c r="AE719"/>
  <c r="AE718" s="1"/>
  <c r="AE661"/>
  <c r="W719"/>
  <c r="W718" s="1"/>
  <c r="W661"/>
  <c r="AE608"/>
  <c r="AE607" s="1"/>
  <c r="AE617" s="1"/>
  <c r="AE550"/>
  <c r="AE560" s="1"/>
  <c r="G608"/>
  <c r="E595"/>
  <c r="AH538"/>
  <c r="AH595" s="1"/>
  <c r="G593"/>
  <c r="H536"/>
  <c r="BI582"/>
  <c r="BI523"/>
  <c r="BE582"/>
  <c r="BE523"/>
  <c r="BA582"/>
  <c r="BA523"/>
  <c r="AW582"/>
  <c r="AW523"/>
  <c r="AS582"/>
  <c r="AS523"/>
  <c r="AO582"/>
  <c r="AO523"/>
  <c r="AK582"/>
  <c r="AK523"/>
  <c r="AG582"/>
  <c r="AG523"/>
  <c r="AC582"/>
  <c r="AC523"/>
  <c r="Y582"/>
  <c r="Y523"/>
  <c r="U582"/>
  <c r="U523"/>
  <c r="Q582"/>
  <c r="Q523"/>
  <c r="M582"/>
  <c r="M523"/>
  <c r="I582"/>
  <c r="I523"/>
  <c r="E582"/>
  <c r="E523"/>
  <c r="D493"/>
  <c r="BJ466"/>
  <c r="BJ407"/>
  <c r="BF466"/>
  <c r="BF407"/>
  <c r="BB466"/>
  <c r="BB407"/>
  <c r="AX466"/>
  <c r="AX407"/>
  <c r="AT466"/>
  <c r="AT407"/>
  <c r="AP466"/>
  <c r="AP407"/>
  <c r="AL466"/>
  <c r="AL407"/>
  <c r="AH466"/>
  <c r="AH407"/>
  <c r="AD466"/>
  <c r="AD407"/>
  <c r="Z466"/>
  <c r="Z407"/>
  <c r="V466"/>
  <c r="V407"/>
  <c r="R466"/>
  <c r="R407"/>
  <c r="N466"/>
  <c r="N407"/>
  <c r="J466"/>
  <c r="J407"/>
  <c r="F466"/>
  <c r="F407"/>
  <c r="AI313"/>
  <c r="AI371"/>
  <c r="AI370" s="1"/>
  <c r="AE313"/>
  <c r="AE371"/>
  <c r="AE370" s="1"/>
  <c r="AA313"/>
  <c r="AA371"/>
  <c r="AA370" s="1"/>
  <c r="D646"/>
  <c r="E649"/>
  <c r="E654" s="1"/>
  <c r="E651" s="1"/>
  <c r="D706"/>
  <c r="D703" s="1"/>
  <c r="D654"/>
  <c r="Q697"/>
  <c r="Q639"/>
  <c r="Q696" s="1"/>
  <c r="O695"/>
  <c r="I697"/>
  <c r="I639"/>
  <c r="I696" s="1"/>
  <c r="G695"/>
  <c r="E724"/>
  <c r="E624"/>
  <c r="E627"/>
  <c r="AN627"/>
  <c r="AN616"/>
  <c r="AN624"/>
  <c r="AM618"/>
  <c r="X627"/>
  <c r="X616"/>
  <c r="X624"/>
  <c r="H627"/>
  <c r="H624"/>
  <c r="AH603"/>
  <c r="AH602" s="1"/>
  <c r="AH545"/>
  <c r="F593"/>
  <c r="AI536"/>
  <c r="F551"/>
  <c r="AG487"/>
  <c r="AG486" s="1"/>
  <c r="AG429"/>
  <c r="Y487"/>
  <c r="Y486" s="1"/>
  <c r="Y429"/>
  <c r="AJ420"/>
  <c r="E477"/>
  <c r="E435"/>
  <c r="G412"/>
  <c r="F469"/>
  <c r="B412"/>
  <c r="B409"/>
  <c r="C466"/>
  <c r="B466" s="1"/>
  <c r="E8" s="1"/>
  <c r="AV464"/>
  <c r="AV405"/>
  <c r="AF464"/>
  <c r="AF405"/>
  <c r="P464"/>
  <c r="P405"/>
  <c r="BH395"/>
  <c r="BH384"/>
  <c r="BH392"/>
  <c r="BG386"/>
  <c r="BH386"/>
  <c r="AZ395"/>
  <c r="AZ384"/>
  <c r="AZ392"/>
  <c r="AY386"/>
  <c r="AZ386"/>
  <c r="AR395"/>
  <c r="AR384"/>
  <c r="AR392"/>
  <c r="AQ386"/>
  <c r="AR386"/>
  <c r="AJ395"/>
  <c r="AJ384"/>
  <c r="AJ392"/>
  <c r="AI386"/>
  <c r="AJ386"/>
  <c r="AB395"/>
  <c r="AB384"/>
  <c r="AB392"/>
  <c r="AA386"/>
  <c r="AB386"/>
  <c r="T395"/>
  <c r="T392"/>
  <c r="S386"/>
  <c r="T386"/>
  <c r="L395"/>
  <c r="L392"/>
  <c r="K386"/>
  <c r="L386"/>
  <c r="B1147"/>
  <c r="D1134"/>
  <c r="D1191" s="1"/>
  <c r="D1124"/>
  <c r="AI1187"/>
  <c r="AI1197" s="1"/>
  <c r="AE1187"/>
  <c r="AE1197" s="1"/>
  <c r="AA1187"/>
  <c r="AA1197" s="1"/>
  <c r="B1106"/>
  <c r="BI1103"/>
  <c r="BE1103"/>
  <c r="BA1103"/>
  <c r="AW1103"/>
  <c r="AS1103"/>
  <c r="AO1103"/>
  <c r="AK1103"/>
  <c r="AG1103"/>
  <c r="AC1103"/>
  <c r="Y1103"/>
  <c r="U1103"/>
  <c r="Q1103"/>
  <c r="M1103"/>
  <c r="I1103"/>
  <c r="E1103"/>
  <c r="D1167"/>
  <c r="D1198" s="1"/>
  <c r="F1134"/>
  <c r="F1191" s="1"/>
  <c r="BG1103"/>
  <c r="AY1103"/>
  <c r="AQ1103"/>
  <c r="AI1103"/>
  <c r="AA1103"/>
  <c r="S1103"/>
  <c r="K1103"/>
  <c r="AG1130"/>
  <c r="AG1140" s="1"/>
  <c r="AC1130"/>
  <c r="AC1140" s="1"/>
  <c r="Y1130"/>
  <c r="Y1140" s="1"/>
  <c r="B1053"/>
  <c r="J15" s="1"/>
  <c r="F1118"/>
  <c r="D1051"/>
  <c r="D1082" s="1"/>
  <c r="B1031"/>
  <c r="G1018"/>
  <c r="G1075" s="1"/>
  <c r="C1018"/>
  <c r="D1017"/>
  <c r="D1074" s="1"/>
  <c r="C1008"/>
  <c r="D902"/>
  <c r="D959" s="1"/>
  <c r="C901"/>
  <c r="D819"/>
  <c r="E786"/>
  <c r="E843" s="1"/>
  <c r="E784"/>
  <c r="E841" s="1"/>
  <c r="G768"/>
  <c r="BG1082"/>
  <c r="BC1082"/>
  <c r="AY1082"/>
  <c r="AU1082"/>
  <c r="AQ1082"/>
  <c r="AM1082"/>
  <c r="AI1082"/>
  <c r="AE1082"/>
  <c r="AA1082"/>
  <c r="W1082"/>
  <c r="S1082"/>
  <c r="O1082"/>
  <c r="K1082"/>
  <c r="BD639"/>
  <c r="AN639"/>
  <c r="X639"/>
  <c r="H639"/>
  <c r="AJ723"/>
  <c r="AJ733" s="1"/>
  <c r="AB723"/>
  <c r="AB733" s="1"/>
  <c r="B707"/>
  <c r="G17" s="1"/>
  <c r="BB639"/>
  <c r="AL639"/>
  <c r="V639"/>
  <c r="F639"/>
  <c r="F554"/>
  <c r="F611" s="1"/>
  <c r="AG1183"/>
  <c r="AG1182" s="1"/>
  <c r="AG1125"/>
  <c r="AC1125"/>
  <c r="AC1183"/>
  <c r="AC1182" s="1"/>
  <c r="Y1183"/>
  <c r="Y1182" s="1"/>
  <c r="Y1125"/>
  <c r="C1175"/>
  <c r="AJ1118"/>
  <c r="AJ1175" s="1"/>
  <c r="C1133"/>
  <c r="C1115"/>
  <c r="C1139" s="1"/>
  <c r="E1173"/>
  <c r="AJ1116"/>
  <c r="E1115"/>
  <c r="E1131"/>
  <c r="C1164"/>
  <c r="B1164" s="1"/>
  <c r="K10" s="1"/>
  <c r="B1107"/>
  <c r="C1162"/>
  <c r="B1162" s="1"/>
  <c r="K8" s="1"/>
  <c r="B1105"/>
  <c r="BI1207"/>
  <c r="BI1196"/>
  <c r="BI1204"/>
  <c r="BH1198"/>
  <c r="BE1207"/>
  <c r="BE1196"/>
  <c r="BE1204"/>
  <c r="BD1198"/>
  <c r="BA1207"/>
  <c r="BA1196"/>
  <c r="BA1204"/>
  <c r="AZ1198"/>
  <c r="AW1207"/>
  <c r="AW1196"/>
  <c r="AW1204"/>
  <c r="AV1198"/>
  <c r="AS1207"/>
  <c r="AS1196"/>
  <c r="AS1204"/>
  <c r="AR1198"/>
  <c r="AO1207"/>
  <c r="AO1196"/>
  <c r="AO1204"/>
  <c r="AN1198"/>
  <c r="AK1207"/>
  <c r="AK1196"/>
  <c r="AK1204"/>
  <c r="AJ1198"/>
  <c r="AG1207"/>
  <c r="AG1196"/>
  <c r="AG1204"/>
  <c r="AF1198"/>
  <c r="AC1207"/>
  <c r="AC1196"/>
  <c r="AC1204"/>
  <c r="AB1198"/>
  <c r="Y1207"/>
  <c r="Y1196"/>
  <c r="Y1204"/>
  <c r="X1198"/>
  <c r="U1207"/>
  <c r="U1204"/>
  <c r="T1198"/>
  <c r="Q1207"/>
  <c r="Q1204"/>
  <c r="P1198"/>
  <c r="M1207"/>
  <c r="M1204"/>
  <c r="L1198"/>
  <c r="I1207"/>
  <c r="I1204"/>
  <c r="H1198"/>
  <c r="E1207"/>
  <c r="E1204"/>
  <c r="C1207"/>
  <c r="C1204"/>
  <c r="B1156"/>
  <c r="BD1204"/>
  <c r="BC1198"/>
  <c r="BD1207"/>
  <c r="BD1196"/>
  <c r="AN1204"/>
  <c r="AM1198"/>
  <c r="AN1207"/>
  <c r="AN1196"/>
  <c r="X1204"/>
  <c r="X1207"/>
  <c r="X1196"/>
  <c r="H1204"/>
  <c r="H1207"/>
  <c r="AF1183"/>
  <c r="AF1182" s="1"/>
  <c r="AF1125"/>
  <c r="X1183"/>
  <c r="X1182" s="1"/>
  <c r="X1125"/>
  <c r="BJ1159"/>
  <c r="BJ1158" s="1"/>
  <c r="BJ1101"/>
  <c r="BH1161"/>
  <c r="BH1103"/>
  <c r="BH1160" s="1"/>
  <c r="BF1159"/>
  <c r="BF1158" s="1"/>
  <c r="BF1101"/>
  <c r="BD1159"/>
  <c r="BD1158" s="1"/>
  <c r="BD1101"/>
  <c r="BB1161"/>
  <c r="BB1103"/>
  <c r="BB1160" s="1"/>
  <c r="BB1204"/>
  <c r="BA1198"/>
  <c r="BB1207"/>
  <c r="BB1196"/>
  <c r="AZ1161"/>
  <c r="AZ1103"/>
  <c r="AZ1160" s="1"/>
  <c r="AX1159"/>
  <c r="AX1158" s="1"/>
  <c r="AX1101"/>
  <c r="AV1159"/>
  <c r="AV1158" s="1"/>
  <c r="AV1101"/>
  <c r="AT1161"/>
  <c r="AT1103"/>
  <c r="AT1160" s="1"/>
  <c r="AT1204"/>
  <c r="AS1198"/>
  <c r="AT1207"/>
  <c r="AT1196"/>
  <c r="AR1161"/>
  <c r="AR1103"/>
  <c r="AR1160" s="1"/>
  <c r="AP1159"/>
  <c r="AP1158" s="1"/>
  <c r="AP1101"/>
  <c r="AN1159"/>
  <c r="AN1158" s="1"/>
  <c r="AN1101"/>
  <c r="AL1161"/>
  <c r="AL1103"/>
  <c r="AL1160" s="1"/>
  <c r="AL1204"/>
  <c r="AK1198"/>
  <c r="AL1207"/>
  <c r="AL1196"/>
  <c r="AJ1161"/>
  <c r="AJ1103"/>
  <c r="AJ1160" s="1"/>
  <c r="AJ1188"/>
  <c r="AJ1187" s="1"/>
  <c r="AJ1197" s="1"/>
  <c r="AJ1130"/>
  <c r="AJ1140" s="1"/>
  <c r="AH1159"/>
  <c r="AH1158" s="1"/>
  <c r="AH1101"/>
  <c r="AF1159"/>
  <c r="AF1158" s="1"/>
  <c r="AF1101"/>
  <c r="AD1161"/>
  <c r="AD1103"/>
  <c r="AD1160" s="1"/>
  <c r="AD1130"/>
  <c r="AD1140" s="1"/>
  <c r="AD1188"/>
  <c r="AD1187" s="1"/>
  <c r="AD1197" s="1"/>
  <c r="AD1204"/>
  <c r="AC1198"/>
  <c r="AD1207"/>
  <c r="AD1196"/>
  <c r="AB1161"/>
  <c r="AB1103"/>
  <c r="AB1160" s="1"/>
  <c r="AB1188"/>
  <c r="AB1187" s="1"/>
  <c r="AB1197" s="1"/>
  <c r="AB1130"/>
  <c r="AB1140" s="1"/>
  <c r="Z1159"/>
  <c r="Z1158" s="1"/>
  <c r="Z1101"/>
  <c r="X1159"/>
  <c r="X1158" s="1"/>
  <c r="X1101"/>
  <c r="V1161"/>
  <c r="V1103"/>
  <c r="V1160" s="1"/>
  <c r="V1204"/>
  <c r="U1198"/>
  <c r="V1207"/>
  <c r="T1161"/>
  <c r="T1103"/>
  <c r="T1160" s="1"/>
  <c r="R1159"/>
  <c r="R1158" s="1"/>
  <c r="R1101"/>
  <c r="P1159"/>
  <c r="P1158" s="1"/>
  <c r="P1101"/>
  <c r="N1161"/>
  <c r="N1103"/>
  <c r="N1160" s="1"/>
  <c r="N1204"/>
  <c r="M1198"/>
  <c r="N1207"/>
  <c r="L1161"/>
  <c r="L1103"/>
  <c r="L1160" s="1"/>
  <c r="J1159"/>
  <c r="J1158" s="1"/>
  <c r="J1101"/>
  <c r="H1159"/>
  <c r="H1158" s="1"/>
  <c r="H1101"/>
  <c r="F1161"/>
  <c r="F1103"/>
  <c r="F1160" s="1"/>
  <c r="F1188"/>
  <c r="F1204"/>
  <c r="F1207"/>
  <c r="D1161"/>
  <c r="D1103"/>
  <c r="D1160" s="1"/>
  <c r="C1172"/>
  <c r="AD1183"/>
  <c r="AD1182" s="1"/>
  <c r="AD1125"/>
  <c r="D1165"/>
  <c r="E1108"/>
  <c r="C1051"/>
  <c r="C1074"/>
  <c r="AI1072"/>
  <c r="AI1071" s="1"/>
  <c r="AI1081" s="1"/>
  <c r="AI1014"/>
  <c r="AI1024" s="1"/>
  <c r="AE1072"/>
  <c r="AE1071" s="1"/>
  <c r="AE1081" s="1"/>
  <c r="AE1014"/>
  <c r="AE1024" s="1"/>
  <c r="AA1072"/>
  <c r="AA1071" s="1"/>
  <c r="AA1081" s="1"/>
  <c r="AA1014"/>
  <c r="AA1024" s="1"/>
  <c r="W1072"/>
  <c r="W1071" s="1"/>
  <c r="W1081" s="1"/>
  <c r="W1014"/>
  <c r="W1024" s="1"/>
  <c r="G1072"/>
  <c r="C1072"/>
  <c r="C1014"/>
  <c r="C1024" s="1"/>
  <c r="AH1067"/>
  <c r="AH1066" s="1"/>
  <c r="AH1009"/>
  <c r="AD1067"/>
  <c r="AD1066" s="1"/>
  <c r="AD1009"/>
  <c r="Z1067"/>
  <c r="Z1066" s="1"/>
  <c r="Z1009"/>
  <c r="G1058"/>
  <c r="H1001"/>
  <c r="F1057"/>
  <c r="AI1000"/>
  <c r="C1047"/>
  <c r="B1047" s="1"/>
  <c r="J9" s="1"/>
  <c r="B990"/>
  <c r="BG1045"/>
  <c r="BG987"/>
  <c r="BG1044" s="1"/>
  <c r="BC1045"/>
  <c r="BC987"/>
  <c r="BC1044" s="1"/>
  <c r="AY1045"/>
  <c r="AY987"/>
  <c r="AY1044" s="1"/>
  <c r="AU1045"/>
  <c r="AU987"/>
  <c r="AU1044" s="1"/>
  <c r="AQ1045"/>
  <c r="AQ987"/>
  <c r="AQ1044" s="1"/>
  <c r="AM1045"/>
  <c r="AM987"/>
  <c r="AM1044" s="1"/>
  <c r="AI1045"/>
  <c r="AI987"/>
  <c r="AI1044" s="1"/>
  <c r="AE1045"/>
  <c r="AE987"/>
  <c r="AE1044" s="1"/>
  <c r="AA1045"/>
  <c r="AA987"/>
  <c r="AA1044" s="1"/>
  <c r="W1045"/>
  <c r="W987"/>
  <c r="W1044" s="1"/>
  <c r="S1045"/>
  <c r="S987"/>
  <c r="S1044" s="1"/>
  <c r="O1045"/>
  <c r="O987"/>
  <c r="O1044" s="1"/>
  <c r="K1045"/>
  <c r="K987"/>
  <c r="K1044" s="1"/>
  <c r="G1045"/>
  <c r="G987"/>
  <c r="G1044" s="1"/>
  <c r="C1045"/>
  <c r="B988"/>
  <c r="C987"/>
  <c r="C1044" s="1"/>
  <c r="BG1043"/>
  <c r="BG1042" s="1"/>
  <c r="BG985"/>
  <c r="BC1043"/>
  <c r="BC1042" s="1"/>
  <c r="BC985"/>
  <c r="AY1043"/>
  <c r="AY1042" s="1"/>
  <c r="AY985"/>
  <c r="AU1043"/>
  <c r="AU1042" s="1"/>
  <c r="AU985"/>
  <c r="AQ1043"/>
  <c r="AQ1042" s="1"/>
  <c r="AQ985"/>
  <c r="AM1043"/>
  <c r="AM1042" s="1"/>
  <c r="AM985"/>
  <c r="AI1043"/>
  <c r="AI1042" s="1"/>
  <c r="AE1043"/>
  <c r="AA1043"/>
  <c r="AA1042" s="1"/>
  <c r="W1043"/>
  <c r="S1043"/>
  <c r="S1042" s="1"/>
  <c r="O1043"/>
  <c r="K1043"/>
  <c r="K1042" s="1"/>
  <c r="G1043"/>
  <c r="C1043"/>
  <c r="B986"/>
  <c r="C985"/>
  <c r="BI1091"/>
  <c r="BI1080"/>
  <c r="BI1088"/>
  <c r="BH1082"/>
  <c r="BE1091"/>
  <c r="BE1080"/>
  <c r="BE1088"/>
  <c r="BD1082"/>
  <c r="BA1091"/>
  <c r="BA1080"/>
  <c r="BA1088"/>
  <c r="AZ1082"/>
  <c r="AW1091"/>
  <c r="AW1080"/>
  <c r="AW1088"/>
  <c r="AV1082"/>
  <c r="AS1091"/>
  <c r="AS1080"/>
  <c r="AS1088"/>
  <c r="AR1082"/>
  <c r="AO1091"/>
  <c r="AO1080"/>
  <c r="AO1088"/>
  <c r="AN1082"/>
  <c r="AK1091"/>
  <c r="AK1080"/>
  <c r="AK1088"/>
  <c r="AJ1082"/>
  <c r="AG1091"/>
  <c r="AG1080"/>
  <c r="AG1088"/>
  <c r="AF1082"/>
  <c r="AC1091"/>
  <c r="AC1080"/>
  <c r="AC1088"/>
  <c r="AB1082"/>
  <c r="Y1091"/>
  <c r="Y1080"/>
  <c r="Y1088"/>
  <c r="X1082"/>
  <c r="U1091"/>
  <c r="U1088"/>
  <c r="T1082"/>
  <c r="Q1091"/>
  <c r="Q1088"/>
  <c r="P1082"/>
  <c r="M1091"/>
  <c r="M1088"/>
  <c r="L1082"/>
  <c r="I1091"/>
  <c r="I1088"/>
  <c r="H1082"/>
  <c r="E1091"/>
  <c r="E1088"/>
  <c r="AH1072"/>
  <c r="AH1071" s="1"/>
  <c r="AH1081" s="1"/>
  <c r="AH1014"/>
  <c r="AH1024" s="1"/>
  <c r="AD1072"/>
  <c r="AD1071" s="1"/>
  <c r="AD1081" s="1"/>
  <c r="AD1014"/>
  <c r="AD1024" s="1"/>
  <c r="Z1072"/>
  <c r="Z1071" s="1"/>
  <c r="Z1081" s="1"/>
  <c r="Z1014"/>
  <c r="Z1024" s="1"/>
  <c r="AI1067"/>
  <c r="AI1066" s="1"/>
  <c r="AI1009"/>
  <c r="AE1067"/>
  <c r="AE1066" s="1"/>
  <c r="AE1009"/>
  <c r="AA1067"/>
  <c r="AA1066" s="1"/>
  <c r="AA1009"/>
  <c r="W1067"/>
  <c r="W1066" s="1"/>
  <c r="W1009"/>
  <c r="AJ1002"/>
  <c r="AJ1059" s="1"/>
  <c r="C999"/>
  <c r="C1023" s="1"/>
  <c r="C1059"/>
  <c r="G1057"/>
  <c r="H1000"/>
  <c r="E1054"/>
  <c r="F997"/>
  <c r="E994"/>
  <c r="G1052"/>
  <c r="B995"/>
  <c r="B991"/>
  <c r="C1048"/>
  <c r="B1048" s="1"/>
  <c r="J10" s="1"/>
  <c r="B989"/>
  <c r="C1046"/>
  <c r="B1046" s="1"/>
  <c r="J8" s="1"/>
  <c r="BH987"/>
  <c r="BH1044" s="1"/>
  <c r="BH1045"/>
  <c r="BD987"/>
  <c r="BD1044" s="1"/>
  <c r="BD1045"/>
  <c r="AZ987"/>
  <c r="AZ1044" s="1"/>
  <c r="AZ1045"/>
  <c r="AV987"/>
  <c r="AV1044" s="1"/>
  <c r="AV1045"/>
  <c r="AR987"/>
  <c r="AR1044" s="1"/>
  <c r="AR1045"/>
  <c r="AN987"/>
  <c r="AN1044" s="1"/>
  <c r="AN1045"/>
  <c r="AJ987"/>
  <c r="AJ1044" s="1"/>
  <c r="AJ1045"/>
  <c r="AF987"/>
  <c r="AF1044" s="1"/>
  <c r="AF1045"/>
  <c r="AB987"/>
  <c r="AB1044" s="1"/>
  <c r="AB1045"/>
  <c r="X987"/>
  <c r="X1044" s="1"/>
  <c r="X1045"/>
  <c r="T987"/>
  <c r="T1044" s="1"/>
  <c r="T1045"/>
  <c r="P987"/>
  <c r="P1044" s="1"/>
  <c r="P1045"/>
  <c r="L987"/>
  <c r="L1044" s="1"/>
  <c r="L1045"/>
  <c r="H987"/>
  <c r="H1044" s="1"/>
  <c r="H1045"/>
  <c r="D987"/>
  <c r="D1044" s="1"/>
  <c r="D1045"/>
  <c r="BH985"/>
  <c r="BH1043"/>
  <c r="BD985"/>
  <c r="BD1043"/>
  <c r="AZ985"/>
  <c r="AZ1043"/>
  <c r="AV985"/>
  <c r="AV1043"/>
  <c r="AR985"/>
  <c r="AR1043"/>
  <c r="AN985"/>
  <c r="AN1043"/>
  <c r="AJ985"/>
  <c r="AJ1043"/>
  <c r="AF985"/>
  <c r="AF1043"/>
  <c r="AB985"/>
  <c r="AB1043"/>
  <c r="X985"/>
  <c r="X1043"/>
  <c r="T985"/>
  <c r="T1043"/>
  <c r="P985"/>
  <c r="P1043"/>
  <c r="L985"/>
  <c r="L1043"/>
  <c r="H985"/>
  <c r="H1043"/>
  <c r="D985"/>
  <c r="D1043"/>
  <c r="AI1173"/>
  <c r="AI1172" s="1"/>
  <c r="AI1115"/>
  <c r="C959"/>
  <c r="C957"/>
  <c r="AJ956"/>
  <c r="AJ955" s="1"/>
  <c r="AJ965" s="1"/>
  <c r="AJ898"/>
  <c r="AJ908" s="1"/>
  <c r="AF956"/>
  <c r="AF955" s="1"/>
  <c r="AF965" s="1"/>
  <c r="AF898"/>
  <c r="AF908" s="1"/>
  <c r="AB956"/>
  <c r="AB955" s="1"/>
  <c r="AB965" s="1"/>
  <c r="AB898"/>
  <c r="AB908" s="1"/>
  <c r="X956"/>
  <c r="X955" s="1"/>
  <c r="X965" s="1"/>
  <c r="X898"/>
  <c r="X908" s="1"/>
  <c r="T956"/>
  <c r="T955" s="1"/>
  <c r="T965" s="1"/>
  <c r="T898"/>
  <c r="T908" s="1"/>
  <c r="D956"/>
  <c r="D955" s="1"/>
  <c r="D965" s="1"/>
  <c r="D898"/>
  <c r="D908" s="1"/>
  <c r="AG951"/>
  <c r="AG950" s="1"/>
  <c r="AG893"/>
  <c r="AC951"/>
  <c r="AC950" s="1"/>
  <c r="AC893"/>
  <c r="Y951"/>
  <c r="Y950" s="1"/>
  <c r="Y893"/>
  <c r="U951"/>
  <c r="U950" s="1"/>
  <c r="U893"/>
  <c r="E941"/>
  <c r="AJ884"/>
  <c r="C932"/>
  <c r="B932" s="1"/>
  <c r="I10" s="1"/>
  <c r="B875"/>
  <c r="C930"/>
  <c r="B930" s="1"/>
  <c r="I8" s="1"/>
  <c r="B873"/>
  <c r="BH929"/>
  <c r="BH871"/>
  <c r="BH928" s="1"/>
  <c r="BD929"/>
  <c r="BD871"/>
  <c r="BD928" s="1"/>
  <c r="AZ929"/>
  <c r="AZ871"/>
  <c r="AZ928" s="1"/>
  <c r="AV929"/>
  <c r="AV871"/>
  <c r="AV928" s="1"/>
  <c r="AR929"/>
  <c r="AR871"/>
  <c r="AR928" s="1"/>
  <c r="AN929"/>
  <c r="AN871"/>
  <c r="AN928" s="1"/>
  <c r="AJ929"/>
  <c r="AJ871"/>
  <c r="AJ928" s="1"/>
  <c r="AF929"/>
  <c r="AF871"/>
  <c r="AF928" s="1"/>
  <c r="AB929"/>
  <c r="AB871"/>
  <c r="AB928" s="1"/>
  <c r="X929"/>
  <c r="X871"/>
  <c r="X928" s="1"/>
  <c r="T929"/>
  <c r="T871"/>
  <c r="T928" s="1"/>
  <c r="P929"/>
  <c r="P871"/>
  <c r="P928" s="1"/>
  <c r="L929"/>
  <c r="L871"/>
  <c r="L928" s="1"/>
  <c r="H929"/>
  <c r="H871"/>
  <c r="H928" s="1"/>
  <c r="D929"/>
  <c r="D871"/>
  <c r="D928" s="1"/>
  <c r="BH927"/>
  <c r="BH869"/>
  <c r="BD927"/>
  <c r="BD869"/>
  <c r="AZ927"/>
  <c r="AZ869"/>
  <c r="AV927"/>
  <c r="AV869"/>
  <c r="AR927"/>
  <c r="AR869"/>
  <c r="AN927"/>
  <c r="AN869"/>
  <c r="AJ927"/>
  <c r="AJ869"/>
  <c r="AF927"/>
  <c r="AF869"/>
  <c r="AB927"/>
  <c r="AB869"/>
  <c r="X927"/>
  <c r="X869"/>
  <c r="T927"/>
  <c r="T869"/>
  <c r="P927"/>
  <c r="P869"/>
  <c r="L927"/>
  <c r="L869"/>
  <c r="H927"/>
  <c r="H869"/>
  <c r="D927"/>
  <c r="D869"/>
  <c r="C819"/>
  <c r="C842"/>
  <c r="AI840"/>
  <c r="AI839" s="1"/>
  <c r="AI849" s="1"/>
  <c r="AI782"/>
  <c r="AI792" s="1"/>
  <c r="AE840"/>
  <c r="AE839" s="1"/>
  <c r="AE849" s="1"/>
  <c r="AE782"/>
  <c r="AE792" s="1"/>
  <c r="AA840"/>
  <c r="AA839" s="1"/>
  <c r="AA849" s="1"/>
  <c r="AA782"/>
  <c r="AA792" s="1"/>
  <c r="W840"/>
  <c r="W839" s="1"/>
  <c r="W849" s="1"/>
  <c r="W782"/>
  <c r="W792" s="1"/>
  <c r="C840"/>
  <c r="AH835"/>
  <c r="AH834" s="1"/>
  <c r="AH777"/>
  <c r="AD835"/>
  <c r="AD834" s="1"/>
  <c r="AD777"/>
  <c r="Z835"/>
  <c r="Z834" s="1"/>
  <c r="Z777"/>
  <c r="V835"/>
  <c r="V834" s="1"/>
  <c r="V777"/>
  <c r="F825"/>
  <c r="AI768"/>
  <c r="C815"/>
  <c r="B815" s="1"/>
  <c r="H9" s="1"/>
  <c r="B758"/>
  <c r="BG813"/>
  <c r="BG755"/>
  <c r="BG812" s="1"/>
  <c r="BC813"/>
  <c r="BC755"/>
  <c r="BC812" s="1"/>
  <c r="AY813"/>
  <c r="AY755"/>
  <c r="AY812" s="1"/>
  <c r="AU813"/>
  <c r="AU755"/>
  <c r="AU812" s="1"/>
  <c r="AQ813"/>
  <c r="AQ755"/>
  <c r="AQ812" s="1"/>
  <c r="AM813"/>
  <c r="AM755"/>
  <c r="AM812" s="1"/>
  <c r="AI813"/>
  <c r="AI755"/>
  <c r="AI812" s="1"/>
  <c r="AE813"/>
  <c r="AE755"/>
  <c r="AE812" s="1"/>
  <c r="AA813"/>
  <c r="AA755"/>
  <c r="AA812" s="1"/>
  <c r="W813"/>
  <c r="W755"/>
  <c r="W812" s="1"/>
  <c r="S813"/>
  <c r="S755"/>
  <c r="S812" s="1"/>
  <c r="O813"/>
  <c r="O755"/>
  <c r="O812" s="1"/>
  <c r="K813"/>
  <c r="K755"/>
  <c r="K812" s="1"/>
  <c r="G813"/>
  <c r="G755"/>
  <c r="G812" s="1"/>
  <c r="C813"/>
  <c r="B756"/>
  <c r="C755"/>
  <c r="C812" s="1"/>
  <c r="BG811"/>
  <c r="BG810" s="1"/>
  <c r="BC811"/>
  <c r="AY811"/>
  <c r="AY810" s="1"/>
  <c r="AU811"/>
  <c r="AQ811"/>
  <c r="AQ810" s="1"/>
  <c r="AM811"/>
  <c r="AI811"/>
  <c r="AI810" s="1"/>
  <c r="AE811"/>
  <c r="AA811"/>
  <c r="AA810" s="1"/>
  <c r="W811"/>
  <c r="S811"/>
  <c r="S810" s="1"/>
  <c r="O811"/>
  <c r="K811"/>
  <c r="K810" s="1"/>
  <c r="G811"/>
  <c r="C811"/>
  <c r="B754"/>
  <c r="C753"/>
  <c r="BH975"/>
  <c r="BH964"/>
  <c r="BH972"/>
  <c r="BG966"/>
  <c r="BH966"/>
  <c r="BD975"/>
  <c r="BD964"/>
  <c r="BD972"/>
  <c r="BC966"/>
  <c r="BD966"/>
  <c r="AZ975"/>
  <c r="AZ964"/>
  <c r="AZ972"/>
  <c r="AY966"/>
  <c r="AZ966"/>
  <c r="AV975"/>
  <c r="AV964"/>
  <c r="AV972"/>
  <c r="AU966"/>
  <c r="AV966"/>
  <c r="AR975"/>
  <c r="AR964"/>
  <c r="AR972"/>
  <c r="AQ966"/>
  <c r="AR966"/>
  <c r="AN975"/>
  <c r="AN964"/>
  <c r="AN972"/>
  <c r="AM966"/>
  <c r="AN966"/>
  <c r="AJ975"/>
  <c r="AJ964"/>
  <c r="AJ972"/>
  <c r="AI966"/>
  <c r="AJ966"/>
  <c r="AF975"/>
  <c r="AF964"/>
  <c r="AF972"/>
  <c r="AE966"/>
  <c r="AF966"/>
  <c r="AB975"/>
  <c r="AB964"/>
  <c r="AB972"/>
  <c r="AA966"/>
  <c r="AB966"/>
  <c r="X975"/>
  <c r="X964"/>
  <c r="X972"/>
  <c r="W966"/>
  <c r="X966"/>
  <c r="T975"/>
  <c r="T964"/>
  <c r="T972"/>
  <c r="S966"/>
  <c r="T966"/>
  <c r="P975"/>
  <c r="P972"/>
  <c r="O966"/>
  <c r="P966"/>
  <c r="L975"/>
  <c r="L972"/>
  <c r="K966"/>
  <c r="L966"/>
  <c r="H975"/>
  <c r="H972"/>
  <c r="H966"/>
  <c r="D975"/>
  <c r="D972"/>
  <c r="B924"/>
  <c r="AG956"/>
  <c r="AG955" s="1"/>
  <c r="AG965" s="1"/>
  <c r="AG898"/>
  <c r="AG908" s="1"/>
  <c r="AC956"/>
  <c r="AC955" s="1"/>
  <c r="AC965" s="1"/>
  <c r="AC898"/>
  <c r="AC908" s="1"/>
  <c r="Y956"/>
  <c r="Y955" s="1"/>
  <c r="Y965" s="1"/>
  <c r="Y898"/>
  <c r="Y908" s="1"/>
  <c r="U956"/>
  <c r="U955" s="1"/>
  <c r="U965" s="1"/>
  <c r="U898"/>
  <c r="U908" s="1"/>
  <c r="AJ951"/>
  <c r="AJ950" s="1"/>
  <c r="AJ893"/>
  <c r="AF951"/>
  <c r="AF950" s="1"/>
  <c r="AF893"/>
  <c r="AB951"/>
  <c r="AB950" s="1"/>
  <c r="AB893"/>
  <c r="X951"/>
  <c r="X950" s="1"/>
  <c r="X893"/>
  <c r="T951"/>
  <c r="T950" s="1"/>
  <c r="T893"/>
  <c r="H887"/>
  <c r="G944"/>
  <c r="C944"/>
  <c r="AI886"/>
  <c r="AI943" s="1"/>
  <c r="D883"/>
  <c r="D943"/>
  <c r="D940" s="1"/>
  <c r="AJ885"/>
  <c r="AJ942" s="1"/>
  <c r="E942"/>
  <c r="BI871"/>
  <c r="BI928" s="1"/>
  <c r="BI929"/>
  <c r="BE871"/>
  <c r="BE928" s="1"/>
  <c r="BE929"/>
  <c r="BA871"/>
  <c r="BA928" s="1"/>
  <c r="BA929"/>
  <c r="AW871"/>
  <c r="AW928" s="1"/>
  <c r="AW929"/>
  <c r="AS871"/>
  <c r="AS928" s="1"/>
  <c r="AS929"/>
  <c r="AO871"/>
  <c r="AO928" s="1"/>
  <c r="AO929"/>
  <c r="AK871"/>
  <c r="AK928" s="1"/>
  <c r="AK929"/>
  <c r="AG871"/>
  <c r="AG928" s="1"/>
  <c r="AG929"/>
  <c r="AC871"/>
  <c r="AC928" s="1"/>
  <c r="AC929"/>
  <c r="Y871"/>
  <c r="Y928" s="1"/>
  <c r="Y929"/>
  <c r="U871"/>
  <c r="U928" s="1"/>
  <c r="U929"/>
  <c r="Q871"/>
  <c r="Q928" s="1"/>
  <c r="Q929"/>
  <c r="M871"/>
  <c r="M928" s="1"/>
  <c r="M929"/>
  <c r="I871"/>
  <c r="I928" s="1"/>
  <c r="I929"/>
  <c r="E871"/>
  <c r="E928" s="1"/>
  <c r="E929"/>
  <c r="BI869"/>
  <c r="BI927"/>
  <c r="BE869"/>
  <c r="BE927"/>
  <c r="BA869"/>
  <c r="BA927"/>
  <c r="AW869"/>
  <c r="AW927"/>
  <c r="AS869"/>
  <c r="AS927"/>
  <c r="AO869"/>
  <c r="AO927"/>
  <c r="AK869"/>
  <c r="AK927"/>
  <c r="AG869"/>
  <c r="AG927"/>
  <c r="AC869"/>
  <c r="AC927"/>
  <c r="Y869"/>
  <c r="Y927"/>
  <c r="U869"/>
  <c r="U927"/>
  <c r="Q869"/>
  <c r="Q927"/>
  <c r="M869"/>
  <c r="M927"/>
  <c r="I869"/>
  <c r="I927"/>
  <c r="E869"/>
  <c r="E927"/>
  <c r="C824"/>
  <c r="BG859"/>
  <c r="BG848"/>
  <c r="BG856"/>
  <c r="BF850"/>
  <c r="BG850"/>
  <c r="BC859"/>
  <c r="BC848"/>
  <c r="BC856"/>
  <c r="BB850"/>
  <c r="BC850"/>
  <c r="AY859"/>
  <c r="AY848"/>
  <c r="AY856"/>
  <c r="AX850"/>
  <c r="AY850"/>
  <c r="AU859"/>
  <c r="AU848"/>
  <c r="AU856"/>
  <c r="AT850"/>
  <c r="AU850"/>
  <c r="AQ859"/>
  <c r="AQ848"/>
  <c r="AQ856"/>
  <c r="AP850"/>
  <c r="AQ850"/>
  <c r="AM859"/>
  <c r="AM848"/>
  <c r="AM856"/>
  <c r="AL850"/>
  <c r="AM850"/>
  <c r="AI859"/>
  <c r="AI848"/>
  <c r="AI856"/>
  <c r="AH850"/>
  <c r="AI850"/>
  <c r="AE859"/>
  <c r="AE848"/>
  <c r="AE856"/>
  <c r="AD850"/>
  <c r="AE850"/>
  <c r="AA859"/>
  <c r="AA848"/>
  <c r="AA856"/>
  <c r="Z850"/>
  <c r="AA850"/>
  <c r="W859"/>
  <c r="W848"/>
  <c r="W856"/>
  <c r="V850"/>
  <c r="W850"/>
  <c r="S859"/>
  <c r="S856"/>
  <c r="R850"/>
  <c r="S850"/>
  <c r="O859"/>
  <c r="O856"/>
  <c r="N850"/>
  <c r="O850"/>
  <c r="K859"/>
  <c r="K856"/>
  <c r="J850"/>
  <c r="K850"/>
  <c r="G859"/>
  <c r="G856"/>
  <c r="C859"/>
  <c r="B808"/>
  <c r="C856"/>
  <c r="C841"/>
  <c r="AJ840"/>
  <c r="AJ839" s="1"/>
  <c r="AJ849" s="1"/>
  <c r="AJ782"/>
  <c r="AJ792" s="1"/>
  <c r="AF840"/>
  <c r="AF839" s="1"/>
  <c r="AF849" s="1"/>
  <c r="AF782"/>
  <c r="AF792" s="1"/>
  <c r="AB840"/>
  <c r="AB839" s="1"/>
  <c r="AB849" s="1"/>
  <c r="AB782"/>
  <c r="AB792" s="1"/>
  <c r="X840"/>
  <c r="X839" s="1"/>
  <c r="X849" s="1"/>
  <c r="X782"/>
  <c r="X792" s="1"/>
  <c r="D840"/>
  <c r="AG835"/>
  <c r="AG834" s="1"/>
  <c r="AG777"/>
  <c r="AC835"/>
  <c r="AC834" s="1"/>
  <c r="AC777"/>
  <c r="Y835"/>
  <c r="Y834" s="1"/>
  <c r="Y777"/>
  <c r="AJ768"/>
  <c r="E825"/>
  <c r="B759"/>
  <c r="C816"/>
  <c r="B816" s="1"/>
  <c r="H10" s="1"/>
  <c r="B757"/>
  <c r="C814"/>
  <c r="B814" s="1"/>
  <c r="H8" s="1"/>
  <c r="BH755"/>
  <c r="BH812" s="1"/>
  <c r="BH813"/>
  <c r="BD755"/>
  <c r="BD812" s="1"/>
  <c r="BD813"/>
  <c r="AZ755"/>
  <c r="AZ812" s="1"/>
  <c r="AZ813"/>
  <c r="AV755"/>
  <c r="AV812" s="1"/>
  <c r="AV813"/>
  <c r="AR755"/>
  <c r="AR812" s="1"/>
  <c r="AR813"/>
  <c r="AN755"/>
  <c r="AN812" s="1"/>
  <c r="AN813"/>
  <c r="AJ755"/>
  <c r="AJ812" s="1"/>
  <c r="AJ813"/>
  <c r="AF755"/>
  <c r="AF812" s="1"/>
  <c r="AF813"/>
  <c r="AB755"/>
  <c r="AB812" s="1"/>
  <c r="AB813"/>
  <c r="X755"/>
  <c r="X812" s="1"/>
  <c r="X813"/>
  <c r="T755"/>
  <c r="T812" s="1"/>
  <c r="T813"/>
  <c r="P755"/>
  <c r="P812" s="1"/>
  <c r="P813"/>
  <c r="L755"/>
  <c r="L812" s="1"/>
  <c r="L813"/>
  <c r="H755"/>
  <c r="H812" s="1"/>
  <c r="H813"/>
  <c r="D755"/>
  <c r="D812" s="1"/>
  <c r="D813"/>
  <c r="BH753"/>
  <c r="BH811"/>
  <c r="BD753"/>
  <c r="BD811"/>
  <c r="AZ753"/>
  <c r="AZ811"/>
  <c r="AV753"/>
  <c r="AV811"/>
  <c r="AR753"/>
  <c r="AR811"/>
  <c r="AN753"/>
  <c r="AN811"/>
  <c r="AJ753"/>
  <c r="AJ811"/>
  <c r="AF753"/>
  <c r="AF811"/>
  <c r="AB753"/>
  <c r="AB811"/>
  <c r="X753"/>
  <c r="X811"/>
  <c r="T753"/>
  <c r="T811"/>
  <c r="P753"/>
  <c r="P811"/>
  <c r="L753"/>
  <c r="L811"/>
  <c r="H753"/>
  <c r="H811"/>
  <c r="D753"/>
  <c r="D811"/>
  <c r="D810" s="1"/>
  <c r="AH725"/>
  <c r="AH666"/>
  <c r="AH676" s="1"/>
  <c r="AD725"/>
  <c r="AD723" s="1"/>
  <c r="AD733" s="1"/>
  <c r="AD666"/>
  <c r="AD676" s="1"/>
  <c r="Z725"/>
  <c r="Z666"/>
  <c r="Z676" s="1"/>
  <c r="AH661"/>
  <c r="AH719"/>
  <c r="AH718" s="1"/>
  <c r="AD661"/>
  <c r="AD719"/>
  <c r="AD718" s="1"/>
  <c r="Z661"/>
  <c r="Z719"/>
  <c r="Z718" s="1"/>
  <c r="BH698"/>
  <c r="BH639"/>
  <c r="AZ698"/>
  <c r="AZ639"/>
  <c r="AR698"/>
  <c r="AR639"/>
  <c r="AJ698"/>
  <c r="AJ639"/>
  <c r="AB698"/>
  <c r="AB639"/>
  <c r="T698"/>
  <c r="T639"/>
  <c r="L698"/>
  <c r="L639"/>
  <c r="D698"/>
  <c r="B698" s="1"/>
  <c r="G8" s="1"/>
  <c r="D639"/>
  <c r="BE740"/>
  <c r="BE743"/>
  <c r="BE732"/>
  <c r="BD734"/>
  <c r="AW743"/>
  <c r="AW732"/>
  <c r="AW740"/>
  <c r="AV734"/>
  <c r="AW734"/>
  <c r="AO743"/>
  <c r="AO732"/>
  <c r="AO740"/>
  <c r="AN734"/>
  <c r="AO734"/>
  <c r="AG743"/>
  <c r="AG732"/>
  <c r="AG740"/>
  <c r="AF734"/>
  <c r="AG734"/>
  <c r="Y743"/>
  <c r="Y732"/>
  <c r="Y740"/>
  <c r="X734"/>
  <c r="Y734"/>
  <c r="Q743"/>
  <c r="Q740"/>
  <c r="P734"/>
  <c r="Q734"/>
  <c r="I743"/>
  <c r="I740"/>
  <c r="H734"/>
  <c r="I734"/>
  <c r="B692"/>
  <c r="C727"/>
  <c r="AJ654"/>
  <c r="AJ711" s="1"/>
  <c r="C651"/>
  <c r="C675" s="1"/>
  <c r="C711"/>
  <c r="B643"/>
  <c r="C700"/>
  <c r="B700" s="1"/>
  <c r="G10" s="1"/>
  <c r="C606"/>
  <c r="C471"/>
  <c r="AJ493"/>
  <c r="AJ434"/>
  <c r="AJ444" s="1"/>
  <c r="AF493"/>
  <c r="AF434"/>
  <c r="AF444" s="1"/>
  <c r="AB493"/>
  <c r="AB434"/>
  <c r="AB444" s="1"/>
  <c r="AJ487"/>
  <c r="AJ486" s="1"/>
  <c r="AJ429"/>
  <c r="AF487"/>
  <c r="AF486" s="1"/>
  <c r="AF429"/>
  <c r="AB487"/>
  <c r="AB486" s="1"/>
  <c r="AB429"/>
  <c r="C379"/>
  <c r="AI377"/>
  <c r="AI318"/>
  <c r="AI328" s="1"/>
  <c r="AE377"/>
  <c r="AE318"/>
  <c r="AE328" s="1"/>
  <c r="AA377"/>
  <c r="AA318"/>
  <c r="AA328" s="1"/>
  <c r="C377"/>
  <c r="D364"/>
  <c r="D312"/>
  <c r="D322"/>
  <c r="D379" s="1"/>
  <c r="C363"/>
  <c r="C321"/>
  <c r="C303"/>
  <c r="C327" s="1"/>
  <c r="AJ306"/>
  <c r="AJ363" s="1"/>
  <c r="BI350"/>
  <c r="BI291"/>
  <c r="BE350"/>
  <c r="BE291"/>
  <c r="BA350"/>
  <c r="BA291"/>
  <c r="AW350"/>
  <c r="AW291"/>
  <c r="AS350"/>
  <c r="AS291"/>
  <c r="AO350"/>
  <c r="AO291"/>
  <c r="AK350"/>
  <c r="AK291"/>
  <c r="AG350"/>
  <c r="AG291"/>
  <c r="AC350"/>
  <c r="AC291"/>
  <c r="Y350"/>
  <c r="Y291"/>
  <c r="U350"/>
  <c r="U291"/>
  <c r="Q350"/>
  <c r="Q291"/>
  <c r="M350"/>
  <c r="M291"/>
  <c r="I350"/>
  <c r="I291"/>
  <c r="E350"/>
  <c r="E291"/>
  <c r="E710"/>
  <c r="AJ653"/>
  <c r="AJ710" s="1"/>
  <c r="E668"/>
  <c r="E725" s="1"/>
  <c r="F704"/>
  <c r="G647"/>
  <c r="F652"/>
  <c r="B647"/>
  <c r="BI697"/>
  <c r="BI639"/>
  <c r="BI696" s="1"/>
  <c r="BG695"/>
  <c r="BE697"/>
  <c r="BE639"/>
  <c r="BE696" s="1"/>
  <c r="BC695"/>
  <c r="BA697"/>
  <c r="BA639"/>
  <c r="BA696" s="1"/>
  <c r="AY695"/>
  <c r="AW697"/>
  <c r="AW639"/>
  <c r="AW696" s="1"/>
  <c r="AU695"/>
  <c r="AS697"/>
  <c r="AS639"/>
  <c r="AS696" s="1"/>
  <c r="AQ695"/>
  <c r="AO697"/>
  <c r="AO639"/>
  <c r="AO696" s="1"/>
  <c r="AM695"/>
  <c r="AK697"/>
  <c r="AK639"/>
  <c r="AK696" s="1"/>
  <c r="AI695"/>
  <c r="AG697"/>
  <c r="AG639"/>
  <c r="AG696" s="1"/>
  <c r="AG720"/>
  <c r="AG661"/>
  <c r="AG724"/>
  <c r="AG723" s="1"/>
  <c r="AG733" s="1"/>
  <c r="AG666"/>
  <c r="AG676" s="1"/>
  <c r="AE695"/>
  <c r="AC697"/>
  <c r="AC639"/>
  <c r="AC696" s="1"/>
  <c r="AC720"/>
  <c r="AC718" s="1"/>
  <c r="AC661"/>
  <c r="AC724"/>
  <c r="AC723" s="1"/>
  <c r="AC733" s="1"/>
  <c r="AC666"/>
  <c r="AC676" s="1"/>
  <c r="AA695"/>
  <c r="Y697"/>
  <c r="Y639"/>
  <c r="Y696" s="1"/>
  <c r="Y720"/>
  <c r="Y661"/>
  <c r="Y724"/>
  <c r="Y723" s="1"/>
  <c r="Y733" s="1"/>
  <c r="Y666"/>
  <c r="Y676" s="1"/>
  <c r="W695"/>
  <c r="U697"/>
  <c r="U639"/>
  <c r="U696" s="1"/>
  <c r="S695"/>
  <c r="M697"/>
  <c r="M639"/>
  <c r="M696" s="1"/>
  <c r="K695"/>
  <c r="E697"/>
  <c r="E639"/>
  <c r="E696" s="1"/>
  <c r="C697"/>
  <c r="B640"/>
  <c r="C639"/>
  <c r="C696" s="1"/>
  <c r="BI624"/>
  <c r="BH618"/>
  <c r="BI627"/>
  <c r="BI616"/>
  <c r="BE624"/>
  <c r="BD618"/>
  <c r="BE627"/>
  <c r="BE616"/>
  <c r="BA624"/>
  <c r="AZ618"/>
  <c r="BA627"/>
  <c r="BA616"/>
  <c r="AW624"/>
  <c r="AV618"/>
  <c r="AW627"/>
  <c r="AW616"/>
  <c r="AS624"/>
  <c r="AR618"/>
  <c r="AS627"/>
  <c r="AS616"/>
  <c r="AO624"/>
  <c r="AN618"/>
  <c r="AO627"/>
  <c r="AO616"/>
  <c r="AK624"/>
  <c r="AJ618"/>
  <c r="AK627"/>
  <c r="AK616"/>
  <c r="AG603"/>
  <c r="AG602" s="1"/>
  <c r="AG545"/>
  <c r="AG609"/>
  <c r="AG550"/>
  <c r="AG560" s="1"/>
  <c r="AG624"/>
  <c r="AF618"/>
  <c r="AG627"/>
  <c r="AG616"/>
  <c r="AC603"/>
  <c r="AC602" s="1"/>
  <c r="AC545"/>
  <c r="AC609"/>
  <c r="AC550"/>
  <c r="AC560" s="1"/>
  <c r="AC624"/>
  <c r="AB618"/>
  <c r="AC627"/>
  <c r="AC616"/>
  <c r="Y603"/>
  <c r="Y602" s="1"/>
  <c r="Y545"/>
  <c r="Y609"/>
  <c r="Y550"/>
  <c r="Y560" s="1"/>
  <c r="Y624"/>
  <c r="X618"/>
  <c r="Y627"/>
  <c r="Y616"/>
  <c r="U624"/>
  <c r="T618"/>
  <c r="U627"/>
  <c r="Q624"/>
  <c r="P618"/>
  <c r="Q627"/>
  <c r="M624"/>
  <c r="L618"/>
  <c r="M627"/>
  <c r="I624"/>
  <c r="H618"/>
  <c r="I627"/>
  <c r="C609"/>
  <c r="G596"/>
  <c r="H539"/>
  <c r="BC511"/>
  <c r="BC500"/>
  <c r="BC508"/>
  <c r="BB502"/>
  <c r="BC502"/>
  <c r="AU511"/>
  <c r="AU500"/>
  <c r="AU508"/>
  <c r="AT502"/>
  <c r="AU502"/>
  <c r="AM511"/>
  <c r="AM500"/>
  <c r="AM508"/>
  <c r="AL502"/>
  <c r="AM502"/>
  <c r="AE511"/>
  <c r="AE500"/>
  <c r="AE508"/>
  <c r="AD502"/>
  <c r="AE502"/>
  <c r="W511"/>
  <c r="W508"/>
  <c r="V502"/>
  <c r="W502"/>
  <c r="O511"/>
  <c r="O508"/>
  <c r="N502"/>
  <c r="O502"/>
  <c r="G511"/>
  <c r="G508"/>
  <c r="F480"/>
  <c r="F438"/>
  <c r="F495" s="1"/>
  <c r="BD464"/>
  <c r="BD405"/>
  <c r="AN464"/>
  <c r="AN405"/>
  <c r="X464"/>
  <c r="X405"/>
  <c r="H464"/>
  <c r="H405"/>
  <c r="AI1130"/>
  <c r="AI1140" s="1"/>
  <c r="AE1130"/>
  <c r="AE1140" s="1"/>
  <c r="AA1130"/>
  <c r="AA1140" s="1"/>
  <c r="C1130"/>
  <c r="C1140" s="1"/>
  <c r="B1163"/>
  <c r="K9" s="1"/>
  <c r="D1133"/>
  <c r="D1190" s="1"/>
  <c r="B1169"/>
  <c r="K15" s="1"/>
  <c r="D1172"/>
  <c r="B1161"/>
  <c r="B1171"/>
  <c r="K17" s="1"/>
  <c r="E1167"/>
  <c r="E1198" s="1"/>
  <c r="BC1103"/>
  <c r="AU1103"/>
  <c r="AM1103"/>
  <c r="AE1103"/>
  <c r="W1103"/>
  <c r="O1103"/>
  <c r="G1103"/>
  <c r="AG1187"/>
  <c r="AG1197" s="1"/>
  <c r="AC1187"/>
  <c r="AC1197" s="1"/>
  <c r="Y1187"/>
  <c r="Y1197" s="1"/>
  <c r="B1104"/>
  <c r="B1103" s="1"/>
  <c r="BG1198"/>
  <c r="AY1198"/>
  <c r="AQ1198"/>
  <c r="AI1198"/>
  <c r="AA1198"/>
  <c r="S1198"/>
  <c r="K1198"/>
  <c r="D1056"/>
  <c r="E1018"/>
  <c r="E1075" s="1"/>
  <c r="E1016"/>
  <c r="E1073" s="1"/>
  <c r="F1015"/>
  <c r="D935"/>
  <c r="D966" s="1"/>
  <c r="B915"/>
  <c r="D824"/>
  <c r="B939"/>
  <c r="I17" s="1"/>
  <c r="B918"/>
  <c r="E899"/>
  <c r="C892"/>
  <c r="B799"/>
  <c r="G786"/>
  <c r="G843" s="1"/>
  <c r="C786"/>
  <c r="D785"/>
  <c r="D842" s="1"/>
  <c r="F769"/>
  <c r="F885"/>
  <c r="B641"/>
  <c r="AV639"/>
  <c r="AF639"/>
  <c r="P639"/>
  <c r="AF723"/>
  <c r="AF733" s="1"/>
  <c r="X723"/>
  <c r="X733" s="1"/>
  <c r="AG718"/>
  <c r="Y718"/>
  <c r="B701"/>
  <c r="BJ639"/>
  <c r="AT639"/>
  <c r="AD639"/>
  <c r="B570"/>
  <c r="AH723"/>
  <c r="AH733" s="1"/>
  <c r="Z723"/>
  <c r="Z733" s="1"/>
  <c r="C665"/>
  <c r="C669"/>
  <c r="B567"/>
  <c r="D395"/>
  <c r="D392"/>
  <c r="B344"/>
  <c r="AD371"/>
  <c r="AD370" s="1"/>
  <c r="AD313"/>
  <c r="AI304"/>
  <c r="F361"/>
  <c r="BC279"/>
  <c r="BC268"/>
  <c r="BC276"/>
  <c r="BB270"/>
  <c r="AU279"/>
  <c r="AU268"/>
  <c r="AU276"/>
  <c r="AT270"/>
  <c r="AM279"/>
  <c r="AM268"/>
  <c r="AM276"/>
  <c r="AL270"/>
  <c r="AE279"/>
  <c r="AE268"/>
  <c r="AE276"/>
  <c r="AD270"/>
  <c r="W279"/>
  <c r="W268"/>
  <c r="W276"/>
  <c r="O279"/>
  <c r="O276"/>
  <c r="N270"/>
  <c r="G279"/>
  <c r="G276"/>
  <c r="C262"/>
  <c r="AI260"/>
  <c r="AI259" s="1"/>
  <c r="AI269" s="1"/>
  <c r="AI202"/>
  <c r="AI212" s="1"/>
  <c r="AE260"/>
  <c r="AE259" s="1"/>
  <c r="AE269" s="1"/>
  <c r="AE202"/>
  <c r="AE212" s="1"/>
  <c r="AA260"/>
  <c r="AA259" s="1"/>
  <c r="AA269" s="1"/>
  <c r="AA202"/>
  <c r="AA212" s="1"/>
  <c r="W260"/>
  <c r="W259" s="1"/>
  <c r="W269" s="1"/>
  <c r="W202"/>
  <c r="W212" s="1"/>
  <c r="C260"/>
  <c r="AH255"/>
  <c r="AH254" s="1"/>
  <c r="AH197"/>
  <c r="AD255"/>
  <c r="AD254" s="1"/>
  <c r="AD197"/>
  <c r="Z255"/>
  <c r="Z254" s="1"/>
  <c r="Z197"/>
  <c r="F245"/>
  <c r="AI188"/>
  <c r="D182"/>
  <c r="D242"/>
  <c r="D239" s="1"/>
  <c r="E185"/>
  <c r="E190" s="1"/>
  <c r="E187" s="1"/>
  <c r="F241"/>
  <c r="G184"/>
  <c r="F189"/>
  <c r="F240"/>
  <c r="G183"/>
  <c r="C235"/>
  <c r="B235" s="1"/>
  <c r="C9" s="1"/>
  <c r="B178"/>
  <c r="BH234"/>
  <c r="BH175"/>
  <c r="AZ234"/>
  <c r="AZ175"/>
  <c r="AR234"/>
  <c r="AR175"/>
  <c r="AJ234"/>
  <c r="AJ175"/>
  <c r="AB234"/>
  <c r="AB175"/>
  <c r="T234"/>
  <c r="T175"/>
  <c r="L234"/>
  <c r="L175"/>
  <c r="D234"/>
  <c r="D175"/>
  <c r="BG233"/>
  <c r="BG175"/>
  <c r="BG232" s="1"/>
  <c r="BC233"/>
  <c r="BC175"/>
  <c r="BC232" s="1"/>
  <c r="AY233"/>
  <c r="AY175"/>
  <c r="AY232" s="1"/>
  <c r="AU233"/>
  <c r="AU175"/>
  <c r="AU232" s="1"/>
  <c r="AQ233"/>
  <c r="AQ175"/>
  <c r="AQ232" s="1"/>
  <c r="AM233"/>
  <c r="AM175"/>
  <c r="AM232" s="1"/>
  <c r="AI233"/>
  <c r="AI175"/>
  <c r="AI232" s="1"/>
  <c r="AE233"/>
  <c r="AE175"/>
  <c r="AE232" s="1"/>
  <c r="AA233"/>
  <c r="AA175"/>
  <c r="AA232" s="1"/>
  <c r="W233"/>
  <c r="W175"/>
  <c r="W232" s="1"/>
  <c r="S233"/>
  <c r="S175"/>
  <c r="S232" s="1"/>
  <c r="O233"/>
  <c r="O175"/>
  <c r="O232" s="1"/>
  <c r="K233"/>
  <c r="K175"/>
  <c r="K232" s="1"/>
  <c r="G233"/>
  <c r="G175"/>
  <c r="G232" s="1"/>
  <c r="C233"/>
  <c r="B176"/>
  <c r="C175"/>
  <c r="C232" s="1"/>
  <c r="BI231"/>
  <c r="BE231"/>
  <c r="BA231"/>
  <c r="AW231"/>
  <c r="AS231"/>
  <c r="AO231"/>
  <c r="AK231"/>
  <c r="AG231"/>
  <c r="AC231"/>
  <c r="Y231"/>
  <c r="U231"/>
  <c r="Q231"/>
  <c r="M231"/>
  <c r="I231"/>
  <c r="E231"/>
  <c r="AH144"/>
  <c r="AH143" s="1"/>
  <c r="AH153" s="1"/>
  <c r="AH86"/>
  <c r="AH96" s="1"/>
  <c r="AD144"/>
  <c r="AD143" s="1"/>
  <c r="AD153" s="1"/>
  <c r="AD86"/>
  <c r="AD96" s="1"/>
  <c r="Z144"/>
  <c r="Z143" s="1"/>
  <c r="Z153" s="1"/>
  <c r="Z86"/>
  <c r="Z96" s="1"/>
  <c r="AI139"/>
  <c r="AI138" s="1"/>
  <c r="AI81"/>
  <c r="AE139"/>
  <c r="AE138" s="1"/>
  <c r="AE81"/>
  <c r="AA139"/>
  <c r="AA138" s="1"/>
  <c r="AA81"/>
  <c r="D132"/>
  <c r="D80"/>
  <c r="D90"/>
  <c r="D147" s="1"/>
  <c r="C131"/>
  <c r="AJ74"/>
  <c r="AJ131" s="1"/>
  <c r="C71"/>
  <c r="C95" s="1"/>
  <c r="C89"/>
  <c r="G125"/>
  <c r="B68"/>
  <c r="BI118"/>
  <c r="BA118"/>
  <c r="AS118"/>
  <c r="AK118"/>
  <c r="AC118"/>
  <c r="U118"/>
  <c r="M118"/>
  <c r="E118"/>
  <c r="BJ117"/>
  <c r="BJ115"/>
  <c r="BF115"/>
  <c r="AX115"/>
  <c r="AP115"/>
  <c r="AH115"/>
  <c r="Z115"/>
  <c r="R115"/>
  <c r="J115"/>
  <c r="C480"/>
  <c r="C438"/>
  <c r="G480"/>
  <c r="H423"/>
  <c r="B300"/>
  <c r="E310" s="1"/>
  <c r="G357"/>
  <c r="G305"/>
  <c r="AJ627"/>
  <c r="AJ616"/>
  <c r="AJ624"/>
  <c r="AI618"/>
  <c r="T627"/>
  <c r="T624"/>
  <c r="S618"/>
  <c r="D627"/>
  <c r="D624"/>
  <c r="AD603"/>
  <c r="AD602" s="1"/>
  <c r="AD545"/>
  <c r="BI511"/>
  <c r="BI500"/>
  <c r="BI508"/>
  <c r="BH502"/>
  <c r="BA511"/>
  <c r="BA500"/>
  <c r="BA508"/>
  <c r="AZ502"/>
  <c r="AS511"/>
  <c r="AS500"/>
  <c r="AS508"/>
  <c r="AR502"/>
  <c r="AK511"/>
  <c r="AK500"/>
  <c r="AK508"/>
  <c r="AJ502"/>
  <c r="AC511"/>
  <c r="AC500"/>
  <c r="AC508"/>
  <c r="AB502"/>
  <c r="U511"/>
  <c r="U508"/>
  <c r="T502"/>
  <c r="M511"/>
  <c r="M508"/>
  <c r="L502"/>
  <c r="E511"/>
  <c r="E508"/>
  <c r="AI487"/>
  <c r="AI486" s="1"/>
  <c r="AI429"/>
  <c r="AA487"/>
  <c r="AA486" s="1"/>
  <c r="AA429"/>
  <c r="B411"/>
  <c r="C468"/>
  <c r="B468" s="1"/>
  <c r="E10" s="1"/>
  <c r="BE279"/>
  <c r="BE268"/>
  <c r="BE276"/>
  <c r="BD270"/>
  <c r="AW279"/>
  <c r="AW268"/>
  <c r="AW276"/>
  <c r="AV270"/>
  <c r="AO279"/>
  <c r="AO268"/>
  <c r="AO276"/>
  <c r="AN270"/>
  <c r="AG279"/>
  <c r="AG268"/>
  <c r="AG276"/>
  <c r="AF270"/>
  <c r="Y279"/>
  <c r="Y268"/>
  <c r="Y276"/>
  <c r="X270"/>
  <c r="Q279"/>
  <c r="Q276"/>
  <c r="P270"/>
  <c r="I279"/>
  <c r="I276"/>
  <c r="H270"/>
  <c r="AH260"/>
  <c r="AH259" s="1"/>
  <c r="AH269" s="1"/>
  <c r="AH202"/>
  <c r="AH212" s="1"/>
  <c r="AD260"/>
  <c r="AD259" s="1"/>
  <c r="AD269" s="1"/>
  <c r="AD202"/>
  <c r="AD212" s="1"/>
  <c r="Z260"/>
  <c r="Z259" s="1"/>
  <c r="Z269" s="1"/>
  <c r="Z202"/>
  <c r="Z212" s="1"/>
  <c r="AI255"/>
  <c r="AI254" s="1"/>
  <c r="AI197"/>
  <c r="AE255"/>
  <c r="AE254" s="1"/>
  <c r="AE197"/>
  <c r="AA255"/>
  <c r="AA254" s="1"/>
  <c r="AA197"/>
  <c r="W255"/>
  <c r="W254" s="1"/>
  <c r="W197"/>
  <c r="AJ190"/>
  <c r="AJ247" s="1"/>
  <c r="C187"/>
  <c r="C211" s="1"/>
  <c r="C247"/>
  <c r="BH163"/>
  <c r="BH152"/>
  <c r="BH160"/>
  <c r="BG154"/>
  <c r="BD163"/>
  <c r="BD152"/>
  <c r="BD160"/>
  <c r="BC154"/>
  <c r="AZ163"/>
  <c r="AZ152"/>
  <c r="AZ160"/>
  <c r="AY154"/>
  <c r="AV163"/>
  <c r="AV152"/>
  <c r="AV160"/>
  <c r="AU154"/>
  <c r="AR163"/>
  <c r="AR152"/>
  <c r="AR160"/>
  <c r="AQ154"/>
  <c r="AN163"/>
  <c r="AN152"/>
  <c r="AN160"/>
  <c r="AM154"/>
  <c r="AJ163"/>
  <c r="AJ152"/>
  <c r="AJ160"/>
  <c r="AI154"/>
  <c r="AF163"/>
  <c r="AF152"/>
  <c r="AF160"/>
  <c r="AE154"/>
  <c r="AB163"/>
  <c r="AB152"/>
  <c r="AB160"/>
  <c r="AA154"/>
  <c r="X163"/>
  <c r="X160"/>
  <c r="W154"/>
  <c r="T163"/>
  <c r="T160"/>
  <c r="S154"/>
  <c r="P163"/>
  <c r="P160"/>
  <c r="O154"/>
  <c r="L163"/>
  <c r="L160"/>
  <c r="K154"/>
  <c r="H163"/>
  <c r="H160"/>
  <c r="D163"/>
  <c r="D160"/>
  <c r="AG144"/>
  <c r="AG143" s="1"/>
  <c r="AG153" s="1"/>
  <c r="AG86"/>
  <c r="AG96" s="1"/>
  <c r="AC144"/>
  <c r="AC143" s="1"/>
  <c r="AC153" s="1"/>
  <c r="AC86"/>
  <c r="AC96" s="1"/>
  <c r="Y144"/>
  <c r="Y143" s="1"/>
  <c r="Y153" s="1"/>
  <c r="Y86"/>
  <c r="Y96" s="1"/>
  <c r="AJ139"/>
  <c r="AJ138" s="1"/>
  <c r="AJ81"/>
  <c r="AF139"/>
  <c r="AF138" s="1"/>
  <c r="AF81"/>
  <c r="AB139"/>
  <c r="AB138" s="1"/>
  <c r="AB81"/>
  <c r="BJ581"/>
  <c r="BJ523"/>
  <c r="BJ580" s="1"/>
  <c r="BH581"/>
  <c r="BH523"/>
  <c r="BH580" s="1"/>
  <c r="BF579"/>
  <c r="BF627"/>
  <c r="BF616"/>
  <c r="BF624"/>
  <c r="BE618"/>
  <c r="BD581"/>
  <c r="BD523"/>
  <c r="BD580" s="1"/>
  <c r="BB579"/>
  <c r="BB627"/>
  <c r="BB616"/>
  <c r="BB624"/>
  <c r="BA618"/>
  <c r="AZ581"/>
  <c r="AZ523"/>
  <c r="AZ580" s="1"/>
  <c r="AX579"/>
  <c r="AX627"/>
  <c r="AX616"/>
  <c r="AX624"/>
  <c r="AW618"/>
  <c r="AV581"/>
  <c r="AV523"/>
  <c r="AV580" s="1"/>
  <c r="AT579"/>
  <c r="AT627"/>
  <c r="AT616"/>
  <c r="AT624"/>
  <c r="AS618"/>
  <c r="AR581"/>
  <c r="AR523"/>
  <c r="AR580" s="1"/>
  <c r="AP579"/>
  <c r="AP627"/>
  <c r="AP616"/>
  <c r="AP624"/>
  <c r="AO618"/>
  <c r="AN581"/>
  <c r="AN523"/>
  <c r="AN580" s="1"/>
  <c r="AL581"/>
  <c r="AL523"/>
  <c r="AL580" s="1"/>
  <c r="AJ579"/>
  <c r="AJ608"/>
  <c r="AJ607" s="1"/>
  <c r="AJ617" s="1"/>
  <c r="AJ550"/>
  <c r="AJ560" s="1"/>
  <c r="AH579"/>
  <c r="AH627"/>
  <c r="AH616"/>
  <c r="AH624"/>
  <c r="AG618"/>
  <c r="AF581"/>
  <c r="AF523"/>
  <c r="AF580" s="1"/>
  <c r="AF603"/>
  <c r="AF602" s="1"/>
  <c r="AF545"/>
  <c r="AD581"/>
  <c r="AD523"/>
  <c r="AD580" s="1"/>
  <c r="AD608"/>
  <c r="AD607" s="1"/>
  <c r="AD617" s="1"/>
  <c r="AD550"/>
  <c r="AD560" s="1"/>
  <c r="AB579"/>
  <c r="AB608"/>
  <c r="AB607" s="1"/>
  <c r="AB617" s="1"/>
  <c r="AB550"/>
  <c r="AB560" s="1"/>
  <c r="Z579"/>
  <c r="Z627"/>
  <c r="Z616"/>
  <c r="Z624"/>
  <c r="Y618"/>
  <c r="X581"/>
  <c r="X523"/>
  <c r="X580" s="1"/>
  <c r="X603"/>
  <c r="X602" s="1"/>
  <c r="X545"/>
  <c r="R627"/>
  <c r="R624"/>
  <c r="Q618"/>
  <c r="J627"/>
  <c r="J624"/>
  <c r="I618"/>
  <c r="F581"/>
  <c r="F523"/>
  <c r="F580" s="1"/>
  <c r="B524"/>
  <c r="D579"/>
  <c r="B522"/>
  <c r="D479"/>
  <c r="D476" s="1"/>
  <c r="D437"/>
  <c r="D494" s="1"/>
  <c r="D491" s="1"/>
  <c r="D501" s="1"/>
  <c r="AI422"/>
  <c r="AI479" s="1"/>
  <c r="D419"/>
  <c r="G416"/>
  <c r="G473" s="1"/>
  <c r="F473"/>
  <c r="B416"/>
  <c r="E426" s="1"/>
  <c r="F477"/>
  <c r="F435"/>
  <c r="AI420"/>
  <c r="BI463"/>
  <c r="BG465"/>
  <c r="BG407"/>
  <c r="BG464" s="1"/>
  <c r="BE463"/>
  <c r="BC465"/>
  <c r="BC407"/>
  <c r="BC464" s="1"/>
  <c r="BA463"/>
  <c r="AY465"/>
  <c r="AY407"/>
  <c r="AY464" s="1"/>
  <c r="AW463"/>
  <c r="AU465"/>
  <c r="AU407"/>
  <c r="AU464" s="1"/>
  <c r="AS463"/>
  <c r="AQ465"/>
  <c r="AQ407"/>
  <c r="AQ464" s="1"/>
  <c r="AO463"/>
  <c r="AM465"/>
  <c r="AM407"/>
  <c r="AM464" s="1"/>
  <c r="AK463"/>
  <c r="AI465"/>
  <c r="AI407"/>
  <c r="AI464" s="1"/>
  <c r="AI434"/>
  <c r="AI444" s="1"/>
  <c r="AI492"/>
  <c r="AI491" s="1"/>
  <c r="AI501" s="1"/>
  <c r="AG463"/>
  <c r="AE465"/>
  <c r="AE407"/>
  <c r="AE464" s="1"/>
  <c r="AE434"/>
  <c r="AE444" s="1"/>
  <c r="AE492"/>
  <c r="AE491" s="1"/>
  <c r="AE501" s="1"/>
  <c r="AC463"/>
  <c r="AA465"/>
  <c r="AA407"/>
  <c r="AA464" s="1"/>
  <c r="AA434"/>
  <c r="AA444" s="1"/>
  <c r="AA492"/>
  <c r="AA491" s="1"/>
  <c r="AA501" s="1"/>
  <c r="Y463"/>
  <c r="W465"/>
  <c r="W407"/>
  <c r="W464" s="1"/>
  <c r="U463"/>
  <c r="O465"/>
  <c r="O407"/>
  <c r="O464" s="1"/>
  <c r="M463"/>
  <c r="G465"/>
  <c r="G407"/>
  <c r="G464" s="1"/>
  <c r="E463"/>
  <c r="C492"/>
  <c r="BJ347"/>
  <c r="BH347"/>
  <c r="BF349"/>
  <c r="BF291"/>
  <c r="BF348" s="1"/>
  <c r="BD347"/>
  <c r="BB349"/>
  <c r="BB291"/>
  <c r="BB348" s="1"/>
  <c r="AZ347"/>
  <c r="AX349"/>
  <c r="AX291"/>
  <c r="AX348" s="1"/>
  <c r="AV347"/>
  <c r="AT349"/>
  <c r="AT291"/>
  <c r="AT348" s="1"/>
  <c r="AR347"/>
  <c r="AP349"/>
  <c r="AP291"/>
  <c r="AP348" s="1"/>
  <c r="AN347"/>
  <c r="AL349"/>
  <c r="AL291"/>
  <c r="AL348" s="1"/>
  <c r="AJ347"/>
  <c r="AH349"/>
  <c r="AH291"/>
  <c r="AH348" s="1"/>
  <c r="AH376"/>
  <c r="AH375" s="1"/>
  <c r="AH385" s="1"/>
  <c r="AH318"/>
  <c r="AH328" s="1"/>
  <c r="AF347"/>
  <c r="AD349"/>
  <c r="AD291"/>
  <c r="AD348" s="1"/>
  <c r="AD376"/>
  <c r="AD375" s="1"/>
  <c r="AD385" s="1"/>
  <c r="AD318"/>
  <c r="AD328" s="1"/>
  <c r="AB347"/>
  <c r="Z349"/>
  <c r="Z291"/>
  <c r="Z348" s="1"/>
  <c r="Z376"/>
  <c r="Z375" s="1"/>
  <c r="Z385" s="1"/>
  <c r="Z318"/>
  <c r="Z328" s="1"/>
  <c r="X347"/>
  <c r="V349"/>
  <c r="V291"/>
  <c r="V348" s="1"/>
  <c r="T347"/>
  <c r="N349"/>
  <c r="N291"/>
  <c r="N348" s="1"/>
  <c r="L347"/>
  <c r="F349"/>
  <c r="F291"/>
  <c r="F348" s="1"/>
  <c r="B292"/>
  <c r="D347"/>
  <c r="B290"/>
  <c r="F237"/>
  <c r="G180"/>
  <c r="B180"/>
  <c r="AF491"/>
  <c r="AF501" s="1"/>
  <c r="AG318"/>
  <c r="AG328" s="1"/>
  <c r="AC318"/>
  <c r="AC328" s="1"/>
  <c r="Y318"/>
  <c r="Y328" s="1"/>
  <c r="B451"/>
  <c r="G438"/>
  <c r="G495" s="1"/>
  <c r="BC289"/>
  <c r="AM289"/>
  <c r="W289"/>
  <c r="B219"/>
  <c r="E206"/>
  <c r="E263" s="1"/>
  <c r="F203"/>
  <c r="B127"/>
  <c r="B17" s="1"/>
  <c r="B119"/>
  <c r="B9" s="1"/>
  <c r="B106"/>
  <c r="AH434"/>
  <c r="AH444" s="1"/>
  <c r="AD434"/>
  <c r="AD444" s="1"/>
  <c r="Z434"/>
  <c r="Z444" s="1"/>
  <c r="G421"/>
  <c r="AI375"/>
  <c r="AI385" s="1"/>
  <c r="AA375"/>
  <c r="AA385" s="1"/>
  <c r="AV175"/>
  <c r="AF175"/>
  <c r="P175"/>
  <c r="AX173"/>
  <c r="AH173"/>
  <c r="R173"/>
  <c r="AO59"/>
  <c r="I59"/>
  <c r="G760"/>
  <c r="F817"/>
  <c r="AJ709"/>
  <c r="AJ708" s="1"/>
  <c r="AJ651"/>
  <c r="C712"/>
  <c r="G712"/>
  <c r="H655"/>
  <c r="BI740"/>
  <c r="BI743"/>
  <c r="BI732"/>
  <c r="BH734"/>
  <c r="BA743"/>
  <c r="BA732"/>
  <c r="BA740"/>
  <c r="AZ734"/>
  <c r="AS743"/>
  <c r="AS732"/>
  <c r="AS740"/>
  <c r="AR734"/>
  <c r="AK743"/>
  <c r="AK732"/>
  <c r="AK740"/>
  <c r="AJ734"/>
  <c r="AC743"/>
  <c r="AC732"/>
  <c r="AC740"/>
  <c r="AB734"/>
  <c r="U743"/>
  <c r="U740"/>
  <c r="T734"/>
  <c r="M743"/>
  <c r="M740"/>
  <c r="L734"/>
  <c r="E743"/>
  <c r="B743" s="1"/>
  <c r="E740"/>
  <c r="D734"/>
  <c r="AI719"/>
  <c r="AI718" s="1"/>
  <c r="AI661"/>
  <c r="AA719"/>
  <c r="AA718" s="1"/>
  <c r="AA661"/>
  <c r="AI653"/>
  <c r="AI710" s="1"/>
  <c r="F710"/>
  <c r="AI608"/>
  <c r="AI607" s="1"/>
  <c r="AI617" s="1"/>
  <c r="AI550"/>
  <c r="AI560" s="1"/>
  <c r="AA608"/>
  <c r="AA607" s="1"/>
  <c r="AA617" s="1"/>
  <c r="AA550"/>
  <c r="AA560" s="1"/>
  <c r="C608"/>
  <c r="C595"/>
  <c r="C553"/>
  <c r="C535"/>
  <c r="C559" s="1"/>
  <c r="AJ538"/>
  <c r="AJ595" s="1"/>
  <c r="E593"/>
  <c r="E592" s="1"/>
  <c r="E551"/>
  <c r="AJ536"/>
  <c r="E535"/>
  <c r="C584"/>
  <c r="B584" s="1"/>
  <c r="F10" s="1"/>
  <c r="B527"/>
  <c r="C582"/>
  <c r="B582" s="1"/>
  <c r="F8" s="1"/>
  <c r="B525"/>
  <c r="AH429"/>
  <c r="AH487"/>
  <c r="AH486" s="1"/>
  <c r="AD429"/>
  <c r="AD487"/>
  <c r="AD486" s="1"/>
  <c r="Z429"/>
  <c r="Z487"/>
  <c r="Z486" s="1"/>
  <c r="AG371"/>
  <c r="AG370" s="1"/>
  <c r="AG313"/>
  <c r="AC371"/>
  <c r="AC370" s="1"/>
  <c r="AC313"/>
  <c r="Y371"/>
  <c r="Y370" s="1"/>
  <c r="Y313"/>
  <c r="E363"/>
  <c r="AH306"/>
  <c r="AH363" s="1"/>
  <c r="E321"/>
  <c r="E378" s="1"/>
  <c r="E361"/>
  <c r="E319"/>
  <c r="AJ304"/>
  <c r="E303"/>
  <c r="C352"/>
  <c r="B352" s="1"/>
  <c r="D10" s="1"/>
  <c r="B295"/>
  <c r="C350"/>
  <c r="B350" s="1"/>
  <c r="D8" s="1"/>
  <c r="B293"/>
  <c r="G648"/>
  <c r="F705"/>
  <c r="BI695"/>
  <c r="BI694" s="1"/>
  <c r="BI637"/>
  <c r="BG697"/>
  <c r="BG639"/>
  <c r="BG696" s="1"/>
  <c r="BE695"/>
  <c r="BE694" s="1"/>
  <c r="BE637"/>
  <c r="BC697"/>
  <c r="BC639"/>
  <c r="BC696" s="1"/>
  <c r="BA695"/>
  <c r="BA694" s="1"/>
  <c r="BA637"/>
  <c r="AY697"/>
  <c r="AY639"/>
  <c r="AY696" s="1"/>
  <c r="AW695"/>
  <c r="AW694" s="1"/>
  <c r="AW637"/>
  <c r="AU697"/>
  <c r="AU639"/>
  <c r="AU696" s="1"/>
  <c r="AS695"/>
  <c r="AS694" s="1"/>
  <c r="AS637"/>
  <c r="AQ697"/>
  <c r="AQ639"/>
  <c r="AQ696" s="1"/>
  <c r="AO695"/>
  <c r="AO694" s="1"/>
  <c r="AO637"/>
  <c r="AM697"/>
  <c r="AM639"/>
  <c r="AM696" s="1"/>
  <c r="AK695"/>
  <c r="AK694" s="1"/>
  <c r="AK637"/>
  <c r="AI697"/>
  <c r="AI639"/>
  <c r="AI696" s="1"/>
  <c r="AI666"/>
  <c r="AI676" s="1"/>
  <c r="AI724"/>
  <c r="AI723" s="1"/>
  <c r="AI733" s="1"/>
  <c r="AG695"/>
  <c r="AG694" s="1"/>
  <c r="AG637"/>
  <c r="AE697"/>
  <c r="AE639"/>
  <c r="AE696" s="1"/>
  <c r="AE666"/>
  <c r="AE676" s="1"/>
  <c r="AE724"/>
  <c r="AE723" s="1"/>
  <c r="AE733" s="1"/>
  <c r="AC695"/>
  <c r="AC694" s="1"/>
  <c r="AC637"/>
  <c r="AA697"/>
  <c r="AA639"/>
  <c r="AA696" s="1"/>
  <c r="AA666"/>
  <c r="AA676" s="1"/>
  <c r="AA724"/>
  <c r="AA723" s="1"/>
  <c r="AA733" s="1"/>
  <c r="Y695"/>
  <c r="Y694" s="1"/>
  <c r="Y637"/>
  <c r="W697"/>
  <c r="W639"/>
  <c r="W696" s="1"/>
  <c r="W666"/>
  <c r="W676" s="1"/>
  <c r="W724"/>
  <c r="W723" s="1"/>
  <c r="W733" s="1"/>
  <c r="U695"/>
  <c r="U694" s="1"/>
  <c r="U637"/>
  <c r="S697"/>
  <c r="S639"/>
  <c r="S696" s="1"/>
  <c r="Q695"/>
  <c r="Q694" s="1"/>
  <c r="Q637"/>
  <c r="O697"/>
  <c r="O639"/>
  <c r="O696" s="1"/>
  <c r="M695"/>
  <c r="M694" s="1"/>
  <c r="M637"/>
  <c r="K697"/>
  <c r="K639"/>
  <c r="K696" s="1"/>
  <c r="I695"/>
  <c r="I694" s="1"/>
  <c r="I637"/>
  <c r="G697"/>
  <c r="G639"/>
  <c r="G696" s="1"/>
  <c r="E695"/>
  <c r="E694" s="1"/>
  <c r="E637"/>
  <c r="C695"/>
  <c r="B638"/>
  <c r="C637"/>
  <c r="C699"/>
  <c r="B699" s="1"/>
  <c r="G9" s="1"/>
  <c r="B642"/>
  <c r="C666"/>
  <c r="C676" s="1"/>
  <c r="C724"/>
  <c r="BG624"/>
  <c r="BF618"/>
  <c r="BG616"/>
  <c r="BG627"/>
  <c r="BC624"/>
  <c r="BB618"/>
  <c r="BC616"/>
  <c r="BC627"/>
  <c r="AY624"/>
  <c r="AX618"/>
  <c r="AY616"/>
  <c r="AY627"/>
  <c r="AU624"/>
  <c r="AT618"/>
  <c r="AU616"/>
  <c r="AU627"/>
  <c r="AQ624"/>
  <c r="AP618"/>
  <c r="AQ616"/>
  <c r="AQ627"/>
  <c r="AM624"/>
  <c r="AL618"/>
  <c r="AM616"/>
  <c r="AM627"/>
  <c r="AI603"/>
  <c r="AI602" s="1"/>
  <c r="AI545"/>
  <c r="AI624"/>
  <c r="AH618"/>
  <c r="AI616"/>
  <c r="AI627"/>
  <c r="AE603"/>
  <c r="AE602" s="1"/>
  <c r="AE545"/>
  <c r="AE624"/>
  <c r="AD618"/>
  <c r="AE616"/>
  <c r="AE627"/>
  <c r="AA603"/>
  <c r="AA602" s="1"/>
  <c r="AA545"/>
  <c r="AA624"/>
  <c r="Z618"/>
  <c r="AA616"/>
  <c r="AA627"/>
  <c r="W624"/>
  <c r="V618"/>
  <c r="W627"/>
  <c r="S624"/>
  <c r="R618"/>
  <c r="S627"/>
  <c r="O624"/>
  <c r="N618"/>
  <c r="O627"/>
  <c r="K624"/>
  <c r="J618"/>
  <c r="K627"/>
  <c r="G624"/>
  <c r="G627"/>
  <c r="C611"/>
  <c r="C624"/>
  <c r="C627"/>
  <c r="B576"/>
  <c r="AF627"/>
  <c r="AF616"/>
  <c r="AF624"/>
  <c r="AE618"/>
  <c r="P627"/>
  <c r="P624"/>
  <c r="O618"/>
  <c r="Z603"/>
  <c r="Z602" s="1"/>
  <c r="Z545"/>
  <c r="BG511"/>
  <c r="BG500"/>
  <c r="BG508"/>
  <c r="BF502"/>
  <c r="AY511"/>
  <c r="AY500"/>
  <c r="AY508"/>
  <c r="AX502"/>
  <c r="AQ511"/>
  <c r="AQ500"/>
  <c r="AQ508"/>
  <c r="AP502"/>
  <c r="AI511"/>
  <c r="AI500"/>
  <c r="AI508"/>
  <c r="AH502"/>
  <c r="AA511"/>
  <c r="AA500"/>
  <c r="AA508"/>
  <c r="Z502"/>
  <c r="S511"/>
  <c r="S508"/>
  <c r="R502"/>
  <c r="K511"/>
  <c r="K508"/>
  <c r="J502"/>
  <c r="C511"/>
  <c r="B460"/>
  <c r="C508"/>
  <c r="C493"/>
  <c r="AC487"/>
  <c r="AC486" s="1"/>
  <c r="AC429"/>
  <c r="C445"/>
  <c r="C355"/>
  <c r="BD395"/>
  <c r="BD384"/>
  <c r="BD392"/>
  <c r="BC386"/>
  <c r="AV395"/>
  <c r="AV384"/>
  <c r="AV392"/>
  <c r="AU386"/>
  <c r="AN395"/>
  <c r="AN384"/>
  <c r="AN392"/>
  <c r="AM386"/>
  <c r="AF395"/>
  <c r="AF384"/>
  <c r="AF392"/>
  <c r="AE386"/>
  <c r="X395"/>
  <c r="X384"/>
  <c r="X392"/>
  <c r="P395"/>
  <c r="P392"/>
  <c r="O386"/>
  <c r="H395"/>
  <c r="H392"/>
  <c r="AH371"/>
  <c r="AH370" s="1"/>
  <c r="AH313"/>
  <c r="Z371"/>
  <c r="Z370" s="1"/>
  <c r="Z313"/>
  <c r="H307"/>
  <c r="G364"/>
  <c r="G361"/>
  <c r="G319"/>
  <c r="H304"/>
  <c r="BG279"/>
  <c r="BG268"/>
  <c r="BG276"/>
  <c r="BF270"/>
  <c r="AY279"/>
  <c r="AY268"/>
  <c r="AY276"/>
  <c r="AX270"/>
  <c r="AQ279"/>
  <c r="AQ268"/>
  <c r="AQ276"/>
  <c r="AP270"/>
  <c r="AI279"/>
  <c r="AI268"/>
  <c r="AI276"/>
  <c r="AH270"/>
  <c r="AA279"/>
  <c r="AA268"/>
  <c r="AA276"/>
  <c r="Z270"/>
  <c r="S279"/>
  <c r="S276"/>
  <c r="R270"/>
  <c r="K279"/>
  <c r="K276"/>
  <c r="J270"/>
  <c r="C279"/>
  <c r="B228"/>
  <c r="C276"/>
  <c r="AG260"/>
  <c r="AG259" s="1"/>
  <c r="AG269" s="1"/>
  <c r="AG202"/>
  <c r="AG212" s="1"/>
  <c r="AC260"/>
  <c r="AC259" s="1"/>
  <c r="AC269" s="1"/>
  <c r="AC202"/>
  <c r="AC212" s="1"/>
  <c r="Y260"/>
  <c r="Y259" s="1"/>
  <c r="Y269" s="1"/>
  <c r="Y202"/>
  <c r="Y212" s="1"/>
  <c r="E260"/>
  <c r="AJ255"/>
  <c r="AJ254" s="1"/>
  <c r="AJ197"/>
  <c r="AF255"/>
  <c r="AF254" s="1"/>
  <c r="AF197"/>
  <c r="AB255"/>
  <c r="AB254" s="1"/>
  <c r="AB197"/>
  <c r="X255"/>
  <c r="X254" s="1"/>
  <c r="X197"/>
  <c r="G248"/>
  <c r="H191"/>
  <c r="G206"/>
  <c r="G263" s="1"/>
  <c r="C248"/>
  <c r="C206"/>
  <c r="E246"/>
  <c r="AJ189"/>
  <c r="AJ246" s="1"/>
  <c r="BI233"/>
  <c r="BI175"/>
  <c r="BI232" s="1"/>
  <c r="BE233"/>
  <c r="BE175"/>
  <c r="BE232" s="1"/>
  <c r="BA233"/>
  <c r="BA175"/>
  <c r="BA232" s="1"/>
  <c r="AW233"/>
  <c r="AW175"/>
  <c r="AW232" s="1"/>
  <c r="AS233"/>
  <c r="AS175"/>
  <c r="AS232" s="1"/>
  <c r="AO233"/>
  <c r="AO175"/>
  <c r="AO232" s="1"/>
  <c r="AK233"/>
  <c r="AK175"/>
  <c r="AK232" s="1"/>
  <c r="AG233"/>
  <c r="AG175"/>
  <c r="AG232" s="1"/>
  <c r="AC233"/>
  <c r="AC175"/>
  <c r="AC232" s="1"/>
  <c r="Y233"/>
  <c r="Y175"/>
  <c r="Y232" s="1"/>
  <c r="U233"/>
  <c r="U175"/>
  <c r="U232" s="1"/>
  <c r="Q233"/>
  <c r="Q175"/>
  <c r="Q232" s="1"/>
  <c r="M233"/>
  <c r="M175"/>
  <c r="M232" s="1"/>
  <c r="I233"/>
  <c r="I175"/>
  <c r="I232" s="1"/>
  <c r="E233"/>
  <c r="E175"/>
  <c r="E232" s="1"/>
  <c r="BG231"/>
  <c r="BG230" s="1"/>
  <c r="BG173"/>
  <c r="BC231"/>
  <c r="BC230" s="1"/>
  <c r="BC173"/>
  <c r="AY231"/>
  <c r="AY230" s="1"/>
  <c r="AY173"/>
  <c r="AU231"/>
  <c r="AU230" s="1"/>
  <c r="AU173"/>
  <c r="AQ231"/>
  <c r="AQ230" s="1"/>
  <c r="AQ173"/>
  <c r="AM231"/>
  <c r="AM230" s="1"/>
  <c r="AM173"/>
  <c r="AI231"/>
  <c r="AI230" s="1"/>
  <c r="AI173"/>
  <c r="AE231"/>
  <c r="AE230" s="1"/>
  <c r="AE173"/>
  <c r="AA231"/>
  <c r="AA230" s="1"/>
  <c r="AA173"/>
  <c r="W231"/>
  <c r="W230" s="1"/>
  <c r="W173"/>
  <c r="S231"/>
  <c r="S230" s="1"/>
  <c r="S173"/>
  <c r="O231"/>
  <c r="O230" s="1"/>
  <c r="O173"/>
  <c r="K231"/>
  <c r="K230" s="1"/>
  <c r="K173"/>
  <c r="G231"/>
  <c r="G173"/>
  <c r="C231"/>
  <c r="B174"/>
  <c r="C173"/>
  <c r="C147"/>
  <c r="C145"/>
  <c r="AJ144"/>
  <c r="AJ143" s="1"/>
  <c r="AJ153" s="1"/>
  <c r="AJ86"/>
  <c r="AJ96" s="1"/>
  <c r="AF144"/>
  <c r="AF143" s="1"/>
  <c r="AF153" s="1"/>
  <c r="AF86"/>
  <c r="AF96" s="1"/>
  <c r="AB144"/>
  <c r="AB143" s="1"/>
  <c r="AB153" s="1"/>
  <c r="AB86"/>
  <c r="AB96" s="1"/>
  <c r="D144"/>
  <c r="D143" s="1"/>
  <c r="D153" s="1"/>
  <c r="D86"/>
  <c r="D96" s="1"/>
  <c r="AG139"/>
  <c r="AG138" s="1"/>
  <c r="AG81"/>
  <c r="AC139"/>
  <c r="AC138" s="1"/>
  <c r="AC81"/>
  <c r="Y139"/>
  <c r="Y138" s="1"/>
  <c r="Y81"/>
  <c r="E131"/>
  <c r="AH74"/>
  <c r="AH131" s="1"/>
  <c r="E126"/>
  <c r="F69"/>
  <c r="F74" s="1"/>
  <c r="C120"/>
  <c r="B120" s="1"/>
  <c r="B10" s="1"/>
  <c r="BG118"/>
  <c r="AY118"/>
  <c r="AQ118"/>
  <c r="AI118"/>
  <c r="AA118"/>
  <c r="S118"/>
  <c r="K118"/>
  <c r="C118"/>
  <c r="B118" s="1"/>
  <c r="B8" s="1"/>
  <c r="C59"/>
  <c r="BH59"/>
  <c r="BH116" s="1"/>
  <c r="BD59"/>
  <c r="BD116" s="1"/>
  <c r="AZ59"/>
  <c r="AZ116" s="1"/>
  <c r="AV59"/>
  <c r="AV116" s="1"/>
  <c r="AR59"/>
  <c r="AR116" s="1"/>
  <c r="AN59"/>
  <c r="AN116" s="1"/>
  <c r="AJ59"/>
  <c r="AJ116" s="1"/>
  <c r="AF59"/>
  <c r="AF116" s="1"/>
  <c r="AB59"/>
  <c r="AB116" s="1"/>
  <c r="X59"/>
  <c r="X116" s="1"/>
  <c r="T59"/>
  <c r="T116" s="1"/>
  <c r="P59"/>
  <c r="P116" s="1"/>
  <c r="L59"/>
  <c r="L116" s="1"/>
  <c r="H59"/>
  <c r="H116" s="1"/>
  <c r="D59"/>
  <c r="D116" s="1"/>
  <c r="D585"/>
  <c r="E528"/>
  <c r="BJ395"/>
  <c r="BJ386"/>
  <c r="BJ384"/>
  <c r="BJ392"/>
  <c r="BI386"/>
  <c r="BB395"/>
  <c r="BB384"/>
  <c r="BB392"/>
  <c r="BA386"/>
  <c r="AT395"/>
  <c r="AT384"/>
  <c r="AT392"/>
  <c r="AS386"/>
  <c r="AL395"/>
  <c r="AL384"/>
  <c r="AL392"/>
  <c r="AK386"/>
  <c r="AD395"/>
  <c r="AD384"/>
  <c r="AD392"/>
  <c r="AC386"/>
  <c r="V395"/>
  <c r="V392"/>
  <c r="U386"/>
  <c r="N395"/>
  <c r="N392"/>
  <c r="M386"/>
  <c r="F395"/>
  <c r="F392"/>
  <c r="AF371"/>
  <c r="AF370" s="1"/>
  <c r="AF313"/>
  <c r="X371"/>
  <c r="X370" s="1"/>
  <c r="X313"/>
  <c r="C236"/>
  <c r="B236" s="1"/>
  <c r="C10" s="1"/>
  <c r="B179"/>
  <c r="B177"/>
  <c r="C234"/>
  <c r="B234" s="1"/>
  <c r="C8" s="1"/>
  <c r="H75"/>
  <c r="G132"/>
  <c r="E590"/>
  <c r="E530"/>
  <c r="F533"/>
  <c r="G588"/>
  <c r="B531"/>
  <c r="V581"/>
  <c r="V523"/>
  <c r="V580" s="1"/>
  <c r="T579"/>
  <c r="R579"/>
  <c r="P581"/>
  <c r="P523"/>
  <c r="P580" s="1"/>
  <c r="N581"/>
  <c r="N523"/>
  <c r="N580" s="1"/>
  <c r="L579"/>
  <c r="J579"/>
  <c r="H581"/>
  <c r="H523"/>
  <c r="H580" s="1"/>
  <c r="S465"/>
  <c r="S407"/>
  <c r="S464" s="1"/>
  <c r="Q463"/>
  <c r="K465"/>
  <c r="K407"/>
  <c r="K464" s="1"/>
  <c r="I463"/>
  <c r="C463"/>
  <c r="B406"/>
  <c r="C467"/>
  <c r="B467" s="1"/>
  <c r="E9" s="1"/>
  <c r="B410"/>
  <c r="E298"/>
  <c r="F301"/>
  <c r="E358"/>
  <c r="G356"/>
  <c r="B299"/>
  <c r="R349"/>
  <c r="R291"/>
  <c r="R348" s="1"/>
  <c r="P347"/>
  <c r="J349"/>
  <c r="J291"/>
  <c r="J348" s="1"/>
  <c r="H347"/>
  <c r="D376"/>
  <c r="B972"/>
  <c r="B740"/>
  <c r="B683"/>
  <c r="G670"/>
  <c r="G727" s="1"/>
  <c r="AX639"/>
  <c r="AP639"/>
  <c r="AH639"/>
  <c r="Z639"/>
  <c r="R639"/>
  <c r="J639"/>
  <c r="B473"/>
  <c r="E15" s="1"/>
  <c r="B335"/>
  <c r="G653"/>
  <c r="B686"/>
  <c r="E554"/>
  <c r="E611" s="1"/>
  <c r="E587"/>
  <c r="BD462"/>
  <c r="AV462"/>
  <c r="AN462"/>
  <c r="AF462"/>
  <c r="X462"/>
  <c r="P462"/>
  <c r="H462"/>
  <c r="BH407"/>
  <c r="AZ407"/>
  <c r="AR407"/>
  <c r="AJ407"/>
  <c r="AB407"/>
  <c r="T407"/>
  <c r="L407"/>
  <c r="D407"/>
  <c r="BG291"/>
  <c r="AY291"/>
  <c r="AQ291"/>
  <c r="AI291"/>
  <c r="AA291"/>
  <c r="S291"/>
  <c r="K291"/>
  <c r="D190"/>
  <c r="C196"/>
  <c r="B184"/>
  <c r="E194" s="1"/>
  <c r="B183"/>
  <c r="BJ175"/>
  <c r="BB175"/>
  <c r="AT175"/>
  <c r="AL175"/>
  <c r="AD175"/>
  <c r="V175"/>
  <c r="N175"/>
  <c r="F175"/>
  <c r="D123"/>
  <c r="B103"/>
  <c r="BG523"/>
  <c r="BC523"/>
  <c r="AY523"/>
  <c r="AU523"/>
  <c r="AQ523"/>
  <c r="AM523"/>
  <c r="AI523"/>
  <c r="AE523"/>
  <c r="AA523"/>
  <c r="W523"/>
  <c r="S523"/>
  <c r="O523"/>
  <c r="K523"/>
  <c r="G523"/>
  <c r="C523"/>
  <c r="AJ491"/>
  <c r="AJ501" s="1"/>
  <c r="AB491"/>
  <c r="AB501" s="1"/>
  <c r="BD386"/>
  <c r="AV386"/>
  <c r="AN386"/>
  <c r="AF386"/>
  <c r="X386"/>
  <c r="P386"/>
  <c r="H386"/>
  <c r="F421"/>
  <c r="B359"/>
  <c r="D17" s="1"/>
  <c r="E355"/>
  <c r="E386" s="1"/>
  <c r="BC346"/>
  <c r="AU346"/>
  <c r="AM346"/>
  <c r="AE346"/>
  <c r="W346"/>
  <c r="O346"/>
  <c r="AU289"/>
  <c r="AE289"/>
  <c r="O289"/>
  <c r="G188"/>
  <c r="G73"/>
  <c r="D544"/>
  <c r="B526"/>
  <c r="D554"/>
  <c r="D611" s="1"/>
  <c r="B454"/>
  <c r="AE375"/>
  <c r="AE385" s="1"/>
  <c r="C289"/>
  <c r="F319"/>
  <c r="BD175"/>
  <c r="AN175"/>
  <c r="X175"/>
  <c r="H175"/>
  <c r="AM59"/>
  <c r="G59"/>
  <c r="BF173"/>
  <c r="AP173"/>
  <c r="Z173"/>
  <c r="J173"/>
  <c r="AW59"/>
  <c r="Q59"/>
  <c r="BH154"/>
  <c r="BD154"/>
  <c r="AZ154"/>
  <c r="AV154"/>
  <c r="AR154"/>
  <c r="AN154"/>
  <c r="AJ154"/>
  <c r="AF154"/>
  <c r="AB154"/>
  <c r="T154"/>
  <c r="P154"/>
  <c r="L154"/>
  <c r="H154"/>
  <c r="D154"/>
  <c r="B112"/>
  <c r="BF117"/>
  <c r="BB117"/>
  <c r="AX117"/>
  <c r="AT117"/>
  <c r="AP117"/>
  <c r="AL117"/>
  <c r="AH117"/>
  <c r="AD117"/>
  <c r="Z117"/>
  <c r="V117"/>
  <c r="R117"/>
  <c r="N117"/>
  <c r="J117"/>
  <c r="F117"/>
  <c r="BH115"/>
  <c r="BH114" s="1"/>
  <c r="BD115"/>
  <c r="BD114" s="1"/>
  <c r="AZ115"/>
  <c r="AZ114" s="1"/>
  <c r="AV115"/>
  <c r="AV114" s="1"/>
  <c r="AR115"/>
  <c r="AR114" s="1"/>
  <c r="AN115"/>
  <c r="AN114" s="1"/>
  <c r="AJ115"/>
  <c r="AJ114" s="1"/>
  <c r="AF115"/>
  <c r="AF114" s="1"/>
  <c r="AB115"/>
  <c r="AB114" s="1"/>
  <c r="X115"/>
  <c r="X114" s="1"/>
  <c r="T115"/>
  <c r="T114" s="1"/>
  <c r="P115"/>
  <c r="P114" s="1"/>
  <c r="L115"/>
  <c r="L114" s="1"/>
  <c r="H115"/>
  <c r="H114" s="1"/>
  <c r="D115"/>
  <c r="D114" s="1"/>
  <c r="G589"/>
  <c r="B532"/>
  <c r="E542" s="1"/>
  <c r="D353"/>
  <c r="E296"/>
  <c r="BJ276"/>
  <c r="BI270"/>
  <c r="BJ270"/>
  <c r="BJ268"/>
  <c r="BJ279"/>
  <c r="BH276"/>
  <c r="BG270"/>
  <c r="BH279"/>
  <c r="BH268"/>
  <c r="BF276"/>
  <c r="BE270"/>
  <c r="BF268"/>
  <c r="BF279"/>
  <c r="BD276"/>
  <c r="BC270"/>
  <c r="BD279"/>
  <c r="BD268"/>
  <c r="BB276"/>
  <c r="BA270"/>
  <c r="BB268"/>
  <c r="BB279"/>
  <c r="AZ276"/>
  <c r="AY270"/>
  <c r="AZ279"/>
  <c r="AZ268"/>
  <c r="AX276"/>
  <c r="AW270"/>
  <c r="AX268"/>
  <c r="AX279"/>
  <c r="AV276"/>
  <c r="AU270"/>
  <c r="AV279"/>
  <c r="AV268"/>
  <c r="AT276"/>
  <c r="AS270"/>
  <c r="AT268"/>
  <c r="AT279"/>
  <c r="AR276"/>
  <c r="AQ270"/>
  <c r="AR279"/>
  <c r="AR268"/>
  <c r="AP276"/>
  <c r="AO270"/>
  <c r="AP268"/>
  <c r="AP279"/>
  <c r="AN276"/>
  <c r="AM270"/>
  <c r="AN279"/>
  <c r="AN268"/>
  <c r="AL276"/>
  <c r="AK270"/>
  <c r="AL268"/>
  <c r="AL279"/>
  <c r="AJ276"/>
  <c r="AI270"/>
  <c r="AJ279"/>
  <c r="AJ268"/>
  <c r="AH276"/>
  <c r="AG270"/>
  <c r="AH268"/>
  <c r="AH279"/>
  <c r="AF276"/>
  <c r="AE270"/>
  <c r="AF279"/>
  <c r="AF268"/>
  <c r="AD276"/>
  <c r="AC270"/>
  <c r="AD268"/>
  <c r="AD279"/>
  <c r="AB276"/>
  <c r="AA270"/>
  <c r="AB279"/>
  <c r="AB268"/>
  <c r="Z276"/>
  <c r="Y270"/>
  <c r="Z268"/>
  <c r="Z279"/>
  <c r="X276"/>
  <c r="W270"/>
  <c r="X279"/>
  <c r="X268"/>
  <c r="V276"/>
  <c r="U270"/>
  <c r="V279"/>
  <c r="T276"/>
  <c r="S270"/>
  <c r="T279"/>
  <c r="R276"/>
  <c r="Q270"/>
  <c r="R279"/>
  <c r="P276"/>
  <c r="O270"/>
  <c r="P279"/>
  <c r="N276"/>
  <c r="M270"/>
  <c r="N279"/>
  <c r="L276"/>
  <c r="K270"/>
  <c r="L279"/>
  <c r="J276"/>
  <c r="I270"/>
  <c r="J279"/>
  <c r="H276"/>
  <c r="H279"/>
  <c r="F276"/>
  <c r="F279"/>
  <c r="D276"/>
  <c r="D279"/>
  <c r="C239"/>
  <c r="AB627"/>
  <c r="AB616"/>
  <c r="AB624"/>
  <c r="AA618"/>
  <c r="L627"/>
  <c r="L624"/>
  <c r="K618"/>
  <c r="D595"/>
  <c r="AI538"/>
  <c r="AI595" s="1"/>
  <c r="D535"/>
  <c r="D559" s="1"/>
  <c r="BE511"/>
  <c r="BE500"/>
  <c r="BE508"/>
  <c r="BD502"/>
  <c r="AW511"/>
  <c r="AW500"/>
  <c r="AW508"/>
  <c r="AV502"/>
  <c r="AO511"/>
  <c r="AO500"/>
  <c r="AO508"/>
  <c r="AN502"/>
  <c r="AG511"/>
  <c r="AG500"/>
  <c r="AG508"/>
  <c r="AF502"/>
  <c r="Y511"/>
  <c r="Y500"/>
  <c r="Y508"/>
  <c r="Q511"/>
  <c r="Q508"/>
  <c r="P502"/>
  <c r="I511"/>
  <c r="I508"/>
  <c r="H502"/>
  <c r="AE487"/>
  <c r="AE486" s="1"/>
  <c r="AE429"/>
  <c r="AJ422"/>
  <c r="AJ479" s="1"/>
  <c r="C419"/>
  <c r="C443" s="1"/>
  <c r="C479"/>
  <c r="C346"/>
  <c r="BF395"/>
  <c r="BF384"/>
  <c r="BF392"/>
  <c r="BE386"/>
  <c r="AX395"/>
  <c r="AX384"/>
  <c r="AX392"/>
  <c r="AW386"/>
  <c r="AP395"/>
  <c r="AP384"/>
  <c r="AP392"/>
  <c r="AO386"/>
  <c r="AH395"/>
  <c r="AH384"/>
  <c r="AH392"/>
  <c r="AG386"/>
  <c r="Z395"/>
  <c r="Z384"/>
  <c r="Z392"/>
  <c r="Y386"/>
  <c r="R395"/>
  <c r="R392"/>
  <c r="Q386"/>
  <c r="J395"/>
  <c r="J392"/>
  <c r="I386"/>
  <c r="C374"/>
  <c r="AJ371"/>
  <c r="AJ370" s="1"/>
  <c r="AJ313"/>
  <c r="AB371"/>
  <c r="AB370" s="1"/>
  <c r="AB313"/>
  <c r="AI306"/>
  <c r="AI363" s="1"/>
  <c r="D303"/>
  <c r="D327" s="1"/>
  <c r="D363"/>
  <c r="D360" s="1"/>
  <c r="BI279"/>
  <c r="BI268"/>
  <c r="BI276"/>
  <c r="BH270"/>
  <c r="BA279"/>
  <c r="BA268"/>
  <c r="BA276"/>
  <c r="AZ270"/>
  <c r="AS279"/>
  <c r="AS268"/>
  <c r="AS276"/>
  <c r="AR270"/>
  <c r="AK279"/>
  <c r="AK268"/>
  <c r="AK276"/>
  <c r="AJ270"/>
  <c r="AC279"/>
  <c r="AC268"/>
  <c r="AC276"/>
  <c r="AB270"/>
  <c r="U279"/>
  <c r="U276"/>
  <c r="T270"/>
  <c r="M279"/>
  <c r="M276"/>
  <c r="L270"/>
  <c r="E279"/>
  <c r="E276"/>
  <c r="C261"/>
  <c r="AJ260"/>
  <c r="AJ259" s="1"/>
  <c r="AJ269" s="1"/>
  <c r="AJ202"/>
  <c r="AJ212" s="1"/>
  <c r="AF260"/>
  <c r="AF259" s="1"/>
  <c r="AF269" s="1"/>
  <c r="AF202"/>
  <c r="AF212" s="1"/>
  <c r="AB260"/>
  <c r="AB259" s="1"/>
  <c r="AB269" s="1"/>
  <c r="AB202"/>
  <c r="AB212" s="1"/>
  <c r="X260"/>
  <c r="X259" s="1"/>
  <c r="X269" s="1"/>
  <c r="X202"/>
  <c r="X212" s="1"/>
  <c r="D260"/>
  <c r="AG255"/>
  <c r="AG254" s="1"/>
  <c r="AG197"/>
  <c r="AC255"/>
  <c r="AC254" s="1"/>
  <c r="AC197"/>
  <c r="Y255"/>
  <c r="Y254" s="1"/>
  <c r="Y197"/>
  <c r="AJ188"/>
  <c r="E245"/>
  <c r="C123"/>
  <c r="BJ163"/>
  <c r="BJ154"/>
  <c r="BJ152"/>
  <c r="BJ160"/>
  <c r="BI154"/>
  <c r="BF163"/>
  <c r="BF152"/>
  <c r="BF160"/>
  <c r="BE154"/>
  <c r="BB163"/>
  <c r="BB152"/>
  <c r="BB160"/>
  <c r="BA154"/>
  <c r="AX163"/>
  <c r="AX152"/>
  <c r="AX160"/>
  <c r="AW154"/>
  <c r="AT163"/>
  <c r="AT152"/>
  <c r="AT160"/>
  <c r="AS154"/>
  <c r="AP163"/>
  <c r="AP152"/>
  <c r="AP160"/>
  <c r="AO154"/>
  <c r="AL163"/>
  <c r="AL152"/>
  <c r="AL160"/>
  <c r="AK154"/>
  <c r="AH163"/>
  <c r="AH152"/>
  <c r="AH160"/>
  <c r="AG154"/>
  <c r="AD163"/>
  <c r="AD152"/>
  <c r="AD160"/>
  <c r="AC154"/>
  <c r="Z163"/>
  <c r="Z152"/>
  <c r="Z160"/>
  <c r="Y154"/>
  <c r="V163"/>
  <c r="V160"/>
  <c r="U154"/>
  <c r="R163"/>
  <c r="R160"/>
  <c r="Q154"/>
  <c r="N163"/>
  <c r="N160"/>
  <c r="M154"/>
  <c r="J163"/>
  <c r="J160"/>
  <c r="I154"/>
  <c r="F163"/>
  <c r="F160"/>
  <c r="B160" s="1"/>
  <c r="AI144"/>
  <c r="AI143" s="1"/>
  <c r="AI153" s="1"/>
  <c r="AI86"/>
  <c r="AI96" s="1"/>
  <c r="AE144"/>
  <c r="AE143" s="1"/>
  <c r="AE153" s="1"/>
  <c r="AE86"/>
  <c r="AE96" s="1"/>
  <c r="AA144"/>
  <c r="AA143" s="1"/>
  <c r="AA153" s="1"/>
  <c r="AA86"/>
  <c r="AA96" s="1"/>
  <c r="C144"/>
  <c r="C86"/>
  <c r="C96" s="1"/>
  <c r="C142"/>
  <c r="AH139"/>
  <c r="AH138" s="1"/>
  <c r="AH81"/>
  <c r="AD139"/>
  <c r="AD138" s="1"/>
  <c r="AD81"/>
  <c r="Z139"/>
  <c r="Z138" s="1"/>
  <c r="Z81"/>
  <c r="AI74"/>
  <c r="AI131" s="1"/>
  <c r="D71"/>
  <c r="D95" s="1"/>
  <c r="D131"/>
  <c r="BJ579"/>
  <c r="BJ578" s="1"/>
  <c r="BJ521"/>
  <c r="BJ627"/>
  <c r="BJ618"/>
  <c r="BJ616"/>
  <c r="BJ624"/>
  <c r="BI618"/>
  <c r="BH579"/>
  <c r="BH578" s="1"/>
  <c r="BH521"/>
  <c r="BH627"/>
  <c r="BH616"/>
  <c r="BH624"/>
  <c r="BG618"/>
  <c r="BF581"/>
  <c r="BF523"/>
  <c r="BF580" s="1"/>
  <c r="BD579"/>
  <c r="BD578" s="1"/>
  <c r="BD521"/>
  <c r="BD627"/>
  <c r="BD616"/>
  <c r="BD624"/>
  <c r="BC618"/>
  <c r="BB581"/>
  <c r="BB523"/>
  <c r="BB580" s="1"/>
  <c r="AZ579"/>
  <c r="AZ578" s="1"/>
  <c r="AZ521"/>
  <c r="AZ627"/>
  <c r="AZ616"/>
  <c r="AZ624"/>
  <c r="AY618"/>
  <c r="AX581"/>
  <c r="AX523"/>
  <c r="AX580" s="1"/>
  <c r="AV579"/>
  <c r="AV578" s="1"/>
  <c r="AV521"/>
  <c r="AV627"/>
  <c r="AV616"/>
  <c r="AV624"/>
  <c r="AU618"/>
  <c r="AT581"/>
  <c r="AT523"/>
  <c r="AT580" s="1"/>
  <c r="AR579"/>
  <c r="AR578" s="1"/>
  <c r="AR521"/>
  <c r="AR627"/>
  <c r="AR616"/>
  <c r="AR624"/>
  <c r="AQ618"/>
  <c r="AP581"/>
  <c r="AP523"/>
  <c r="AP580" s="1"/>
  <c r="AN579"/>
  <c r="AN578" s="1"/>
  <c r="AN521"/>
  <c r="AL579"/>
  <c r="AL578" s="1"/>
  <c r="AL521"/>
  <c r="AL627"/>
  <c r="AL616"/>
  <c r="AL624"/>
  <c r="AK618"/>
  <c r="AJ581"/>
  <c r="AJ523"/>
  <c r="AJ580" s="1"/>
  <c r="AJ603"/>
  <c r="AJ602" s="1"/>
  <c r="AJ545"/>
  <c r="AH581"/>
  <c r="AH523"/>
  <c r="AH580" s="1"/>
  <c r="AH608"/>
  <c r="AH607" s="1"/>
  <c r="AH617" s="1"/>
  <c r="AH550"/>
  <c r="AH560" s="1"/>
  <c r="AF579"/>
  <c r="AF578" s="1"/>
  <c r="AF521"/>
  <c r="AF608"/>
  <c r="AF607" s="1"/>
  <c r="AF617" s="1"/>
  <c r="AF550"/>
  <c r="AF560" s="1"/>
  <c r="AD579"/>
  <c r="AD578" s="1"/>
  <c r="AD521"/>
  <c r="AD627"/>
  <c r="AD616"/>
  <c r="AD624"/>
  <c r="AC618"/>
  <c r="AB581"/>
  <c r="AB523"/>
  <c r="AB580" s="1"/>
  <c r="AB603"/>
  <c r="AB602" s="1"/>
  <c r="AB545"/>
  <c r="Z581"/>
  <c r="Z523"/>
  <c r="Z580" s="1"/>
  <c r="Z608"/>
  <c r="Z607" s="1"/>
  <c r="Z617" s="1"/>
  <c r="Z550"/>
  <c r="Z560" s="1"/>
  <c r="X579"/>
  <c r="X578" s="1"/>
  <c r="X521"/>
  <c r="X608"/>
  <c r="X607" s="1"/>
  <c r="X617" s="1"/>
  <c r="X550"/>
  <c r="X560" s="1"/>
  <c r="V579"/>
  <c r="V578" s="1"/>
  <c r="V521"/>
  <c r="V627"/>
  <c r="V624"/>
  <c r="U618"/>
  <c r="T581"/>
  <c r="T523"/>
  <c r="T580" s="1"/>
  <c r="R581"/>
  <c r="R523"/>
  <c r="R580" s="1"/>
  <c r="P579"/>
  <c r="P578" s="1"/>
  <c r="P521"/>
  <c r="N579"/>
  <c r="N578" s="1"/>
  <c r="N521"/>
  <c r="N627"/>
  <c r="N624"/>
  <c r="M618"/>
  <c r="L581"/>
  <c r="L523"/>
  <c r="L580" s="1"/>
  <c r="J581"/>
  <c r="J523"/>
  <c r="J580" s="1"/>
  <c r="H579"/>
  <c r="H578" s="1"/>
  <c r="H521"/>
  <c r="F579"/>
  <c r="F627"/>
  <c r="F624"/>
  <c r="E618"/>
  <c r="D581"/>
  <c r="B581" s="1"/>
  <c r="D523"/>
  <c r="D580" s="1"/>
  <c r="D608"/>
  <c r="D607" s="1"/>
  <c r="D617" s="1"/>
  <c r="D550"/>
  <c r="D560" s="1"/>
  <c r="B588"/>
  <c r="C587"/>
  <c r="D414"/>
  <c r="E417"/>
  <c r="D474"/>
  <c r="D471" s="1"/>
  <c r="D502" s="1"/>
  <c r="E478"/>
  <c r="AJ421"/>
  <c r="AJ478" s="1"/>
  <c r="F472"/>
  <c r="G415"/>
  <c r="BI465"/>
  <c r="BI407"/>
  <c r="BI464" s="1"/>
  <c r="BG463"/>
  <c r="BG462" s="1"/>
  <c r="BG405"/>
  <c r="BE465"/>
  <c r="BE407"/>
  <c r="BE464" s="1"/>
  <c r="BC463"/>
  <c r="BC462" s="1"/>
  <c r="BC405"/>
  <c r="BA465"/>
  <c r="BA407"/>
  <c r="BA464" s="1"/>
  <c r="AY463"/>
  <c r="AY462" s="1"/>
  <c r="AY405"/>
  <c r="AW465"/>
  <c r="AW407"/>
  <c r="AW464" s="1"/>
  <c r="AU463"/>
  <c r="AU462" s="1"/>
  <c r="AU405"/>
  <c r="AS465"/>
  <c r="AS407"/>
  <c r="AS464" s="1"/>
  <c r="AQ463"/>
  <c r="AQ462" s="1"/>
  <c r="AQ405"/>
  <c r="AO465"/>
  <c r="AO407"/>
  <c r="AO464" s="1"/>
  <c r="AM463"/>
  <c r="AM462" s="1"/>
  <c r="AM405"/>
  <c r="AK465"/>
  <c r="AK407"/>
  <c r="AK464" s="1"/>
  <c r="AI463"/>
  <c r="AI462" s="1"/>
  <c r="AI405"/>
  <c r="AG465"/>
  <c r="AG407"/>
  <c r="AG464" s="1"/>
  <c r="AG492"/>
  <c r="AG491" s="1"/>
  <c r="AG501" s="1"/>
  <c r="AG434"/>
  <c r="AG444" s="1"/>
  <c r="AE463"/>
  <c r="AE462" s="1"/>
  <c r="AE405"/>
  <c r="AC465"/>
  <c r="AC407"/>
  <c r="AC464" s="1"/>
  <c r="AC492"/>
  <c r="AC491" s="1"/>
  <c r="AC501" s="1"/>
  <c r="AC434"/>
  <c r="AC444" s="1"/>
  <c r="AA463"/>
  <c r="AA462" s="1"/>
  <c r="AA405"/>
  <c r="Y465"/>
  <c r="Y407"/>
  <c r="Y464" s="1"/>
  <c r="Y492"/>
  <c r="Y491" s="1"/>
  <c r="Y501" s="1"/>
  <c r="Y434"/>
  <c r="Y444" s="1"/>
  <c r="W463"/>
  <c r="W462" s="1"/>
  <c r="W405"/>
  <c r="U465"/>
  <c r="U407"/>
  <c r="U464" s="1"/>
  <c r="S463"/>
  <c r="S462" s="1"/>
  <c r="S405"/>
  <c r="Q465"/>
  <c r="Q407"/>
  <c r="Q464" s="1"/>
  <c r="O463"/>
  <c r="O462" s="1"/>
  <c r="O405"/>
  <c r="M465"/>
  <c r="M407"/>
  <c r="M464" s="1"/>
  <c r="K463"/>
  <c r="K462" s="1"/>
  <c r="K405"/>
  <c r="I465"/>
  <c r="I407"/>
  <c r="I464" s="1"/>
  <c r="G463"/>
  <c r="G405"/>
  <c r="E465"/>
  <c r="E407"/>
  <c r="E464" s="1"/>
  <c r="C465"/>
  <c r="B465" s="1"/>
  <c r="B408"/>
  <c r="B407" s="1"/>
  <c r="C407"/>
  <c r="C464" s="1"/>
  <c r="BJ349"/>
  <c r="BJ291"/>
  <c r="BJ348" s="1"/>
  <c r="BH349"/>
  <c r="BH291"/>
  <c r="BH348" s="1"/>
  <c r="BF347"/>
  <c r="BF346" s="1"/>
  <c r="BF289"/>
  <c r="BD349"/>
  <c r="BD291"/>
  <c r="BD348" s="1"/>
  <c r="BB347"/>
  <c r="BB346" s="1"/>
  <c r="BB289"/>
  <c r="AZ349"/>
  <c r="AZ291"/>
  <c r="AZ348" s="1"/>
  <c r="AX347"/>
  <c r="AX346" s="1"/>
  <c r="AX289"/>
  <c r="AV349"/>
  <c r="AV291"/>
  <c r="AV348" s="1"/>
  <c r="AT347"/>
  <c r="AT346" s="1"/>
  <c r="AT289"/>
  <c r="AR349"/>
  <c r="AR291"/>
  <c r="AR348" s="1"/>
  <c r="AP347"/>
  <c r="AP346" s="1"/>
  <c r="AP289"/>
  <c r="AN349"/>
  <c r="AN291"/>
  <c r="AN348" s="1"/>
  <c r="AL347"/>
  <c r="AL346" s="1"/>
  <c r="AL289"/>
  <c r="AJ349"/>
  <c r="AJ291"/>
  <c r="AJ348" s="1"/>
  <c r="AJ318"/>
  <c r="AJ328" s="1"/>
  <c r="AJ376"/>
  <c r="AJ375" s="1"/>
  <c r="AJ385" s="1"/>
  <c r="AH347"/>
  <c r="AH346" s="1"/>
  <c r="AH289"/>
  <c r="AF349"/>
  <c r="AF291"/>
  <c r="AF348" s="1"/>
  <c r="AF318"/>
  <c r="AF328" s="1"/>
  <c r="AF376"/>
  <c r="AF375" s="1"/>
  <c r="AF385" s="1"/>
  <c r="AD347"/>
  <c r="AD346" s="1"/>
  <c r="AD289"/>
  <c r="AB349"/>
  <c r="AB291"/>
  <c r="AB348" s="1"/>
  <c r="AB318"/>
  <c r="AB328" s="1"/>
  <c r="AB376"/>
  <c r="AB375" s="1"/>
  <c r="AB385" s="1"/>
  <c r="Z347"/>
  <c r="Z346" s="1"/>
  <c r="Z289"/>
  <c r="X349"/>
  <c r="X291"/>
  <c r="X348" s="1"/>
  <c r="X318"/>
  <c r="X328" s="1"/>
  <c r="X376"/>
  <c r="X375" s="1"/>
  <c r="X385" s="1"/>
  <c r="V347"/>
  <c r="V346" s="1"/>
  <c r="V289"/>
  <c r="T349"/>
  <c r="T291"/>
  <c r="T348" s="1"/>
  <c r="R347"/>
  <c r="R346" s="1"/>
  <c r="R289"/>
  <c r="P349"/>
  <c r="P291"/>
  <c r="P348" s="1"/>
  <c r="N347"/>
  <c r="N346" s="1"/>
  <c r="N289"/>
  <c r="L349"/>
  <c r="L291"/>
  <c r="L348" s="1"/>
  <c r="J347"/>
  <c r="J346" s="1"/>
  <c r="J289"/>
  <c r="H349"/>
  <c r="H291"/>
  <c r="H348" s="1"/>
  <c r="F347"/>
  <c r="D349"/>
  <c r="D291"/>
  <c r="D348" s="1"/>
  <c r="C360"/>
  <c r="F64"/>
  <c r="E121"/>
  <c r="AC607"/>
  <c r="AC617" s="1"/>
  <c r="C428"/>
  <c r="B475"/>
  <c r="E17" s="1"/>
  <c r="AG375"/>
  <c r="AG385" s="1"/>
  <c r="AC375"/>
  <c r="AC385" s="1"/>
  <c r="Y375"/>
  <c r="Y385" s="1"/>
  <c r="B357"/>
  <c r="D15" s="1"/>
  <c r="B351"/>
  <c r="D9" s="1"/>
  <c r="BF230"/>
  <c r="AX230"/>
  <c r="AP230"/>
  <c r="AH230"/>
  <c r="Z230"/>
  <c r="R230"/>
  <c r="J230"/>
  <c r="B222"/>
  <c r="D128"/>
  <c r="B125"/>
  <c r="B15" s="1"/>
  <c r="AG607"/>
  <c r="AG617" s="1"/>
  <c r="Y607"/>
  <c r="Y617" s="1"/>
  <c r="B583"/>
  <c r="F9" s="1"/>
  <c r="B589"/>
  <c r="F15" s="1"/>
  <c r="D592"/>
  <c r="D587"/>
  <c r="D618" s="1"/>
  <c r="AH491"/>
  <c r="AH501" s="1"/>
  <c r="AD491"/>
  <c r="AD501" s="1"/>
  <c r="Z491"/>
  <c r="Z501" s="1"/>
  <c r="C437"/>
  <c r="D321"/>
  <c r="D378" s="1"/>
  <c r="G537"/>
  <c r="B163"/>
  <c r="E29" i="4"/>
  <c r="E43" s="1"/>
  <c r="D30"/>
  <c r="D44" s="1"/>
  <c r="C31"/>
  <c r="C45" s="1"/>
  <c r="B32"/>
  <c r="B46" s="1"/>
  <c r="F32"/>
  <c r="F46" s="1"/>
  <c r="E34"/>
  <c r="E48" s="1"/>
  <c r="E76" s="1"/>
  <c r="D35"/>
  <c r="D49" s="1"/>
  <c r="C36"/>
  <c r="C50" s="1"/>
  <c r="B37"/>
  <c r="B51" s="1"/>
  <c r="F37"/>
  <c r="F51" s="1"/>
  <c r="E38"/>
  <c r="E52" s="1"/>
  <c r="D39"/>
  <c r="D53" s="1"/>
  <c r="C40"/>
  <c r="C54" s="1"/>
  <c r="B41"/>
  <c r="B55" s="1"/>
  <c r="B78" s="1"/>
  <c r="F41"/>
  <c r="F55" s="1"/>
  <c r="F78" s="1"/>
  <c r="E33"/>
  <c r="E47" s="1"/>
  <c r="E28"/>
  <c r="E42" s="1"/>
  <c r="B29"/>
  <c r="B43" s="1"/>
  <c r="F29"/>
  <c r="F43" s="1"/>
  <c r="E30"/>
  <c r="E44" s="1"/>
  <c r="D31"/>
  <c r="D45" s="1"/>
  <c r="C32"/>
  <c r="C46" s="1"/>
  <c r="B34"/>
  <c r="B48" s="1"/>
  <c r="B76" s="1"/>
  <c r="F34"/>
  <c r="F48" s="1"/>
  <c r="F76" s="1"/>
  <c r="E35"/>
  <c r="E49" s="1"/>
  <c r="D36"/>
  <c r="D50" s="1"/>
  <c r="C37"/>
  <c r="C51" s="1"/>
  <c r="B38"/>
  <c r="B52" s="1"/>
  <c r="F38"/>
  <c r="F52" s="1"/>
  <c r="E39"/>
  <c r="E53" s="1"/>
  <c r="D40"/>
  <c r="D54" s="1"/>
  <c r="C41"/>
  <c r="C55" s="1"/>
  <c r="C78" s="1"/>
  <c r="B33"/>
  <c r="B47" s="1"/>
  <c r="F33"/>
  <c r="F47" s="1"/>
  <c r="F28"/>
  <c r="F42" s="1"/>
  <c r="C29"/>
  <c r="C43" s="1"/>
  <c r="B30"/>
  <c r="B44" s="1"/>
  <c r="F30"/>
  <c r="F44" s="1"/>
  <c r="E31"/>
  <c r="E45" s="1"/>
  <c r="D32"/>
  <c r="D46" s="1"/>
  <c r="C34"/>
  <c r="C48" s="1"/>
  <c r="C76" s="1"/>
  <c r="B35"/>
  <c r="B49" s="1"/>
  <c r="F35"/>
  <c r="F49" s="1"/>
  <c r="E36"/>
  <c r="E50" s="1"/>
  <c r="D37"/>
  <c r="D51" s="1"/>
  <c r="C38"/>
  <c r="C52" s="1"/>
  <c r="B39"/>
  <c r="B53" s="1"/>
  <c r="F39"/>
  <c r="F53" s="1"/>
  <c r="E40"/>
  <c r="E54" s="1"/>
  <c r="D41"/>
  <c r="D55" s="1"/>
  <c r="D78" s="1"/>
  <c r="C33"/>
  <c r="C47" s="1"/>
  <c r="C28"/>
  <c r="C42" s="1"/>
  <c r="B28"/>
  <c r="B42" s="1"/>
  <c r="B31"/>
  <c r="B45" s="1"/>
  <c r="B36"/>
  <c r="B50" s="1"/>
  <c r="B40"/>
  <c r="B54" s="1"/>
  <c r="D28"/>
  <c r="D42" s="1"/>
  <c r="D384" i="5" l="1"/>
  <c r="D57"/>
  <c r="H57"/>
  <c r="L57"/>
  <c r="P57"/>
  <c r="T57"/>
  <c r="X57"/>
  <c r="AB57"/>
  <c r="AF57"/>
  <c r="AF107" s="1"/>
  <c r="AJ57"/>
  <c r="AN57"/>
  <c r="AN107" s="1"/>
  <c r="AR57"/>
  <c r="AV57"/>
  <c r="AV107" s="1"/>
  <c r="AZ57"/>
  <c r="BD57"/>
  <c r="BD107" s="1"/>
  <c r="BH57"/>
  <c r="F59"/>
  <c r="F116" s="1"/>
  <c r="J59"/>
  <c r="J116" s="1"/>
  <c r="N59"/>
  <c r="N116" s="1"/>
  <c r="R59"/>
  <c r="R116" s="1"/>
  <c r="V59"/>
  <c r="V116" s="1"/>
  <c r="Z59"/>
  <c r="Z116" s="1"/>
  <c r="AD59"/>
  <c r="AD116" s="1"/>
  <c r="AH59"/>
  <c r="AH116" s="1"/>
  <c r="AL59"/>
  <c r="AL116" s="1"/>
  <c r="AP59"/>
  <c r="AP116" s="1"/>
  <c r="AT59"/>
  <c r="AT116" s="1"/>
  <c r="AX59"/>
  <c r="AX116" s="1"/>
  <c r="BB59"/>
  <c r="BB116" s="1"/>
  <c r="BF59"/>
  <c r="BF116" s="1"/>
  <c r="AG59"/>
  <c r="AG116" s="1"/>
  <c r="AG114" s="1"/>
  <c r="B58"/>
  <c r="W59"/>
  <c r="W57" s="1"/>
  <c r="BC59"/>
  <c r="E616"/>
  <c r="B60"/>
  <c r="K59"/>
  <c r="K57" s="1"/>
  <c r="S59"/>
  <c r="AA59"/>
  <c r="AA57" s="1"/>
  <c r="AI59"/>
  <c r="AQ59"/>
  <c r="AQ57" s="1"/>
  <c r="AY59"/>
  <c r="BG59"/>
  <c r="BG57" s="1"/>
  <c r="B63"/>
  <c r="Y59"/>
  <c r="Y57" s="1"/>
  <c r="BE59"/>
  <c r="B62"/>
  <c r="BJ59"/>
  <c r="BJ116" s="1"/>
  <c r="BJ114" s="1"/>
  <c r="E59"/>
  <c r="E57" s="1"/>
  <c r="M59"/>
  <c r="U59"/>
  <c r="U57" s="1"/>
  <c r="AC59"/>
  <c r="AK59"/>
  <c r="AK57" s="1"/>
  <c r="AS59"/>
  <c r="BA59"/>
  <c r="BA57" s="1"/>
  <c r="BI59"/>
  <c r="E1172"/>
  <c r="E1056"/>
  <c r="O59"/>
  <c r="O117"/>
  <c r="AE59"/>
  <c r="AE117"/>
  <c r="AU59"/>
  <c r="AU117"/>
  <c r="W64" i="7"/>
  <c r="J7" s="1"/>
  <c r="J6"/>
  <c r="W40"/>
  <c r="F7" s="1"/>
  <c r="F6"/>
  <c r="W58"/>
  <c r="I7" s="1"/>
  <c r="I6"/>
  <c r="W52"/>
  <c r="H7" s="1"/>
  <c r="H6"/>
  <c r="W70"/>
  <c r="K7" s="1"/>
  <c r="K6"/>
  <c r="W46"/>
  <c r="G7" s="1"/>
  <c r="G6"/>
  <c r="E8"/>
  <c r="E9" s="1"/>
  <c r="B349" i="5"/>
  <c r="D152"/>
  <c r="B392"/>
  <c r="H810"/>
  <c r="L810"/>
  <c r="P810"/>
  <c r="T810"/>
  <c r="X810"/>
  <c r="AB810"/>
  <c r="AF810"/>
  <c r="AJ810"/>
  <c r="AN810"/>
  <c r="AR810"/>
  <c r="AV810"/>
  <c r="AZ810"/>
  <c r="BD810"/>
  <c r="BH810"/>
  <c r="B856"/>
  <c r="B859"/>
  <c r="B975"/>
  <c r="O810"/>
  <c r="W810"/>
  <c r="AE810"/>
  <c r="AM810"/>
  <c r="AU810"/>
  <c r="BC810"/>
  <c r="D1042"/>
  <c r="H1042"/>
  <c r="L1042"/>
  <c r="P1042"/>
  <c r="T1042"/>
  <c r="X1042"/>
  <c r="AB1042"/>
  <c r="AF1042"/>
  <c r="AJ1042"/>
  <c r="AN1042"/>
  <c r="AR1042"/>
  <c r="AV1042"/>
  <c r="AZ1042"/>
  <c r="BD1042"/>
  <c r="BH1042"/>
  <c r="O1042"/>
  <c r="W1042"/>
  <c r="AE1042"/>
  <c r="C940"/>
  <c r="B1159"/>
  <c r="K5" s="1"/>
  <c r="C1257" s="1"/>
  <c r="W27" i="7"/>
  <c r="D5"/>
  <c r="C5"/>
  <c r="W21"/>
  <c r="W15"/>
  <c r="B5"/>
  <c r="J8"/>
  <c r="F8"/>
  <c r="I8"/>
  <c r="H8"/>
  <c r="K8"/>
  <c r="G8"/>
  <c r="W34"/>
  <c r="E7" s="1"/>
  <c r="E6"/>
  <c r="B117" i="5"/>
  <c r="B579"/>
  <c r="F5" s="1"/>
  <c r="C1252" s="1"/>
  <c r="C708"/>
  <c r="J926"/>
  <c r="N926"/>
  <c r="R926"/>
  <c r="V926"/>
  <c r="Z926"/>
  <c r="AD926"/>
  <c r="AH926"/>
  <c r="AL926"/>
  <c r="AP926"/>
  <c r="AT926"/>
  <c r="AX926"/>
  <c r="BB926"/>
  <c r="BF926"/>
  <c r="BJ926"/>
  <c r="I1042"/>
  <c r="M1042"/>
  <c r="Q1042"/>
  <c r="U1042"/>
  <c r="Y1042"/>
  <c r="AC1042"/>
  <c r="AG1042"/>
  <c r="AK1042"/>
  <c r="AO1042"/>
  <c r="AS1042"/>
  <c r="AW1042"/>
  <c r="BA1042"/>
  <c r="BE1042"/>
  <c r="BI1042"/>
  <c r="B348"/>
  <c r="D6" s="1"/>
  <c r="D1250" s="1"/>
  <c r="D7"/>
  <c r="C1270"/>
  <c r="B580"/>
  <c r="F6" s="1"/>
  <c r="D1252" s="1"/>
  <c r="F7"/>
  <c r="B116"/>
  <c r="B6" s="1"/>
  <c r="D1248" s="1"/>
  <c r="B7"/>
  <c r="C1265"/>
  <c r="K14"/>
  <c r="G1257" s="1"/>
  <c r="G594"/>
  <c r="H537"/>
  <c r="G552"/>
  <c r="C494"/>
  <c r="Z280"/>
  <c r="Z277"/>
  <c r="AP280"/>
  <c r="AP277"/>
  <c r="BF280"/>
  <c r="BF277"/>
  <c r="C485"/>
  <c r="D428"/>
  <c r="C433"/>
  <c r="F121"/>
  <c r="G64"/>
  <c r="B64"/>
  <c r="Z336"/>
  <c r="Z339"/>
  <c r="AD336"/>
  <c r="AD339"/>
  <c r="AH336"/>
  <c r="AH339"/>
  <c r="AL336"/>
  <c r="AL339"/>
  <c r="AP336"/>
  <c r="AP339"/>
  <c r="AT336"/>
  <c r="AT339"/>
  <c r="AX336"/>
  <c r="AX339"/>
  <c r="BB336"/>
  <c r="BB339"/>
  <c r="BF336"/>
  <c r="BF339"/>
  <c r="B464"/>
  <c r="E6" s="1"/>
  <c r="D1251" s="1"/>
  <c r="E7"/>
  <c r="AA509"/>
  <c r="AA512"/>
  <c r="AE509"/>
  <c r="AE512"/>
  <c r="AI509"/>
  <c r="AI512"/>
  <c r="AM509"/>
  <c r="AM512"/>
  <c r="AQ509"/>
  <c r="AQ512"/>
  <c r="AU509"/>
  <c r="AU512"/>
  <c r="AY509"/>
  <c r="AY512"/>
  <c r="BC509"/>
  <c r="BC512"/>
  <c r="BG509"/>
  <c r="BG512"/>
  <c r="E474"/>
  <c r="E471" s="1"/>
  <c r="F417"/>
  <c r="E414"/>
  <c r="E422"/>
  <c r="C618"/>
  <c r="X568"/>
  <c r="X571"/>
  <c r="AD568"/>
  <c r="AD571"/>
  <c r="AF568"/>
  <c r="AF571"/>
  <c r="AL568"/>
  <c r="AL571"/>
  <c r="AN568"/>
  <c r="AN571"/>
  <c r="AR568"/>
  <c r="AR571"/>
  <c r="AV568"/>
  <c r="AV571"/>
  <c r="AZ568"/>
  <c r="AZ571"/>
  <c r="BD568"/>
  <c r="BD571"/>
  <c r="BH568"/>
  <c r="BH571"/>
  <c r="BJ625"/>
  <c r="BJ628"/>
  <c r="AJ245"/>
  <c r="AJ244" s="1"/>
  <c r="AJ187"/>
  <c r="C270"/>
  <c r="E599"/>
  <c r="F542"/>
  <c r="E547"/>
  <c r="D104"/>
  <c r="D107"/>
  <c r="AB104"/>
  <c r="AB107"/>
  <c r="AF104"/>
  <c r="AJ104"/>
  <c r="AJ107"/>
  <c r="AN104"/>
  <c r="AR104"/>
  <c r="AR107"/>
  <c r="AV104"/>
  <c r="AZ104"/>
  <c r="AZ107"/>
  <c r="BD104"/>
  <c r="BH104"/>
  <c r="BH107"/>
  <c r="Q116"/>
  <c r="Q114" s="1"/>
  <c r="Q57"/>
  <c r="AW116"/>
  <c r="AW114" s="1"/>
  <c r="AW57"/>
  <c r="AP223"/>
  <c r="AP220"/>
  <c r="W116"/>
  <c r="W114" s="1"/>
  <c r="BC116"/>
  <c r="BC114" s="1"/>
  <c r="BC57"/>
  <c r="X232"/>
  <c r="X230" s="1"/>
  <c r="X173"/>
  <c r="BD232"/>
  <c r="BD230" s="1"/>
  <c r="BD173"/>
  <c r="D601"/>
  <c r="E544"/>
  <c r="D549"/>
  <c r="AG74"/>
  <c r="AG131" s="1"/>
  <c r="F131"/>
  <c r="F89"/>
  <c r="AE339"/>
  <c r="AE336"/>
  <c r="AM396"/>
  <c r="AM393"/>
  <c r="BC396"/>
  <c r="BC393"/>
  <c r="AI421"/>
  <c r="AI478" s="1"/>
  <c r="F478"/>
  <c r="F436"/>
  <c r="G580"/>
  <c r="O580"/>
  <c r="O578" s="1"/>
  <c r="O521"/>
  <c r="W580"/>
  <c r="W578" s="1"/>
  <c r="W521"/>
  <c r="AE580"/>
  <c r="AE578" s="1"/>
  <c r="AE521"/>
  <c r="AM580"/>
  <c r="AM578" s="1"/>
  <c r="AM521"/>
  <c r="AU580"/>
  <c r="AU578" s="1"/>
  <c r="AU521"/>
  <c r="BC580"/>
  <c r="BC578" s="1"/>
  <c r="BC521"/>
  <c r="N232"/>
  <c r="N230" s="1"/>
  <c r="N173"/>
  <c r="AD232"/>
  <c r="AD230" s="1"/>
  <c r="AD173"/>
  <c r="AT232"/>
  <c r="AT230" s="1"/>
  <c r="AT173"/>
  <c r="BJ232"/>
  <c r="BJ230" s="1"/>
  <c r="BJ173"/>
  <c r="E251"/>
  <c r="F194"/>
  <c r="E199"/>
  <c r="C253"/>
  <c r="D196"/>
  <c r="C201"/>
  <c r="S348"/>
  <c r="S346" s="1"/>
  <c r="S289"/>
  <c r="AI348"/>
  <c r="AI346" s="1"/>
  <c r="AI289"/>
  <c r="AY348"/>
  <c r="AY346" s="1"/>
  <c r="AY289"/>
  <c r="D464"/>
  <c r="D462" s="1"/>
  <c r="D405"/>
  <c r="T464"/>
  <c r="T462" s="1"/>
  <c r="T405"/>
  <c r="AJ464"/>
  <c r="AJ462" s="1"/>
  <c r="AJ405"/>
  <c r="AZ464"/>
  <c r="AZ462" s="1"/>
  <c r="AZ405"/>
  <c r="AN512"/>
  <c r="AN509"/>
  <c r="BD512"/>
  <c r="BD509"/>
  <c r="G710"/>
  <c r="G668"/>
  <c r="G725" s="1"/>
  <c r="H653"/>
  <c r="J696"/>
  <c r="J694" s="1"/>
  <c r="J637"/>
  <c r="Z696"/>
  <c r="Z694" s="1"/>
  <c r="Z637"/>
  <c r="AP696"/>
  <c r="AP694" s="1"/>
  <c r="AP637"/>
  <c r="F358"/>
  <c r="G301"/>
  <c r="G306" s="1"/>
  <c r="F306"/>
  <c r="F298"/>
  <c r="B463"/>
  <c r="E5" s="1"/>
  <c r="C1251" s="1"/>
  <c r="C462"/>
  <c r="E559"/>
  <c r="E561"/>
  <c r="E585"/>
  <c r="F528"/>
  <c r="C116"/>
  <c r="C114" s="1"/>
  <c r="C57"/>
  <c r="B231"/>
  <c r="C5" s="1"/>
  <c r="C1249" s="1"/>
  <c r="C230"/>
  <c r="W277"/>
  <c r="W280"/>
  <c r="AA277"/>
  <c r="AA280"/>
  <c r="AE277"/>
  <c r="AE280"/>
  <c r="AI277"/>
  <c r="AI280"/>
  <c r="AM277"/>
  <c r="AM280"/>
  <c r="AQ277"/>
  <c r="AQ280"/>
  <c r="AU277"/>
  <c r="AU280"/>
  <c r="AY277"/>
  <c r="AY280"/>
  <c r="BC277"/>
  <c r="BC280"/>
  <c r="BG277"/>
  <c r="BG280"/>
  <c r="C263"/>
  <c r="I191"/>
  <c r="H248"/>
  <c r="H206"/>
  <c r="H263" s="1"/>
  <c r="G376"/>
  <c r="H364"/>
  <c r="I307"/>
  <c r="H322"/>
  <c r="H379" s="1"/>
  <c r="C684"/>
  <c r="C687"/>
  <c r="B695"/>
  <c r="G5" s="1"/>
  <c r="C1253" s="1"/>
  <c r="C694"/>
  <c r="Y744"/>
  <c r="Y741"/>
  <c r="AC744"/>
  <c r="AC741"/>
  <c r="AG744"/>
  <c r="AG741"/>
  <c r="AK744"/>
  <c r="AK741"/>
  <c r="AO744"/>
  <c r="AO741"/>
  <c r="AS744"/>
  <c r="AS741"/>
  <c r="AW744"/>
  <c r="AW741"/>
  <c r="BA744"/>
  <c r="BA741"/>
  <c r="BE744"/>
  <c r="BE741"/>
  <c r="BI744"/>
  <c r="BI741"/>
  <c r="G705"/>
  <c r="B705" s="1"/>
  <c r="G15" s="1"/>
  <c r="B648"/>
  <c r="E658" s="1"/>
  <c r="E376"/>
  <c r="E318"/>
  <c r="E328" s="1"/>
  <c r="E608"/>
  <c r="E607" s="1"/>
  <c r="E617" s="1"/>
  <c r="E550"/>
  <c r="E560" s="1"/>
  <c r="I655"/>
  <c r="H712"/>
  <c r="H670"/>
  <c r="H727" s="1"/>
  <c r="G817"/>
  <c r="B817" s="1"/>
  <c r="B760"/>
  <c r="Y116"/>
  <c r="Y114" s="1"/>
  <c r="BE116"/>
  <c r="BE114" s="1"/>
  <c r="BE57"/>
  <c r="AH223"/>
  <c r="AH220"/>
  <c r="AF232"/>
  <c r="AF230" s="1"/>
  <c r="AF173"/>
  <c r="AM339"/>
  <c r="AM336"/>
  <c r="AI419"/>
  <c r="AI477"/>
  <c r="AI476" s="1"/>
  <c r="E483"/>
  <c r="F426"/>
  <c r="E431"/>
  <c r="I423"/>
  <c r="H480"/>
  <c r="H438"/>
  <c r="H495" s="1"/>
  <c r="C495"/>
  <c r="D232"/>
  <c r="D230" s="1"/>
  <c r="D173"/>
  <c r="L232"/>
  <c r="L230" s="1"/>
  <c r="L173"/>
  <c r="T232"/>
  <c r="T230" s="1"/>
  <c r="T173"/>
  <c r="AB232"/>
  <c r="AB230" s="1"/>
  <c r="AB173"/>
  <c r="AJ232"/>
  <c r="AJ230" s="1"/>
  <c r="AJ173"/>
  <c r="AR232"/>
  <c r="AR230" s="1"/>
  <c r="AR173"/>
  <c r="AZ232"/>
  <c r="AZ230" s="1"/>
  <c r="AZ173"/>
  <c r="BH232"/>
  <c r="BH230" s="1"/>
  <c r="BH173"/>
  <c r="G240"/>
  <c r="G241"/>
  <c r="B241" s="1"/>
  <c r="C15" s="1"/>
  <c r="G189"/>
  <c r="E247"/>
  <c r="E244" s="1"/>
  <c r="AH190"/>
  <c r="AH247" s="1"/>
  <c r="E205"/>
  <c r="AI361"/>
  <c r="AI360" s="1"/>
  <c r="AI303"/>
  <c r="C722"/>
  <c r="AT696"/>
  <c r="AT694" s="1"/>
  <c r="AT637"/>
  <c r="G11"/>
  <c r="E1253" s="1"/>
  <c r="AF696"/>
  <c r="AF694" s="1"/>
  <c r="AF637"/>
  <c r="F942"/>
  <c r="AI885"/>
  <c r="AI942" s="1"/>
  <c r="F900"/>
  <c r="AH770"/>
  <c r="AH827" s="1"/>
  <c r="E827"/>
  <c r="E785"/>
  <c r="E842" s="1"/>
  <c r="E839" s="1"/>
  <c r="E849" s="1"/>
  <c r="C843"/>
  <c r="E956"/>
  <c r="F1072"/>
  <c r="G1160"/>
  <c r="W1160"/>
  <c r="W1158" s="1"/>
  <c r="W1101"/>
  <c r="AM1160"/>
  <c r="AM1158" s="1"/>
  <c r="AM1101"/>
  <c r="BC1160"/>
  <c r="BC1158" s="1"/>
  <c r="BC1101"/>
  <c r="H596"/>
  <c r="I539"/>
  <c r="H554"/>
  <c r="H611" s="1"/>
  <c r="F709"/>
  <c r="F667"/>
  <c r="AI652"/>
  <c r="C378"/>
  <c r="D369"/>
  <c r="E312"/>
  <c r="D317"/>
  <c r="C502"/>
  <c r="D696"/>
  <c r="D694" s="1"/>
  <c r="D637"/>
  <c r="L696"/>
  <c r="L694" s="1"/>
  <c r="L637"/>
  <c r="T696"/>
  <c r="T694" s="1"/>
  <c r="T637"/>
  <c r="AB696"/>
  <c r="AB694" s="1"/>
  <c r="AB637"/>
  <c r="AJ696"/>
  <c r="AJ694" s="1"/>
  <c r="AJ637"/>
  <c r="AR696"/>
  <c r="AR694" s="1"/>
  <c r="AR637"/>
  <c r="AZ696"/>
  <c r="AZ694" s="1"/>
  <c r="AZ637"/>
  <c r="BH696"/>
  <c r="BH694" s="1"/>
  <c r="BH637"/>
  <c r="X860"/>
  <c r="X857"/>
  <c r="AB860"/>
  <c r="AB857"/>
  <c r="AF860"/>
  <c r="AF857"/>
  <c r="AJ860"/>
  <c r="AJ857"/>
  <c r="AN860"/>
  <c r="AN857"/>
  <c r="AR860"/>
  <c r="AR857"/>
  <c r="AV860"/>
  <c r="AV857"/>
  <c r="AZ860"/>
  <c r="AZ857"/>
  <c r="BD860"/>
  <c r="BD857"/>
  <c r="BH860"/>
  <c r="BH857"/>
  <c r="U919"/>
  <c r="U916"/>
  <c r="Y919"/>
  <c r="Y916"/>
  <c r="AC919"/>
  <c r="AC916"/>
  <c r="AG919"/>
  <c r="AG916"/>
  <c r="AK919"/>
  <c r="AK916"/>
  <c r="AO919"/>
  <c r="AO916"/>
  <c r="AS919"/>
  <c r="AS916"/>
  <c r="AW919"/>
  <c r="AW916"/>
  <c r="BA919"/>
  <c r="BA916"/>
  <c r="BE919"/>
  <c r="BE916"/>
  <c r="BI919"/>
  <c r="BI916"/>
  <c r="H944"/>
  <c r="I887"/>
  <c r="H902"/>
  <c r="B811"/>
  <c r="H5" s="1"/>
  <c r="C1254" s="1"/>
  <c r="C810"/>
  <c r="W857"/>
  <c r="W860"/>
  <c r="AA857"/>
  <c r="AA860"/>
  <c r="AE857"/>
  <c r="AE860"/>
  <c r="AI857"/>
  <c r="AI860"/>
  <c r="AM857"/>
  <c r="AM860"/>
  <c r="AQ857"/>
  <c r="AQ860"/>
  <c r="AU857"/>
  <c r="AU860"/>
  <c r="AY857"/>
  <c r="AY860"/>
  <c r="BC857"/>
  <c r="BC860"/>
  <c r="BG857"/>
  <c r="BG860"/>
  <c r="D916"/>
  <c r="D919"/>
  <c r="T916"/>
  <c r="T919"/>
  <c r="X916"/>
  <c r="X919"/>
  <c r="AB916"/>
  <c r="AB919"/>
  <c r="AF916"/>
  <c r="AF919"/>
  <c r="AJ916"/>
  <c r="AJ919"/>
  <c r="AN916"/>
  <c r="AN919"/>
  <c r="AR916"/>
  <c r="AR919"/>
  <c r="AV916"/>
  <c r="AV919"/>
  <c r="AZ916"/>
  <c r="AZ919"/>
  <c r="BD916"/>
  <c r="BD919"/>
  <c r="BH916"/>
  <c r="BH919"/>
  <c r="AJ883"/>
  <c r="AJ941"/>
  <c r="AJ940" s="1"/>
  <c r="X1092"/>
  <c r="X1089"/>
  <c r="AB1092"/>
  <c r="AB1089"/>
  <c r="AF1092"/>
  <c r="AF1089"/>
  <c r="AJ1092"/>
  <c r="AJ1089"/>
  <c r="AN1092"/>
  <c r="AN1089"/>
  <c r="AR1092"/>
  <c r="AR1089"/>
  <c r="AV1092"/>
  <c r="AV1089"/>
  <c r="AZ1092"/>
  <c r="AZ1089"/>
  <c r="BD1092"/>
  <c r="BD1089"/>
  <c r="BH1092"/>
  <c r="BH1089"/>
  <c r="E1051"/>
  <c r="H1057"/>
  <c r="I1000"/>
  <c r="H1015"/>
  <c r="C1032"/>
  <c r="C1035"/>
  <c r="B1043"/>
  <c r="J5" s="1"/>
  <c r="C1256" s="1"/>
  <c r="C1042"/>
  <c r="W1089"/>
  <c r="W1092"/>
  <c r="AA1089"/>
  <c r="AA1092"/>
  <c r="AE1089"/>
  <c r="AE1092"/>
  <c r="AI1089"/>
  <c r="AI1092"/>
  <c r="AM1089"/>
  <c r="AM1092"/>
  <c r="AQ1089"/>
  <c r="AQ1092"/>
  <c r="AU1089"/>
  <c r="AU1092"/>
  <c r="AY1089"/>
  <c r="AY1092"/>
  <c r="BC1089"/>
  <c r="BC1092"/>
  <c r="BG1089"/>
  <c r="BG1092"/>
  <c r="E1165"/>
  <c r="F1108"/>
  <c r="X1208"/>
  <c r="X1205"/>
  <c r="Z1208"/>
  <c r="Z1205"/>
  <c r="AF1208"/>
  <c r="AF1205"/>
  <c r="AH1208"/>
  <c r="AH1205"/>
  <c r="AN1208"/>
  <c r="AN1205"/>
  <c r="AP1208"/>
  <c r="AP1205"/>
  <c r="AV1208"/>
  <c r="AV1205"/>
  <c r="AX1208"/>
  <c r="AX1205"/>
  <c r="BD1208"/>
  <c r="BD1205"/>
  <c r="BF1208"/>
  <c r="BF1205"/>
  <c r="BJ1208"/>
  <c r="BJ1205"/>
  <c r="E1188"/>
  <c r="E1130"/>
  <c r="E1140" s="1"/>
  <c r="F696"/>
  <c r="F694" s="1"/>
  <c r="F637"/>
  <c r="AL696"/>
  <c r="AL694" s="1"/>
  <c r="AL637"/>
  <c r="X696"/>
  <c r="X694" s="1"/>
  <c r="X637"/>
  <c r="BD696"/>
  <c r="BD694" s="1"/>
  <c r="BD637"/>
  <c r="C1065"/>
  <c r="D1008"/>
  <c r="C1013"/>
  <c r="C1075"/>
  <c r="AG1118"/>
  <c r="AG1175" s="1"/>
  <c r="F1175"/>
  <c r="F1172" s="1"/>
  <c r="F1115"/>
  <c r="F1133"/>
  <c r="S1160"/>
  <c r="S1158" s="1"/>
  <c r="S1101"/>
  <c r="AI1160"/>
  <c r="AI1158" s="1"/>
  <c r="AI1101"/>
  <c r="AY1160"/>
  <c r="AY1158" s="1"/>
  <c r="AY1101"/>
  <c r="E1160"/>
  <c r="E1158" s="1"/>
  <c r="E1101"/>
  <c r="M1160"/>
  <c r="M1158" s="1"/>
  <c r="M1101"/>
  <c r="U1160"/>
  <c r="U1158" s="1"/>
  <c r="U1101"/>
  <c r="AC1160"/>
  <c r="AC1158" s="1"/>
  <c r="AC1101"/>
  <c r="AK1160"/>
  <c r="AK1158" s="1"/>
  <c r="AK1101"/>
  <c r="AS1160"/>
  <c r="AS1158" s="1"/>
  <c r="AS1101"/>
  <c r="BA1160"/>
  <c r="BA1158" s="1"/>
  <c r="BA1101"/>
  <c r="BI1160"/>
  <c r="BI1158" s="1"/>
  <c r="BI1101"/>
  <c r="AF455"/>
  <c r="AF452"/>
  <c r="AV455"/>
  <c r="AV452"/>
  <c r="E492"/>
  <c r="AJ477"/>
  <c r="AJ476" s="1"/>
  <c r="AJ419"/>
  <c r="AH654"/>
  <c r="AH711" s="1"/>
  <c r="E711"/>
  <c r="E669"/>
  <c r="E726" s="1"/>
  <c r="E723" s="1"/>
  <c r="E733" s="1"/>
  <c r="F464"/>
  <c r="F462" s="1"/>
  <c r="F405"/>
  <c r="J464"/>
  <c r="J462" s="1"/>
  <c r="J405"/>
  <c r="N464"/>
  <c r="N462" s="1"/>
  <c r="N405"/>
  <c r="R464"/>
  <c r="R462" s="1"/>
  <c r="R405"/>
  <c r="V464"/>
  <c r="V462" s="1"/>
  <c r="V405"/>
  <c r="Z464"/>
  <c r="Z462" s="1"/>
  <c r="Z405"/>
  <c r="AD464"/>
  <c r="AD462" s="1"/>
  <c r="AD405"/>
  <c r="AH464"/>
  <c r="AH462" s="1"/>
  <c r="AH405"/>
  <c r="AL464"/>
  <c r="AL462" s="1"/>
  <c r="AL405"/>
  <c r="AP464"/>
  <c r="AP462" s="1"/>
  <c r="AP405"/>
  <c r="AT464"/>
  <c r="AT462" s="1"/>
  <c r="AT405"/>
  <c r="AX464"/>
  <c r="AX462" s="1"/>
  <c r="AX405"/>
  <c r="BB464"/>
  <c r="BB462" s="1"/>
  <c r="BB405"/>
  <c r="BF464"/>
  <c r="BF462" s="1"/>
  <c r="BF405"/>
  <c r="BJ464"/>
  <c r="BJ462" s="1"/>
  <c r="BJ405"/>
  <c r="E580"/>
  <c r="E578" s="1"/>
  <c r="E521"/>
  <c r="I580"/>
  <c r="I578" s="1"/>
  <c r="I521"/>
  <c r="M580"/>
  <c r="M578" s="1"/>
  <c r="M521"/>
  <c r="Q580"/>
  <c r="Q578" s="1"/>
  <c r="Q521"/>
  <c r="U580"/>
  <c r="U578" s="1"/>
  <c r="U521"/>
  <c r="Y580"/>
  <c r="Y578" s="1"/>
  <c r="Y521"/>
  <c r="AC580"/>
  <c r="AC578" s="1"/>
  <c r="AC521"/>
  <c r="AG580"/>
  <c r="AG578" s="1"/>
  <c r="AG521"/>
  <c r="AK580"/>
  <c r="AK578" s="1"/>
  <c r="AK521"/>
  <c r="AO580"/>
  <c r="AO578" s="1"/>
  <c r="AO521"/>
  <c r="AS580"/>
  <c r="AS578" s="1"/>
  <c r="AS521"/>
  <c r="AW580"/>
  <c r="AW578" s="1"/>
  <c r="AW521"/>
  <c r="BA580"/>
  <c r="BA578" s="1"/>
  <c r="BA521"/>
  <c r="BE580"/>
  <c r="BE578" s="1"/>
  <c r="BE521"/>
  <c r="BI580"/>
  <c r="BI578" s="1"/>
  <c r="BI521"/>
  <c r="H593"/>
  <c r="I536"/>
  <c r="H551"/>
  <c r="V860"/>
  <c r="V857"/>
  <c r="Z860"/>
  <c r="Z857"/>
  <c r="AD860"/>
  <c r="AD857"/>
  <c r="AH860"/>
  <c r="AH857"/>
  <c r="AL860"/>
  <c r="AL857"/>
  <c r="AP860"/>
  <c r="AP857"/>
  <c r="AT860"/>
  <c r="AT857"/>
  <c r="AX860"/>
  <c r="AX857"/>
  <c r="BB860"/>
  <c r="BB857"/>
  <c r="BF860"/>
  <c r="BF857"/>
  <c r="BJ860"/>
  <c r="BJ857"/>
  <c r="S976"/>
  <c r="S973"/>
  <c r="W976"/>
  <c r="W973"/>
  <c r="AA976"/>
  <c r="AA973"/>
  <c r="AE976"/>
  <c r="AE973"/>
  <c r="AI976"/>
  <c r="AI973"/>
  <c r="AM976"/>
  <c r="AM973"/>
  <c r="AQ976"/>
  <c r="AQ973"/>
  <c r="AU976"/>
  <c r="AU973"/>
  <c r="AY976"/>
  <c r="AY973"/>
  <c r="BC976"/>
  <c r="BC973"/>
  <c r="BG976"/>
  <c r="BG973"/>
  <c r="F933"/>
  <c r="G876"/>
  <c r="E878"/>
  <c r="E938"/>
  <c r="F881"/>
  <c r="E886"/>
  <c r="F886"/>
  <c r="F883" s="1"/>
  <c r="AI941"/>
  <c r="AI940" s="1"/>
  <c r="AI883"/>
  <c r="G821"/>
  <c r="B821" s="1"/>
  <c r="H15" s="1"/>
  <c r="B764"/>
  <c r="E774" s="1"/>
  <c r="G769"/>
  <c r="E822"/>
  <c r="E819" s="1"/>
  <c r="F765"/>
  <c r="E762"/>
  <c r="F770"/>
  <c r="D791"/>
  <c r="D793"/>
  <c r="I771"/>
  <c r="H828"/>
  <c r="H786"/>
  <c r="H843" s="1"/>
  <c r="V916"/>
  <c r="V919"/>
  <c r="Z916"/>
  <c r="Z919"/>
  <c r="AD916"/>
  <c r="AD919"/>
  <c r="AH916"/>
  <c r="AH919"/>
  <c r="AL916"/>
  <c r="AL919"/>
  <c r="AP916"/>
  <c r="AP919"/>
  <c r="AT916"/>
  <c r="AT919"/>
  <c r="AX916"/>
  <c r="AX919"/>
  <c r="BB916"/>
  <c r="BB919"/>
  <c r="BF916"/>
  <c r="BF919"/>
  <c r="BJ916"/>
  <c r="BJ919"/>
  <c r="E1049"/>
  <c r="F992"/>
  <c r="I1176"/>
  <c r="J1119"/>
  <c r="I1134"/>
  <c r="I1191" s="1"/>
  <c r="Y1032"/>
  <c r="Y1035"/>
  <c r="AC1032"/>
  <c r="AC1035"/>
  <c r="AG1032"/>
  <c r="AG1035"/>
  <c r="AK1032"/>
  <c r="AK1035"/>
  <c r="AO1032"/>
  <c r="AO1035"/>
  <c r="AS1032"/>
  <c r="AS1035"/>
  <c r="AW1032"/>
  <c r="AW1035"/>
  <c r="BA1032"/>
  <c r="BA1035"/>
  <c r="BE1032"/>
  <c r="BE1035"/>
  <c r="BI1032"/>
  <c r="BI1035"/>
  <c r="I1003"/>
  <c r="H1060"/>
  <c r="H1018"/>
  <c r="H1075" s="1"/>
  <c r="E1179"/>
  <c r="E1127"/>
  <c r="F1122"/>
  <c r="E1121"/>
  <c r="F1170"/>
  <c r="G1113"/>
  <c r="F1110"/>
  <c r="E1139"/>
  <c r="E1141"/>
  <c r="H1174"/>
  <c r="I1117"/>
  <c r="H1132"/>
  <c r="I1116"/>
  <c r="H1173"/>
  <c r="H1131"/>
  <c r="D318"/>
  <c r="D328" s="1"/>
  <c r="H346"/>
  <c r="P346"/>
  <c r="C405"/>
  <c r="I462"/>
  <c r="Q462"/>
  <c r="J578"/>
  <c r="L578"/>
  <c r="R578"/>
  <c r="T578"/>
  <c r="B276"/>
  <c r="B279"/>
  <c r="B356"/>
  <c r="B624"/>
  <c r="D289"/>
  <c r="B291"/>
  <c r="L346"/>
  <c r="T346"/>
  <c r="X346"/>
  <c r="AB346"/>
  <c r="AF346"/>
  <c r="AJ346"/>
  <c r="AN346"/>
  <c r="AR346"/>
  <c r="AV346"/>
  <c r="AZ346"/>
  <c r="BD346"/>
  <c r="BH346"/>
  <c r="BJ346"/>
  <c r="E405"/>
  <c r="M405"/>
  <c r="U405"/>
  <c r="Y405"/>
  <c r="AC405"/>
  <c r="AG405"/>
  <c r="AK405"/>
  <c r="AO405"/>
  <c r="AS405"/>
  <c r="AW405"/>
  <c r="BA405"/>
  <c r="BE405"/>
  <c r="BI405"/>
  <c r="C592"/>
  <c r="C616" s="1"/>
  <c r="D521"/>
  <c r="B523"/>
  <c r="Z578"/>
  <c r="AB578"/>
  <c r="AH578"/>
  <c r="AJ578"/>
  <c r="AP578"/>
  <c r="AT578"/>
  <c r="AX578"/>
  <c r="BB578"/>
  <c r="BF578"/>
  <c r="F114"/>
  <c r="J114"/>
  <c r="N114"/>
  <c r="R114"/>
  <c r="V114"/>
  <c r="Z114"/>
  <c r="AD114"/>
  <c r="AH114"/>
  <c r="AL114"/>
  <c r="AP114"/>
  <c r="AT114"/>
  <c r="AX114"/>
  <c r="BB114"/>
  <c r="BF114"/>
  <c r="E230"/>
  <c r="I230"/>
  <c r="M230"/>
  <c r="Q230"/>
  <c r="U230"/>
  <c r="Y230"/>
  <c r="AC230"/>
  <c r="AG230"/>
  <c r="AK230"/>
  <c r="AO230"/>
  <c r="AS230"/>
  <c r="AW230"/>
  <c r="BA230"/>
  <c r="BE230"/>
  <c r="BI230"/>
  <c r="B175"/>
  <c r="B395"/>
  <c r="B697"/>
  <c r="K694"/>
  <c r="S694"/>
  <c r="W694"/>
  <c r="AA694"/>
  <c r="AE694"/>
  <c r="AI694"/>
  <c r="AM694"/>
  <c r="AQ694"/>
  <c r="AU694"/>
  <c r="AY694"/>
  <c r="BC694"/>
  <c r="BG694"/>
  <c r="E708"/>
  <c r="C318"/>
  <c r="C328" s="1"/>
  <c r="E824"/>
  <c r="D782"/>
  <c r="D792" s="1"/>
  <c r="D964"/>
  <c r="G810"/>
  <c r="B755"/>
  <c r="B987"/>
  <c r="B1052"/>
  <c r="B1204"/>
  <c r="E1196"/>
  <c r="G694"/>
  <c r="O694"/>
  <c r="D434"/>
  <c r="D444" s="1"/>
  <c r="F810"/>
  <c r="B929"/>
  <c r="B871"/>
  <c r="E810"/>
  <c r="I810"/>
  <c r="M810"/>
  <c r="Q810"/>
  <c r="U810"/>
  <c r="Y810"/>
  <c r="AC810"/>
  <c r="AG810"/>
  <c r="AK810"/>
  <c r="AO810"/>
  <c r="AS810"/>
  <c r="AW810"/>
  <c r="BA810"/>
  <c r="BE810"/>
  <c r="BI810"/>
  <c r="F869"/>
  <c r="J1042"/>
  <c r="N1042"/>
  <c r="R1042"/>
  <c r="V1042"/>
  <c r="Z1042"/>
  <c r="AD1042"/>
  <c r="AH1042"/>
  <c r="AL1042"/>
  <c r="AP1042"/>
  <c r="AT1042"/>
  <c r="AX1042"/>
  <c r="BB1042"/>
  <c r="BF1042"/>
  <c r="BJ1042"/>
  <c r="D1071"/>
  <c r="D1081" s="1"/>
  <c r="B1088"/>
  <c r="C1056"/>
  <c r="E985"/>
  <c r="E1014"/>
  <c r="E1024" s="1"/>
  <c r="D1130"/>
  <c r="D1140" s="1"/>
  <c r="D1101"/>
  <c r="F1101"/>
  <c r="L1101"/>
  <c r="N1101"/>
  <c r="T1101"/>
  <c r="V1101"/>
  <c r="AB1101"/>
  <c r="AD1101"/>
  <c r="AJ1101"/>
  <c r="AL1101"/>
  <c r="AR1101"/>
  <c r="AT1101"/>
  <c r="AZ1101"/>
  <c r="BB1101"/>
  <c r="BH1101"/>
  <c r="AH280"/>
  <c r="AH277"/>
  <c r="AX280"/>
  <c r="AX277"/>
  <c r="Z393"/>
  <c r="Z396"/>
  <c r="AD393"/>
  <c r="AD396"/>
  <c r="AH393"/>
  <c r="AH396"/>
  <c r="AL393"/>
  <c r="AL396"/>
  <c r="AP393"/>
  <c r="AP396"/>
  <c r="AT393"/>
  <c r="AT396"/>
  <c r="AX393"/>
  <c r="AX396"/>
  <c r="BB393"/>
  <c r="BB396"/>
  <c r="BF393"/>
  <c r="BF396"/>
  <c r="AA452"/>
  <c r="AA455"/>
  <c r="AE452"/>
  <c r="AE455"/>
  <c r="AI452"/>
  <c r="AI455"/>
  <c r="AM452"/>
  <c r="AM455"/>
  <c r="AQ452"/>
  <c r="AQ455"/>
  <c r="AU452"/>
  <c r="AU455"/>
  <c r="AY452"/>
  <c r="AY455"/>
  <c r="BC452"/>
  <c r="BC455"/>
  <c r="BG452"/>
  <c r="BG455"/>
  <c r="G472"/>
  <c r="G420"/>
  <c r="B415"/>
  <c r="D443"/>
  <c r="D445"/>
  <c r="F14"/>
  <c r="G1252" s="1"/>
  <c r="X625"/>
  <c r="X628"/>
  <c r="AD625"/>
  <c r="AD628"/>
  <c r="AF625"/>
  <c r="AF628"/>
  <c r="AL625"/>
  <c r="AL628"/>
  <c r="AN625"/>
  <c r="AN628"/>
  <c r="AR625"/>
  <c r="AR628"/>
  <c r="AV625"/>
  <c r="AV628"/>
  <c r="AZ625"/>
  <c r="AZ628"/>
  <c r="BD625"/>
  <c r="BD628"/>
  <c r="BH625"/>
  <c r="BH628"/>
  <c r="BJ568"/>
  <c r="BJ571"/>
  <c r="C154"/>
  <c r="F296"/>
  <c r="E353"/>
  <c r="D161"/>
  <c r="D164"/>
  <c r="AB161"/>
  <c r="AB164"/>
  <c r="AF161"/>
  <c r="AF164"/>
  <c r="AJ161"/>
  <c r="AJ164"/>
  <c r="AN161"/>
  <c r="AN164"/>
  <c r="AR161"/>
  <c r="AR164"/>
  <c r="AV161"/>
  <c r="AV164"/>
  <c r="AZ161"/>
  <c r="AZ164"/>
  <c r="BD161"/>
  <c r="BD164"/>
  <c r="BH161"/>
  <c r="BH164"/>
  <c r="AG57"/>
  <c r="Z223"/>
  <c r="Z220"/>
  <c r="BF223"/>
  <c r="BF220"/>
  <c r="G116"/>
  <c r="G57"/>
  <c r="AM116"/>
  <c r="AM114" s="1"/>
  <c r="AM57"/>
  <c r="H232"/>
  <c r="H230" s="1"/>
  <c r="H173"/>
  <c r="AN232"/>
  <c r="AN230" s="1"/>
  <c r="AN173"/>
  <c r="F376"/>
  <c r="H73"/>
  <c r="G130"/>
  <c r="G88"/>
  <c r="G245"/>
  <c r="H188"/>
  <c r="G203"/>
  <c r="AU339"/>
  <c r="AU336"/>
  <c r="AE396"/>
  <c r="AE393"/>
  <c r="AU396"/>
  <c r="AU393"/>
  <c r="C580"/>
  <c r="C578" s="1"/>
  <c r="C521"/>
  <c r="K580"/>
  <c r="K578" s="1"/>
  <c r="K521"/>
  <c r="S580"/>
  <c r="S578" s="1"/>
  <c r="S521"/>
  <c r="AA580"/>
  <c r="AA578" s="1"/>
  <c r="AA521"/>
  <c r="AI580"/>
  <c r="AI578" s="1"/>
  <c r="AI521"/>
  <c r="AQ580"/>
  <c r="AQ578" s="1"/>
  <c r="AQ521"/>
  <c r="AY580"/>
  <c r="AY578" s="1"/>
  <c r="AY521"/>
  <c r="BG580"/>
  <c r="BG578" s="1"/>
  <c r="BG521"/>
  <c r="F232"/>
  <c r="F230" s="1"/>
  <c r="F173"/>
  <c r="V232"/>
  <c r="V230" s="1"/>
  <c r="V173"/>
  <c r="AL232"/>
  <c r="AL230" s="1"/>
  <c r="AL173"/>
  <c r="BB232"/>
  <c r="BB230" s="1"/>
  <c r="BB173"/>
  <c r="E193"/>
  <c r="D247"/>
  <c r="D244" s="1"/>
  <c r="D268" s="1"/>
  <c r="AI190"/>
  <c r="AI247" s="1"/>
  <c r="D187"/>
  <c r="D205"/>
  <c r="K348"/>
  <c r="K346" s="1"/>
  <c r="K289"/>
  <c r="AA348"/>
  <c r="AA346" s="1"/>
  <c r="AA289"/>
  <c r="AQ348"/>
  <c r="AQ346" s="1"/>
  <c r="AQ289"/>
  <c r="BG348"/>
  <c r="BG346" s="1"/>
  <c r="BG289"/>
  <c r="L464"/>
  <c r="L462" s="1"/>
  <c r="L405"/>
  <c r="AB464"/>
  <c r="AB462" s="1"/>
  <c r="AB405"/>
  <c r="AR464"/>
  <c r="AR462" s="1"/>
  <c r="AR405"/>
  <c r="BH464"/>
  <c r="BH462" s="1"/>
  <c r="BH405"/>
  <c r="AF512"/>
  <c r="AF509"/>
  <c r="AV512"/>
  <c r="AV509"/>
  <c r="R696"/>
  <c r="R694" s="1"/>
  <c r="R637"/>
  <c r="AH696"/>
  <c r="AH694" s="1"/>
  <c r="AH637"/>
  <c r="AX696"/>
  <c r="AX694" s="1"/>
  <c r="AX637"/>
  <c r="E309"/>
  <c r="E327"/>
  <c r="E329"/>
  <c r="E541"/>
  <c r="F590"/>
  <c r="G533"/>
  <c r="G538" s="1"/>
  <c r="G535" s="1"/>
  <c r="F538"/>
  <c r="F530"/>
  <c r="H132"/>
  <c r="I75"/>
  <c r="H90"/>
  <c r="K116"/>
  <c r="K114" s="1"/>
  <c r="S116"/>
  <c r="S114" s="1"/>
  <c r="S57"/>
  <c r="AA116"/>
  <c r="AA114" s="1"/>
  <c r="AI116"/>
  <c r="AI114" s="1"/>
  <c r="AI57"/>
  <c r="AQ116"/>
  <c r="AQ114" s="1"/>
  <c r="AY116"/>
  <c r="AY114" s="1"/>
  <c r="AY57"/>
  <c r="BG116"/>
  <c r="BG114" s="1"/>
  <c r="F126"/>
  <c r="G69"/>
  <c r="W220"/>
  <c r="W223"/>
  <c r="AA220"/>
  <c r="AA223"/>
  <c r="AE220"/>
  <c r="AE223"/>
  <c r="AI220"/>
  <c r="AI223"/>
  <c r="AM220"/>
  <c r="AM223"/>
  <c r="AQ220"/>
  <c r="AQ223"/>
  <c r="AU220"/>
  <c r="AU223"/>
  <c r="AY220"/>
  <c r="AY223"/>
  <c r="BC220"/>
  <c r="BC223"/>
  <c r="BG220"/>
  <c r="BG223"/>
  <c r="I304"/>
  <c r="H361"/>
  <c r="H319"/>
  <c r="C386"/>
  <c r="C384"/>
  <c r="Y684"/>
  <c r="Y687"/>
  <c r="AC684"/>
  <c r="AC687"/>
  <c r="AG684"/>
  <c r="AG687"/>
  <c r="AK684"/>
  <c r="AK687"/>
  <c r="AO684"/>
  <c r="AO687"/>
  <c r="AS684"/>
  <c r="AS687"/>
  <c r="AW684"/>
  <c r="AW687"/>
  <c r="BA684"/>
  <c r="BA687"/>
  <c r="BE684"/>
  <c r="BE687"/>
  <c r="BI684"/>
  <c r="BI687"/>
  <c r="AJ303"/>
  <c r="AJ361"/>
  <c r="AJ360" s="1"/>
  <c r="AJ593"/>
  <c r="AJ592" s="1"/>
  <c r="AJ535"/>
  <c r="C610"/>
  <c r="C607" s="1"/>
  <c r="C617" s="1"/>
  <c r="I116"/>
  <c r="I114" s="1"/>
  <c r="I57"/>
  <c r="AO116"/>
  <c r="AO114" s="1"/>
  <c r="AO57"/>
  <c r="AX223"/>
  <c r="AX220"/>
  <c r="P232"/>
  <c r="P230" s="1"/>
  <c r="P173"/>
  <c r="AV232"/>
  <c r="AV230" s="1"/>
  <c r="AV173"/>
  <c r="G478"/>
  <c r="H421"/>
  <c r="G436"/>
  <c r="G493" s="1"/>
  <c r="F260"/>
  <c r="BC339"/>
  <c r="BC336"/>
  <c r="G237"/>
  <c r="B237" s="1"/>
  <c r="F492"/>
  <c r="H305"/>
  <c r="G362"/>
  <c r="G320"/>
  <c r="F310"/>
  <c r="E367"/>
  <c r="E315"/>
  <c r="E116"/>
  <c r="E114" s="1"/>
  <c r="M116"/>
  <c r="M114" s="1"/>
  <c r="M57"/>
  <c r="U116"/>
  <c r="U114" s="1"/>
  <c r="AC116"/>
  <c r="AC114" s="1"/>
  <c r="AC57"/>
  <c r="AK116"/>
  <c r="AK114" s="1"/>
  <c r="AS116"/>
  <c r="AS114" s="1"/>
  <c r="AS57"/>
  <c r="BA116"/>
  <c r="BA114" s="1"/>
  <c r="BI116"/>
  <c r="BI114" s="1"/>
  <c r="BI57"/>
  <c r="E78"/>
  <c r="C146"/>
  <c r="D137"/>
  <c r="E80"/>
  <c r="D85"/>
  <c r="AI189"/>
  <c r="AI246" s="1"/>
  <c r="F246"/>
  <c r="F204"/>
  <c r="E242"/>
  <c r="E239" s="1"/>
  <c r="F185"/>
  <c r="E182"/>
  <c r="F190"/>
  <c r="D211"/>
  <c r="D213"/>
  <c r="AI245"/>
  <c r="AI187"/>
  <c r="C259"/>
  <c r="C269" s="1"/>
  <c r="C726"/>
  <c r="AD696"/>
  <c r="AD694" s="1"/>
  <c r="AD637"/>
  <c r="BJ696"/>
  <c r="BJ694" s="1"/>
  <c r="BJ637"/>
  <c r="P696"/>
  <c r="P694" s="1"/>
  <c r="P637"/>
  <c r="AV696"/>
  <c r="AV694" s="1"/>
  <c r="AV637"/>
  <c r="AI769"/>
  <c r="AI826" s="1"/>
  <c r="F826"/>
  <c r="F784"/>
  <c r="C949"/>
  <c r="D892"/>
  <c r="C897"/>
  <c r="O1160"/>
  <c r="O1158" s="1"/>
  <c r="O1101"/>
  <c r="AE1160"/>
  <c r="AE1158" s="1"/>
  <c r="AE1101"/>
  <c r="AU1160"/>
  <c r="AU1158" s="1"/>
  <c r="AU1101"/>
  <c r="B1160"/>
  <c r="K6" s="1"/>
  <c r="D1257" s="1"/>
  <c r="K7"/>
  <c r="AN455"/>
  <c r="AN452"/>
  <c r="BD455"/>
  <c r="BD452"/>
  <c r="E657"/>
  <c r="G704"/>
  <c r="G652"/>
  <c r="E348"/>
  <c r="E346" s="1"/>
  <c r="E289"/>
  <c r="I348"/>
  <c r="I346" s="1"/>
  <c r="I289"/>
  <c r="M348"/>
  <c r="M346" s="1"/>
  <c r="M289"/>
  <c r="Q348"/>
  <c r="Q346" s="1"/>
  <c r="Q289"/>
  <c r="U348"/>
  <c r="U346" s="1"/>
  <c r="U289"/>
  <c r="Y348"/>
  <c r="Y346" s="1"/>
  <c r="Y289"/>
  <c r="AC348"/>
  <c r="AC346" s="1"/>
  <c r="AC289"/>
  <c r="AG348"/>
  <c r="AG346" s="1"/>
  <c r="AG289"/>
  <c r="AK348"/>
  <c r="AK346" s="1"/>
  <c r="AK289"/>
  <c r="AO348"/>
  <c r="AO346" s="1"/>
  <c r="AO289"/>
  <c r="AS348"/>
  <c r="AS346" s="1"/>
  <c r="AS289"/>
  <c r="AW348"/>
  <c r="AW346" s="1"/>
  <c r="AW289"/>
  <c r="BA348"/>
  <c r="BA346" s="1"/>
  <c r="BA289"/>
  <c r="BE348"/>
  <c r="BE346" s="1"/>
  <c r="BE289"/>
  <c r="BI348"/>
  <c r="BI346" s="1"/>
  <c r="BI289"/>
  <c r="D803"/>
  <c r="D800"/>
  <c r="X803"/>
  <c r="X800"/>
  <c r="AB803"/>
  <c r="AB800"/>
  <c r="AF803"/>
  <c r="AF800"/>
  <c r="AJ803"/>
  <c r="AJ800"/>
  <c r="AN803"/>
  <c r="AN800"/>
  <c r="AR803"/>
  <c r="AR800"/>
  <c r="AV803"/>
  <c r="AV800"/>
  <c r="AZ803"/>
  <c r="AZ800"/>
  <c r="BD803"/>
  <c r="BD800"/>
  <c r="BH803"/>
  <c r="BH800"/>
  <c r="AJ825"/>
  <c r="AJ824" s="1"/>
  <c r="AJ767"/>
  <c r="AI767"/>
  <c r="AI825"/>
  <c r="AI824" s="1"/>
  <c r="C839"/>
  <c r="C849" s="1"/>
  <c r="C850"/>
  <c r="C848"/>
  <c r="X1035"/>
  <c r="X1032"/>
  <c r="AB1035"/>
  <c r="AB1032"/>
  <c r="AF1035"/>
  <c r="AF1032"/>
  <c r="AJ1035"/>
  <c r="AJ1032"/>
  <c r="AN1035"/>
  <c r="AN1032"/>
  <c r="AR1035"/>
  <c r="AR1032"/>
  <c r="AV1035"/>
  <c r="AV1032"/>
  <c r="AZ1035"/>
  <c r="AZ1032"/>
  <c r="BD1035"/>
  <c r="BD1032"/>
  <c r="BH1035"/>
  <c r="BH1032"/>
  <c r="E1005"/>
  <c r="E1025"/>
  <c r="E1023"/>
  <c r="F994"/>
  <c r="F1054"/>
  <c r="F1051" s="1"/>
  <c r="G997"/>
  <c r="G1002" s="1"/>
  <c r="F1002"/>
  <c r="AM1032"/>
  <c r="AM1035"/>
  <c r="AQ1032"/>
  <c r="AQ1035"/>
  <c r="AU1032"/>
  <c r="AU1035"/>
  <c r="AY1032"/>
  <c r="AY1035"/>
  <c r="BC1032"/>
  <c r="BC1035"/>
  <c r="BG1032"/>
  <c r="BG1035"/>
  <c r="AI1057"/>
  <c r="AI1056" s="1"/>
  <c r="AI999"/>
  <c r="H1058"/>
  <c r="I1001"/>
  <c r="H1016"/>
  <c r="H1073" s="1"/>
  <c r="C1071"/>
  <c r="C1081" s="1"/>
  <c r="C1082"/>
  <c r="C1080"/>
  <c r="X1148"/>
  <c r="X1151"/>
  <c r="Z1148"/>
  <c r="Z1151"/>
  <c r="AF1148"/>
  <c r="AF1151"/>
  <c r="AH1148"/>
  <c r="AH1151"/>
  <c r="AN1148"/>
  <c r="AN1151"/>
  <c r="AP1148"/>
  <c r="AP1151"/>
  <c r="AV1148"/>
  <c r="AV1151"/>
  <c r="AX1148"/>
  <c r="AX1151"/>
  <c r="BD1148"/>
  <c r="BD1151"/>
  <c r="BF1148"/>
  <c r="BF1151"/>
  <c r="BJ1148"/>
  <c r="BJ1151"/>
  <c r="AJ1115"/>
  <c r="AJ1173"/>
  <c r="AJ1172" s="1"/>
  <c r="C1190"/>
  <c r="V696"/>
  <c r="V694" s="1"/>
  <c r="V637"/>
  <c r="BB696"/>
  <c r="BB694" s="1"/>
  <c r="BB637"/>
  <c r="H696"/>
  <c r="H694" s="1"/>
  <c r="H637"/>
  <c r="AN696"/>
  <c r="AN694" s="1"/>
  <c r="AN637"/>
  <c r="H768"/>
  <c r="G825"/>
  <c r="G783"/>
  <c r="C958"/>
  <c r="K1160"/>
  <c r="K1158" s="1"/>
  <c r="K1101"/>
  <c r="AA1160"/>
  <c r="AA1158" s="1"/>
  <c r="AA1101"/>
  <c r="AQ1160"/>
  <c r="AQ1158" s="1"/>
  <c r="AQ1101"/>
  <c r="BG1160"/>
  <c r="BG1158" s="1"/>
  <c r="BG1101"/>
  <c r="I1160"/>
  <c r="I1158" s="1"/>
  <c r="I1101"/>
  <c r="Q1160"/>
  <c r="Q1158" s="1"/>
  <c r="Q1101"/>
  <c r="Y1160"/>
  <c r="Y1158" s="1"/>
  <c r="Y1101"/>
  <c r="AG1160"/>
  <c r="AG1158" s="1"/>
  <c r="AG1101"/>
  <c r="AO1160"/>
  <c r="AO1158" s="1"/>
  <c r="AO1101"/>
  <c r="AW1160"/>
  <c r="AW1158" s="1"/>
  <c r="AW1101"/>
  <c r="BE1160"/>
  <c r="BE1158" s="1"/>
  <c r="BE1101"/>
  <c r="D1181"/>
  <c r="E1124"/>
  <c r="D1129"/>
  <c r="G469"/>
  <c r="G462" s="1"/>
  <c r="F608"/>
  <c r="AI593"/>
  <c r="AI592" s="1"/>
  <c r="AI535"/>
  <c r="D711"/>
  <c r="D708" s="1"/>
  <c r="D732" s="1"/>
  <c r="D669"/>
  <c r="AI654"/>
  <c r="AI711" s="1"/>
  <c r="D651"/>
  <c r="E706"/>
  <c r="F649"/>
  <c r="E646"/>
  <c r="F654"/>
  <c r="F651" s="1"/>
  <c r="D677"/>
  <c r="D675"/>
  <c r="D665"/>
  <c r="D722" s="1"/>
  <c r="E660"/>
  <c r="D717"/>
  <c r="BF696"/>
  <c r="BF694" s="1"/>
  <c r="BF637"/>
  <c r="C734"/>
  <c r="C732"/>
  <c r="V803"/>
  <c r="V800"/>
  <c r="Z803"/>
  <c r="Z800"/>
  <c r="AD803"/>
  <c r="AD800"/>
  <c r="AH803"/>
  <c r="AH800"/>
  <c r="AL803"/>
  <c r="AL800"/>
  <c r="AP803"/>
  <c r="AP800"/>
  <c r="AT803"/>
  <c r="AT800"/>
  <c r="AX803"/>
  <c r="AX800"/>
  <c r="BB803"/>
  <c r="BB800"/>
  <c r="BF803"/>
  <c r="BF800"/>
  <c r="BJ803"/>
  <c r="BJ800"/>
  <c r="B927"/>
  <c r="I5" s="1"/>
  <c r="C1255" s="1"/>
  <c r="C926"/>
  <c r="S919"/>
  <c r="S916"/>
  <c r="W919"/>
  <c r="W916"/>
  <c r="AA919"/>
  <c r="AA916"/>
  <c r="AE919"/>
  <c r="AE916"/>
  <c r="AI919"/>
  <c r="AI916"/>
  <c r="AM919"/>
  <c r="AM916"/>
  <c r="AQ919"/>
  <c r="AQ916"/>
  <c r="AU919"/>
  <c r="AU916"/>
  <c r="AY919"/>
  <c r="AY916"/>
  <c r="BC919"/>
  <c r="BC916"/>
  <c r="BG919"/>
  <c r="BG916"/>
  <c r="G941"/>
  <c r="H884"/>
  <c r="G899"/>
  <c r="G936"/>
  <c r="B879"/>
  <c r="G937"/>
  <c r="B937" s="1"/>
  <c r="I15" s="1"/>
  <c r="B880"/>
  <c r="E890" s="1"/>
  <c r="G885"/>
  <c r="D907"/>
  <c r="D909"/>
  <c r="C955"/>
  <c r="C965" s="1"/>
  <c r="C966"/>
  <c r="C964"/>
  <c r="Y800"/>
  <c r="Y803"/>
  <c r="AC800"/>
  <c r="AC803"/>
  <c r="AG800"/>
  <c r="AG803"/>
  <c r="AK800"/>
  <c r="AK803"/>
  <c r="AO800"/>
  <c r="AO803"/>
  <c r="AS800"/>
  <c r="AS803"/>
  <c r="AW800"/>
  <c r="AW803"/>
  <c r="BA800"/>
  <c r="BA803"/>
  <c r="BE800"/>
  <c r="BE803"/>
  <c r="BI800"/>
  <c r="BI803"/>
  <c r="G820"/>
  <c r="B763"/>
  <c r="C833"/>
  <c r="D776"/>
  <c r="C781"/>
  <c r="V973"/>
  <c r="V976"/>
  <c r="Z973"/>
  <c r="Z976"/>
  <c r="AD973"/>
  <c r="AD976"/>
  <c r="AH973"/>
  <c r="AH976"/>
  <c r="AL973"/>
  <c r="AL976"/>
  <c r="AP973"/>
  <c r="AP976"/>
  <c r="AT973"/>
  <c r="AT976"/>
  <c r="AX973"/>
  <c r="AX976"/>
  <c r="BB973"/>
  <c r="BB976"/>
  <c r="BF973"/>
  <c r="BF976"/>
  <c r="BJ973"/>
  <c r="BJ976"/>
  <c r="Z1035"/>
  <c r="Z1032"/>
  <c r="AD1035"/>
  <c r="AD1032"/>
  <c r="AH1035"/>
  <c r="AH1032"/>
  <c r="AL1035"/>
  <c r="AL1032"/>
  <c r="AP1035"/>
  <c r="AP1032"/>
  <c r="AT1035"/>
  <c r="AT1032"/>
  <c r="AX1035"/>
  <c r="AX1032"/>
  <c r="BB1035"/>
  <c r="BB1032"/>
  <c r="BF1035"/>
  <c r="BF1032"/>
  <c r="BJ1035"/>
  <c r="BJ1032"/>
  <c r="E1063"/>
  <c r="F1006"/>
  <c r="E1011"/>
  <c r="AJ1057"/>
  <c r="AJ1056" s="1"/>
  <c r="AJ999"/>
  <c r="Y1089"/>
  <c r="Y1092"/>
  <c r="AC1089"/>
  <c r="AC1092"/>
  <c r="AG1089"/>
  <c r="AG1092"/>
  <c r="AK1089"/>
  <c r="AK1092"/>
  <c r="AO1089"/>
  <c r="AO1092"/>
  <c r="AS1089"/>
  <c r="AS1092"/>
  <c r="AW1089"/>
  <c r="AW1092"/>
  <c r="BA1089"/>
  <c r="BA1092"/>
  <c r="BE1089"/>
  <c r="BE1092"/>
  <c r="BI1089"/>
  <c r="BI1092"/>
  <c r="C1198"/>
  <c r="C1196"/>
  <c r="G1188"/>
  <c r="C1151"/>
  <c r="C1148"/>
  <c r="D500"/>
  <c r="D270"/>
  <c r="B347"/>
  <c r="D5" s="1"/>
  <c r="C1250" s="1"/>
  <c r="D375"/>
  <c r="D385" s="1"/>
  <c r="H289"/>
  <c r="P289"/>
  <c r="I405"/>
  <c r="Q405"/>
  <c r="J521"/>
  <c r="L521"/>
  <c r="R521"/>
  <c r="T521"/>
  <c r="C244"/>
  <c r="C268" s="1"/>
  <c r="B508"/>
  <c r="B511"/>
  <c r="B627"/>
  <c r="E360"/>
  <c r="E384" s="1"/>
  <c r="C476"/>
  <c r="C500" s="1"/>
  <c r="C550"/>
  <c r="C560" s="1"/>
  <c r="B173"/>
  <c r="D346"/>
  <c r="L289"/>
  <c r="T289"/>
  <c r="X289"/>
  <c r="AB289"/>
  <c r="AF289"/>
  <c r="AJ289"/>
  <c r="AN289"/>
  <c r="AR289"/>
  <c r="AV289"/>
  <c r="AZ289"/>
  <c r="BD289"/>
  <c r="BH289"/>
  <c r="BJ289"/>
  <c r="C434"/>
  <c r="C444" s="1"/>
  <c r="E462"/>
  <c r="M462"/>
  <c r="U462"/>
  <c r="Y462"/>
  <c r="AC462"/>
  <c r="AG462"/>
  <c r="AK462"/>
  <c r="AO462"/>
  <c r="AS462"/>
  <c r="AW462"/>
  <c r="BA462"/>
  <c r="BE462"/>
  <c r="BI462"/>
  <c r="D578"/>
  <c r="Z521"/>
  <c r="AB521"/>
  <c r="AH521"/>
  <c r="AJ521"/>
  <c r="AP521"/>
  <c r="AT521"/>
  <c r="AX521"/>
  <c r="BB521"/>
  <c r="BF521"/>
  <c r="B115"/>
  <c r="B5" s="1"/>
  <c r="C1248" s="1"/>
  <c r="D616"/>
  <c r="F57"/>
  <c r="J57"/>
  <c r="N57"/>
  <c r="R57"/>
  <c r="V57"/>
  <c r="Z57"/>
  <c r="AD57"/>
  <c r="AH57"/>
  <c r="AL57"/>
  <c r="AP57"/>
  <c r="AT57"/>
  <c r="AX57"/>
  <c r="BB57"/>
  <c r="BF57"/>
  <c r="C128"/>
  <c r="C152" s="1"/>
  <c r="E173"/>
  <c r="I173"/>
  <c r="M173"/>
  <c r="Q173"/>
  <c r="U173"/>
  <c r="Y173"/>
  <c r="AC173"/>
  <c r="AG173"/>
  <c r="AK173"/>
  <c r="AO173"/>
  <c r="AS173"/>
  <c r="AW173"/>
  <c r="BA173"/>
  <c r="BE173"/>
  <c r="BI173"/>
  <c r="B233"/>
  <c r="C202"/>
  <c r="C212" s="1"/>
  <c r="B639"/>
  <c r="B637" s="1"/>
  <c r="K637"/>
  <c r="S637"/>
  <c r="W637"/>
  <c r="AA637"/>
  <c r="AE637"/>
  <c r="AI637"/>
  <c r="AM637"/>
  <c r="AQ637"/>
  <c r="AU637"/>
  <c r="AY637"/>
  <c r="BC637"/>
  <c r="BG637"/>
  <c r="B472"/>
  <c r="E767"/>
  <c r="D839"/>
  <c r="D849" s="1"/>
  <c r="E926"/>
  <c r="I926"/>
  <c r="M926"/>
  <c r="Q926"/>
  <c r="U926"/>
  <c r="Y926"/>
  <c r="AC926"/>
  <c r="AG926"/>
  <c r="AK926"/>
  <c r="AO926"/>
  <c r="AS926"/>
  <c r="AW926"/>
  <c r="BA926"/>
  <c r="BE926"/>
  <c r="BI926"/>
  <c r="G753"/>
  <c r="K753"/>
  <c r="O753"/>
  <c r="S753"/>
  <c r="W753"/>
  <c r="AA753"/>
  <c r="AE753"/>
  <c r="AI753"/>
  <c r="AM753"/>
  <c r="AQ753"/>
  <c r="AU753"/>
  <c r="AY753"/>
  <c r="BC753"/>
  <c r="BG753"/>
  <c r="B813"/>
  <c r="C782"/>
  <c r="C792" s="1"/>
  <c r="D926"/>
  <c r="H926"/>
  <c r="L926"/>
  <c r="P926"/>
  <c r="T926"/>
  <c r="X926"/>
  <c r="AB926"/>
  <c r="AF926"/>
  <c r="AJ926"/>
  <c r="AN926"/>
  <c r="AR926"/>
  <c r="AV926"/>
  <c r="AZ926"/>
  <c r="BD926"/>
  <c r="BH926"/>
  <c r="K985"/>
  <c r="O985"/>
  <c r="S985"/>
  <c r="W985"/>
  <c r="AA985"/>
  <c r="AE985"/>
  <c r="AI985"/>
  <c r="B1045"/>
  <c r="B1207"/>
  <c r="D848"/>
  <c r="D1080"/>
  <c r="D1196"/>
  <c r="B405"/>
  <c r="E666"/>
  <c r="E676" s="1"/>
  <c r="G637"/>
  <c r="O637"/>
  <c r="D850"/>
  <c r="C898"/>
  <c r="C908" s="1"/>
  <c r="F926"/>
  <c r="D1014"/>
  <c r="D1024" s="1"/>
  <c r="B1091"/>
  <c r="E1042"/>
  <c r="E1071"/>
  <c r="E1081" s="1"/>
  <c r="D1187"/>
  <c r="D1197" s="1"/>
  <c r="D1158"/>
  <c r="L1158"/>
  <c r="N1158"/>
  <c r="T1158"/>
  <c r="V1158"/>
  <c r="AB1158"/>
  <c r="AD1158"/>
  <c r="AJ1158"/>
  <c r="AL1158"/>
  <c r="AR1158"/>
  <c r="AT1158"/>
  <c r="AZ1158"/>
  <c r="BB1158"/>
  <c r="BH1158"/>
  <c r="D75" i="4"/>
  <c r="B75"/>
  <c r="C75"/>
  <c r="C77"/>
  <c r="B77"/>
  <c r="F77"/>
  <c r="F75"/>
  <c r="E77"/>
  <c r="E75"/>
  <c r="D77"/>
  <c r="G50"/>
  <c r="H50"/>
  <c r="H42"/>
  <c r="G42"/>
  <c r="G53"/>
  <c r="H53"/>
  <c r="G44"/>
  <c r="H44"/>
  <c r="G47"/>
  <c r="H47"/>
  <c r="G48"/>
  <c r="H48"/>
  <c r="G51"/>
  <c r="H51"/>
  <c r="G54"/>
  <c r="H54"/>
  <c r="G45"/>
  <c r="H45"/>
  <c r="G49"/>
  <c r="H49"/>
  <c r="G52"/>
  <c r="H52"/>
  <c r="G43"/>
  <c r="H43"/>
  <c r="G55"/>
  <c r="H55"/>
  <c r="G46"/>
  <c r="H46"/>
  <c r="BJ161" i="5" l="1"/>
  <c r="BJ164"/>
  <c r="BJ57"/>
  <c r="B59"/>
  <c r="B57" s="1"/>
  <c r="AI244"/>
  <c r="E782"/>
  <c r="BI80" i="7"/>
  <c r="BI93" s="1"/>
  <c r="BG80"/>
  <c r="BG93" s="1"/>
  <c r="BE80"/>
  <c r="BE93" s="1"/>
  <c r="BC80"/>
  <c r="BC93" s="1"/>
  <c r="BA80"/>
  <c r="BA93" s="1"/>
  <c r="AY80"/>
  <c r="AY93" s="1"/>
  <c r="AW80"/>
  <c r="AW93" s="1"/>
  <c r="AU80"/>
  <c r="AU93" s="1"/>
  <c r="AS80"/>
  <c r="AS93" s="1"/>
  <c r="AQ80"/>
  <c r="AQ93" s="1"/>
  <c r="AO80"/>
  <c r="AO93" s="1"/>
  <c r="AM80"/>
  <c r="AM93" s="1"/>
  <c r="AK80"/>
  <c r="AK93" s="1"/>
  <c r="AI80"/>
  <c r="AI93" s="1"/>
  <c r="AG80"/>
  <c r="AG93" s="1"/>
  <c r="AE80"/>
  <c r="AE93" s="1"/>
  <c r="AC80"/>
  <c r="AC93" s="1"/>
  <c r="AA80"/>
  <c r="AA93" s="1"/>
  <c r="Y80"/>
  <c r="Y93" s="1"/>
  <c r="W80"/>
  <c r="W93" s="1"/>
  <c r="Q80"/>
  <c r="BJ80"/>
  <c r="BJ93" s="1"/>
  <c r="BH80"/>
  <c r="BH93" s="1"/>
  <c r="BF80"/>
  <c r="BF93" s="1"/>
  <c r="BD80"/>
  <c r="BD93" s="1"/>
  <c r="BB80"/>
  <c r="BB93" s="1"/>
  <c r="AZ80"/>
  <c r="AZ93" s="1"/>
  <c r="AX80"/>
  <c r="AX93" s="1"/>
  <c r="AV80"/>
  <c r="AV93" s="1"/>
  <c r="AT80"/>
  <c r="AT93" s="1"/>
  <c r="AR80"/>
  <c r="AR93" s="1"/>
  <c r="AP80"/>
  <c r="AP93" s="1"/>
  <c r="AN80"/>
  <c r="AN93" s="1"/>
  <c r="AL80"/>
  <c r="AL93" s="1"/>
  <c r="AJ80"/>
  <c r="AJ93" s="1"/>
  <c r="AH80"/>
  <c r="AH93" s="1"/>
  <c r="AF80"/>
  <c r="AF93" s="1"/>
  <c r="AD80"/>
  <c r="AD93" s="1"/>
  <c r="AB80"/>
  <c r="AB93" s="1"/>
  <c r="Z80"/>
  <c r="Z93" s="1"/>
  <c r="X80"/>
  <c r="X93" s="1"/>
  <c r="R80"/>
  <c r="P80"/>
  <c r="G4"/>
  <c r="BI84"/>
  <c r="BI97" s="1"/>
  <c r="BG84"/>
  <c r="BG97" s="1"/>
  <c r="BE84"/>
  <c r="BE97" s="1"/>
  <c r="BC84"/>
  <c r="BC97" s="1"/>
  <c r="BA84"/>
  <c r="BA97" s="1"/>
  <c r="AY84"/>
  <c r="AY97" s="1"/>
  <c r="AW84"/>
  <c r="AW97" s="1"/>
  <c r="AU84"/>
  <c r="AU97" s="1"/>
  <c r="AS84"/>
  <c r="AS97" s="1"/>
  <c r="AQ84"/>
  <c r="AQ97" s="1"/>
  <c r="AO84"/>
  <c r="AO97" s="1"/>
  <c r="AM84"/>
  <c r="AM97" s="1"/>
  <c r="AK84"/>
  <c r="AK97" s="1"/>
  <c r="AI84"/>
  <c r="AI97" s="1"/>
  <c r="AG84"/>
  <c r="AG97" s="1"/>
  <c r="AE84"/>
  <c r="AE97" s="1"/>
  <c r="AC84"/>
  <c r="AC97" s="1"/>
  <c r="AA84"/>
  <c r="AA97" s="1"/>
  <c r="Y84"/>
  <c r="Y97" s="1"/>
  <c r="S84"/>
  <c r="Q84"/>
  <c r="BJ84"/>
  <c r="BJ97" s="1"/>
  <c r="BH84"/>
  <c r="BH97" s="1"/>
  <c r="BF84"/>
  <c r="BF97" s="1"/>
  <c r="BD84"/>
  <c r="BD97" s="1"/>
  <c r="BB84"/>
  <c r="BB97" s="1"/>
  <c r="AZ84"/>
  <c r="AZ97" s="1"/>
  <c r="AX84"/>
  <c r="AX97" s="1"/>
  <c r="AV84"/>
  <c r="AV97" s="1"/>
  <c r="AT84"/>
  <c r="AT97" s="1"/>
  <c r="AR84"/>
  <c r="AR97" s="1"/>
  <c r="AP84"/>
  <c r="AP97" s="1"/>
  <c r="AN84"/>
  <c r="AN97" s="1"/>
  <c r="AL84"/>
  <c r="AL97" s="1"/>
  <c r="AJ84"/>
  <c r="AJ97" s="1"/>
  <c r="AH84"/>
  <c r="AH97" s="1"/>
  <c r="AF84"/>
  <c r="AF97" s="1"/>
  <c r="AD84"/>
  <c r="AD97" s="1"/>
  <c r="AB84"/>
  <c r="AB97" s="1"/>
  <c r="Z84"/>
  <c r="Z97" s="1"/>
  <c r="X84"/>
  <c r="X97" s="1"/>
  <c r="R84"/>
  <c r="P84"/>
  <c r="K4"/>
  <c r="BI81"/>
  <c r="BI94" s="1"/>
  <c r="BG81"/>
  <c r="BG94" s="1"/>
  <c r="BE81"/>
  <c r="BE94" s="1"/>
  <c r="BC81"/>
  <c r="BC94" s="1"/>
  <c r="BA81"/>
  <c r="BA94" s="1"/>
  <c r="AY81"/>
  <c r="AY94" s="1"/>
  <c r="AW81"/>
  <c r="AW94" s="1"/>
  <c r="AU81"/>
  <c r="AU94" s="1"/>
  <c r="AS81"/>
  <c r="AS94" s="1"/>
  <c r="AQ81"/>
  <c r="AQ94" s="1"/>
  <c r="AO81"/>
  <c r="AO94" s="1"/>
  <c r="AM81"/>
  <c r="AM94" s="1"/>
  <c r="AK81"/>
  <c r="AK94" s="1"/>
  <c r="AI81"/>
  <c r="AI94" s="1"/>
  <c r="AG81"/>
  <c r="AG94" s="1"/>
  <c r="AE81"/>
  <c r="AE94" s="1"/>
  <c r="AC81"/>
  <c r="AC94" s="1"/>
  <c r="AA81"/>
  <c r="AA94" s="1"/>
  <c r="Y81"/>
  <c r="Y94" s="1"/>
  <c r="W81"/>
  <c r="W94" s="1"/>
  <c r="Q81"/>
  <c r="BJ81"/>
  <c r="BJ94" s="1"/>
  <c r="BH81"/>
  <c r="BH94" s="1"/>
  <c r="BF81"/>
  <c r="BF94" s="1"/>
  <c r="BD81"/>
  <c r="BD94" s="1"/>
  <c r="BB81"/>
  <c r="BB94" s="1"/>
  <c r="AZ81"/>
  <c r="AZ94" s="1"/>
  <c r="AX81"/>
  <c r="AX94" s="1"/>
  <c r="AV81"/>
  <c r="AV94" s="1"/>
  <c r="AT81"/>
  <c r="AT94" s="1"/>
  <c r="AR81"/>
  <c r="AR94" s="1"/>
  <c r="AP81"/>
  <c r="AP94" s="1"/>
  <c r="AN81"/>
  <c r="AN94" s="1"/>
  <c r="AL81"/>
  <c r="AL94" s="1"/>
  <c r="AJ81"/>
  <c r="AJ94" s="1"/>
  <c r="AH81"/>
  <c r="AH94" s="1"/>
  <c r="AF81"/>
  <c r="AF94" s="1"/>
  <c r="AD81"/>
  <c r="AD94" s="1"/>
  <c r="AB81"/>
  <c r="AB94" s="1"/>
  <c r="Z81"/>
  <c r="Z94" s="1"/>
  <c r="X81"/>
  <c r="X94" s="1"/>
  <c r="V81"/>
  <c r="V94" s="1"/>
  <c r="P81"/>
  <c r="H4"/>
  <c r="BI82"/>
  <c r="BI95" s="1"/>
  <c r="BG82"/>
  <c r="BG95" s="1"/>
  <c r="BE82"/>
  <c r="BE95" s="1"/>
  <c r="BC82"/>
  <c r="BC95" s="1"/>
  <c r="BA82"/>
  <c r="BA95" s="1"/>
  <c r="AY82"/>
  <c r="AY95" s="1"/>
  <c r="AW82"/>
  <c r="AW95" s="1"/>
  <c r="AU82"/>
  <c r="AU95" s="1"/>
  <c r="AS82"/>
  <c r="AS95" s="1"/>
  <c r="AQ82"/>
  <c r="AQ95" s="1"/>
  <c r="AO82"/>
  <c r="AO95" s="1"/>
  <c r="AM82"/>
  <c r="AM95" s="1"/>
  <c r="AK82"/>
  <c r="AK95" s="1"/>
  <c r="AI82"/>
  <c r="AI95" s="1"/>
  <c r="AG82"/>
  <c r="AG95" s="1"/>
  <c r="AE82"/>
  <c r="AE95" s="1"/>
  <c r="AC82"/>
  <c r="AC95" s="1"/>
  <c r="AA82"/>
  <c r="AA95" s="1"/>
  <c r="Y82"/>
  <c r="Y95" s="1"/>
  <c r="W82"/>
  <c r="W95" s="1"/>
  <c r="U82"/>
  <c r="U95" s="1"/>
  <c r="S82"/>
  <c r="S95" s="1"/>
  <c r="BJ82"/>
  <c r="BJ95" s="1"/>
  <c r="BH82"/>
  <c r="BH95" s="1"/>
  <c r="BF82"/>
  <c r="BF95" s="1"/>
  <c r="BD82"/>
  <c r="BD95" s="1"/>
  <c r="BB82"/>
  <c r="BB95" s="1"/>
  <c r="AZ82"/>
  <c r="AZ95" s="1"/>
  <c r="AX82"/>
  <c r="AX95" s="1"/>
  <c r="AV82"/>
  <c r="AV95" s="1"/>
  <c r="AT82"/>
  <c r="AT95" s="1"/>
  <c r="AR82"/>
  <c r="AR95" s="1"/>
  <c r="AP82"/>
  <c r="AP95" s="1"/>
  <c r="AN82"/>
  <c r="AN95" s="1"/>
  <c r="AL82"/>
  <c r="AL95" s="1"/>
  <c r="AJ82"/>
  <c r="AJ95" s="1"/>
  <c r="AH82"/>
  <c r="AH95" s="1"/>
  <c r="AF82"/>
  <c r="AF95" s="1"/>
  <c r="AD82"/>
  <c r="AD95" s="1"/>
  <c r="AB82"/>
  <c r="AB95" s="1"/>
  <c r="Z82"/>
  <c r="Z95" s="1"/>
  <c r="X82"/>
  <c r="X95" s="1"/>
  <c r="V82"/>
  <c r="V95" s="1"/>
  <c r="T82"/>
  <c r="T95" s="1"/>
  <c r="I4"/>
  <c r="BI79"/>
  <c r="BI92" s="1"/>
  <c r="BG79"/>
  <c r="BG92" s="1"/>
  <c r="BE79"/>
  <c r="BE92" s="1"/>
  <c r="BC79"/>
  <c r="BC92" s="1"/>
  <c r="BA79"/>
  <c r="BA92" s="1"/>
  <c r="AY79"/>
  <c r="AY92" s="1"/>
  <c r="AW79"/>
  <c r="AW92" s="1"/>
  <c r="AU79"/>
  <c r="AU92" s="1"/>
  <c r="AS79"/>
  <c r="AS92" s="1"/>
  <c r="AQ79"/>
  <c r="AQ92" s="1"/>
  <c r="AO79"/>
  <c r="AO92" s="1"/>
  <c r="AM79"/>
  <c r="AM92" s="1"/>
  <c r="AK79"/>
  <c r="AK92" s="1"/>
  <c r="AI79"/>
  <c r="AI92" s="1"/>
  <c r="AG79"/>
  <c r="AG92" s="1"/>
  <c r="AE79"/>
  <c r="AE92" s="1"/>
  <c r="AC79"/>
  <c r="AC92" s="1"/>
  <c r="AA79"/>
  <c r="AA92" s="1"/>
  <c r="Y79"/>
  <c r="Y92" s="1"/>
  <c r="S79"/>
  <c r="Q79"/>
  <c r="BJ79"/>
  <c r="BJ92" s="1"/>
  <c r="BH79"/>
  <c r="BH92" s="1"/>
  <c r="BF79"/>
  <c r="BF92" s="1"/>
  <c r="BD79"/>
  <c r="BD92" s="1"/>
  <c r="BB79"/>
  <c r="BB92" s="1"/>
  <c r="AZ79"/>
  <c r="AZ92" s="1"/>
  <c r="AX79"/>
  <c r="AX92" s="1"/>
  <c r="AV79"/>
  <c r="AV92" s="1"/>
  <c r="AT79"/>
  <c r="AT92" s="1"/>
  <c r="AR79"/>
  <c r="AR92" s="1"/>
  <c r="AP79"/>
  <c r="AP92" s="1"/>
  <c r="AN79"/>
  <c r="AN92" s="1"/>
  <c r="AL79"/>
  <c r="AL92" s="1"/>
  <c r="AJ79"/>
  <c r="AJ92" s="1"/>
  <c r="AH79"/>
  <c r="AH92" s="1"/>
  <c r="AF79"/>
  <c r="AF92" s="1"/>
  <c r="AD79"/>
  <c r="AD92" s="1"/>
  <c r="AB79"/>
  <c r="AB92" s="1"/>
  <c r="Z79"/>
  <c r="Z92" s="1"/>
  <c r="X79"/>
  <c r="X92" s="1"/>
  <c r="R79"/>
  <c r="P79"/>
  <c r="F4"/>
  <c r="BI83"/>
  <c r="BI96" s="1"/>
  <c r="BG83"/>
  <c r="BG96" s="1"/>
  <c r="BE83"/>
  <c r="BE96" s="1"/>
  <c r="BC83"/>
  <c r="BC96" s="1"/>
  <c r="BA83"/>
  <c r="BA96" s="1"/>
  <c r="AY83"/>
  <c r="AY96" s="1"/>
  <c r="AW83"/>
  <c r="AW96" s="1"/>
  <c r="AU83"/>
  <c r="AU96" s="1"/>
  <c r="AS83"/>
  <c r="AS96" s="1"/>
  <c r="AQ83"/>
  <c r="AQ96" s="1"/>
  <c r="AO83"/>
  <c r="AO96" s="1"/>
  <c r="AM83"/>
  <c r="AM96" s="1"/>
  <c r="AK83"/>
  <c r="AK96" s="1"/>
  <c r="AI83"/>
  <c r="AI96" s="1"/>
  <c r="AG83"/>
  <c r="AG96" s="1"/>
  <c r="AE83"/>
  <c r="AE96" s="1"/>
  <c r="AC83"/>
  <c r="AC96" s="1"/>
  <c r="AA83"/>
  <c r="AA96" s="1"/>
  <c r="Y83"/>
  <c r="Y96" s="1"/>
  <c r="W83"/>
  <c r="W96" s="1"/>
  <c r="Q83"/>
  <c r="BJ83"/>
  <c r="BJ96" s="1"/>
  <c r="BH83"/>
  <c r="BH96" s="1"/>
  <c r="BF83"/>
  <c r="BF96" s="1"/>
  <c r="BD83"/>
  <c r="BD96" s="1"/>
  <c r="BB83"/>
  <c r="BB96" s="1"/>
  <c r="AZ83"/>
  <c r="AZ96" s="1"/>
  <c r="AX83"/>
  <c r="AX96" s="1"/>
  <c r="AV83"/>
  <c r="AV96" s="1"/>
  <c r="AT83"/>
  <c r="AT96" s="1"/>
  <c r="AR83"/>
  <c r="AR96" s="1"/>
  <c r="AP83"/>
  <c r="AP96" s="1"/>
  <c r="AN83"/>
  <c r="AN96" s="1"/>
  <c r="AL83"/>
  <c r="AL96" s="1"/>
  <c r="AJ83"/>
  <c r="AJ96" s="1"/>
  <c r="AH83"/>
  <c r="AH96" s="1"/>
  <c r="AF83"/>
  <c r="AF96" s="1"/>
  <c r="AD83"/>
  <c r="AD96" s="1"/>
  <c r="AB83"/>
  <c r="AB96" s="1"/>
  <c r="Z83"/>
  <c r="Z96" s="1"/>
  <c r="X83"/>
  <c r="X96" s="1"/>
  <c r="R83"/>
  <c r="P83"/>
  <c r="J4"/>
  <c r="B8"/>
  <c r="W22"/>
  <c r="C7" s="1"/>
  <c r="C6"/>
  <c r="D8"/>
  <c r="D9" s="1"/>
  <c r="K78"/>
  <c r="I78"/>
  <c r="J78"/>
  <c r="H78"/>
  <c r="W16"/>
  <c r="B7" s="1"/>
  <c r="B6"/>
  <c r="C8"/>
  <c r="C9" s="1"/>
  <c r="W28"/>
  <c r="D7" s="1"/>
  <c r="D6"/>
  <c r="BI78"/>
  <c r="BI91" s="1"/>
  <c r="BG78"/>
  <c r="BG91" s="1"/>
  <c r="BE78"/>
  <c r="BE91" s="1"/>
  <c r="BC78"/>
  <c r="BC91" s="1"/>
  <c r="BA78"/>
  <c r="BA91" s="1"/>
  <c r="AY78"/>
  <c r="AY91" s="1"/>
  <c r="AW78"/>
  <c r="AW91" s="1"/>
  <c r="AU78"/>
  <c r="AU91" s="1"/>
  <c r="AS78"/>
  <c r="AS91" s="1"/>
  <c r="AQ78"/>
  <c r="AQ91" s="1"/>
  <c r="AO78"/>
  <c r="AO91" s="1"/>
  <c r="AM78"/>
  <c r="AM91" s="1"/>
  <c r="AK78"/>
  <c r="AK91" s="1"/>
  <c r="AI78"/>
  <c r="AI91" s="1"/>
  <c r="AG78"/>
  <c r="AG91" s="1"/>
  <c r="AE78"/>
  <c r="AE91" s="1"/>
  <c r="AC78"/>
  <c r="AC91" s="1"/>
  <c r="AA78"/>
  <c r="AA91" s="1"/>
  <c r="Y78"/>
  <c r="Y91" s="1"/>
  <c r="W78"/>
  <c r="U78"/>
  <c r="S78"/>
  <c r="Q78"/>
  <c r="O78"/>
  <c r="M78"/>
  <c r="BJ78"/>
  <c r="BJ91" s="1"/>
  <c r="BH78"/>
  <c r="BH91" s="1"/>
  <c r="BF78"/>
  <c r="BF91" s="1"/>
  <c r="BD78"/>
  <c r="BD91" s="1"/>
  <c r="BB78"/>
  <c r="BB91" s="1"/>
  <c r="AZ78"/>
  <c r="AZ91" s="1"/>
  <c r="AX78"/>
  <c r="AX91" s="1"/>
  <c r="AV78"/>
  <c r="AV91" s="1"/>
  <c r="AT78"/>
  <c r="AT91" s="1"/>
  <c r="AR78"/>
  <c r="AR91" s="1"/>
  <c r="AP78"/>
  <c r="AP91" s="1"/>
  <c r="AN78"/>
  <c r="AN91" s="1"/>
  <c r="AL78"/>
  <c r="AL91" s="1"/>
  <c r="AJ78"/>
  <c r="AJ91" s="1"/>
  <c r="AH78"/>
  <c r="AH91" s="1"/>
  <c r="AF78"/>
  <c r="AF91" s="1"/>
  <c r="AD78"/>
  <c r="AD91" s="1"/>
  <c r="AB78"/>
  <c r="AB91" s="1"/>
  <c r="Z78"/>
  <c r="Z91" s="1"/>
  <c r="X78"/>
  <c r="V78"/>
  <c r="T78"/>
  <c r="R78"/>
  <c r="P78"/>
  <c r="N78"/>
  <c r="L78"/>
  <c r="E4"/>
  <c r="AU116" i="5"/>
  <c r="AU114" s="1"/>
  <c r="AU57"/>
  <c r="AE116"/>
  <c r="AE114" s="1"/>
  <c r="AE57"/>
  <c r="O116"/>
  <c r="O114" s="1"/>
  <c r="O57"/>
  <c r="G9" i="7"/>
  <c r="U80" s="1"/>
  <c r="K9"/>
  <c r="O84" s="1"/>
  <c r="H9"/>
  <c r="U81" s="1"/>
  <c r="I9"/>
  <c r="N82" s="1"/>
  <c r="F9"/>
  <c r="U79" s="1"/>
  <c r="J9"/>
  <c r="M83" s="1"/>
  <c r="H11" i="5"/>
  <c r="E1254" s="1"/>
  <c r="BB1208"/>
  <c r="BB1205"/>
  <c r="AT1208"/>
  <c r="AT1205"/>
  <c r="AL1208"/>
  <c r="AL1205"/>
  <c r="AD1208"/>
  <c r="AD1205"/>
  <c r="B1044"/>
  <c r="J6" s="1"/>
  <c r="D1256" s="1"/>
  <c r="J7"/>
  <c r="AE1032"/>
  <c r="AE1035"/>
  <c r="W1032"/>
  <c r="W1035"/>
  <c r="BH973"/>
  <c r="BH976"/>
  <c r="AZ973"/>
  <c r="AZ976"/>
  <c r="AR973"/>
  <c r="AR976"/>
  <c r="AJ973"/>
  <c r="AJ976"/>
  <c r="AB973"/>
  <c r="AB976"/>
  <c r="T973"/>
  <c r="T976"/>
  <c r="D973"/>
  <c r="D976"/>
  <c r="BG800"/>
  <c r="BG803"/>
  <c r="AY800"/>
  <c r="AY803"/>
  <c r="AQ800"/>
  <c r="AQ803"/>
  <c r="AI800"/>
  <c r="AI803"/>
  <c r="AA800"/>
  <c r="AA803"/>
  <c r="BE976"/>
  <c r="BE973"/>
  <c r="AW976"/>
  <c r="AW973"/>
  <c r="AO976"/>
  <c r="AO973"/>
  <c r="AG976"/>
  <c r="AG973"/>
  <c r="Y976"/>
  <c r="Y973"/>
  <c r="E14"/>
  <c r="G1251" s="1"/>
  <c r="BC684"/>
  <c r="BC687"/>
  <c r="AU684"/>
  <c r="AU687"/>
  <c r="AM684"/>
  <c r="AM687"/>
  <c r="AE684"/>
  <c r="AE687"/>
  <c r="W684"/>
  <c r="W687"/>
  <c r="BI220"/>
  <c r="BI223"/>
  <c r="BA220"/>
  <c r="BA223"/>
  <c r="AS220"/>
  <c r="AS223"/>
  <c r="AK220"/>
  <c r="AK223"/>
  <c r="AC220"/>
  <c r="AC223"/>
  <c r="BF104"/>
  <c r="BF107"/>
  <c r="AX104"/>
  <c r="AX107"/>
  <c r="AP104"/>
  <c r="AP107"/>
  <c r="AH104"/>
  <c r="AH107"/>
  <c r="Z104"/>
  <c r="Z107"/>
  <c r="BF568"/>
  <c r="BF571"/>
  <c r="AX568"/>
  <c r="AX571"/>
  <c r="AP568"/>
  <c r="AP571"/>
  <c r="AH568"/>
  <c r="AH571"/>
  <c r="Z568"/>
  <c r="Z571"/>
  <c r="BI509"/>
  <c r="BI512"/>
  <c r="BA509"/>
  <c r="BA512"/>
  <c r="AS509"/>
  <c r="AS512"/>
  <c r="AK509"/>
  <c r="AK512"/>
  <c r="AC509"/>
  <c r="AC512"/>
  <c r="BJ336"/>
  <c r="BJ339"/>
  <c r="BD336"/>
  <c r="BD339"/>
  <c r="AV336"/>
  <c r="AV339"/>
  <c r="AN336"/>
  <c r="AN339"/>
  <c r="AF336"/>
  <c r="AF339"/>
  <c r="X336"/>
  <c r="X339"/>
  <c r="C1263"/>
  <c r="F1063"/>
  <c r="G1006"/>
  <c r="F1011"/>
  <c r="F1068" s="1"/>
  <c r="C838"/>
  <c r="H885"/>
  <c r="G942"/>
  <c r="G900"/>
  <c r="G957" s="1"/>
  <c r="G956"/>
  <c r="I884"/>
  <c r="H941"/>
  <c r="H899"/>
  <c r="C976"/>
  <c r="C973"/>
  <c r="BF687"/>
  <c r="BF684"/>
  <c r="E675"/>
  <c r="E677"/>
  <c r="E703"/>
  <c r="E1181"/>
  <c r="E1129"/>
  <c r="E1186" s="1"/>
  <c r="F1124"/>
  <c r="BE1151"/>
  <c r="BE1148"/>
  <c r="AW1151"/>
  <c r="AW1148"/>
  <c r="AO1151"/>
  <c r="AO1148"/>
  <c r="AG1151"/>
  <c r="AG1148"/>
  <c r="Y1151"/>
  <c r="Y1148"/>
  <c r="BG1151"/>
  <c r="BG1148"/>
  <c r="AQ1151"/>
  <c r="AQ1148"/>
  <c r="AA1151"/>
  <c r="AA1148"/>
  <c r="G840"/>
  <c r="AN687"/>
  <c r="AN684"/>
  <c r="BB687"/>
  <c r="BB684"/>
  <c r="G1059"/>
  <c r="G1056" s="1"/>
  <c r="H1002"/>
  <c r="G1017"/>
  <c r="G999"/>
  <c r="F1082"/>
  <c r="E1062"/>
  <c r="F1005"/>
  <c r="E1010"/>
  <c r="BI339"/>
  <c r="BI336"/>
  <c r="BE339"/>
  <c r="BE336"/>
  <c r="BA339"/>
  <c r="BA336"/>
  <c r="AW339"/>
  <c r="AW336"/>
  <c r="AS339"/>
  <c r="AS336"/>
  <c r="AO339"/>
  <c r="AO336"/>
  <c r="AK339"/>
  <c r="AK336"/>
  <c r="AG339"/>
  <c r="AG336"/>
  <c r="AC339"/>
  <c r="AC336"/>
  <c r="Y339"/>
  <c r="Y336"/>
  <c r="E339"/>
  <c r="E336"/>
  <c r="H652"/>
  <c r="G709"/>
  <c r="G667"/>
  <c r="D1270"/>
  <c r="AU1205"/>
  <c r="AU1208"/>
  <c r="AE1205"/>
  <c r="AE1208"/>
  <c r="D949"/>
  <c r="E892"/>
  <c r="D897"/>
  <c r="D954" s="1"/>
  <c r="F841"/>
  <c r="AV741"/>
  <c r="AV744"/>
  <c r="BJ741"/>
  <c r="BJ744"/>
  <c r="AD741"/>
  <c r="AD744"/>
  <c r="E211"/>
  <c r="E213"/>
  <c r="E268"/>
  <c r="E270"/>
  <c r="D142"/>
  <c r="E135"/>
  <c r="F78"/>
  <c r="E83"/>
  <c r="BI164"/>
  <c r="BI161"/>
  <c r="BA164"/>
  <c r="BA161"/>
  <c r="AS164"/>
  <c r="AS161"/>
  <c r="AK164"/>
  <c r="AK161"/>
  <c r="AC164"/>
  <c r="AC161"/>
  <c r="G377"/>
  <c r="AV280"/>
  <c r="AV277"/>
  <c r="AO164"/>
  <c r="AO161"/>
  <c r="I361"/>
  <c r="I319"/>
  <c r="J304"/>
  <c r="G126"/>
  <c r="G74"/>
  <c r="B69"/>
  <c r="BG107"/>
  <c r="BG104"/>
  <c r="AY107"/>
  <c r="AY104"/>
  <c r="AQ107"/>
  <c r="AQ104"/>
  <c r="AI107"/>
  <c r="AI104"/>
  <c r="AA107"/>
  <c r="AA104"/>
  <c r="H147"/>
  <c r="F561"/>
  <c r="G590"/>
  <c r="G587" s="1"/>
  <c r="B533"/>
  <c r="G530"/>
  <c r="AX687"/>
  <c r="AX684"/>
  <c r="AH687"/>
  <c r="AH684"/>
  <c r="BH455"/>
  <c r="BH452"/>
  <c r="AR455"/>
  <c r="AR452"/>
  <c r="AB455"/>
  <c r="AB452"/>
  <c r="BG339"/>
  <c r="BG336"/>
  <c r="AQ339"/>
  <c r="AQ336"/>
  <c r="AA339"/>
  <c r="AA336"/>
  <c r="D262"/>
  <c r="D202"/>
  <c r="D212" s="1"/>
  <c r="E250"/>
  <c r="F193"/>
  <c r="E198"/>
  <c r="BB223"/>
  <c r="BB220"/>
  <c r="AL223"/>
  <c r="AL220"/>
  <c r="BG571"/>
  <c r="BG568"/>
  <c r="AY571"/>
  <c r="AY568"/>
  <c r="AQ571"/>
  <c r="AQ568"/>
  <c r="AI571"/>
  <c r="AI568"/>
  <c r="AA571"/>
  <c r="AA568"/>
  <c r="C571"/>
  <c r="C568"/>
  <c r="G260"/>
  <c r="H245"/>
  <c r="I188"/>
  <c r="H203"/>
  <c r="G145"/>
  <c r="H130"/>
  <c r="I73"/>
  <c r="H88"/>
  <c r="AN280"/>
  <c r="AN277"/>
  <c r="AM164"/>
  <c r="AM161"/>
  <c r="AG164"/>
  <c r="AG161"/>
  <c r="F353"/>
  <c r="F346" s="1"/>
  <c r="G296"/>
  <c r="F289"/>
  <c r="H420"/>
  <c r="G477"/>
  <c r="G435"/>
  <c r="BH1148"/>
  <c r="BH1151"/>
  <c r="AZ1148"/>
  <c r="AZ1151"/>
  <c r="AR1148"/>
  <c r="AR1151"/>
  <c r="AJ1148"/>
  <c r="AJ1151"/>
  <c r="AB1148"/>
  <c r="AB1151"/>
  <c r="D1148"/>
  <c r="D1151"/>
  <c r="BF1092"/>
  <c r="BF1089"/>
  <c r="AX1092"/>
  <c r="AX1089"/>
  <c r="AP1092"/>
  <c r="AP1089"/>
  <c r="AH1092"/>
  <c r="AH1089"/>
  <c r="Z1092"/>
  <c r="Z1089"/>
  <c r="BI857"/>
  <c r="BI860"/>
  <c r="BA857"/>
  <c r="BA860"/>
  <c r="AS857"/>
  <c r="AS860"/>
  <c r="AK857"/>
  <c r="AK860"/>
  <c r="AC857"/>
  <c r="AC860"/>
  <c r="E857"/>
  <c r="E860"/>
  <c r="J14"/>
  <c r="G1256" s="1"/>
  <c r="BC744"/>
  <c r="BC741"/>
  <c r="AU744"/>
  <c r="AU741"/>
  <c r="AM744"/>
  <c r="AM741"/>
  <c r="AE744"/>
  <c r="AE741"/>
  <c r="W744"/>
  <c r="W741"/>
  <c r="BE277"/>
  <c r="BE280"/>
  <c r="AW277"/>
  <c r="AW280"/>
  <c r="AO277"/>
  <c r="AO280"/>
  <c r="AG277"/>
  <c r="AG280"/>
  <c r="Y277"/>
  <c r="Y280"/>
  <c r="BB161"/>
  <c r="BB164"/>
  <c r="AT161"/>
  <c r="AT164"/>
  <c r="AL161"/>
  <c r="AL164"/>
  <c r="AD161"/>
  <c r="AD164"/>
  <c r="BB625"/>
  <c r="BB628"/>
  <c r="AT625"/>
  <c r="AT628"/>
  <c r="AJ625"/>
  <c r="AJ628"/>
  <c r="AB625"/>
  <c r="AB628"/>
  <c r="BI452"/>
  <c r="BI455"/>
  <c r="BA452"/>
  <c r="BA455"/>
  <c r="AS452"/>
  <c r="AS455"/>
  <c r="AK452"/>
  <c r="AK455"/>
  <c r="AC452"/>
  <c r="AC455"/>
  <c r="BH393"/>
  <c r="BH396"/>
  <c r="AZ393"/>
  <c r="AZ396"/>
  <c r="AR393"/>
  <c r="AR396"/>
  <c r="AJ393"/>
  <c r="AJ396"/>
  <c r="AB393"/>
  <c r="AB396"/>
  <c r="H1188"/>
  <c r="H1189"/>
  <c r="G1170"/>
  <c r="G1167" s="1"/>
  <c r="B1113"/>
  <c r="G1110"/>
  <c r="G1118"/>
  <c r="F1179"/>
  <c r="G1122"/>
  <c r="F1127"/>
  <c r="F1184" s="1"/>
  <c r="G992"/>
  <c r="F1049"/>
  <c r="F985"/>
  <c r="F827"/>
  <c r="AG770"/>
  <c r="AG827" s="1"/>
  <c r="F785"/>
  <c r="E793"/>
  <c r="E791"/>
  <c r="E848"/>
  <c r="E850"/>
  <c r="E831"/>
  <c r="F774"/>
  <c r="E779"/>
  <c r="AG886"/>
  <c r="AG943" s="1"/>
  <c r="F943"/>
  <c r="F940" s="1"/>
  <c r="F901"/>
  <c r="F958" s="1"/>
  <c r="E935"/>
  <c r="G933"/>
  <c r="B876"/>
  <c r="B869" s="1"/>
  <c r="G869"/>
  <c r="BI628"/>
  <c r="BI625"/>
  <c r="BE628"/>
  <c r="BE625"/>
  <c r="BA628"/>
  <c r="BA625"/>
  <c r="AW628"/>
  <c r="AW625"/>
  <c r="AS628"/>
  <c r="AS625"/>
  <c r="AO628"/>
  <c r="AO625"/>
  <c r="AK628"/>
  <c r="AK625"/>
  <c r="AG628"/>
  <c r="AG625"/>
  <c r="AC628"/>
  <c r="AC625"/>
  <c r="Y628"/>
  <c r="Y625"/>
  <c r="E628"/>
  <c r="E625"/>
  <c r="BJ512"/>
  <c r="BJ509"/>
  <c r="BF512"/>
  <c r="BF509"/>
  <c r="BB512"/>
  <c r="BB509"/>
  <c r="AX512"/>
  <c r="AX509"/>
  <c r="AT512"/>
  <c r="AT509"/>
  <c r="AP512"/>
  <c r="AP509"/>
  <c r="AL512"/>
  <c r="AL509"/>
  <c r="AH512"/>
  <c r="AH509"/>
  <c r="AD512"/>
  <c r="AD509"/>
  <c r="Z512"/>
  <c r="Z509"/>
  <c r="BI1151"/>
  <c r="BI1148"/>
  <c r="BA1151"/>
  <c r="BA1148"/>
  <c r="AS1151"/>
  <c r="AS1148"/>
  <c r="AK1151"/>
  <c r="AK1148"/>
  <c r="AC1151"/>
  <c r="AC1148"/>
  <c r="E1151"/>
  <c r="E1148"/>
  <c r="AY1151"/>
  <c r="AY1148"/>
  <c r="AI1151"/>
  <c r="AI1148"/>
  <c r="F1190"/>
  <c r="F1187" s="1"/>
  <c r="F1197" s="1"/>
  <c r="F1130"/>
  <c r="F1140" s="1"/>
  <c r="C1070"/>
  <c r="BD741"/>
  <c r="BD744"/>
  <c r="X741"/>
  <c r="X744"/>
  <c r="AL741"/>
  <c r="AL744"/>
  <c r="C1269"/>
  <c r="C1267"/>
  <c r="J887"/>
  <c r="I944"/>
  <c r="I902"/>
  <c r="I959" s="1"/>
  <c r="BH687"/>
  <c r="BH684"/>
  <c r="AZ687"/>
  <c r="AZ684"/>
  <c r="AR687"/>
  <c r="AR684"/>
  <c r="AJ687"/>
  <c r="AJ684"/>
  <c r="AB687"/>
  <c r="AB684"/>
  <c r="D374"/>
  <c r="C375"/>
  <c r="AI651"/>
  <c r="AI709"/>
  <c r="AI708" s="1"/>
  <c r="BC1205"/>
  <c r="BC1208"/>
  <c r="AM1205"/>
  <c r="AM1208"/>
  <c r="F957"/>
  <c r="F898"/>
  <c r="F908" s="1"/>
  <c r="AF741"/>
  <c r="AF744"/>
  <c r="AT741"/>
  <c r="AT744"/>
  <c r="G246"/>
  <c r="H189"/>
  <c r="G204"/>
  <c r="G261" s="1"/>
  <c r="BH223"/>
  <c r="BH220"/>
  <c r="AZ223"/>
  <c r="AZ220"/>
  <c r="AR223"/>
  <c r="AR220"/>
  <c r="AJ223"/>
  <c r="AJ220"/>
  <c r="AB223"/>
  <c r="AB220"/>
  <c r="D223"/>
  <c r="D220"/>
  <c r="E488"/>
  <c r="AF280"/>
  <c r="AF277"/>
  <c r="BE164"/>
  <c r="BE161"/>
  <c r="Y164"/>
  <c r="Y161"/>
  <c r="I712"/>
  <c r="I670"/>
  <c r="J655"/>
  <c r="E715"/>
  <c r="F658"/>
  <c r="E663"/>
  <c r="C277"/>
  <c r="C280"/>
  <c r="C107"/>
  <c r="C104"/>
  <c r="C1264"/>
  <c r="F329"/>
  <c r="G358"/>
  <c r="G355" s="1"/>
  <c r="G298"/>
  <c r="B301"/>
  <c r="AP687"/>
  <c r="AP684"/>
  <c r="Z687"/>
  <c r="Z684"/>
  <c r="I653"/>
  <c r="H710"/>
  <c r="H668"/>
  <c r="AZ512"/>
  <c r="AZ509"/>
  <c r="AJ512"/>
  <c r="AJ509"/>
  <c r="D512"/>
  <c r="D509"/>
  <c r="AY396"/>
  <c r="AY393"/>
  <c r="AI396"/>
  <c r="AI393"/>
  <c r="D253"/>
  <c r="E196"/>
  <c r="D201"/>
  <c r="D258" s="1"/>
  <c r="E256"/>
  <c r="BJ280"/>
  <c r="BJ277"/>
  <c r="AT280"/>
  <c r="AT277"/>
  <c r="AD280"/>
  <c r="AD277"/>
  <c r="BC628"/>
  <c r="BC625"/>
  <c r="AU628"/>
  <c r="AU625"/>
  <c r="AM628"/>
  <c r="AM625"/>
  <c r="AE628"/>
  <c r="AE625"/>
  <c r="F146"/>
  <c r="E601"/>
  <c r="E549"/>
  <c r="E606" s="1"/>
  <c r="F544"/>
  <c r="BD223"/>
  <c r="BD220"/>
  <c r="X223"/>
  <c r="X220"/>
  <c r="BC107"/>
  <c r="BC104"/>
  <c r="AW107"/>
  <c r="AW104"/>
  <c r="E604"/>
  <c r="AH422"/>
  <c r="AH479" s="1"/>
  <c r="E479"/>
  <c r="E437"/>
  <c r="E419"/>
  <c r="E443"/>
  <c r="E445"/>
  <c r="E502"/>
  <c r="D1264"/>
  <c r="G121"/>
  <c r="D433"/>
  <c r="D490" s="1"/>
  <c r="E428"/>
  <c r="D485"/>
  <c r="H594"/>
  <c r="I537"/>
  <c r="H552"/>
  <c r="H609" s="1"/>
  <c r="G1270"/>
  <c r="M1270"/>
  <c r="H1270"/>
  <c r="D1263"/>
  <c r="D1032"/>
  <c r="E684"/>
  <c r="G114"/>
  <c r="B704"/>
  <c r="G230"/>
  <c r="C919"/>
  <c r="D1092"/>
  <c r="C800"/>
  <c r="D857"/>
  <c r="E741"/>
  <c r="C723"/>
  <c r="C733" s="1"/>
  <c r="C223"/>
  <c r="C336"/>
  <c r="B121"/>
  <c r="BH1208"/>
  <c r="BH1205"/>
  <c r="AZ1208"/>
  <c r="AZ1205"/>
  <c r="AR1208"/>
  <c r="AR1205"/>
  <c r="AJ1208"/>
  <c r="AJ1205"/>
  <c r="AB1208"/>
  <c r="AB1205"/>
  <c r="D1208"/>
  <c r="D1205"/>
  <c r="E1089"/>
  <c r="E1092"/>
  <c r="AI1032"/>
  <c r="AI1035"/>
  <c r="AA1032"/>
  <c r="AA1035"/>
  <c r="BD973"/>
  <c r="BD976"/>
  <c r="AV973"/>
  <c r="AV976"/>
  <c r="AN973"/>
  <c r="AN976"/>
  <c r="AF973"/>
  <c r="AF976"/>
  <c r="X973"/>
  <c r="X976"/>
  <c r="B812"/>
  <c r="H6" s="1"/>
  <c r="D1254" s="1"/>
  <c r="H7"/>
  <c r="BC800"/>
  <c r="BC803"/>
  <c r="AU800"/>
  <c r="AU803"/>
  <c r="AM800"/>
  <c r="AM803"/>
  <c r="AE800"/>
  <c r="AE803"/>
  <c r="W800"/>
  <c r="W803"/>
  <c r="BI976"/>
  <c r="BI973"/>
  <c r="BA976"/>
  <c r="BA973"/>
  <c r="AS976"/>
  <c r="AS973"/>
  <c r="AK976"/>
  <c r="AK973"/>
  <c r="AC976"/>
  <c r="AC973"/>
  <c r="U976"/>
  <c r="U973"/>
  <c r="BG684"/>
  <c r="BG687"/>
  <c r="AY684"/>
  <c r="AY687"/>
  <c r="AQ684"/>
  <c r="AQ687"/>
  <c r="AI684"/>
  <c r="AI687"/>
  <c r="AA684"/>
  <c r="AA687"/>
  <c r="B232"/>
  <c r="C6" s="1"/>
  <c r="D1249" s="1"/>
  <c r="C7"/>
  <c r="BE220"/>
  <c r="BE223"/>
  <c r="AW220"/>
  <c r="AW223"/>
  <c r="AO220"/>
  <c r="AO223"/>
  <c r="AG220"/>
  <c r="AG223"/>
  <c r="Y220"/>
  <c r="Y223"/>
  <c r="BB104"/>
  <c r="BB107"/>
  <c r="AT104"/>
  <c r="AT107"/>
  <c r="AL104"/>
  <c r="AL107"/>
  <c r="AD104"/>
  <c r="AD107"/>
  <c r="C1261"/>
  <c r="BB568"/>
  <c r="BB571"/>
  <c r="AT568"/>
  <c r="AT571"/>
  <c r="AJ568"/>
  <c r="AJ571"/>
  <c r="AB568"/>
  <c r="AB571"/>
  <c r="D625"/>
  <c r="D628"/>
  <c r="BE509"/>
  <c r="BE512"/>
  <c r="AW509"/>
  <c r="AW512"/>
  <c r="AO509"/>
  <c r="AO512"/>
  <c r="AG509"/>
  <c r="AG512"/>
  <c r="Y509"/>
  <c r="Y512"/>
  <c r="BH336"/>
  <c r="BH339"/>
  <c r="AZ336"/>
  <c r="AZ339"/>
  <c r="AR336"/>
  <c r="AR339"/>
  <c r="AJ336"/>
  <c r="AJ339"/>
  <c r="AB336"/>
  <c r="AB339"/>
  <c r="D393"/>
  <c r="D396"/>
  <c r="E1068"/>
  <c r="D833"/>
  <c r="E776"/>
  <c r="D781"/>
  <c r="D838" s="1"/>
  <c r="E773"/>
  <c r="B820"/>
  <c r="E947"/>
  <c r="F890"/>
  <c r="E895"/>
  <c r="E889"/>
  <c r="C1268"/>
  <c r="BF741"/>
  <c r="BF744"/>
  <c r="E717"/>
  <c r="F660"/>
  <c r="E665"/>
  <c r="E722" s="1"/>
  <c r="F711"/>
  <c r="F669"/>
  <c r="F726" s="1"/>
  <c r="AG654"/>
  <c r="AG711" s="1"/>
  <c r="F706"/>
  <c r="F703" s="1"/>
  <c r="G649"/>
  <c r="F646"/>
  <c r="D726"/>
  <c r="D723" s="1"/>
  <c r="D733" s="1"/>
  <c r="D666"/>
  <c r="D676" s="1"/>
  <c r="D1186"/>
  <c r="BE1205"/>
  <c r="BE1208"/>
  <c r="AW1205"/>
  <c r="AW1208"/>
  <c r="AO1205"/>
  <c r="AO1208"/>
  <c r="AG1205"/>
  <c r="AG1208"/>
  <c r="Y1205"/>
  <c r="Y1208"/>
  <c r="BG1205"/>
  <c r="BG1208"/>
  <c r="AQ1205"/>
  <c r="AQ1208"/>
  <c r="AA1205"/>
  <c r="AA1208"/>
  <c r="H825"/>
  <c r="I768"/>
  <c r="H783"/>
  <c r="AN741"/>
  <c r="AN744"/>
  <c r="BB741"/>
  <c r="BB744"/>
  <c r="C1187"/>
  <c r="I1058"/>
  <c r="J1001"/>
  <c r="I1016"/>
  <c r="F1059"/>
  <c r="AG1002"/>
  <c r="AG1059" s="1"/>
  <c r="F1017"/>
  <c r="F999"/>
  <c r="G1054"/>
  <c r="G1051" s="1"/>
  <c r="B997"/>
  <c r="G994"/>
  <c r="F1023"/>
  <c r="F1025"/>
  <c r="BI396"/>
  <c r="BI393"/>
  <c r="BE396"/>
  <c r="BE393"/>
  <c r="BA396"/>
  <c r="BA393"/>
  <c r="AW396"/>
  <c r="AW393"/>
  <c r="AS396"/>
  <c r="AS393"/>
  <c r="AO396"/>
  <c r="AO393"/>
  <c r="AK396"/>
  <c r="AK393"/>
  <c r="AG396"/>
  <c r="AG393"/>
  <c r="AC396"/>
  <c r="AC393"/>
  <c r="Y396"/>
  <c r="Y393"/>
  <c r="E714"/>
  <c r="F657"/>
  <c r="E662"/>
  <c r="AU1151"/>
  <c r="AU1148"/>
  <c r="AE1151"/>
  <c r="AE1148"/>
  <c r="C954"/>
  <c r="AV687"/>
  <c r="AV684"/>
  <c r="BJ687"/>
  <c r="BJ684"/>
  <c r="AD687"/>
  <c r="AD684"/>
  <c r="F247"/>
  <c r="AG190"/>
  <c r="AG247" s="1"/>
  <c r="F205"/>
  <c r="F262" s="1"/>
  <c r="F187"/>
  <c r="F242"/>
  <c r="F239" s="1"/>
  <c r="G185"/>
  <c r="F182"/>
  <c r="B185"/>
  <c r="F261"/>
  <c r="E137"/>
  <c r="F80"/>
  <c r="E85"/>
  <c r="E142" s="1"/>
  <c r="BI107"/>
  <c r="BI104"/>
  <c r="BA107"/>
  <c r="BA104"/>
  <c r="AS107"/>
  <c r="AS104"/>
  <c r="AK107"/>
  <c r="AK104"/>
  <c r="AC107"/>
  <c r="AC104"/>
  <c r="E372"/>
  <c r="F367"/>
  <c r="G310"/>
  <c r="F315"/>
  <c r="F372" s="1"/>
  <c r="H362"/>
  <c r="I305"/>
  <c r="H320"/>
  <c r="H377" s="1"/>
  <c r="B230"/>
  <c r="C4" s="1"/>
  <c r="C11"/>
  <c r="E1249" s="1"/>
  <c r="I421"/>
  <c r="H478"/>
  <c r="H436"/>
  <c r="H493" s="1"/>
  <c r="AV223"/>
  <c r="AV220"/>
  <c r="AO107"/>
  <c r="AO104"/>
  <c r="H376"/>
  <c r="B126"/>
  <c r="BG164"/>
  <c r="BG161"/>
  <c r="AY164"/>
  <c r="AY161"/>
  <c r="AQ164"/>
  <c r="AQ161"/>
  <c r="AI164"/>
  <c r="AI161"/>
  <c r="AA164"/>
  <c r="AA161"/>
  <c r="J75"/>
  <c r="I132"/>
  <c r="I90"/>
  <c r="I147" s="1"/>
  <c r="G595"/>
  <c r="G592" s="1"/>
  <c r="G553"/>
  <c r="G610" s="1"/>
  <c r="H538"/>
  <c r="F595"/>
  <c r="AG538"/>
  <c r="AG595" s="1"/>
  <c r="F553"/>
  <c r="F535"/>
  <c r="F559" s="1"/>
  <c r="F587"/>
  <c r="B590"/>
  <c r="E598"/>
  <c r="F541"/>
  <c r="E546"/>
  <c r="E366"/>
  <c r="F309"/>
  <c r="E314"/>
  <c r="AX741"/>
  <c r="AX744"/>
  <c r="AH741"/>
  <c r="AH744"/>
  <c r="BH512"/>
  <c r="BH509"/>
  <c r="AR512"/>
  <c r="AR509"/>
  <c r="AB512"/>
  <c r="AB509"/>
  <c r="BG396"/>
  <c r="BG393"/>
  <c r="AQ396"/>
  <c r="AQ393"/>
  <c r="AA396"/>
  <c r="AA393"/>
  <c r="BB280"/>
  <c r="BB277"/>
  <c r="AL280"/>
  <c r="AL277"/>
  <c r="BG628"/>
  <c r="BG625"/>
  <c r="AY628"/>
  <c r="AY625"/>
  <c r="AQ628"/>
  <c r="AQ625"/>
  <c r="AI628"/>
  <c r="AI625"/>
  <c r="AA628"/>
  <c r="AA625"/>
  <c r="C628"/>
  <c r="C625"/>
  <c r="AN223"/>
  <c r="AN220"/>
  <c r="AM107"/>
  <c r="AM104"/>
  <c r="AG107"/>
  <c r="AG104"/>
  <c r="G1265"/>
  <c r="E425"/>
  <c r="BB1148"/>
  <c r="BB1151"/>
  <c r="AT1148"/>
  <c r="AT1151"/>
  <c r="AL1148"/>
  <c r="AL1151"/>
  <c r="AD1148"/>
  <c r="AD1151"/>
  <c r="F1148"/>
  <c r="E1032"/>
  <c r="E1035"/>
  <c r="BJ1092"/>
  <c r="BJ1089"/>
  <c r="BB1092"/>
  <c r="BB1089"/>
  <c r="AT1092"/>
  <c r="AT1089"/>
  <c r="AL1092"/>
  <c r="AL1089"/>
  <c r="AD1092"/>
  <c r="AD1089"/>
  <c r="BE857"/>
  <c r="BE860"/>
  <c r="AW857"/>
  <c r="AW860"/>
  <c r="AO857"/>
  <c r="AO860"/>
  <c r="AG857"/>
  <c r="AG860"/>
  <c r="Y857"/>
  <c r="Y860"/>
  <c r="B928"/>
  <c r="I6" s="1"/>
  <c r="D1255" s="1"/>
  <c r="I7"/>
  <c r="BG744"/>
  <c r="BG741"/>
  <c r="AY744"/>
  <c r="AY741"/>
  <c r="AQ744"/>
  <c r="AQ741"/>
  <c r="AI744"/>
  <c r="AI741"/>
  <c r="AA744"/>
  <c r="AA741"/>
  <c r="B696"/>
  <c r="G7"/>
  <c r="BI277"/>
  <c r="BI280"/>
  <c r="BA277"/>
  <c r="BA280"/>
  <c r="AS277"/>
  <c r="AS280"/>
  <c r="AK277"/>
  <c r="AK280"/>
  <c r="AC277"/>
  <c r="AC280"/>
  <c r="BF161"/>
  <c r="BF164"/>
  <c r="AX161"/>
  <c r="AX164"/>
  <c r="AP161"/>
  <c r="AP164"/>
  <c r="AH161"/>
  <c r="AH164"/>
  <c r="Z161"/>
  <c r="Z164"/>
  <c r="BF625"/>
  <c r="BF628"/>
  <c r="AX625"/>
  <c r="AX628"/>
  <c r="AP625"/>
  <c r="AP628"/>
  <c r="AH625"/>
  <c r="AH628"/>
  <c r="Z625"/>
  <c r="Z628"/>
  <c r="D568"/>
  <c r="D571"/>
  <c r="BE452"/>
  <c r="BE455"/>
  <c r="AW452"/>
  <c r="AW455"/>
  <c r="AO452"/>
  <c r="AO455"/>
  <c r="AG452"/>
  <c r="AG455"/>
  <c r="Y452"/>
  <c r="Y455"/>
  <c r="BJ393"/>
  <c r="BJ396"/>
  <c r="BD393"/>
  <c r="BD396"/>
  <c r="AV393"/>
  <c r="AV396"/>
  <c r="AN393"/>
  <c r="AN396"/>
  <c r="AF393"/>
  <c r="AF396"/>
  <c r="X393"/>
  <c r="X396"/>
  <c r="D336"/>
  <c r="D339"/>
  <c r="D14"/>
  <c r="G1250" s="1"/>
  <c r="C452"/>
  <c r="C455"/>
  <c r="I1173"/>
  <c r="I1131"/>
  <c r="J1116"/>
  <c r="J1117"/>
  <c r="I1174"/>
  <c r="I1132"/>
  <c r="I1189" s="1"/>
  <c r="F1139"/>
  <c r="F1141"/>
  <c r="F1167"/>
  <c r="B1170"/>
  <c r="E1178"/>
  <c r="F1121"/>
  <c r="E1126"/>
  <c r="E1184"/>
  <c r="I1060"/>
  <c r="J1003"/>
  <c r="I1018"/>
  <c r="I1075" s="1"/>
  <c r="J1176"/>
  <c r="K1119"/>
  <c r="J1134"/>
  <c r="I828"/>
  <c r="J771"/>
  <c r="I786"/>
  <c r="I843" s="1"/>
  <c r="F822"/>
  <c r="G765"/>
  <c r="F762"/>
  <c r="G770"/>
  <c r="G826"/>
  <c r="H769"/>
  <c r="G784"/>
  <c r="G841" s="1"/>
  <c r="E943"/>
  <c r="AH886"/>
  <c r="AH943" s="1"/>
  <c r="E901"/>
  <c r="E883"/>
  <c r="E907" s="1"/>
  <c r="F938"/>
  <c r="F935" s="1"/>
  <c r="G881"/>
  <c r="G886" s="1"/>
  <c r="F878"/>
  <c r="F916" s="1"/>
  <c r="E909"/>
  <c r="H608"/>
  <c r="I593"/>
  <c r="J536"/>
  <c r="I551"/>
  <c r="BI571"/>
  <c r="BI568"/>
  <c r="BE571"/>
  <c r="BE568"/>
  <c r="BA571"/>
  <c r="BA568"/>
  <c r="AW571"/>
  <c r="AW568"/>
  <c r="AS571"/>
  <c r="AS568"/>
  <c r="AO571"/>
  <c r="AO568"/>
  <c r="AK571"/>
  <c r="AK568"/>
  <c r="AG571"/>
  <c r="AG568"/>
  <c r="AC571"/>
  <c r="AC568"/>
  <c r="Y571"/>
  <c r="Y568"/>
  <c r="E571"/>
  <c r="E568"/>
  <c r="BJ455"/>
  <c r="BJ452"/>
  <c r="BF455"/>
  <c r="BF452"/>
  <c r="BB455"/>
  <c r="BB452"/>
  <c r="AX455"/>
  <c r="AX452"/>
  <c r="AT455"/>
  <c r="AT452"/>
  <c r="AP455"/>
  <c r="AP452"/>
  <c r="AL455"/>
  <c r="AL452"/>
  <c r="AH455"/>
  <c r="AH452"/>
  <c r="AD455"/>
  <c r="AD452"/>
  <c r="Z455"/>
  <c r="Z452"/>
  <c r="BI1205"/>
  <c r="BI1208"/>
  <c r="BA1205"/>
  <c r="BA1208"/>
  <c r="AS1205"/>
  <c r="AS1208"/>
  <c r="AK1205"/>
  <c r="AK1208"/>
  <c r="AC1205"/>
  <c r="AC1208"/>
  <c r="AY1205"/>
  <c r="AY1208"/>
  <c r="AI1205"/>
  <c r="AI1208"/>
  <c r="D1065"/>
  <c r="E1008"/>
  <c r="D1013"/>
  <c r="D1070" s="1"/>
  <c r="BD687"/>
  <c r="BD684"/>
  <c r="X687"/>
  <c r="X684"/>
  <c r="AL687"/>
  <c r="AL684"/>
  <c r="E1187"/>
  <c r="E1197" s="1"/>
  <c r="F1165"/>
  <c r="F1158" s="1"/>
  <c r="G1108"/>
  <c r="C1089"/>
  <c r="C1092"/>
  <c r="H1072"/>
  <c r="I1057"/>
  <c r="J1000"/>
  <c r="I1015"/>
  <c r="E1082"/>
  <c r="E1080"/>
  <c r="C857"/>
  <c r="C860"/>
  <c r="H959"/>
  <c r="BH741"/>
  <c r="BH744"/>
  <c r="AZ741"/>
  <c r="AZ744"/>
  <c r="AR741"/>
  <c r="AR744"/>
  <c r="AJ741"/>
  <c r="AJ744"/>
  <c r="AB741"/>
  <c r="AB744"/>
  <c r="D744"/>
  <c r="E317"/>
  <c r="E374" s="1"/>
  <c r="F312"/>
  <c r="E369"/>
  <c r="F724"/>
  <c r="F708"/>
  <c r="I596"/>
  <c r="J539"/>
  <c r="I554"/>
  <c r="BC1151"/>
  <c r="BC1148"/>
  <c r="AM1151"/>
  <c r="AM1148"/>
  <c r="AF687"/>
  <c r="AF684"/>
  <c r="E1266"/>
  <c r="AT687"/>
  <c r="AT684"/>
  <c r="E262"/>
  <c r="E259" s="1"/>
  <c r="E269" s="1"/>
  <c r="E202"/>
  <c r="E212" s="1"/>
  <c r="B240"/>
  <c r="BH280"/>
  <c r="BH277"/>
  <c r="AZ280"/>
  <c r="AZ277"/>
  <c r="AR280"/>
  <c r="AR277"/>
  <c r="AJ280"/>
  <c r="AJ277"/>
  <c r="AB280"/>
  <c r="AB277"/>
  <c r="I480"/>
  <c r="J423"/>
  <c r="I438"/>
  <c r="F483"/>
  <c r="F431"/>
  <c r="F488" s="1"/>
  <c r="G426"/>
  <c r="AF223"/>
  <c r="AF220"/>
  <c r="BE107"/>
  <c r="BE104"/>
  <c r="Y107"/>
  <c r="Y104"/>
  <c r="E375"/>
  <c r="E385" s="1"/>
  <c r="C1266"/>
  <c r="J307"/>
  <c r="I364"/>
  <c r="I322"/>
  <c r="I248"/>
  <c r="J191"/>
  <c r="I206"/>
  <c r="I263" s="1"/>
  <c r="C1262"/>
  <c r="F585"/>
  <c r="F578" s="1"/>
  <c r="G528"/>
  <c r="F521"/>
  <c r="G363"/>
  <c r="G360" s="1"/>
  <c r="G321"/>
  <c r="G378" s="1"/>
  <c r="G375" s="1"/>
  <c r="G385" s="1"/>
  <c r="H306"/>
  <c r="G303"/>
  <c r="AG306"/>
  <c r="AG363" s="1"/>
  <c r="F363"/>
  <c r="F321"/>
  <c r="F303"/>
  <c r="F327" s="1"/>
  <c r="B358"/>
  <c r="D16" s="1"/>
  <c r="F1250" s="1"/>
  <c r="F355"/>
  <c r="AP741"/>
  <c r="AP744"/>
  <c r="Z741"/>
  <c r="Z744"/>
  <c r="AZ455"/>
  <c r="AZ452"/>
  <c r="AJ455"/>
  <c r="AJ452"/>
  <c r="D455"/>
  <c r="D452"/>
  <c r="AY339"/>
  <c r="AY336"/>
  <c r="AI339"/>
  <c r="AI336"/>
  <c r="C258"/>
  <c r="F251"/>
  <c r="G194"/>
  <c r="F199"/>
  <c r="F256" s="1"/>
  <c r="BJ223"/>
  <c r="BJ220"/>
  <c r="AT223"/>
  <c r="AT220"/>
  <c r="AD223"/>
  <c r="AD220"/>
  <c r="BC571"/>
  <c r="BC568"/>
  <c r="AU571"/>
  <c r="AU568"/>
  <c r="AM571"/>
  <c r="AM568"/>
  <c r="AE571"/>
  <c r="AE568"/>
  <c r="F493"/>
  <c r="D606"/>
  <c r="BD280"/>
  <c r="BD277"/>
  <c r="X280"/>
  <c r="X277"/>
  <c r="BC164"/>
  <c r="BC161"/>
  <c r="AW164"/>
  <c r="AW161"/>
  <c r="F599"/>
  <c r="G542"/>
  <c r="F547"/>
  <c r="F604" s="1"/>
  <c r="F474"/>
  <c r="G417"/>
  <c r="F414"/>
  <c r="F422"/>
  <c r="C490"/>
  <c r="G609"/>
  <c r="M1265"/>
  <c r="H1265"/>
  <c r="D1261"/>
  <c r="D1265"/>
  <c r="D1035"/>
  <c r="E687"/>
  <c r="H303"/>
  <c r="H327" s="1"/>
  <c r="B296"/>
  <c r="B289" s="1"/>
  <c r="C143"/>
  <c r="C153" s="1"/>
  <c r="B936"/>
  <c r="B469"/>
  <c r="F244"/>
  <c r="B992"/>
  <c r="B985" s="1"/>
  <c r="C916"/>
  <c r="D1089"/>
  <c r="C803"/>
  <c r="D860"/>
  <c r="C491"/>
  <c r="C501" s="1"/>
  <c r="B753"/>
  <c r="E744"/>
  <c r="G318"/>
  <c r="G328" s="1"/>
  <c r="C220"/>
  <c r="C339"/>
  <c r="F767"/>
  <c r="D60" i="4"/>
  <c r="B59"/>
  <c r="C60"/>
  <c r="E60"/>
  <c r="F59"/>
  <c r="B60"/>
  <c r="D59"/>
  <c r="D61" s="1"/>
  <c r="D64" s="1"/>
  <c r="C59"/>
  <c r="E59"/>
  <c r="F60"/>
  <c r="L84" i="7" l="1"/>
  <c r="M84"/>
  <c r="N84"/>
  <c r="N83"/>
  <c r="O83"/>
  <c r="L83"/>
  <c r="L82"/>
  <c r="M82"/>
  <c r="L81"/>
  <c r="M81"/>
  <c r="N81"/>
  <c r="O81"/>
  <c r="L80"/>
  <c r="M80"/>
  <c r="N80"/>
  <c r="O80"/>
  <c r="L79"/>
  <c r="M79"/>
  <c r="N79"/>
  <c r="O79"/>
  <c r="B9"/>
  <c r="B4"/>
  <c r="B61" i="4"/>
  <c r="B64" s="1"/>
  <c r="BJ107" i="5"/>
  <c r="BJ104"/>
  <c r="E792"/>
  <c r="E800" s="1"/>
  <c r="E803"/>
  <c r="K75" i="7"/>
  <c r="I75"/>
  <c r="J75"/>
  <c r="H75"/>
  <c r="K77"/>
  <c r="I77"/>
  <c r="J77"/>
  <c r="H77"/>
  <c r="K83"/>
  <c r="I83"/>
  <c r="J83"/>
  <c r="H83"/>
  <c r="K82"/>
  <c r="I82"/>
  <c r="J82"/>
  <c r="H82"/>
  <c r="K84"/>
  <c r="I84"/>
  <c r="J84"/>
  <c r="H84"/>
  <c r="AE104" i="5"/>
  <c r="AE107"/>
  <c r="AU104"/>
  <c r="AU107"/>
  <c r="BI76" i="7"/>
  <c r="BI89" s="1"/>
  <c r="BG76"/>
  <c r="BG89" s="1"/>
  <c r="BE76"/>
  <c r="BE89" s="1"/>
  <c r="BC76"/>
  <c r="BC89" s="1"/>
  <c r="BA76"/>
  <c r="BA89" s="1"/>
  <c r="AY76"/>
  <c r="AY89" s="1"/>
  <c r="AW76"/>
  <c r="AW89" s="1"/>
  <c r="AU76"/>
  <c r="AU89" s="1"/>
  <c r="AS76"/>
  <c r="AS89" s="1"/>
  <c r="AQ76"/>
  <c r="AQ89" s="1"/>
  <c r="AO76"/>
  <c r="AO89" s="1"/>
  <c r="AM76"/>
  <c r="AM89" s="1"/>
  <c r="AK76"/>
  <c r="AK89" s="1"/>
  <c r="AI76"/>
  <c r="AI89" s="1"/>
  <c r="AG76"/>
  <c r="AG89" s="1"/>
  <c r="AE76"/>
  <c r="AE89" s="1"/>
  <c r="AC76"/>
  <c r="AC89" s="1"/>
  <c r="AA76"/>
  <c r="AA89" s="1"/>
  <c r="Y76"/>
  <c r="Y89" s="1"/>
  <c r="W76"/>
  <c r="W89" s="1"/>
  <c r="U76"/>
  <c r="S76"/>
  <c r="Q76"/>
  <c r="O76"/>
  <c r="M76"/>
  <c r="BJ76"/>
  <c r="BJ89" s="1"/>
  <c r="BH76"/>
  <c r="BH89" s="1"/>
  <c r="BF76"/>
  <c r="BF89" s="1"/>
  <c r="BD76"/>
  <c r="BD89" s="1"/>
  <c r="BB76"/>
  <c r="BB89" s="1"/>
  <c r="AZ76"/>
  <c r="AZ89" s="1"/>
  <c r="AX76"/>
  <c r="AX89" s="1"/>
  <c r="AV76"/>
  <c r="AV89" s="1"/>
  <c r="AT76"/>
  <c r="AT89" s="1"/>
  <c r="AR76"/>
  <c r="AR89" s="1"/>
  <c r="AP76"/>
  <c r="AP89" s="1"/>
  <c r="AN76"/>
  <c r="AN89" s="1"/>
  <c r="AL76"/>
  <c r="AL89" s="1"/>
  <c r="AJ76"/>
  <c r="AJ89" s="1"/>
  <c r="AH76"/>
  <c r="AH89" s="1"/>
  <c r="AF76"/>
  <c r="AF89" s="1"/>
  <c r="AD76"/>
  <c r="AD89" s="1"/>
  <c r="AB76"/>
  <c r="AB89" s="1"/>
  <c r="Z76"/>
  <c r="Z89" s="1"/>
  <c r="X76"/>
  <c r="X89" s="1"/>
  <c r="V76"/>
  <c r="T76"/>
  <c r="R76"/>
  <c r="P76"/>
  <c r="N76"/>
  <c r="L76"/>
  <c r="C4"/>
  <c r="D684" i="5"/>
  <c r="T83" i="7"/>
  <c r="U83"/>
  <c r="T79"/>
  <c r="P82"/>
  <c r="Q82"/>
  <c r="T81"/>
  <c r="T84"/>
  <c r="U84"/>
  <c r="T80"/>
  <c r="K79"/>
  <c r="I79"/>
  <c r="J79"/>
  <c r="H79"/>
  <c r="K81"/>
  <c r="I81"/>
  <c r="J81"/>
  <c r="H81"/>
  <c r="K80"/>
  <c r="I80"/>
  <c r="J80"/>
  <c r="H80"/>
  <c r="AE164" i="5"/>
  <c r="AE161"/>
  <c r="AU164"/>
  <c r="AU161"/>
  <c r="K76" i="7"/>
  <c r="I76"/>
  <c r="J76"/>
  <c r="H76"/>
  <c r="F67" i="5"/>
  <c r="G67"/>
  <c r="E67"/>
  <c r="H91" i="7"/>
  <c r="I91" s="1"/>
  <c r="J91" s="1"/>
  <c r="K91" s="1"/>
  <c r="L91" s="1"/>
  <c r="M91" s="1"/>
  <c r="N91" s="1"/>
  <c r="O91" s="1"/>
  <c r="P91" s="1"/>
  <c r="Q91" s="1"/>
  <c r="R91" s="1"/>
  <c r="S91" s="1"/>
  <c r="T91" s="1"/>
  <c r="U91" s="1"/>
  <c r="V91" s="1"/>
  <c r="W91" s="1"/>
  <c r="X91" s="1"/>
  <c r="A78"/>
  <c r="BI77"/>
  <c r="BI90" s="1"/>
  <c r="BG77"/>
  <c r="BG90" s="1"/>
  <c r="BE77"/>
  <c r="BE90" s="1"/>
  <c r="BC77"/>
  <c r="BC90" s="1"/>
  <c r="BA77"/>
  <c r="BA90" s="1"/>
  <c r="AY77"/>
  <c r="AY90" s="1"/>
  <c r="AW77"/>
  <c r="AW90" s="1"/>
  <c r="AU77"/>
  <c r="AU90" s="1"/>
  <c r="AS77"/>
  <c r="AS90" s="1"/>
  <c r="AQ77"/>
  <c r="AQ90" s="1"/>
  <c r="AO77"/>
  <c r="AO90" s="1"/>
  <c r="AM77"/>
  <c r="AM90" s="1"/>
  <c r="AK77"/>
  <c r="AK90" s="1"/>
  <c r="AI77"/>
  <c r="AI90" s="1"/>
  <c r="AG77"/>
  <c r="AG90" s="1"/>
  <c r="AE77"/>
  <c r="AE90" s="1"/>
  <c r="AC77"/>
  <c r="AC90" s="1"/>
  <c r="AA77"/>
  <c r="AA90" s="1"/>
  <c r="Y77"/>
  <c r="Y90" s="1"/>
  <c r="W77"/>
  <c r="U77"/>
  <c r="S77"/>
  <c r="Q77"/>
  <c r="O77"/>
  <c r="M77"/>
  <c r="BJ77"/>
  <c r="BJ90" s="1"/>
  <c r="BH77"/>
  <c r="BH90" s="1"/>
  <c r="BF77"/>
  <c r="BF90" s="1"/>
  <c r="BD77"/>
  <c r="BD90" s="1"/>
  <c r="BB77"/>
  <c r="BB90" s="1"/>
  <c r="AZ77"/>
  <c r="AZ90" s="1"/>
  <c r="AX77"/>
  <c r="AX90" s="1"/>
  <c r="AV77"/>
  <c r="AV90" s="1"/>
  <c r="AT77"/>
  <c r="AT90" s="1"/>
  <c r="AR77"/>
  <c r="AR90" s="1"/>
  <c r="AP77"/>
  <c r="AP90" s="1"/>
  <c r="AN77"/>
  <c r="AN90" s="1"/>
  <c r="AL77"/>
  <c r="AL90" s="1"/>
  <c r="AJ77"/>
  <c r="AJ90" s="1"/>
  <c r="AH77"/>
  <c r="AH90" s="1"/>
  <c r="AF77"/>
  <c r="AF90" s="1"/>
  <c r="AD77"/>
  <c r="AD90" s="1"/>
  <c r="AB77"/>
  <c r="AB90" s="1"/>
  <c r="Z77"/>
  <c r="Z90" s="1"/>
  <c r="X77"/>
  <c r="X90" s="1"/>
  <c r="V77"/>
  <c r="T77"/>
  <c r="R77"/>
  <c r="P77"/>
  <c r="N77"/>
  <c r="L77"/>
  <c r="D4"/>
  <c r="BI75"/>
  <c r="BI88" s="1"/>
  <c r="BG75"/>
  <c r="BG88" s="1"/>
  <c r="BE75"/>
  <c r="BE88" s="1"/>
  <c r="BC75"/>
  <c r="BC88" s="1"/>
  <c r="BA75"/>
  <c r="BA88" s="1"/>
  <c r="AY75"/>
  <c r="AY88" s="1"/>
  <c r="AW75"/>
  <c r="AW88" s="1"/>
  <c r="AU75"/>
  <c r="AU88" s="1"/>
  <c r="AS75"/>
  <c r="AS88" s="1"/>
  <c r="AQ75"/>
  <c r="AQ88" s="1"/>
  <c r="AO75"/>
  <c r="AO88" s="1"/>
  <c r="AM75"/>
  <c r="AM88" s="1"/>
  <c r="AK75"/>
  <c r="AK88" s="1"/>
  <c r="AI75"/>
  <c r="AI88" s="1"/>
  <c r="AG75"/>
  <c r="AG88" s="1"/>
  <c r="AE75"/>
  <c r="AE88" s="1"/>
  <c r="AC75"/>
  <c r="AC88" s="1"/>
  <c r="AA75"/>
  <c r="AA88" s="1"/>
  <c r="Y75"/>
  <c r="Y88" s="1"/>
  <c r="W75"/>
  <c r="U75"/>
  <c r="S75"/>
  <c r="Q75"/>
  <c r="O75"/>
  <c r="M75"/>
  <c r="BJ75"/>
  <c r="BJ88" s="1"/>
  <c r="BH75"/>
  <c r="BH88" s="1"/>
  <c r="BF75"/>
  <c r="BF88" s="1"/>
  <c r="BD75"/>
  <c r="BD88" s="1"/>
  <c r="BB75"/>
  <c r="BB88" s="1"/>
  <c r="AZ75"/>
  <c r="AZ88" s="1"/>
  <c r="AX75"/>
  <c r="AX88" s="1"/>
  <c r="AV75"/>
  <c r="AV88" s="1"/>
  <c r="AT75"/>
  <c r="AT88" s="1"/>
  <c r="AR75"/>
  <c r="AR88" s="1"/>
  <c r="AP75"/>
  <c r="AP88" s="1"/>
  <c r="AN75"/>
  <c r="AN88" s="1"/>
  <c r="AL75"/>
  <c r="AL88" s="1"/>
  <c r="AJ75"/>
  <c r="AJ88" s="1"/>
  <c r="AH75"/>
  <c r="AH88" s="1"/>
  <c r="AF75"/>
  <c r="AF88" s="1"/>
  <c r="AD75"/>
  <c r="AD88" s="1"/>
  <c r="AB75"/>
  <c r="AB88" s="1"/>
  <c r="Z75"/>
  <c r="Z88" s="1"/>
  <c r="X75"/>
  <c r="V75"/>
  <c r="T75"/>
  <c r="R75"/>
  <c r="P75"/>
  <c r="N75"/>
  <c r="L75"/>
  <c r="C512" i="5"/>
  <c r="C161"/>
  <c r="E277"/>
  <c r="B1054"/>
  <c r="J16" s="1"/>
  <c r="F1256" s="1"/>
  <c r="F202"/>
  <c r="B810"/>
  <c r="H4" s="1"/>
  <c r="V83" i="7"/>
  <c r="S83"/>
  <c r="V79"/>
  <c r="W79"/>
  <c r="R82"/>
  <c r="O82"/>
  <c r="R81"/>
  <c r="S81"/>
  <c r="V84"/>
  <c r="W84"/>
  <c r="V80"/>
  <c r="S80"/>
  <c r="I14" i="5"/>
  <c r="G1255" s="1"/>
  <c r="G607"/>
  <c r="G617" s="1"/>
  <c r="F445"/>
  <c r="F471"/>
  <c r="Q1261"/>
  <c r="L1261"/>
  <c r="G599"/>
  <c r="H542"/>
  <c r="G547"/>
  <c r="F1263"/>
  <c r="F360"/>
  <c r="M1262"/>
  <c r="H1262"/>
  <c r="J248"/>
  <c r="K191"/>
  <c r="J206"/>
  <c r="J263" s="1"/>
  <c r="I379"/>
  <c r="J364"/>
  <c r="K307"/>
  <c r="J322"/>
  <c r="J379" s="1"/>
  <c r="M1266"/>
  <c r="H1266"/>
  <c r="I495"/>
  <c r="C14"/>
  <c r="G1249" s="1"/>
  <c r="J596"/>
  <c r="K539"/>
  <c r="J554"/>
  <c r="J611" s="1"/>
  <c r="F723"/>
  <c r="F369"/>
  <c r="G312"/>
  <c r="F317"/>
  <c r="I1072"/>
  <c r="J1057"/>
  <c r="K1000"/>
  <c r="J1015"/>
  <c r="G1165"/>
  <c r="G1101"/>
  <c r="B1108"/>
  <c r="B1101" s="1"/>
  <c r="F1208"/>
  <c r="F1205"/>
  <c r="E1065"/>
  <c r="F1008"/>
  <c r="E1013"/>
  <c r="I608"/>
  <c r="G943"/>
  <c r="G940" s="1"/>
  <c r="H886"/>
  <c r="G901"/>
  <c r="G883"/>
  <c r="F964"/>
  <c r="F966"/>
  <c r="F791"/>
  <c r="F793"/>
  <c r="F819"/>
  <c r="J1191"/>
  <c r="F1178"/>
  <c r="G1121"/>
  <c r="F1126"/>
  <c r="K16"/>
  <c r="F1257" s="1"/>
  <c r="B1167"/>
  <c r="K13" s="1"/>
  <c r="I1188"/>
  <c r="G6"/>
  <c r="D1253" s="1"/>
  <c r="B694"/>
  <c r="G4" s="1"/>
  <c r="D1268"/>
  <c r="E482"/>
  <c r="F425"/>
  <c r="E430"/>
  <c r="E371"/>
  <c r="F598"/>
  <c r="G541"/>
  <c r="F546"/>
  <c r="F16"/>
  <c r="F1252" s="1"/>
  <c r="B587"/>
  <c r="F13" s="1"/>
  <c r="F610"/>
  <c r="F550"/>
  <c r="F560" s="1"/>
  <c r="F592"/>
  <c r="F616" s="1"/>
  <c r="B16"/>
  <c r="F1248" s="1"/>
  <c r="E1262"/>
  <c r="G367"/>
  <c r="G315"/>
  <c r="H310"/>
  <c r="C195"/>
  <c r="B182"/>
  <c r="G242"/>
  <c r="G182"/>
  <c r="E719"/>
  <c r="C1007"/>
  <c r="B994"/>
  <c r="F1074"/>
  <c r="F1014"/>
  <c r="F1024" s="1"/>
  <c r="F1056"/>
  <c r="F1080" s="1"/>
  <c r="J1058"/>
  <c r="K1001"/>
  <c r="J1016"/>
  <c r="J1073" s="1"/>
  <c r="C1197"/>
  <c r="C1208"/>
  <c r="C1205"/>
  <c r="F675"/>
  <c r="F677"/>
  <c r="G706"/>
  <c r="G703" s="1"/>
  <c r="G646"/>
  <c r="M1268"/>
  <c r="H1268"/>
  <c r="E946"/>
  <c r="F889"/>
  <c r="E894"/>
  <c r="F947"/>
  <c r="G890"/>
  <c r="F895"/>
  <c r="F952" s="1"/>
  <c r="H14"/>
  <c r="G1254" s="1"/>
  <c r="E830"/>
  <c r="F773"/>
  <c r="E778"/>
  <c r="M1261"/>
  <c r="H1261"/>
  <c r="B114"/>
  <c r="B4" s="1"/>
  <c r="B11"/>
  <c r="E1248" s="1"/>
  <c r="F1269"/>
  <c r="N1263"/>
  <c r="I1263"/>
  <c r="Q1270"/>
  <c r="L1270"/>
  <c r="I594"/>
  <c r="J537"/>
  <c r="I552"/>
  <c r="N1264"/>
  <c r="I1264"/>
  <c r="E476"/>
  <c r="E500" s="1"/>
  <c r="F601"/>
  <c r="G544"/>
  <c r="F549"/>
  <c r="E253"/>
  <c r="F196"/>
  <c r="E201"/>
  <c r="H725"/>
  <c r="I710"/>
  <c r="J653"/>
  <c r="I668"/>
  <c r="I725" s="1"/>
  <c r="G327"/>
  <c r="G329"/>
  <c r="E720"/>
  <c r="I727"/>
  <c r="C385"/>
  <c r="C393" s="1"/>
  <c r="C396"/>
  <c r="E966"/>
  <c r="F831"/>
  <c r="G774"/>
  <c r="F779"/>
  <c r="F836" s="1"/>
  <c r="F842"/>
  <c r="F839" s="1"/>
  <c r="G1049"/>
  <c r="G1042" s="1"/>
  <c r="G985"/>
  <c r="H1122"/>
  <c r="G1179"/>
  <c r="G1127"/>
  <c r="G1175"/>
  <c r="H1118"/>
  <c r="G1133"/>
  <c r="G1115"/>
  <c r="G1139" s="1"/>
  <c r="C1123"/>
  <c r="B1110"/>
  <c r="G1269"/>
  <c r="H477"/>
  <c r="H435"/>
  <c r="I420"/>
  <c r="G353"/>
  <c r="G289"/>
  <c r="H145"/>
  <c r="F250"/>
  <c r="G193"/>
  <c r="F198"/>
  <c r="D259"/>
  <c r="C543"/>
  <c r="B530"/>
  <c r="C79"/>
  <c r="I376"/>
  <c r="E140"/>
  <c r="N1270"/>
  <c r="I1270"/>
  <c r="H709"/>
  <c r="H667"/>
  <c r="I652"/>
  <c r="F1062"/>
  <c r="G1005"/>
  <c r="F1010"/>
  <c r="H1059"/>
  <c r="H1056" s="1"/>
  <c r="H1080" s="1"/>
  <c r="I1002"/>
  <c r="H1017"/>
  <c r="H999"/>
  <c r="H1023" s="1"/>
  <c r="E734"/>
  <c r="E732"/>
  <c r="I941"/>
  <c r="J884"/>
  <c r="I899"/>
  <c r="M1263"/>
  <c r="H1263"/>
  <c r="B462"/>
  <c r="E4" s="1"/>
  <c r="E11"/>
  <c r="E1251" s="1"/>
  <c r="N1265"/>
  <c r="I1265"/>
  <c r="N1261"/>
  <c r="I1261"/>
  <c r="F479"/>
  <c r="F476" s="1"/>
  <c r="F437"/>
  <c r="AG422"/>
  <c r="AG479" s="1"/>
  <c r="F419"/>
  <c r="F443" s="1"/>
  <c r="G474"/>
  <c r="G471" s="1"/>
  <c r="G422"/>
  <c r="B417"/>
  <c r="G414"/>
  <c r="G251"/>
  <c r="H194"/>
  <c r="G199"/>
  <c r="G256" s="1"/>
  <c r="F386"/>
  <c r="F384"/>
  <c r="F378"/>
  <c r="F318"/>
  <c r="F328" s="1"/>
  <c r="I306"/>
  <c r="H363"/>
  <c r="H360" s="1"/>
  <c r="H384" s="1"/>
  <c r="H321"/>
  <c r="H378" s="1"/>
  <c r="G585"/>
  <c r="G578" s="1"/>
  <c r="G521"/>
  <c r="B528"/>
  <c r="B521" s="1"/>
  <c r="G483"/>
  <c r="H426"/>
  <c r="G431"/>
  <c r="G488" s="1"/>
  <c r="K423"/>
  <c r="J480"/>
  <c r="J438"/>
  <c r="J495" s="1"/>
  <c r="O1266"/>
  <c r="J1266"/>
  <c r="I611"/>
  <c r="J593"/>
  <c r="K536"/>
  <c r="J551"/>
  <c r="F907"/>
  <c r="F909"/>
  <c r="G938"/>
  <c r="G935" s="1"/>
  <c r="G878"/>
  <c r="B881"/>
  <c r="E958"/>
  <c r="E898"/>
  <c r="E940"/>
  <c r="E964" s="1"/>
  <c r="I769"/>
  <c r="H826"/>
  <c r="H784"/>
  <c r="H841" s="1"/>
  <c r="H770"/>
  <c r="G827"/>
  <c r="G824" s="1"/>
  <c r="G785"/>
  <c r="G842" s="1"/>
  <c r="G839" s="1"/>
  <c r="G767"/>
  <c r="G822"/>
  <c r="G819" s="1"/>
  <c r="B765"/>
  <c r="G762"/>
  <c r="K771"/>
  <c r="J828"/>
  <c r="J786"/>
  <c r="J843" s="1"/>
  <c r="L1119"/>
  <c r="K1176"/>
  <c r="K1134"/>
  <c r="K1191" s="1"/>
  <c r="J1060"/>
  <c r="K1003"/>
  <c r="J1018"/>
  <c r="J1075" s="1"/>
  <c r="E1183"/>
  <c r="F1198"/>
  <c r="F1196"/>
  <c r="J1174"/>
  <c r="K1117"/>
  <c r="J1132"/>
  <c r="J1173"/>
  <c r="K1116"/>
  <c r="J1131"/>
  <c r="G1263"/>
  <c r="Q1265"/>
  <c r="L1265"/>
  <c r="F366"/>
  <c r="G309"/>
  <c r="F314"/>
  <c r="E603"/>
  <c r="F618"/>
  <c r="H595"/>
  <c r="H592" s="1"/>
  <c r="H616" s="1"/>
  <c r="I538"/>
  <c r="H553"/>
  <c r="H535"/>
  <c r="H559" s="1"/>
  <c r="J132"/>
  <c r="K75"/>
  <c r="J90"/>
  <c r="I478"/>
  <c r="J421"/>
  <c r="I436"/>
  <c r="J305"/>
  <c r="I362"/>
  <c r="I320"/>
  <c r="I377" s="1"/>
  <c r="F137"/>
  <c r="G80"/>
  <c r="F85"/>
  <c r="F142" s="1"/>
  <c r="F211"/>
  <c r="F213"/>
  <c r="F268"/>
  <c r="F270"/>
  <c r="F714"/>
  <c r="G657"/>
  <c r="F662"/>
  <c r="G1023"/>
  <c r="G1025"/>
  <c r="G1082"/>
  <c r="G1080"/>
  <c r="I1073"/>
  <c r="H840"/>
  <c r="J768"/>
  <c r="I825"/>
  <c r="I783"/>
  <c r="F732"/>
  <c r="F734"/>
  <c r="F717"/>
  <c r="F665"/>
  <c r="G660"/>
  <c r="E952"/>
  <c r="E833"/>
  <c r="F776"/>
  <c r="E781"/>
  <c r="E838" s="1"/>
  <c r="D1262"/>
  <c r="D1267"/>
  <c r="G14"/>
  <c r="G1253" s="1"/>
  <c r="E485"/>
  <c r="F428"/>
  <c r="E433"/>
  <c r="E490" s="1"/>
  <c r="E494"/>
  <c r="E434"/>
  <c r="C311"/>
  <c r="B298"/>
  <c r="G384"/>
  <c r="G386"/>
  <c r="M1264"/>
  <c r="H1264"/>
  <c r="F715"/>
  <c r="F663"/>
  <c r="F720" s="1"/>
  <c r="G658"/>
  <c r="K655"/>
  <c r="J712"/>
  <c r="J670"/>
  <c r="J727" s="1"/>
  <c r="H246"/>
  <c r="I189"/>
  <c r="H204"/>
  <c r="H261" s="1"/>
  <c r="F955"/>
  <c r="J944"/>
  <c r="K887"/>
  <c r="J902"/>
  <c r="M1267"/>
  <c r="H1267"/>
  <c r="M1269"/>
  <c r="H1269"/>
  <c r="B933"/>
  <c r="G926"/>
  <c r="E836"/>
  <c r="F1032"/>
  <c r="F1042"/>
  <c r="B1049"/>
  <c r="G1141"/>
  <c r="G1198"/>
  <c r="G492"/>
  <c r="F339"/>
  <c r="J73"/>
  <c r="I130"/>
  <c r="I88"/>
  <c r="H260"/>
  <c r="J188"/>
  <c r="I245"/>
  <c r="I203"/>
  <c r="E255"/>
  <c r="G561"/>
  <c r="G559"/>
  <c r="G618"/>
  <c r="G616"/>
  <c r="G131"/>
  <c r="H74"/>
  <c r="G89"/>
  <c r="K304"/>
  <c r="J361"/>
  <c r="J319"/>
  <c r="F135"/>
  <c r="G78"/>
  <c r="F83"/>
  <c r="F140" s="1"/>
  <c r="E949"/>
  <c r="F892"/>
  <c r="E897"/>
  <c r="G724"/>
  <c r="E1067"/>
  <c r="G1074"/>
  <c r="G1071" s="1"/>
  <c r="G1081" s="1"/>
  <c r="G1014"/>
  <c r="G1024" s="1"/>
  <c r="F1181"/>
  <c r="G1124"/>
  <c r="F1129"/>
  <c r="F1186" s="1"/>
  <c r="H956"/>
  <c r="H942"/>
  <c r="I885"/>
  <c r="H900"/>
  <c r="G1063"/>
  <c r="H1006"/>
  <c r="G1011"/>
  <c r="G1068" s="1"/>
  <c r="G1264"/>
  <c r="D1269"/>
  <c r="E1267"/>
  <c r="E1208"/>
  <c r="B355"/>
  <c r="D13" s="1"/>
  <c r="H375"/>
  <c r="E396"/>
  <c r="C741"/>
  <c r="F782"/>
  <c r="E223"/>
  <c r="F259"/>
  <c r="G550"/>
  <c r="G560" s="1"/>
  <c r="C509"/>
  <c r="C164"/>
  <c r="F666"/>
  <c r="D741"/>
  <c r="E1205"/>
  <c r="I535"/>
  <c r="I559" s="1"/>
  <c r="E280"/>
  <c r="F919"/>
  <c r="F1151"/>
  <c r="H318"/>
  <c r="G190"/>
  <c r="E393"/>
  <c r="B649"/>
  <c r="G654"/>
  <c r="B585"/>
  <c r="C744"/>
  <c r="D687"/>
  <c r="B938"/>
  <c r="I16" s="1"/>
  <c r="F1255" s="1"/>
  <c r="B1051"/>
  <c r="J13" s="1"/>
  <c r="B706"/>
  <c r="G16" s="1"/>
  <c r="F1253" s="1"/>
  <c r="E220"/>
  <c r="F824"/>
  <c r="F61" i="4"/>
  <c r="F64" s="1"/>
  <c r="E61"/>
  <c r="C61"/>
  <c r="C64" s="1"/>
  <c r="G782" i="5" l="1"/>
  <c r="F336"/>
  <c r="F1035"/>
  <c r="F212"/>
  <c r="F220" s="1"/>
  <c r="B67"/>
  <c r="G72"/>
  <c r="F72"/>
  <c r="E72"/>
  <c r="E124"/>
  <c r="E66"/>
  <c r="F124"/>
  <c r="F123" s="1"/>
  <c r="F66"/>
  <c r="H97" i="7"/>
  <c r="A84"/>
  <c r="H95"/>
  <c r="A82"/>
  <c r="H96"/>
  <c r="A83"/>
  <c r="I97"/>
  <c r="I95"/>
  <c r="I96"/>
  <c r="G124" i="5"/>
  <c r="G123" s="1"/>
  <c r="G154" s="1"/>
  <c r="G66"/>
  <c r="G97" s="1"/>
  <c r="A76" i="7"/>
  <c r="H89"/>
  <c r="H93"/>
  <c r="I93" s="1"/>
  <c r="J93" s="1"/>
  <c r="K93" s="1"/>
  <c r="L93" s="1"/>
  <c r="M93" s="1"/>
  <c r="N93" s="1"/>
  <c r="O93" s="1"/>
  <c r="P93" s="1"/>
  <c r="Q93" s="1"/>
  <c r="R93" s="1"/>
  <c r="S93" s="1"/>
  <c r="T93" s="1"/>
  <c r="U93" s="1"/>
  <c r="V93" s="1"/>
  <c r="A80"/>
  <c r="H94"/>
  <c r="I94" s="1"/>
  <c r="J94" s="1"/>
  <c r="K94" s="1"/>
  <c r="L94" s="1"/>
  <c r="M94" s="1"/>
  <c r="N94" s="1"/>
  <c r="O94" s="1"/>
  <c r="P94" s="1"/>
  <c r="Q94" s="1"/>
  <c r="R94" s="1"/>
  <c r="S94" s="1"/>
  <c r="T94" s="1"/>
  <c r="U94" s="1"/>
  <c r="A81"/>
  <c r="H92"/>
  <c r="I92" s="1"/>
  <c r="J92" s="1"/>
  <c r="K92" s="1"/>
  <c r="L92" s="1"/>
  <c r="M92" s="1"/>
  <c r="N92" s="1"/>
  <c r="O92" s="1"/>
  <c r="P92" s="1"/>
  <c r="Q92" s="1"/>
  <c r="R92" s="1"/>
  <c r="S92" s="1"/>
  <c r="T92" s="1"/>
  <c r="U92" s="1"/>
  <c r="V92" s="1"/>
  <c r="W92" s="1"/>
  <c r="A79"/>
  <c r="A77"/>
  <c r="H90"/>
  <c r="A75"/>
  <c r="H88"/>
  <c r="I89"/>
  <c r="J89" s="1"/>
  <c r="K89" s="1"/>
  <c r="L89" s="1"/>
  <c r="M89" s="1"/>
  <c r="N89" s="1"/>
  <c r="O89" s="1"/>
  <c r="P89" s="1"/>
  <c r="Q89" s="1"/>
  <c r="R89" s="1"/>
  <c r="S89" s="1"/>
  <c r="T89" s="1"/>
  <c r="U89" s="1"/>
  <c r="V89" s="1"/>
  <c r="J97"/>
  <c r="K97" s="1"/>
  <c r="L97" s="1"/>
  <c r="M97" s="1"/>
  <c r="N97" s="1"/>
  <c r="O97" s="1"/>
  <c r="P97" s="1"/>
  <c r="Q97" s="1"/>
  <c r="R97" s="1"/>
  <c r="S97" s="1"/>
  <c r="T97" s="1"/>
  <c r="U97" s="1"/>
  <c r="V97" s="1"/>
  <c r="W97" s="1"/>
  <c r="J95"/>
  <c r="K95" s="1"/>
  <c r="L95" s="1"/>
  <c r="M95" s="1"/>
  <c r="N95" s="1"/>
  <c r="O95" s="1"/>
  <c r="P95" s="1"/>
  <c r="Q95" s="1"/>
  <c r="R95" s="1"/>
  <c r="J96"/>
  <c r="K96"/>
  <c r="L96" s="1"/>
  <c r="M96" s="1"/>
  <c r="N96" s="1"/>
  <c r="O96" s="1"/>
  <c r="P96" s="1"/>
  <c r="Q96" s="1"/>
  <c r="R96" s="1"/>
  <c r="S96" s="1"/>
  <c r="T96" s="1"/>
  <c r="U96" s="1"/>
  <c r="V96" s="1"/>
  <c r="I90"/>
  <c r="J90" s="1"/>
  <c r="K90" s="1"/>
  <c r="L90" s="1"/>
  <c r="M90" s="1"/>
  <c r="N90" s="1"/>
  <c r="O90" s="1"/>
  <c r="P90" s="1"/>
  <c r="Q90" s="1"/>
  <c r="R90" s="1"/>
  <c r="S90" s="1"/>
  <c r="T90" s="1"/>
  <c r="U90" s="1"/>
  <c r="V90" s="1"/>
  <c r="W90" s="1"/>
  <c r="I88"/>
  <c r="J88" s="1"/>
  <c r="K88" s="1"/>
  <c r="L88" s="1"/>
  <c r="M88" s="1"/>
  <c r="N88" s="1"/>
  <c r="O88" s="1"/>
  <c r="P88" s="1"/>
  <c r="Q88" s="1"/>
  <c r="R88" s="1"/>
  <c r="S88" s="1"/>
  <c r="T88" s="1"/>
  <c r="U88" s="1"/>
  <c r="V88" s="1"/>
  <c r="W88" s="1"/>
  <c r="X88" s="1"/>
  <c r="G849" i="5"/>
  <c r="G857" s="1"/>
  <c r="G860"/>
  <c r="G792"/>
  <c r="G800"/>
  <c r="G803"/>
  <c r="C659"/>
  <c r="B646"/>
  <c r="H328"/>
  <c r="H336" s="1"/>
  <c r="F792"/>
  <c r="F803" s="1"/>
  <c r="F800"/>
  <c r="O1267"/>
  <c r="J1267"/>
  <c r="N1269"/>
  <c r="I1269"/>
  <c r="Q1264"/>
  <c r="L1264"/>
  <c r="H1063"/>
  <c r="I1006"/>
  <c r="H1011"/>
  <c r="H957"/>
  <c r="G1181"/>
  <c r="G1129"/>
  <c r="H1124"/>
  <c r="F949"/>
  <c r="G892"/>
  <c r="F897"/>
  <c r="F954" s="1"/>
  <c r="K361"/>
  <c r="K319"/>
  <c r="L304"/>
  <c r="I74"/>
  <c r="H131"/>
  <c r="H89"/>
  <c r="J245"/>
  <c r="K188"/>
  <c r="J203"/>
  <c r="I145"/>
  <c r="J130"/>
  <c r="K73"/>
  <c r="J88"/>
  <c r="B1042"/>
  <c r="J4" s="1"/>
  <c r="J11"/>
  <c r="E1256" s="1"/>
  <c r="J959"/>
  <c r="I246"/>
  <c r="J189"/>
  <c r="I204"/>
  <c r="G715"/>
  <c r="H658"/>
  <c r="G663"/>
  <c r="G720" s="1"/>
  <c r="D311"/>
  <c r="C368"/>
  <c r="C316"/>
  <c r="N1267"/>
  <c r="I1267"/>
  <c r="N1262"/>
  <c r="I1262"/>
  <c r="F833"/>
  <c r="G776"/>
  <c r="F781"/>
  <c r="G717"/>
  <c r="H660"/>
  <c r="G665"/>
  <c r="G722" s="1"/>
  <c r="J825"/>
  <c r="K768"/>
  <c r="J783"/>
  <c r="G714"/>
  <c r="H657"/>
  <c r="G662"/>
  <c r="J362"/>
  <c r="K305"/>
  <c r="J320"/>
  <c r="K421"/>
  <c r="J478"/>
  <c r="J436"/>
  <c r="J493" s="1"/>
  <c r="J147"/>
  <c r="H610"/>
  <c r="H607" s="1"/>
  <c r="H550"/>
  <c r="F371"/>
  <c r="Q1263"/>
  <c r="L1263"/>
  <c r="K1174"/>
  <c r="L1117"/>
  <c r="K1132"/>
  <c r="K1189" s="1"/>
  <c r="K1060"/>
  <c r="L1003"/>
  <c r="K1018"/>
  <c r="L1176"/>
  <c r="M1119"/>
  <c r="L1134"/>
  <c r="L1191" s="1"/>
  <c r="G791"/>
  <c r="G793"/>
  <c r="G850"/>
  <c r="G848"/>
  <c r="E955"/>
  <c r="G909"/>
  <c r="G907"/>
  <c r="J608"/>
  <c r="K593"/>
  <c r="L536"/>
  <c r="K551"/>
  <c r="G571"/>
  <c r="G568"/>
  <c r="G628"/>
  <c r="G625"/>
  <c r="F375"/>
  <c r="H251"/>
  <c r="I194"/>
  <c r="H199"/>
  <c r="G445"/>
  <c r="H422"/>
  <c r="G479"/>
  <c r="G476" s="1"/>
  <c r="G437"/>
  <c r="G419"/>
  <c r="G443" s="1"/>
  <c r="F494"/>
  <c r="F491" s="1"/>
  <c r="F434"/>
  <c r="E1264"/>
  <c r="I956"/>
  <c r="K884"/>
  <c r="J941"/>
  <c r="J899"/>
  <c r="I1059"/>
  <c r="I1056" s="1"/>
  <c r="I1080" s="1"/>
  <c r="J1002"/>
  <c r="I1017"/>
  <c r="I999"/>
  <c r="I1023" s="1"/>
  <c r="F1067"/>
  <c r="J652"/>
  <c r="I709"/>
  <c r="I667"/>
  <c r="C136"/>
  <c r="D79"/>
  <c r="C84"/>
  <c r="C600"/>
  <c r="D543"/>
  <c r="C548"/>
  <c r="G250"/>
  <c r="H193"/>
  <c r="G198"/>
  <c r="G339"/>
  <c r="G336"/>
  <c r="G346"/>
  <c r="B353"/>
  <c r="J420"/>
  <c r="I477"/>
  <c r="I435"/>
  <c r="Q1269"/>
  <c r="L1269"/>
  <c r="C1180"/>
  <c r="D1123"/>
  <c r="C1128"/>
  <c r="H1175"/>
  <c r="H1172" s="1"/>
  <c r="H1196" s="1"/>
  <c r="I1118"/>
  <c r="H1133"/>
  <c r="H1115"/>
  <c r="H1139" s="1"/>
  <c r="G1184"/>
  <c r="H1179"/>
  <c r="I1122"/>
  <c r="H1127"/>
  <c r="H1184" s="1"/>
  <c r="K653"/>
  <c r="J710"/>
  <c r="J668"/>
  <c r="J725" s="1"/>
  <c r="E258"/>
  <c r="G601"/>
  <c r="H544"/>
  <c r="G549"/>
  <c r="G606" s="1"/>
  <c r="J594"/>
  <c r="K537"/>
  <c r="J552"/>
  <c r="J609" s="1"/>
  <c r="E1261"/>
  <c r="E835"/>
  <c r="G947"/>
  <c r="H890"/>
  <c r="G895"/>
  <c r="E951"/>
  <c r="G734"/>
  <c r="B242"/>
  <c r="G239"/>
  <c r="C252"/>
  <c r="D195"/>
  <c r="C200"/>
  <c r="G372"/>
  <c r="F607"/>
  <c r="F1265"/>
  <c r="G598"/>
  <c r="H541"/>
  <c r="G546"/>
  <c r="F482"/>
  <c r="G425"/>
  <c r="F430"/>
  <c r="F1183"/>
  <c r="F848"/>
  <c r="F850"/>
  <c r="G958"/>
  <c r="G955" s="1"/>
  <c r="G965" s="1"/>
  <c r="G898"/>
  <c r="E1070"/>
  <c r="B1165"/>
  <c r="G1158"/>
  <c r="J1072"/>
  <c r="K1057"/>
  <c r="L1000"/>
  <c r="K1015"/>
  <c r="G369"/>
  <c r="G317"/>
  <c r="G374" s="1"/>
  <c r="H312"/>
  <c r="G1262"/>
  <c r="L307"/>
  <c r="K364"/>
  <c r="K322"/>
  <c r="K248"/>
  <c r="L191"/>
  <c r="K206"/>
  <c r="G604"/>
  <c r="B703"/>
  <c r="G13" s="1"/>
  <c r="F571"/>
  <c r="B474"/>
  <c r="B935"/>
  <c r="I13" s="1"/>
  <c r="F1266"/>
  <c r="F1268"/>
  <c r="B578"/>
  <c r="F4" s="1"/>
  <c r="F11"/>
  <c r="E1252" s="1"/>
  <c r="H654"/>
  <c r="G711"/>
  <c r="G669"/>
  <c r="G651"/>
  <c r="H190"/>
  <c r="G247"/>
  <c r="G244" s="1"/>
  <c r="G205"/>
  <c r="G187"/>
  <c r="F676"/>
  <c r="F684" s="1"/>
  <c r="F687"/>
  <c r="F269"/>
  <c r="F280"/>
  <c r="F277"/>
  <c r="H385"/>
  <c r="H393" s="1"/>
  <c r="H396"/>
  <c r="J885"/>
  <c r="I942"/>
  <c r="I900"/>
  <c r="I957" s="1"/>
  <c r="E954"/>
  <c r="F849"/>
  <c r="F857" s="1"/>
  <c r="F860"/>
  <c r="G135"/>
  <c r="H78"/>
  <c r="G83"/>
  <c r="G140" s="1"/>
  <c r="J376"/>
  <c r="G146"/>
  <c r="I260"/>
  <c r="B926"/>
  <c r="I4" s="1"/>
  <c r="I11"/>
  <c r="E1255" s="1"/>
  <c r="L887"/>
  <c r="K944"/>
  <c r="K902"/>
  <c r="K959" s="1"/>
  <c r="F965"/>
  <c r="F973"/>
  <c r="F976"/>
  <c r="K712"/>
  <c r="L655"/>
  <c r="K670"/>
  <c r="K727" s="1"/>
  <c r="E444"/>
  <c r="E452"/>
  <c r="E455"/>
  <c r="E491"/>
  <c r="F485"/>
  <c r="F433"/>
  <c r="G428"/>
  <c r="G1266"/>
  <c r="F722"/>
  <c r="I840"/>
  <c r="F719"/>
  <c r="G137"/>
  <c r="H80"/>
  <c r="G85"/>
  <c r="I493"/>
  <c r="L75"/>
  <c r="K132"/>
  <c r="K90"/>
  <c r="K147" s="1"/>
  <c r="I595"/>
  <c r="I592" s="1"/>
  <c r="I616" s="1"/>
  <c r="J538"/>
  <c r="I553"/>
  <c r="I610" s="1"/>
  <c r="G366"/>
  <c r="H309"/>
  <c r="G314"/>
  <c r="J1188"/>
  <c r="K1173"/>
  <c r="K1131"/>
  <c r="L1116"/>
  <c r="J1189"/>
  <c r="K828"/>
  <c r="L771"/>
  <c r="K786"/>
  <c r="C775"/>
  <c r="B762"/>
  <c r="H827"/>
  <c r="I770"/>
  <c r="H785"/>
  <c r="H767"/>
  <c r="H791" s="1"/>
  <c r="I826"/>
  <c r="J769"/>
  <c r="I784"/>
  <c r="E908"/>
  <c r="E919" s="1"/>
  <c r="E916"/>
  <c r="C891"/>
  <c r="B878"/>
  <c r="G964"/>
  <c r="G966"/>
  <c r="K480"/>
  <c r="L423"/>
  <c r="K438"/>
  <c r="K495" s="1"/>
  <c r="I426"/>
  <c r="H483"/>
  <c r="H431"/>
  <c r="I363"/>
  <c r="I360" s="1"/>
  <c r="I384" s="1"/>
  <c r="J306"/>
  <c r="I321"/>
  <c r="I378" s="1"/>
  <c r="I375" s="1"/>
  <c r="I303"/>
  <c r="I327" s="1"/>
  <c r="C427"/>
  <c r="B414"/>
  <c r="G502"/>
  <c r="G500"/>
  <c r="H1074"/>
  <c r="H1071" s="1"/>
  <c r="H1014"/>
  <c r="G1062"/>
  <c r="H1005"/>
  <c r="G1010"/>
  <c r="H724"/>
  <c r="D269"/>
  <c r="D280" s="1"/>
  <c r="F255"/>
  <c r="H492"/>
  <c r="G1190"/>
  <c r="G1130"/>
  <c r="G1140" s="1"/>
  <c r="G1172"/>
  <c r="G1196" s="1"/>
  <c r="G1032"/>
  <c r="G1035"/>
  <c r="G1089"/>
  <c r="G1092"/>
  <c r="G831"/>
  <c r="H774"/>
  <c r="G779"/>
  <c r="F253"/>
  <c r="G196"/>
  <c r="F201"/>
  <c r="F258" s="1"/>
  <c r="F606"/>
  <c r="I609"/>
  <c r="P1269"/>
  <c r="K1269"/>
  <c r="F830"/>
  <c r="G773"/>
  <c r="F778"/>
  <c r="G1267"/>
  <c r="F946"/>
  <c r="G889"/>
  <c r="F894"/>
  <c r="G675"/>
  <c r="G677"/>
  <c r="K1058"/>
  <c r="L1001"/>
  <c r="K1016"/>
  <c r="F1071"/>
  <c r="F1081" s="1"/>
  <c r="C1064"/>
  <c r="D1007"/>
  <c r="C1012"/>
  <c r="G213"/>
  <c r="G211"/>
  <c r="H367"/>
  <c r="I310"/>
  <c r="H315"/>
  <c r="H372" s="1"/>
  <c r="O1262"/>
  <c r="J1262"/>
  <c r="F1261"/>
  <c r="F603"/>
  <c r="E487"/>
  <c r="N1268"/>
  <c r="I1268"/>
  <c r="D1266"/>
  <c r="F1270"/>
  <c r="G1178"/>
  <c r="H1121"/>
  <c r="G1126"/>
  <c r="I886"/>
  <c r="H943"/>
  <c r="H901"/>
  <c r="H883"/>
  <c r="H907" s="1"/>
  <c r="F1065"/>
  <c r="G1008"/>
  <c r="F1013"/>
  <c r="F1070" s="1"/>
  <c r="F374"/>
  <c r="F733"/>
  <c r="F744" s="1"/>
  <c r="K596"/>
  <c r="L539"/>
  <c r="K554"/>
  <c r="P1263"/>
  <c r="K1263"/>
  <c r="H599"/>
  <c r="I542"/>
  <c r="H547"/>
  <c r="H604" s="1"/>
  <c r="F500"/>
  <c r="F502"/>
  <c r="G1268"/>
  <c r="I883"/>
  <c r="I907" s="1"/>
  <c r="I318"/>
  <c r="B822"/>
  <c r="I607"/>
  <c r="F568"/>
  <c r="E64" i="4"/>
  <c r="E63"/>
  <c r="C63"/>
  <c r="D63"/>
  <c r="B63"/>
  <c r="B67"/>
  <c r="B68" s="1"/>
  <c r="F63"/>
  <c r="F223" i="5" l="1"/>
  <c r="D277"/>
  <c r="F154"/>
  <c r="B124"/>
  <c r="E123"/>
  <c r="E154" s="1"/>
  <c r="F87"/>
  <c r="AI72"/>
  <c r="F129"/>
  <c r="F128" s="1"/>
  <c r="F152" s="1"/>
  <c r="F71"/>
  <c r="E77"/>
  <c r="B66"/>
  <c r="H339"/>
  <c r="F95"/>
  <c r="F97"/>
  <c r="E97"/>
  <c r="AJ72"/>
  <c r="E87"/>
  <c r="E129"/>
  <c r="E128" s="1"/>
  <c r="E71"/>
  <c r="E95" s="1"/>
  <c r="H72"/>
  <c r="G87"/>
  <c r="G129"/>
  <c r="G128" s="1"/>
  <c r="G152" s="1"/>
  <c r="G71"/>
  <c r="G95" s="1"/>
  <c r="I385"/>
  <c r="I393" s="1"/>
  <c r="I396"/>
  <c r="I328"/>
  <c r="I336" s="1"/>
  <c r="I339"/>
  <c r="Q1268"/>
  <c r="L1268"/>
  <c r="I599"/>
  <c r="J542"/>
  <c r="I547"/>
  <c r="I604" s="1"/>
  <c r="L596"/>
  <c r="M539"/>
  <c r="L554"/>
  <c r="L611" s="1"/>
  <c r="G1065"/>
  <c r="H1008"/>
  <c r="G1013"/>
  <c r="G1070" s="1"/>
  <c r="G1183"/>
  <c r="P1270"/>
  <c r="K1270"/>
  <c r="N1266"/>
  <c r="I1266"/>
  <c r="D1064"/>
  <c r="E1007"/>
  <c r="D1012"/>
  <c r="L1058"/>
  <c r="M1001"/>
  <c r="L1016"/>
  <c r="L1073" s="1"/>
  <c r="F951"/>
  <c r="Q1267"/>
  <c r="L1267"/>
  <c r="G830"/>
  <c r="H773"/>
  <c r="G778"/>
  <c r="H831"/>
  <c r="I774"/>
  <c r="H779"/>
  <c r="H836" s="1"/>
  <c r="G1187"/>
  <c r="G1197" s="1"/>
  <c r="H1062"/>
  <c r="I1005"/>
  <c r="H1010"/>
  <c r="H1024"/>
  <c r="H1035" s="1"/>
  <c r="H1032"/>
  <c r="C948"/>
  <c r="D891"/>
  <c r="C896"/>
  <c r="I841"/>
  <c r="H842"/>
  <c r="H782"/>
  <c r="H824"/>
  <c r="H848" s="1"/>
  <c r="C832"/>
  <c r="D775"/>
  <c r="C780"/>
  <c r="K843"/>
  <c r="K1188"/>
  <c r="H366"/>
  <c r="I309"/>
  <c r="H314"/>
  <c r="J595"/>
  <c r="K538"/>
  <c r="J553"/>
  <c r="J535"/>
  <c r="J559" s="1"/>
  <c r="G142"/>
  <c r="G485"/>
  <c r="H428"/>
  <c r="G433"/>
  <c r="G490" s="1"/>
  <c r="E501"/>
  <c r="E512" s="1"/>
  <c r="E1268"/>
  <c r="G726"/>
  <c r="G666"/>
  <c r="H711"/>
  <c r="H708" s="1"/>
  <c r="H732" s="1"/>
  <c r="I654"/>
  <c r="H669"/>
  <c r="H651"/>
  <c r="H675" s="1"/>
  <c r="P1268"/>
  <c r="K1268"/>
  <c r="P1266"/>
  <c r="K1266"/>
  <c r="E16"/>
  <c r="F1251" s="1"/>
  <c r="B471"/>
  <c r="E13" s="1"/>
  <c r="K263"/>
  <c r="Q1262"/>
  <c r="L1262"/>
  <c r="K1072"/>
  <c r="L1057"/>
  <c r="M1000"/>
  <c r="L1015"/>
  <c r="G1205"/>
  <c r="G1208"/>
  <c r="G908"/>
  <c r="G916" s="1"/>
  <c r="F487"/>
  <c r="H598"/>
  <c r="I541"/>
  <c r="H546"/>
  <c r="C257"/>
  <c r="C197"/>
  <c r="C16"/>
  <c r="F1249" s="1"/>
  <c r="B239"/>
  <c r="C13" s="1"/>
  <c r="G952"/>
  <c r="O1261"/>
  <c r="J1261"/>
  <c r="K594"/>
  <c r="L537"/>
  <c r="K552"/>
  <c r="H1190"/>
  <c r="H1187" s="1"/>
  <c r="H1130"/>
  <c r="D1180"/>
  <c r="E1123"/>
  <c r="D1128"/>
  <c r="J477"/>
  <c r="J435"/>
  <c r="K420"/>
  <c r="G396"/>
  <c r="G393"/>
  <c r="H250"/>
  <c r="I193"/>
  <c r="H198"/>
  <c r="C605"/>
  <c r="C545"/>
  <c r="D136"/>
  <c r="E79"/>
  <c r="D84"/>
  <c r="J709"/>
  <c r="J667"/>
  <c r="K652"/>
  <c r="J1059"/>
  <c r="K1002"/>
  <c r="J1017"/>
  <c r="J999"/>
  <c r="J1023" s="1"/>
  <c r="K941"/>
  <c r="L884"/>
  <c r="K899"/>
  <c r="F444"/>
  <c r="F455" s="1"/>
  <c r="H256"/>
  <c r="K608"/>
  <c r="M1176"/>
  <c r="N1119"/>
  <c r="M1134"/>
  <c r="L1060"/>
  <c r="M1003"/>
  <c r="L1018"/>
  <c r="L1075" s="1"/>
  <c r="L1174"/>
  <c r="M1117"/>
  <c r="L1132"/>
  <c r="H560"/>
  <c r="H568" s="1"/>
  <c r="J377"/>
  <c r="H714"/>
  <c r="I657"/>
  <c r="H662"/>
  <c r="H665"/>
  <c r="I660"/>
  <c r="H717"/>
  <c r="F838"/>
  <c r="I261"/>
  <c r="L73"/>
  <c r="K130"/>
  <c r="K88"/>
  <c r="H146"/>
  <c r="I131"/>
  <c r="J74"/>
  <c r="I89"/>
  <c r="M304"/>
  <c r="L361"/>
  <c r="L319"/>
  <c r="G1186"/>
  <c r="H1068"/>
  <c r="C716"/>
  <c r="D659"/>
  <c r="C664"/>
  <c r="F1089"/>
  <c r="G1148"/>
  <c r="K535"/>
  <c r="K559" s="1"/>
  <c r="J550"/>
  <c r="G976"/>
  <c r="H940"/>
  <c r="H964" s="1"/>
  <c r="I617"/>
  <c r="I628"/>
  <c r="I625"/>
  <c r="H16"/>
  <c r="F1254" s="1"/>
  <c r="B819"/>
  <c r="H13" s="1"/>
  <c r="K611"/>
  <c r="H958"/>
  <c r="H955" s="1"/>
  <c r="H898"/>
  <c r="I943"/>
  <c r="I940" s="1"/>
  <c r="I964" s="1"/>
  <c r="J886"/>
  <c r="I901"/>
  <c r="I958" s="1"/>
  <c r="H1178"/>
  <c r="I1121"/>
  <c r="H1126"/>
  <c r="P1261"/>
  <c r="K1261"/>
  <c r="J310"/>
  <c r="I367"/>
  <c r="I315"/>
  <c r="I372" s="1"/>
  <c r="C1069"/>
  <c r="C1009"/>
  <c r="K1073"/>
  <c r="G946"/>
  <c r="H889"/>
  <c r="G894"/>
  <c r="F835"/>
  <c r="G253"/>
  <c r="H196"/>
  <c r="G201"/>
  <c r="G258" s="1"/>
  <c r="G836"/>
  <c r="G1067"/>
  <c r="H1081"/>
  <c r="H1089"/>
  <c r="H1092"/>
  <c r="C484"/>
  <c r="D427"/>
  <c r="C432"/>
  <c r="K306"/>
  <c r="K303" s="1"/>
  <c r="K327" s="1"/>
  <c r="J363"/>
  <c r="J360" s="1"/>
  <c r="J384" s="1"/>
  <c r="J321"/>
  <c r="J303"/>
  <c r="J327" s="1"/>
  <c r="H488"/>
  <c r="I483"/>
  <c r="J426"/>
  <c r="I431"/>
  <c r="I488" s="1"/>
  <c r="M423"/>
  <c r="L480"/>
  <c r="L438"/>
  <c r="L495" s="1"/>
  <c r="K769"/>
  <c r="J826"/>
  <c r="J784"/>
  <c r="J841" s="1"/>
  <c r="J770"/>
  <c r="I827"/>
  <c r="I824" s="1"/>
  <c r="I848" s="1"/>
  <c r="I785"/>
  <c r="I842" s="1"/>
  <c r="I767"/>
  <c r="I791" s="1"/>
  <c r="M771"/>
  <c r="L828"/>
  <c r="L786"/>
  <c r="L843" s="1"/>
  <c r="M1116"/>
  <c r="L1173"/>
  <c r="L1131"/>
  <c r="G371"/>
  <c r="L132"/>
  <c r="M75"/>
  <c r="L90"/>
  <c r="L147" s="1"/>
  <c r="H137"/>
  <c r="I80"/>
  <c r="H85"/>
  <c r="H142" s="1"/>
  <c r="Q1266"/>
  <c r="L1266"/>
  <c r="F490"/>
  <c r="M655"/>
  <c r="L712"/>
  <c r="L670"/>
  <c r="L727" s="1"/>
  <c r="L944"/>
  <c r="M887"/>
  <c r="L902"/>
  <c r="L959" s="1"/>
  <c r="H135"/>
  <c r="I78"/>
  <c r="H83"/>
  <c r="J942"/>
  <c r="K885"/>
  <c r="J900"/>
  <c r="J957" s="1"/>
  <c r="G262"/>
  <c r="G202"/>
  <c r="H247"/>
  <c r="H244" s="1"/>
  <c r="H268" s="1"/>
  <c r="I190"/>
  <c r="H205"/>
  <c r="H187"/>
  <c r="H211" s="1"/>
  <c r="G708"/>
  <c r="G732" s="1"/>
  <c r="E1265"/>
  <c r="M191"/>
  <c r="L248"/>
  <c r="L206"/>
  <c r="L263" s="1"/>
  <c r="K379"/>
  <c r="L364"/>
  <c r="M307"/>
  <c r="L322"/>
  <c r="L379" s="1"/>
  <c r="H369"/>
  <c r="I312"/>
  <c r="H317"/>
  <c r="B1158"/>
  <c r="K4" s="1"/>
  <c r="K11"/>
  <c r="E1257" s="1"/>
  <c r="G482"/>
  <c r="H425"/>
  <c r="G430"/>
  <c r="G603"/>
  <c r="P1265"/>
  <c r="K1265"/>
  <c r="F617"/>
  <c r="F625"/>
  <c r="D252"/>
  <c r="E195"/>
  <c r="D200"/>
  <c r="G268"/>
  <c r="G270"/>
  <c r="H947"/>
  <c r="I890"/>
  <c r="H895"/>
  <c r="H952" s="1"/>
  <c r="H601"/>
  <c r="I544"/>
  <c r="H549"/>
  <c r="K710"/>
  <c r="K668"/>
  <c r="K725" s="1"/>
  <c r="L653"/>
  <c r="I1179"/>
  <c r="I1127"/>
  <c r="J1122"/>
  <c r="I1175"/>
  <c r="I1133"/>
  <c r="J1118"/>
  <c r="I1115"/>
  <c r="I1139" s="1"/>
  <c r="C1185"/>
  <c r="C1125"/>
  <c r="I492"/>
  <c r="B346"/>
  <c r="D4" s="1"/>
  <c r="D11"/>
  <c r="E1250" s="1"/>
  <c r="G255"/>
  <c r="D600"/>
  <c r="E543"/>
  <c r="D548"/>
  <c r="C141"/>
  <c r="C81"/>
  <c r="I724"/>
  <c r="I1074"/>
  <c r="I1014"/>
  <c r="J956"/>
  <c r="O1264"/>
  <c r="J1264"/>
  <c r="F501"/>
  <c r="F512"/>
  <c r="F509"/>
  <c r="G494"/>
  <c r="G434"/>
  <c r="H479"/>
  <c r="I422"/>
  <c r="H437"/>
  <c r="H419"/>
  <c r="H443" s="1"/>
  <c r="I251"/>
  <c r="J194"/>
  <c r="I199"/>
  <c r="I256" s="1"/>
  <c r="F385"/>
  <c r="F393" s="1"/>
  <c r="F396"/>
  <c r="L593"/>
  <c r="M536"/>
  <c r="L551"/>
  <c r="E965"/>
  <c r="E973" s="1"/>
  <c r="K1075"/>
  <c r="H617"/>
  <c r="H628" s="1"/>
  <c r="K478"/>
  <c r="L421"/>
  <c r="K436"/>
  <c r="L305"/>
  <c r="K362"/>
  <c r="K320"/>
  <c r="K377" s="1"/>
  <c r="G719"/>
  <c r="J840"/>
  <c r="L768"/>
  <c r="K825"/>
  <c r="K783"/>
  <c r="G833"/>
  <c r="H776"/>
  <c r="G781"/>
  <c r="G838" s="1"/>
  <c r="C373"/>
  <c r="C313"/>
  <c r="D368"/>
  <c r="E311"/>
  <c r="D316"/>
  <c r="I658"/>
  <c r="H715"/>
  <c r="H663"/>
  <c r="K189"/>
  <c r="J246"/>
  <c r="J204"/>
  <c r="J261" s="1"/>
  <c r="E1269"/>
  <c r="J145"/>
  <c r="J260"/>
  <c r="K245"/>
  <c r="L188"/>
  <c r="K203"/>
  <c r="K376"/>
  <c r="G949"/>
  <c r="H892"/>
  <c r="G897"/>
  <c r="H1181"/>
  <c r="I1124"/>
  <c r="H1129"/>
  <c r="H1186" s="1"/>
  <c r="I1063"/>
  <c r="J1006"/>
  <c r="I1011"/>
  <c r="I1068" s="1"/>
  <c r="F741"/>
  <c r="I839"/>
  <c r="F1092"/>
  <c r="G1151"/>
  <c r="J883"/>
  <c r="J907" s="1"/>
  <c r="I955"/>
  <c r="G973"/>
  <c r="I550"/>
  <c r="B80" i="4"/>
  <c r="D80"/>
  <c r="F80"/>
  <c r="E80"/>
  <c r="C80"/>
  <c r="E152" i="5" l="1"/>
  <c r="H625"/>
  <c r="F452"/>
  <c r="H87"/>
  <c r="I72"/>
  <c r="H129"/>
  <c r="H128" s="1"/>
  <c r="H152" s="1"/>
  <c r="H71"/>
  <c r="H95" s="1"/>
  <c r="AJ129"/>
  <c r="AJ128" s="1"/>
  <c r="AJ71"/>
  <c r="F77"/>
  <c r="E134"/>
  <c r="E82"/>
  <c r="E139" s="1"/>
  <c r="F144"/>
  <c r="F143" s="1"/>
  <c r="F86"/>
  <c r="B14"/>
  <c r="G1248" s="1"/>
  <c r="B123"/>
  <c r="B13" s="1"/>
  <c r="G919"/>
  <c r="G144"/>
  <c r="G143" s="1"/>
  <c r="G86"/>
  <c r="E144"/>
  <c r="E143" s="1"/>
  <c r="E86"/>
  <c r="AI71"/>
  <c r="AI129"/>
  <c r="AI128" s="1"/>
  <c r="I898"/>
  <c r="I560"/>
  <c r="I571" s="1"/>
  <c r="I849"/>
  <c r="I860" s="1"/>
  <c r="I1181"/>
  <c r="I1129"/>
  <c r="I1186" s="1"/>
  <c r="J1124"/>
  <c r="G954"/>
  <c r="K260"/>
  <c r="L245"/>
  <c r="M188"/>
  <c r="L203"/>
  <c r="O1269"/>
  <c r="J1269"/>
  <c r="H720"/>
  <c r="I715"/>
  <c r="J658"/>
  <c r="I663"/>
  <c r="I720" s="1"/>
  <c r="E368"/>
  <c r="F311"/>
  <c r="E316"/>
  <c r="C370"/>
  <c r="H833"/>
  <c r="I776"/>
  <c r="H781"/>
  <c r="H838" s="1"/>
  <c r="K840"/>
  <c r="K493"/>
  <c r="J422"/>
  <c r="I479"/>
  <c r="I476" s="1"/>
  <c r="I500" s="1"/>
  <c r="I437"/>
  <c r="I419"/>
  <c r="I443" s="1"/>
  <c r="G491"/>
  <c r="I1024"/>
  <c r="I1032" s="1"/>
  <c r="C138"/>
  <c r="E600"/>
  <c r="F543"/>
  <c r="E548"/>
  <c r="C1182"/>
  <c r="I1190"/>
  <c r="I1187" s="1"/>
  <c r="I1130"/>
  <c r="J1179"/>
  <c r="K1122"/>
  <c r="J1127"/>
  <c r="J1184" s="1"/>
  <c r="M653"/>
  <c r="L710"/>
  <c r="L668"/>
  <c r="L725" s="1"/>
  <c r="I601"/>
  <c r="I549"/>
  <c r="I606" s="1"/>
  <c r="J544"/>
  <c r="E252"/>
  <c r="F195"/>
  <c r="E200"/>
  <c r="G487"/>
  <c r="I317"/>
  <c r="I374" s="1"/>
  <c r="J312"/>
  <c r="I369"/>
  <c r="N307"/>
  <c r="M364"/>
  <c r="M322"/>
  <c r="I247"/>
  <c r="I244" s="1"/>
  <c r="I268" s="1"/>
  <c r="J190"/>
  <c r="I205"/>
  <c r="I187"/>
  <c r="I211" s="1"/>
  <c r="G212"/>
  <c r="G223" s="1"/>
  <c r="G259"/>
  <c r="L885"/>
  <c r="K942"/>
  <c r="K900"/>
  <c r="K957" s="1"/>
  <c r="H140"/>
  <c r="G153"/>
  <c r="G164" s="1"/>
  <c r="N75"/>
  <c r="M132"/>
  <c r="M90"/>
  <c r="M147" s="1"/>
  <c r="L1188"/>
  <c r="M828"/>
  <c r="N771"/>
  <c r="M786"/>
  <c r="M843" s="1"/>
  <c r="J827"/>
  <c r="J824" s="1"/>
  <c r="J848" s="1"/>
  <c r="K770"/>
  <c r="J785"/>
  <c r="M480"/>
  <c r="N423"/>
  <c r="M438"/>
  <c r="J483"/>
  <c r="J431"/>
  <c r="K426"/>
  <c r="C489"/>
  <c r="C429"/>
  <c r="H253"/>
  <c r="I196"/>
  <c r="H201"/>
  <c r="G951"/>
  <c r="J367"/>
  <c r="K310"/>
  <c r="J315"/>
  <c r="J372" s="1"/>
  <c r="I1178"/>
  <c r="J1121"/>
  <c r="I1126"/>
  <c r="K886"/>
  <c r="J943"/>
  <c r="J940" s="1"/>
  <c r="J964" s="1"/>
  <c r="J901"/>
  <c r="H965"/>
  <c r="H973" s="1"/>
  <c r="F1267"/>
  <c r="I908"/>
  <c r="I919" s="1"/>
  <c r="C721"/>
  <c r="C661"/>
  <c r="M361"/>
  <c r="M319"/>
  <c r="N304"/>
  <c r="K74"/>
  <c r="J131"/>
  <c r="J89"/>
  <c r="H722"/>
  <c r="I714"/>
  <c r="J657"/>
  <c r="I662"/>
  <c r="N1117"/>
  <c r="M1174"/>
  <c r="M1132"/>
  <c r="M1189" s="1"/>
  <c r="N1176"/>
  <c r="O1119"/>
  <c r="N1134"/>
  <c r="N1191" s="1"/>
  <c r="J1074"/>
  <c r="J1071" s="1"/>
  <c r="J1014"/>
  <c r="J1056"/>
  <c r="J1080" s="1"/>
  <c r="J724"/>
  <c r="E136"/>
  <c r="F79"/>
  <c r="E84"/>
  <c r="C602"/>
  <c r="I250"/>
  <c r="J193"/>
  <c r="I198"/>
  <c r="L420"/>
  <c r="K477"/>
  <c r="K435"/>
  <c r="D1185"/>
  <c r="D1182" s="1"/>
  <c r="D1125"/>
  <c r="H1197"/>
  <c r="H1208" s="1"/>
  <c r="K609"/>
  <c r="F1262"/>
  <c r="C1272"/>
  <c r="H603"/>
  <c r="L1072"/>
  <c r="M1057"/>
  <c r="N1000"/>
  <c r="M1015"/>
  <c r="F1264"/>
  <c r="H726"/>
  <c r="H723" s="1"/>
  <c r="H666"/>
  <c r="G676"/>
  <c r="G684" s="1"/>
  <c r="H433"/>
  <c r="I428"/>
  <c r="H485"/>
  <c r="K595"/>
  <c r="K592" s="1"/>
  <c r="K616" s="1"/>
  <c r="K553"/>
  <c r="L538"/>
  <c r="H371"/>
  <c r="D832"/>
  <c r="E775"/>
  <c r="D780"/>
  <c r="H792"/>
  <c r="H803" s="1"/>
  <c r="H800"/>
  <c r="C953"/>
  <c r="C893"/>
  <c r="H1067"/>
  <c r="I831"/>
  <c r="J774"/>
  <c r="I779"/>
  <c r="G835"/>
  <c r="M1058"/>
  <c r="N1001"/>
  <c r="M1016"/>
  <c r="D1069"/>
  <c r="D1066" s="1"/>
  <c r="D1009"/>
  <c r="M596"/>
  <c r="N539"/>
  <c r="M554"/>
  <c r="I782"/>
  <c r="K883"/>
  <c r="K907" s="1"/>
  <c r="I965"/>
  <c r="I976" s="1"/>
  <c r="J1063"/>
  <c r="K1006"/>
  <c r="J1011"/>
  <c r="J1068" s="1"/>
  <c r="H949"/>
  <c r="I892"/>
  <c r="H897"/>
  <c r="H954" s="1"/>
  <c r="K246"/>
  <c r="L189"/>
  <c r="K204"/>
  <c r="K261" s="1"/>
  <c r="D373"/>
  <c r="D370" s="1"/>
  <c r="D313"/>
  <c r="L825"/>
  <c r="M768"/>
  <c r="L783"/>
  <c r="L362"/>
  <c r="M305"/>
  <c r="L320"/>
  <c r="L377" s="1"/>
  <c r="M421"/>
  <c r="L478"/>
  <c r="L436"/>
  <c r="L493" s="1"/>
  <c r="L608"/>
  <c r="M593"/>
  <c r="M551"/>
  <c r="N536"/>
  <c r="J251"/>
  <c r="K194"/>
  <c r="J199"/>
  <c r="J256" s="1"/>
  <c r="H494"/>
  <c r="H491" s="1"/>
  <c r="H434"/>
  <c r="H476"/>
  <c r="H500" s="1"/>
  <c r="G444"/>
  <c r="G455" s="1"/>
  <c r="G452"/>
  <c r="I1071"/>
  <c r="D605"/>
  <c r="D602" s="1"/>
  <c r="D545"/>
  <c r="E1263"/>
  <c r="C1273"/>
  <c r="K1118"/>
  <c r="J1175"/>
  <c r="J1172" s="1"/>
  <c r="J1196" s="1"/>
  <c r="J1133"/>
  <c r="J1115"/>
  <c r="J1139" s="1"/>
  <c r="I1172"/>
  <c r="I1196" s="1"/>
  <c r="I1184"/>
  <c r="H606"/>
  <c r="I947"/>
  <c r="J890"/>
  <c r="I895"/>
  <c r="I952" s="1"/>
  <c r="D257"/>
  <c r="D254" s="1"/>
  <c r="D197"/>
  <c r="H482"/>
  <c r="I425"/>
  <c r="H430"/>
  <c r="E1270"/>
  <c r="H374"/>
  <c r="M248"/>
  <c r="N191"/>
  <c r="M206"/>
  <c r="M263" s="1"/>
  <c r="O1265"/>
  <c r="J1265"/>
  <c r="H262"/>
  <c r="H259" s="1"/>
  <c r="H202"/>
  <c r="I135"/>
  <c r="J78"/>
  <c r="I83"/>
  <c r="I140" s="1"/>
  <c r="N887"/>
  <c r="M944"/>
  <c r="M902"/>
  <c r="M712"/>
  <c r="M670"/>
  <c r="M727" s="1"/>
  <c r="N655"/>
  <c r="I137"/>
  <c r="J80"/>
  <c r="I85"/>
  <c r="I142" s="1"/>
  <c r="M1173"/>
  <c r="M1131"/>
  <c r="N1116"/>
  <c r="K826"/>
  <c r="L769"/>
  <c r="K784"/>
  <c r="K841" s="1"/>
  <c r="J378"/>
  <c r="J318"/>
  <c r="K363"/>
  <c r="K360" s="1"/>
  <c r="K384" s="1"/>
  <c r="K321"/>
  <c r="L306"/>
  <c r="L303" s="1"/>
  <c r="L327" s="1"/>
  <c r="D484"/>
  <c r="E427"/>
  <c r="D432"/>
  <c r="H946"/>
  <c r="I889"/>
  <c r="H894"/>
  <c r="C1066"/>
  <c r="H1183"/>
  <c r="H908"/>
  <c r="H919" s="1"/>
  <c r="H916"/>
  <c r="J560"/>
  <c r="J568" s="1"/>
  <c r="J571"/>
  <c r="D716"/>
  <c r="E659"/>
  <c r="D664"/>
  <c r="L376"/>
  <c r="I146"/>
  <c r="K145"/>
  <c r="L130"/>
  <c r="M73"/>
  <c r="L88"/>
  <c r="I717"/>
  <c r="J660"/>
  <c r="I665"/>
  <c r="I722" s="1"/>
  <c r="H719"/>
  <c r="L1189"/>
  <c r="M1060"/>
  <c r="N1003"/>
  <c r="M1018"/>
  <c r="M1191"/>
  <c r="K956"/>
  <c r="M884"/>
  <c r="L941"/>
  <c r="L899"/>
  <c r="L1002"/>
  <c r="K1059"/>
  <c r="K1056" s="1"/>
  <c r="K1080" s="1"/>
  <c r="K1017"/>
  <c r="K999"/>
  <c r="K1023" s="1"/>
  <c r="L652"/>
  <c r="K709"/>
  <c r="K667"/>
  <c r="D141"/>
  <c r="D138" s="1"/>
  <c r="D81"/>
  <c r="H255"/>
  <c r="J492"/>
  <c r="F1123"/>
  <c r="E1180"/>
  <c r="E1128"/>
  <c r="H1140"/>
  <c r="H1148" s="1"/>
  <c r="H1151"/>
  <c r="L594"/>
  <c r="M537"/>
  <c r="L552"/>
  <c r="L609" s="1"/>
  <c r="C254"/>
  <c r="I598"/>
  <c r="J541"/>
  <c r="I546"/>
  <c r="J654"/>
  <c r="I711"/>
  <c r="I708" s="1"/>
  <c r="I732" s="1"/>
  <c r="I669"/>
  <c r="I651"/>
  <c r="I675" s="1"/>
  <c r="G723"/>
  <c r="O1268"/>
  <c r="J1268"/>
  <c r="J610"/>
  <c r="J607" s="1"/>
  <c r="J592"/>
  <c r="J616" s="1"/>
  <c r="I366"/>
  <c r="J309"/>
  <c r="I314"/>
  <c r="C837"/>
  <c r="C777"/>
  <c r="H839"/>
  <c r="D948"/>
  <c r="E891"/>
  <c r="D896"/>
  <c r="I1062"/>
  <c r="J1005"/>
  <c r="I1010"/>
  <c r="H830"/>
  <c r="I773"/>
  <c r="H778"/>
  <c r="E1064"/>
  <c r="F1007"/>
  <c r="E1012"/>
  <c r="H1065"/>
  <c r="I1008"/>
  <c r="H1013"/>
  <c r="J599"/>
  <c r="K542"/>
  <c r="J547"/>
  <c r="E976"/>
  <c r="F628"/>
  <c r="H571"/>
  <c r="E509"/>
  <c r="J767"/>
  <c r="J791" s="1"/>
  <c r="C82" i="4"/>
  <c r="D82"/>
  <c r="B82"/>
  <c r="E82"/>
  <c r="F82"/>
  <c r="I973" i="5" l="1"/>
  <c r="G161"/>
  <c r="G687"/>
  <c r="H976"/>
  <c r="G220"/>
  <c r="I1035"/>
  <c r="I857"/>
  <c r="I568"/>
  <c r="I916"/>
  <c r="E153"/>
  <c r="E161" s="1"/>
  <c r="F96"/>
  <c r="F107" s="1"/>
  <c r="F134"/>
  <c r="F82"/>
  <c r="F139" s="1"/>
  <c r="G77"/>
  <c r="H144"/>
  <c r="H143" s="1"/>
  <c r="H86"/>
  <c r="H1205"/>
  <c r="E96"/>
  <c r="E104" s="1"/>
  <c r="G96"/>
  <c r="G104" s="1"/>
  <c r="G1261"/>
  <c r="C1271"/>
  <c r="F153"/>
  <c r="F161" s="1"/>
  <c r="I129"/>
  <c r="I128" s="1"/>
  <c r="I152" s="1"/>
  <c r="I87"/>
  <c r="J72"/>
  <c r="I71"/>
  <c r="I95" s="1"/>
  <c r="K599"/>
  <c r="L542"/>
  <c r="K547"/>
  <c r="K604" s="1"/>
  <c r="H1070"/>
  <c r="F1064"/>
  <c r="G1007"/>
  <c r="F1012"/>
  <c r="H835"/>
  <c r="J1062"/>
  <c r="K1005"/>
  <c r="J1010"/>
  <c r="D953"/>
  <c r="D950" s="1"/>
  <c r="D893"/>
  <c r="H849"/>
  <c r="H857" s="1"/>
  <c r="I371"/>
  <c r="J617"/>
  <c r="J625" s="1"/>
  <c r="J628"/>
  <c r="I603"/>
  <c r="M594"/>
  <c r="N537"/>
  <c r="M552"/>
  <c r="M609" s="1"/>
  <c r="L709"/>
  <c r="L667"/>
  <c r="M652"/>
  <c r="M941"/>
  <c r="N884"/>
  <c r="M899"/>
  <c r="M1075"/>
  <c r="L145"/>
  <c r="E716"/>
  <c r="F659"/>
  <c r="E664"/>
  <c r="H951"/>
  <c r="E484"/>
  <c r="F427"/>
  <c r="E432"/>
  <c r="K378"/>
  <c r="K375" s="1"/>
  <c r="K318"/>
  <c r="J375"/>
  <c r="M769"/>
  <c r="L826"/>
  <c r="L784"/>
  <c r="L841" s="1"/>
  <c r="M1188"/>
  <c r="J137"/>
  <c r="K80"/>
  <c r="J85"/>
  <c r="J142" s="1"/>
  <c r="O655"/>
  <c r="N712"/>
  <c r="N670"/>
  <c r="N727" s="1"/>
  <c r="M959"/>
  <c r="N944"/>
  <c r="O887"/>
  <c r="N902"/>
  <c r="N959" s="1"/>
  <c r="J135"/>
  <c r="K78"/>
  <c r="J83"/>
  <c r="J140" s="1"/>
  <c r="H212"/>
  <c r="H223" s="1"/>
  <c r="H487"/>
  <c r="J947"/>
  <c r="K890"/>
  <c r="J895"/>
  <c r="O1263"/>
  <c r="J1263"/>
  <c r="I1081"/>
  <c r="I1092" s="1"/>
  <c r="H444"/>
  <c r="H452" s="1"/>
  <c r="H455"/>
  <c r="M608"/>
  <c r="M478"/>
  <c r="N421"/>
  <c r="M436"/>
  <c r="M493" s="1"/>
  <c r="N305"/>
  <c r="M362"/>
  <c r="M320"/>
  <c r="M377" s="1"/>
  <c r="I949"/>
  <c r="J892"/>
  <c r="I897"/>
  <c r="I954" s="1"/>
  <c r="I792"/>
  <c r="I800" s="1"/>
  <c r="I803"/>
  <c r="N596"/>
  <c r="O539"/>
  <c r="N554"/>
  <c r="N611" s="1"/>
  <c r="M1073"/>
  <c r="J831"/>
  <c r="K774"/>
  <c r="J779"/>
  <c r="J836" s="1"/>
  <c r="C950"/>
  <c r="D837"/>
  <c r="D834" s="1"/>
  <c r="D777"/>
  <c r="K610"/>
  <c r="K607" s="1"/>
  <c r="K550"/>
  <c r="H490"/>
  <c r="H676"/>
  <c r="H687" s="1"/>
  <c r="H684"/>
  <c r="M1072"/>
  <c r="N1057"/>
  <c r="O1000"/>
  <c r="N1015"/>
  <c r="K492"/>
  <c r="I255"/>
  <c r="F136"/>
  <c r="G79"/>
  <c r="F84"/>
  <c r="J1081"/>
  <c r="J1092" s="1"/>
  <c r="J1089"/>
  <c r="P1119"/>
  <c r="O1176"/>
  <c r="O1134"/>
  <c r="O1191" s="1"/>
  <c r="I719"/>
  <c r="M376"/>
  <c r="C718"/>
  <c r="I1183"/>
  <c r="K367"/>
  <c r="K315"/>
  <c r="L310"/>
  <c r="H258"/>
  <c r="K483"/>
  <c r="L426"/>
  <c r="K431"/>
  <c r="K488" s="1"/>
  <c r="O423"/>
  <c r="N480"/>
  <c r="N438"/>
  <c r="N495" s="1"/>
  <c r="J842"/>
  <c r="J839" s="1"/>
  <c r="J782"/>
  <c r="L942"/>
  <c r="M885"/>
  <c r="L900"/>
  <c r="L957" s="1"/>
  <c r="G269"/>
  <c r="G280" s="1"/>
  <c r="G277"/>
  <c r="J247"/>
  <c r="J244" s="1"/>
  <c r="J268" s="1"/>
  <c r="K190"/>
  <c r="J205"/>
  <c r="J187"/>
  <c r="J211" s="1"/>
  <c r="M379"/>
  <c r="N364"/>
  <c r="O307"/>
  <c r="N322"/>
  <c r="N379" s="1"/>
  <c r="J369"/>
  <c r="K312"/>
  <c r="J317"/>
  <c r="F252"/>
  <c r="G195"/>
  <c r="F200"/>
  <c r="J601"/>
  <c r="K544"/>
  <c r="J549"/>
  <c r="I1140"/>
  <c r="I1148" s="1"/>
  <c r="E605"/>
  <c r="E602" s="1"/>
  <c r="E545"/>
  <c r="G501"/>
  <c r="G512" s="1"/>
  <c r="G509"/>
  <c r="I833"/>
  <c r="J776"/>
  <c r="I781"/>
  <c r="E373"/>
  <c r="E370" s="1"/>
  <c r="E313"/>
  <c r="J715"/>
  <c r="J663"/>
  <c r="J720" s="1"/>
  <c r="K658"/>
  <c r="J604"/>
  <c r="I1065"/>
  <c r="J1008"/>
  <c r="I1013"/>
  <c r="I1070" s="1"/>
  <c r="E1069"/>
  <c r="E1009"/>
  <c r="I830"/>
  <c r="J773"/>
  <c r="I778"/>
  <c r="I1067"/>
  <c r="E948"/>
  <c r="F891"/>
  <c r="E896"/>
  <c r="C834"/>
  <c r="J366"/>
  <c r="K309"/>
  <c r="J314"/>
  <c r="G733"/>
  <c r="G744" s="1"/>
  <c r="G741"/>
  <c r="I726"/>
  <c r="I666"/>
  <c r="J711"/>
  <c r="J708" s="1"/>
  <c r="J732" s="1"/>
  <c r="J669"/>
  <c r="K654"/>
  <c r="J651"/>
  <c r="J675" s="1"/>
  <c r="J598"/>
  <c r="K541"/>
  <c r="J546"/>
  <c r="E1185"/>
  <c r="E1182" s="1"/>
  <c r="E1125"/>
  <c r="F1180"/>
  <c r="G1123"/>
  <c r="F1128"/>
  <c r="K724"/>
  <c r="K1074"/>
  <c r="K1014"/>
  <c r="L1059"/>
  <c r="L1056" s="1"/>
  <c r="L1080" s="1"/>
  <c r="M1002"/>
  <c r="L1017"/>
  <c r="L999"/>
  <c r="L1023" s="1"/>
  <c r="L956"/>
  <c r="N1060"/>
  <c r="O1003"/>
  <c r="N1018"/>
  <c r="N1075" s="1"/>
  <c r="J717"/>
  <c r="J665"/>
  <c r="J722" s="1"/>
  <c r="K660"/>
  <c r="N73"/>
  <c r="M130"/>
  <c r="M88"/>
  <c r="D721"/>
  <c r="D718" s="1"/>
  <c r="D661"/>
  <c r="I946"/>
  <c r="J889"/>
  <c r="I894"/>
  <c r="D489"/>
  <c r="D486" s="1"/>
  <c r="D429"/>
  <c r="M306"/>
  <c r="M303" s="1"/>
  <c r="M327" s="1"/>
  <c r="L363"/>
  <c r="L360" s="1"/>
  <c r="L384" s="1"/>
  <c r="L321"/>
  <c r="J328"/>
  <c r="J339" s="1"/>
  <c r="N1173"/>
  <c r="O1116"/>
  <c r="N1131"/>
  <c r="H269"/>
  <c r="H277" s="1"/>
  <c r="N248"/>
  <c r="O191"/>
  <c r="N206"/>
  <c r="N263" s="1"/>
  <c r="O1270"/>
  <c r="J1270"/>
  <c r="I482"/>
  <c r="J425"/>
  <c r="I430"/>
  <c r="J1190"/>
  <c r="J1130"/>
  <c r="K1175"/>
  <c r="L1118"/>
  <c r="K1133"/>
  <c r="K1115"/>
  <c r="K1139" s="1"/>
  <c r="H501"/>
  <c r="H509" s="1"/>
  <c r="K251"/>
  <c r="L194"/>
  <c r="K199"/>
  <c r="K256" s="1"/>
  <c r="N593"/>
  <c r="O536"/>
  <c r="N551"/>
  <c r="L840"/>
  <c r="N768"/>
  <c r="M825"/>
  <c r="M783"/>
  <c r="L246"/>
  <c r="M189"/>
  <c r="L204"/>
  <c r="L261" s="1"/>
  <c r="K1063"/>
  <c r="L1006"/>
  <c r="K1011"/>
  <c r="M611"/>
  <c r="O1001"/>
  <c r="N1058"/>
  <c r="N1016"/>
  <c r="N1073" s="1"/>
  <c r="I836"/>
  <c r="E832"/>
  <c r="F775"/>
  <c r="E780"/>
  <c r="L595"/>
  <c r="L592" s="1"/>
  <c r="L616" s="1"/>
  <c r="M538"/>
  <c r="L553"/>
  <c r="L535"/>
  <c r="L559" s="1"/>
  <c r="I485"/>
  <c r="J428"/>
  <c r="I433"/>
  <c r="I490" s="1"/>
  <c r="H733"/>
  <c r="H741"/>
  <c r="H744"/>
  <c r="P1264"/>
  <c r="K1264"/>
  <c r="P1262"/>
  <c r="K1262"/>
  <c r="L477"/>
  <c r="L435"/>
  <c r="M420"/>
  <c r="J250"/>
  <c r="K193"/>
  <c r="J198"/>
  <c r="E141"/>
  <c r="E138" s="1"/>
  <c r="E81"/>
  <c r="J1024"/>
  <c r="J1035" s="1"/>
  <c r="N1174"/>
  <c r="O1117"/>
  <c r="N1132"/>
  <c r="J714"/>
  <c r="K657"/>
  <c r="J662"/>
  <c r="J146"/>
  <c r="K131"/>
  <c r="L74"/>
  <c r="K89"/>
  <c r="O304"/>
  <c r="N361"/>
  <c r="N319"/>
  <c r="P1267"/>
  <c r="K1267"/>
  <c r="J958"/>
  <c r="J955" s="1"/>
  <c r="J898"/>
  <c r="K943"/>
  <c r="K940" s="1"/>
  <c r="K964" s="1"/>
  <c r="L886"/>
  <c r="K901"/>
  <c r="J1178"/>
  <c r="K1121"/>
  <c r="J1126"/>
  <c r="I253"/>
  <c r="J196"/>
  <c r="I201"/>
  <c r="I258" s="1"/>
  <c r="C486"/>
  <c r="J488"/>
  <c r="M495"/>
  <c r="L770"/>
  <c r="K827"/>
  <c r="K824" s="1"/>
  <c r="K848" s="1"/>
  <c r="K785"/>
  <c r="K842" s="1"/>
  <c r="K839" s="1"/>
  <c r="K767"/>
  <c r="K791" s="1"/>
  <c r="O771"/>
  <c r="N828"/>
  <c r="N786"/>
  <c r="N843" s="1"/>
  <c r="N132"/>
  <c r="O75"/>
  <c r="N90"/>
  <c r="N147" s="1"/>
  <c r="I262"/>
  <c r="I259" s="1"/>
  <c r="I202"/>
  <c r="E257"/>
  <c r="E197"/>
  <c r="M710"/>
  <c r="N653"/>
  <c r="M668"/>
  <c r="M725" s="1"/>
  <c r="K1179"/>
  <c r="L1122"/>
  <c r="K1127"/>
  <c r="I1197"/>
  <c r="I1205" s="1"/>
  <c r="F600"/>
  <c r="G543"/>
  <c r="F548"/>
  <c r="I494"/>
  <c r="I491" s="1"/>
  <c r="I434"/>
  <c r="J479"/>
  <c r="J476" s="1"/>
  <c r="J500" s="1"/>
  <c r="J437"/>
  <c r="K422"/>
  <c r="J419"/>
  <c r="J443" s="1"/>
  <c r="F368"/>
  <c r="G311"/>
  <c r="F316"/>
  <c r="L260"/>
  <c r="N188"/>
  <c r="M245"/>
  <c r="M203"/>
  <c r="J1181"/>
  <c r="K1124"/>
  <c r="J1129"/>
  <c r="J1186" s="1"/>
  <c r="K782"/>
  <c r="H220" l="1"/>
  <c r="E164"/>
  <c r="F164"/>
  <c r="G107"/>
  <c r="E107"/>
  <c r="H280"/>
  <c r="I1089"/>
  <c r="F104"/>
  <c r="I144"/>
  <c r="I143" s="1"/>
  <c r="I153" s="1"/>
  <c r="I164" s="1"/>
  <c r="I86"/>
  <c r="H96"/>
  <c r="H104" s="1"/>
  <c r="H77"/>
  <c r="G134"/>
  <c r="G82"/>
  <c r="G139" s="1"/>
  <c r="J1032"/>
  <c r="H512"/>
  <c r="J336"/>
  <c r="I1151"/>
  <c r="J129"/>
  <c r="J128" s="1"/>
  <c r="J152" s="1"/>
  <c r="K72"/>
  <c r="J87"/>
  <c r="J71"/>
  <c r="J95" s="1"/>
  <c r="H153"/>
  <c r="H164" s="1"/>
  <c r="K849"/>
  <c r="K860" s="1"/>
  <c r="K857"/>
  <c r="K792"/>
  <c r="K800" s="1"/>
  <c r="K803"/>
  <c r="N245"/>
  <c r="O188"/>
  <c r="N203"/>
  <c r="H311"/>
  <c r="G368"/>
  <c r="G316"/>
  <c r="J494"/>
  <c r="J491" s="1"/>
  <c r="J434"/>
  <c r="I501"/>
  <c r="I509"/>
  <c r="I512"/>
  <c r="G600"/>
  <c r="H543"/>
  <c r="G548"/>
  <c r="L1179"/>
  <c r="M1122"/>
  <c r="L1127"/>
  <c r="L1184" s="1"/>
  <c r="E254"/>
  <c r="I269"/>
  <c r="I277" s="1"/>
  <c r="I280"/>
  <c r="P75"/>
  <c r="O132"/>
  <c r="O90"/>
  <c r="O147" s="1"/>
  <c r="O828"/>
  <c r="P771"/>
  <c r="O786"/>
  <c r="O843" s="1"/>
  <c r="L827"/>
  <c r="L824" s="1"/>
  <c r="L848" s="1"/>
  <c r="M770"/>
  <c r="L785"/>
  <c r="J253"/>
  <c r="K196"/>
  <c r="J201"/>
  <c r="J258" s="1"/>
  <c r="J1183"/>
  <c r="K958"/>
  <c r="K955" s="1"/>
  <c r="K898"/>
  <c r="N376"/>
  <c r="M74"/>
  <c r="L131"/>
  <c r="L89"/>
  <c r="J719"/>
  <c r="O1174"/>
  <c r="P1117"/>
  <c r="O1132"/>
  <c r="O1189" s="1"/>
  <c r="J255"/>
  <c r="N420"/>
  <c r="M477"/>
  <c r="M435"/>
  <c r="L610"/>
  <c r="L607" s="1"/>
  <c r="F832"/>
  <c r="G775"/>
  <c r="F780"/>
  <c r="O1058"/>
  <c r="P1001"/>
  <c r="O1016"/>
  <c r="O1073" s="1"/>
  <c r="L1063"/>
  <c r="M1006"/>
  <c r="L1011"/>
  <c r="L1068" s="1"/>
  <c r="N825"/>
  <c r="O768"/>
  <c r="N783"/>
  <c r="L251"/>
  <c r="M194"/>
  <c r="L199"/>
  <c r="L256" s="1"/>
  <c r="L1175"/>
  <c r="L1172" s="1"/>
  <c r="L1196" s="1"/>
  <c r="M1118"/>
  <c r="L1133"/>
  <c r="L1115"/>
  <c r="L1139" s="1"/>
  <c r="J1140"/>
  <c r="J1148" s="1"/>
  <c r="I487"/>
  <c r="N1188"/>
  <c r="O1173"/>
  <c r="O1131"/>
  <c r="P1116"/>
  <c r="I951"/>
  <c r="K717"/>
  <c r="L660"/>
  <c r="K665"/>
  <c r="K722" s="1"/>
  <c r="O1060"/>
  <c r="P1003"/>
  <c r="O1018"/>
  <c r="O1075" s="1"/>
  <c r="M1059"/>
  <c r="M1056" s="1"/>
  <c r="M1080" s="1"/>
  <c r="N1002"/>
  <c r="M1017"/>
  <c r="M999"/>
  <c r="M1023" s="1"/>
  <c r="K1024"/>
  <c r="K1032" s="1"/>
  <c r="F1185"/>
  <c r="F1125"/>
  <c r="J603"/>
  <c r="L654"/>
  <c r="K711"/>
  <c r="K708" s="1"/>
  <c r="K732" s="1"/>
  <c r="K669"/>
  <c r="K651"/>
  <c r="K675" s="1"/>
  <c r="I723"/>
  <c r="J371"/>
  <c r="F948"/>
  <c r="G891"/>
  <c r="F896"/>
  <c r="J830"/>
  <c r="K773"/>
  <c r="J778"/>
  <c r="E1066"/>
  <c r="J1065"/>
  <c r="K1008"/>
  <c r="J1013"/>
  <c r="J1070" s="1"/>
  <c r="I838"/>
  <c r="K601"/>
  <c r="L544"/>
  <c r="K549"/>
  <c r="K606" s="1"/>
  <c r="F257"/>
  <c r="F254" s="1"/>
  <c r="F197"/>
  <c r="K369"/>
  <c r="K317"/>
  <c r="K374" s="1"/>
  <c r="L312"/>
  <c r="J262"/>
  <c r="J259" s="1"/>
  <c r="J202"/>
  <c r="J849"/>
  <c r="J857" s="1"/>
  <c r="K372"/>
  <c r="P1176"/>
  <c r="Q1119"/>
  <c r="P1134"/>
  <c r="P1191" s="1"/>
  <c r="F141"/>
  <c r="F138" s="1"/>
  <c r="F81"/>
  <c r="K560"/>
  <c r="K568" s="1"/>
  <c r="O596"/>
  <c r="P539"/>
  <c r="O554"/>
  <c r="O611" s="1"/>
  <c r="J949"/>
  <c r="K892"/>
  <c r="J897"/>
  <c r="K947"/>
  <c r="L890"/>
  <c r="K895"/>
  <c r="K952" s="1"/>
  <c r="P887"/>
  <c r="O944"/>
  <c r="O902"/>
  <c r="O959" s="1"/>
  <c r="O712"/>
  <c r="P655"/>
  <c r="O670"/>
  <c r="O727" s="1"/>
  <c r="K137"/>
  <c r="L80"/>
  <c r="K85"/>
  <c r="K142" s="1"/>
  <c r="M826"/>
  <c r="N769"/>
  <c r="M784"/>
  <c r="M841" s="1"/>
  <c r="K385"/>
  <c r="K396" s="1"/>
  <c r="G427"/>
  <c r="F484"/>
  <c r="F432"/>
  <c r="E721"/>
  <c r="E718" s="1"/>
  <c r="E661"/>
  <c r="M956"/>
  <c r="O884"/>
  <c r="N941"/>
  <c r="N899"/>
  <c r="L724"/>
  <c r="N594"/>
  <c r="O537"/>
  <c r="N552"/>
  <c r="N609" s="1"/>
  <c r="K1062"/>
  <c r="L1005"/>
  <c r="K1010"/>
  <c r="F1069"/>
  <c r="F1066" s="1"/>
  <c r="F1009"/>
  <c r="L599"/>
  <c r="M542"/>
  <c r="L547"/>
  <c r="L767"/>
  <c r="L791" s="1"/>
  <c r="K1129"/>
  <c r="K1186" s="1"/>
  <c r="L1124"/>
  <c r="K1181"/>
  <c r="M260"/>
  <c r="F373"/>
  <c r="F313"/>
  <c r="L422"/>
  <c r="K479"/>
  <c r="K476" s="1"/>
  <c r="K500" s="1"/>
  <c r="K437"/>
  <c r="K419"/>
  <c r="K443" s="1"/>
  <c r="I444"/>
  <c r="I452" s="1"/>
  <c r="F605"/>
  <c r="F545"/>
  <c r="K1184"/>
  <c r="O653"/>
  <c r="N710"/>
  <c r="N668"/>
  <c r="N725" s="1"/>
  <c r="I212"/>
  <c r="I220" s="1"/>
  <c r="K1178"/>
  <c r="L1121"/>
  <c r="K1126"/>
  <c r="M886"/>
  <c r="L943"/>
  <c r="L940" s="1"/>
  <c r="L964" s="1"/>
  <c r="L901"/>
  <c r="L883"/>
  <c r="L907" s="1"/>
  <c r="J908"/>
  <c r="J919" s="1"/>
  <c r="J965"/>
  <c r="J973" s="1"/>
  <c r="O361"/>
  <c r="O319"/>
  <c r="P304"/>
  <c r="K146"/>
  <c r="K714"/>
  <c r="L657"/>
  <c r="K662"/>
  <c r="N1189"/>
  <c r="K250"/>
  <c r="L193"/>
  <c r="K198"/>
  <c r="L492"/>
  <c r="J485"/>
  <c r="J433"/>
  <c r="J490" s="1"/>
  <c r="K428"/>
  <c r="M595"/>
  <c r="M592" s="1"/>
  <c r="M616" s="1"/>
  <c r="N538"/>
  <c r="M553"/>
  <c r="E837"/>
  <c r="E777"/>
  <c r="K1068"/>
  <c r="M246"/>
  <c r="N189"/>
  <c r="M204"/>
  <c r="M261" s="1"/>
  <c r="M840"/>
  <c r="N608"/>
  <c r="O593"/>
  <c r="P536"/>
  <c r="O551"/>
  <c r="K1190"/>
  <c r="K1187" s="1"/>
  <c r="K1130"/>
  <c r="K1172"/>
  <c r="K1196" s="1"/>
  <c r="J1187"/>
  <c r="J482"/>
  <c r="K425"/>
  <c r="J430"/>
  <c r="O248"/>
  <c r="P191"/>
  <c r="O206"/>
  <c r="O263" s="1"/>
  <c r="L378"/>
  <c r="L318"/>
  <c r="M363"/>
  <c r="M360" s="1"/>
  <c r="M384" s="1"/>
  <c r="N306"/>
  <c r="M321"/>
  <c r="J946"/>
  <c r="K889"/>
  <c r="J894"/>
  <c r="M145"/>
  <c r="N130"/>
  <c r="O73"/>
  <c r="N88"/>
  <c r="L1074"/>
  <c r="L1071" s="1"/>
  <c r="L1014"/>
  <c r="K1071"/>
  <c r="G1180"/>
  <c r="H1123"/>
  <c r="G1128"/>
  <c r="K598"/>
  <c r="L541"/>
  <c r="K546"/>
  <c r="J726"/>
  <c r="J723" s="1"/>
  <c r="J666"/>
  <c r="I676"/>
  <c r="I687" s="1"/>
  <c r="K366"/>
  <c r="L309"/>
  <c r="K314"/>
  <c r="E953"/>
  <c r="E950" s="1"/>
  <c r="E893"/>
  <c r="I835"/>
  <c r="K715"/>
  <c r="L658"/>
  <c r="K663"/>
  <c r="K720" s="1"/>
  <c r="J833"/>
  <c r="K776"/>
  <c r="J781"/>
  <c r="J838" s="1"/>
  <c r="J606"/>
  <c r="G252"/>
  <c r="H195"/>
  <c r="G200"/>
  <c r="J374"/>
  <c r="P307"/>
  <c r="O364"/>
  <c r="O322"/>
  <c r="O379" s="1"/>
  <c r="L190"/>
  <c r="K247"/>
  <c r="K244" s="1"/>
  <c r="K268" s="1"/>
  <c r="K205"/>
  <c r="K187"/>
  <c r="K211" s="1"/>
  <c r="N885"/>
  <c r="M942"/>
  <c r="M900"/>
  <c r="M957" s="1"/>
  <c r="J792"/>
  <c r="J803" s="1"/>
  <c r="O480"/>
  <c r="P423"/>
  <c r="O438"/>
  <c r="O495" s="1"/>
  <c r="M426"/>
  <c r="L483"/>
  <c r="L431"/>
  <c r="L367"/>
  <c r="M310"/>
  <c r="L315"/>
  <c r="L372" s="1"/>
  <c r="G136"/>
  <c r="H79"/>
  <c r="G84"/>
  <c r="N1072"/>
  <c r="O1057"/>
  <c r="P1000"/>
  <c r="O1015"/>
  <c r="K617"/>
  <c r="K628" s="1"/>
  <c r="K831"/>
  <c r="L774"/>
  <c r="K779"/>
  <c r="N362"/>
  <c r="O305"/>
  <c r="N320"/>
  <c r="N377" s="1"/>
  <c r="O421"/>
  <c r="N478"/>
  <c r="N436"/>
  <c r="N493" s="1"/>
  <c r="J952"/>
  <c r="K135"/>
  <c r="L78"/>
  <c r="K83"/>
  <c r="J385"/>
  <c r="J393" s="1"/>
  <c r="K328"/>
  <c r="K336" s="1"/>
  <c r="E489"/>
  <c r="E429"/>
  <c r="G659"/>
  <c r="F716"/>
  <c r="F664"/>
  <c r="N652"/>
  <c r="M709"/>
  <c r="M667"/>
  <c r="J1067"/>
  <c r="G1064"/>
  <c r="H1007"/>
  <c r="G1012"/>
  <c r="L550"/>
  <c r="I1208"/>
  <c r="M535"/>
  <c r="M559" s="1"/>
  <c r="M883"/>
  <c r="M907" s="1"/>
  <c r="H860"/>
  <c r="I161" l="1"/>
  <c r="H161"/>
  <c r="H107"/>
  <c r="J800"/>
  <c r="K339"/>
  <c r="J976"/>
  <c r="I223"/>
  <c r="I455"/>
  <c r="J144"/>
  <c r="J143" s="1"/>
  <c r="J86"/>
  <c r="K129"/>
  <c r="K128" s="1"/>
  <c r="K152" s="1"/>
  <c r="K87"/>
  <c r="L72"/>
  <c r="K71"/>
  <c r="K95" s="1"/>
  <c r="H134"/>
  <c r="H82"/>
  <c r="H139" s="1"/>
  <c r="I77"/>
  <c r="I96"/>
  <c r="I107" s="1"/>
  <c r="K625"/>
  <c r="I684"/>
  <c r="J916"/>
  <c r="K393"/>
  <c r="K571"/>
  <c r="J860"/>
  <c r="K1035"/>
  <c r="J1151"/>
  <c r="G1069"/>
  <c r="G1066" s="1"/>
  <c r="G1009"/>
  <c r="N709"/>
  <c r="N667"/>
  <c r="O652"/>
  <c r="F721"/>
  <c r="F661"/>
  <c r="G716"/>
  <c r="H659"/>
  <c r="G664"/>
  <c r="E486"/>
  <c r="L135"/>
  <c r="M78"/>
  <c r="L83"/>
  <c r="L140" s="1"/>
  <c r="L831"/>
  <c r="M774"/>
  <c r="L779"/>
  <c r="L836" s="1"/>
  <c r="H136"/>
  <c r="I79"/>
  <c r="H84"/>
  <c r="N942"/>
  <c r="O885"/>
  <c r="N900"/>
  <c r="N957" s="1"/>
  <c r="K262"/>
  <c r="K259" s="1"/>
  <c r="K202"/>
  <c r="L247"/>
  <c r="L244" s="1"/>
  <c r="L268" s="1"/>
  <c r="M190"/>
  <c r="L205"/>
  <c r="L187"/>
  <c r="L211" s="1"/>
  <c r="G257"/>
  <c r="G254" s="1"/>
  <c r="G197"/>
  <c r="K833"/>
  <c r="L776"/>
  <c r="K781"/>
  <c r="K838" s="1"/>
  <c r="L366"/>
  <c r="M309"/>
  <c r="L314"/>
  <c r="J733"/>
  <c r="J744" s="1"/>
  <c r="L598"/>
  <c r="M541"/>
  <c r="L546"/>
  <c r="G1185"/>
  <c r="G1182" s="1"/>
  <c r="G1125"/>
  <c r="L1081"/>
  <c r="L1089" s="1"/>
  <c r="N145"/>
  <c r="K946"/>
  <c r="L889"/>
  <c r="K894"/>
  <c r="O306"/>
  <c r="N363"/>
  <c r="N360" s="1"/>
  <c r="N384" s="1"/>
  <c r="N321"/>
  <c r="N378" s="1"/>
  <c r="N303"/>
  <c r="N327" s="1"/>
  <c r="L328"/>
  <c r="L336" s="1"/>
  <c r="L339"/>
  <c r="K482"/>
  <c r="L425"/>
  <c r="K430"/>
  <c r="K1140"/>
  <c r="K1148" s="1"/>
  <c r="P593"/>
  <c r="Q536"/>
  <c r="P551"/>
  <c r="N595"/>
  <c r="N592" s="1"/>
  <c r="N616" s="1"/>
  <c r="O538"/>
  <c r="N553"/>
  <c r="N535"/>
  <c r="N559" s="1"/>
  <c r="K485"/>
  <c r="L428"/>
  <c r="K433"/>
  <c r="K490" s="1"/>
  <c r="L250"/>
  <c r="M193"/>
  <c r="L198"/>
  <c r="K719"/>
  <c r="O376"/>
  <c r="L958"/>
  <c r="L955" s="1"/>
  <c r="L898"/>
  <c r="M943"/>
  <c r="M940" s="1"/>
  <c r="M964" s="1"/>
  <c r="N886"/>
  <c r="M901"/>
  <c r="M958" s="1"/>
  <c r="L1178"/>
  <c r="M1121"/>
  <c r="L1126"/>
  <c r="F602"/>
  <c r="F370"/>
  <c r="L1181"/>
  <c r="M1124"/>
  <c r="L1129"/>
  <c r="L1186" s="1"/>
  <c r="L604"/>
  <c r="L1062"/>
  <c r="M1005"/>
  <c r="L1010"/>
  <c r="N956"/>
  <c r="F489"/>
  <c r="F486" s="1"/>
  <c r="F429"/>
  <c r="G484"/>
  <c r="H427"/>
  <c r="G432"/>
  <c r="L137"/>
  <c r="M80"/>
  <c r="L85"/>
  <c r="L142" s="1"/>
  <c r="K949"/>
  <c r="L892"/>
  <c r="K897"/>
  <c r="K954" s="1"/>
  <c r="J269"/>
  <c r="J280"/>
  <c r="J277"/>
  <c r="K1065"/>
  <c r="L1008"/>
  <c r="K1013"/>
  <c r="K1070" s="1"/>
  <c r="J835"/>
  <c r="G948"/>
  <c r="H891"/>
  <c r="G896"/>
  <c r="I733"/>
  <c r="I744" s="1"/>
  <c r="I741"/>
  <c r="K726"/>
  <c r="K723" s="1"/>
  <c r="K666"/>
  <c r="L711"/>
  <c r="L708" s="1"/>
  <c r="L732" s="1"/>
  <c r="M654"/>
  <c r="L669"/>
  <c r="L651"/>
  <c r="L675" s="1"/>
  <c r="F1182"/>
  <c r="M1074"/>
  <c r="M1071" s="1"/>
  <c r="M1014"/>
  <c r="L665"/>
  <c r="L722" s="1"/>
  <c r="M660"/>
  <c r="L717"/>
  <c r="Q1116"/>
  <c r="P1173"/>
  <c r="P1131"/>
  <c r="M1175"/>
  <c r="M1172" s="1"/>
  <c r="M1196" s="1"/>
  <c r="M1133"/>
  <c r="N1118"/>
  <c r="M1115"/>
  <c r="M1139" s="1"/>
  <c r="N840"/>
  <c r="P768"/>
  <c r="O825"/>
  <c r="O783"/>
  <c r="P1058"/>
  <c r="Q1001"/>
  <c r="P1016"/>
  <c r="P1073" s="1"/>
  <c r="F837"/>
  <c r="F834" s="1"/>
  <c r="F777"/>
  <c r="L617"/>
  <c r="L628" s="1"/>
  <c r="L625"/>
  <c r="M492"/>
  <c r="L146"/>
  <c r="M131"/>
  <c r="N74"/>
  <c r="M89"/>
  <c r="K965"/>
  <c r="K973" s="1"/>
  <c r="N770"/>
  <c r="M827"/>
  <c r="M824" s="1"/>
  <c r="M848" s="1"/>
  <c r="M785"/>
  <c r="M767"/>
  <c r="M791" s="1"/>
  <c r="Q771"/>
  <c r="P828"/>
  <c r="P786"/>
  <c r="P843" s="1"/>
  <c r="P132"/>
  <c r="Q75"/>
  <c r="P90"/>
  <c r="P147" s="1"/>
  <c r="H600"/>
  <c r="I543"/>
  <c r="H548"/>
  <c r="J501"/>
  <c r="J512" s="1"/>
  <c r="N883"/>
  <c r="N907" s="1"/>
  <c r="M898"/>
  <c r="N375"/>
  <c r="L560"/>
  <c r="L571" s="1"/>
  <c r="H1064"/>
  <c r="I1007"/>
  <c r="H1012"/>
  <c r="M724"/>
  <c r="K140"/>
  <c r="O478"/>
  <c r="P421"/>
  <c r="O436"/>
  <c r="O493" s="1"/>
  <c r="P305"/>
  <c r="O362"/>
  <c r="O320"/>
  <c r="O377" s="1"/>
  <c r="K836"/>
  <c r="O1072"/>
  <c r="P1057"/>
  <c r="Q1000"/>
  <c r="P1015"/>
  <c r="G141"/>
  <c r="G81"/>
  <c r="N310"/>
  <c r="M367"/>
  <c r="M315"/>
  <c r="M372" s="1"/>
  <c r="L488"/>
  <c r="M483"/>
  <c r="N426"/>
  <c r="M431"/>
  <c r="M488" s="1"/>
  <c r="Q423"/>
  <c r="P480"/>
  <c r="P438"/>
  <c r="P495" s="1"/>
  <c r="P364"/>
  <c r="Q307"/>
  <c r="P322"/>
  <c r="P379" s="1"/>
  <c r="H252"/>
  <c r="I195"/>
  <c r="H200"/>
  <c r="M658"/>
  <c r="L715"/>
  <c r="L663"/>
  <c r="L720" s="1"/>
  <c r="K371"/>
  <c r="J676"/>
  <c r="J684" s="1"/>
  <c r="K603"/>
  <c r="H1180"/>
  <c r="I1123"/>
  <c r="H1128"/>
  <c r="K1081"/>
  <c r="K1092" s="1"/>
  <c r="L1024"/>
  <c r="L1035" s="1"/>
  <c r="L1032"/>
  <c r="P73"/>
  <c r="O130"/>
  <c r="O88"/>
  <c r="J951"/>
  <c r="M378"/>
  <c r="M375" s="1"/>
  <c r="M318"/>
  <c r="L375"/>
  <c r="Q191"/>
  <c r="P248"/>
  <c r="P206"/>
  <c r="P263" s="1"/>
  <c r="J487"/>
  <c r="J1197"/>
  <c r="J1208" s="1"/>
  <c r="K1197"/>
  <c r="K1208" s="1"/>
  <c r="O608"/>
  <c r="O189"/>
  <c r="N246"/>
  <c r="N204"/>
  <c r="N261" s="1"/>
  <c r="E834"/>
  <c r="M610"/>
  <c r="M607" s="1"/>
  <c r="M550"/>
  <c r="K255"/>
  <c r="L714"/>
  <c r="M657"/>
  <c r="L662"/>
  <c r="Q304"/>
  <c r="P361"/>
  <c r="P319"/>
  <c r="K1183"/>
  <c r="O710"/>
  <c r="O668"/>
  <c r="O725" s="1"/>
  <c r="P653"/>
  <c r="K494"/>
  <c r="K491" s="1"/>
  <c r="K434"/>
  <c r="L479"/>
  <c r="L476" s="1"/>
  <c r="L500" s="1"/>
  <c r="M422"/>
  <c r="L437"/>
  <c r="L419"/>
  <c r="L443" s="1"/>
  <c r="M599"/>
  <c r="N542"/>
  <c r="M547"/>
  <c r="M604" s="1"/>
  <c r="K1067"/>
  <c r="O594"/>
  <c r="P537"/>
  <c r="O552"/>
  <c r="O609" s="1"/>
  <c r="O941"/>
  <c r="P884"/>
  <c r="O899"/>
  <c r="O769"/>
  <c r="N826"/>
  <c r="N784"/>
  <c r="N841" s="1"/>
  <c r="Q655"/>
  <c r="P712"/>
  <c r="P670"/>
  <c r="P727" s="1"/>
  <c r="P944"/>
  <c r="Q887"/>
  <c r="P902"/>
  <c r="P959" s="1"/>
  <c r="L947"/>
  <c r="M890"/>
  <c r="L895"/>
  <c r="J954"/>
  <c r="P596"/>
  <c r="Q539"/>
  <c r="P554"/>
  <c r="P611" s="1"/>
  <c r="Q1176"/>
  <c r="R1119"/>
  <c r="Q1134"/>
  <c r="Q1191" s="1"/>
  <c r="J212"/>
  <c r="J223" s="1"/>
  <c r="J220"/>
  <c r="L369"/>
  <c r="M312"/>
  <c r="L317"/>
  <c r="L374" s="1"/>
  <c r="L601"/>
  <c r="M544"/>
  <c r="L549"/>
  <c r="L606" s="1"/>
  <c r="K830"/>
  <c r="L773"/>
  <c r="K778"/>
  <c r="F953"/>
  <c r="F893"/>
  <c r="N1059"/>
  <c r="N1056" s="1"/>
  <c r="N1080" s="1"/>
  <c r="O1002"/>
  <c r="N1017"/>
  <c r="N999"/>
  <c r="N1023" s="1"/>
  <c r="Q1003"/>
  <c r="P1060"/>
  <c r="P1018"/>
  <c r="P1075" s="1"/>
  <c r="O1188"/>
  <c r="L1190"/>
  <c r="L1130"/>
  <c r="M251"/>
  <c r="N194"/>
  <c r="M199"/>
  <c r="M256" s="1"/>
  <c r="M1063"/>
  <c r="N1006"/>
  <c r="M1011"/>
  <c r="M1068" s="1"/>
  <c r="G832"/>
  <c r="H775"/>
  <c r="G780"/>
  <c r="N477"/>
  <c r="N435"/>
  <c r="O420"/>
  <c r="P1174"/>
  <c r="Q1117"/>
  <c r="P1132"/>
  <c r="P1189" s="1"/>
  <c r="K908"/>
  <c r="K919" s="1"/>
  <c r="K916"/>
  <c r="K253"/>
  <c r="L196"/>
  <c r="K201"/>
  <c r="K258" s="1"/>
  <c r="L842"/>
  <c r="L839" s="1"/>
  <c r="L782"/>
  <c r="M1179"/>
  <c r="M1127"/>
  <c r="N1122"/>
  <c r="G605"/>
  <c r="G602" s="1"/>
  <c r="G545"/>
  <c r="J444"/>
  <c r="J455"/>
  <c r="J452"/>
  <c r="G373"/>
  <c r="G370" s="1"/>
  <c r="G313"/>
  <c r="H368"/>
  <c r="I311"/>
  <c r="H316"/>
  <c r="N260"/>
  <c r="O245"/>
  <c r="P188"/>
  <c r="O203"/>
  <c r="J396"/>
  <c r="O303"/>
  <c r="O327" s="1"/>
  <c r="M955"/>
  <c r="N767"/>
  <c r="N791" s="1"/>
  <c r="N318"/>
  <c r="K1089" l="1"/>
  <c r="J687"/>
  <c r="L568"/>
  <c r="K976"/>
  <c r="K1151"/>
  <c r="K1205"/>
  <c r="J741"/>
  <c r="I104"/>
  <c r="J77"/>
  <c r="I134"/>
  <c r="I82"/>
  <c r="I139" s="1"/>
  <c r="L129"/>
  <c r="L128" s="1"/>
  <c r="L152" s="1"/>
  <c r="M72"/>
  <c r="L87"/>
  <c r="L71"/>
  <c r="L95" s="1"/>
  <c r="J153"/>
  <c r="J161" s="1"/>
  <c r="J1205"/>
  <c r="J509"/>
  <c r="L1092"/>
  <c r="K144"/>
  <c r="K143" s="1"/>
  <c r="K86"/>
  <c r="J96"/>
  <c r="J107" s="1"/>
  <c r="M965"/>
  <c r="M976" s="1"/>
  <c r="M973"/>
  <c r="I368"/>
  <c r="J311"/>
  <c r="I316"/>
  <c r="M1184"/>
  <c r="L792"/>
  <c r="L803"/>
  <c r="L800"/>
  <c r="N492"/>
  <c r="H832"/>
  <c r="I775"/>
  <c r="H780"/>
  <c r="N251"/>
  <c r="O194"/>
  <c r="N199"/>
  <c r="N256" s="1"/>
  <c r="L1187"/>
  <c r="O1059"/>
  <c r="O1056" s="1"/>
  <c r="O1080" s="1"/>
  <c r="P1002"/>
  <c r="O1017"/>
  <c r="O999"/>
  <c r="O1023" s="1"/>
  <c r="F950"/>
  <c r="L830"/>
  <c r="M773"/>
  <c r="L778"/>
  <c r="M317"/>
  <c r="M374" s="1"/>
  <c r="N312"/>
  <c r="M369"/>
  <c r="R1176"/>
  <c r="S1119"/>
  <c r="R1134"/>
  <c r="R1191" s="1"/>
  <c r="M947"/>
  <c r="N890"/>
  <c r="M895"/>
  <c r="M952" s="1"/>
  <c r="O826"/>
  <c r="P769"/>
  <c r="O784"/>
  <c r="O841" s="1"/>
  <c r="P594"/>
  <c r="Q537"/>
  <c r="P552"/>
  <c r="P609" s="1"/>
  <c r="N599"/>
  <c r="O542"/>
  <c r="N547"/>
  <c r="N604" s="1"/>
  <c r="N422"/>
  <c r="M479"/>
  <c r="M476" s="1"/>
  <c r="M500" s="1"/>
  <c r="M437"/>
  <c r="M419"/>
  <c r="M443" s="1"/>
  <c r="K444"/>
  <c r="K455" s="1"/>
  <c r="Q653"/>
  <c r="P710"/>
  <c r="P668"/>
  <c r="P725" s="1"/>
  <c r="Q361"/>
  <c r="Q319"/>
  <c r="R304"/>
  <c r="L719"/>
  <c r="M617"/>
  <c r="M628" s="1"/>
  <c r="Q248"/>
  <c r="R191"/>
  <c r="Q206"/>
  <c r="Q263" s="1"/>
  <c r="M385"/>
  <c r="M393" s="1"/>
  <c r="H1185"/>
  <c r="H1125"/>
  <c r="H257"/>
  <c r="H197"/>
  <c r="R307"/>
  <c r="Q364"/>
  <c r="Q322"/>
  <c r="Q379" s="1"/>
  <c r="Q480"/>
  <c r="R423"/>
  <c r="Q438"/>
  <c r="Q495" s="1"/>
  <c r="N483"/>
  <c r="N431"/>
  <c r="N488" s="1"/>
  <c r="O426"/>
  <c r="N367"/>
  <c r="O310"/>
  <c r="N315"/>
  <c r="N372" s="1"/>
  <c r="P1072"/>
  <c r="Q1057"/>
  <c r="R1000"/>
  <c r="Q1015"/>
  <c r="P362"/>
  <c r="Q305"/>
  <c r="P320"/>
  <c r="P377" s="1"/>
  <c r="Q421"/>
  <c r="P478"/>
  <c r="P436"/>
  <c r="P493" s="1"/>
  <c r="I1064"/>
  <c r="J1007"/>
  <c r="I1012"/>
  <c r="M908"/>
  <c r="M919" s="1"/>
  <c r="I600"/>
  <c r="J543"/>
  <c r="I548"/>
  <c r="M146"/>
  <c r="P825"/>
  <c r="Q768"/>
  <c r="P783"/>
  <c r="O1118"/>
  <c r="N1175"/>
  <c r="N1172" s="1"/>
  <c r="N1196" s="1"/>
  <c r="N1133"/>
  <c r="N1115"/>
  <c r="N1139" s="1"/>
  <c r="Q1173"/>
  <c r="Q1131"/>
  <c r="R1116"/>
  <c r="M717"/>
  <c r="N660"/>
  <c r="M665"/>
  <c r="M722" s="1"/>
  <c r="M1024"/>
  <c r="M1032" s="1"/>
  <c r="M1035"/>
  <c r="N654"/>
  <c r="M711"/>
  <c r="M708" s="1"/>
  <c r="M732" s="1"/>
  <c r="M669"/>
  <c r="M651"/>
  <c r="M675" s="1"/>
  <c r="K676"/>
  <c r="K684" s="1"/>
  <c r="H948"/>
  <c r="I891"/>
  <c r="H896"/>
  <c r="M137"/>
  <c r="N80"/>
  <c r="M85"/>
  <c r="M142" s="1"/>
  <c r="G489"/>
  <c r="G486" s="1"/>
  <c r="G429"/>
  <c r="M1062"/>
  <c r="N1005"/>
  <c r="M1010"/>
  <c r="M1178"/>
  <c r="N1121"/>
  <c r="M1126"/>
  <c r="L965"/>
  <c r="L973" s="1"/>
  <c r="L255"/>
  <c r="L433"/>
  <c r="L490" s="1"/>
  <c r="M428"/>
  <c r="L485"/>
  <c r="O595"/>
  <c r="O592" s="1"/>
  <c r="O616" s="1"/>
  <c r="O553"/>
  <c r="O610" s="1"/>
  <c r="O607" s="1"/>
  <c r="P538"/>
  <c r="O535"/>
  <c r="O559" s="1"/>
  <c r="P608"/>
  <c r="Q593"/>
  <c r="R536"/>
  <c r="Q551"/>
  <c r="L482"/>
  <c r="M425"/>
  <c r="L430"/>
  <c r="O363"/>
  <c r="O360" s="1"/>
  <c r="O384" s="1"/>
  <c r="O321"/>
  <c r="O378" s="1"/>
  <c r="P306"/>
  <c r="L946"/>
  <c r="M889"/>
  <c r="L894"/>
  <c r="M598"/>
  <c r="N541"/>
  <c r="M546"/>
  <c r="M366"/>
  <c r="N309"/>
  <c r="M314"/>
  <c r="L262"/>
  <c r="L259" s="1"/>
  <c r="L202"/>
  <c r="K269"/>
  <c r="K277" s="1"/>
  <c r="P885"/>
  <c r="O942"/>
  <c r="O900"/>
  <c r="O957" s="1"/>
  <c r="H141"/>
  <c r="H138" s="1"/>
  <c r="H81"/>
  <c r="M831"/>
  <c r="N774"/>
  <c r="M779"/>
  <c r="H716"/>
  <c r="I659"/>
  <c r="H664"/>
  <c r="F718"/>
  <c r="N724"/>
  <c r="O375"/>
  <c r="N328"/>
  <c r="N339" s="1"/>
  <c r="O260"/>
  <c r="P245"/>
  <c r="Q188"/>
  <c r="P203"/>
  <c r="H373"/>
  <c r="H370" s="1"/>
  <c r="H313"/>
  <c r="N1179"/>
  <c r="O1122"/>
  <c r="N1127"/>
  <c r="N1184" s="1"/>
  <c r="L849"/>
  <c r="L860"/>
  <c r="L857"/>
  <c r="L253"/>
  <c r="M196"/>
  <c r="L201"/>
  <c r="L258" s="1"/>
  <c r="R1117"/>
  <c r="Q1174"/>
  <c r="Q1132"/>
  <c r="Q1189" s="1"/>
  <c r="P420"/>
  <c r="O477"/>
  <c r="O435"/>
  <c r="G837"/>
  <c r="G777"/>
  <c r="N1063"/>
  <c r="O1006"/>
  <c r="N1011"/>
  <c r="N1068" s="1"/>
  <c r="L1140"/>
  <c r="L1148" s="1"/>
  <c r="Q1060"/>
  <c r="R1003"/>
  <c r="Q1018"/>
  <c r="Q1075" s="1"/>
  <c r="N1074"/>
  <c r="N1071" s="1"/>
  <c r="N1014"/>
  <c r="K835"/>
  <c r="M601"/>
  <c r="M549"/>
  <c r="M606" s="1"/>
  <c r="N544"/>
  <c r="Q596"/>
  <c r="R539"/>
  <c r="Q554"/>
  <c r="Q611" s="1"/>
  <c r="L952"/>
  <c r="R887"/>
  <c r="Q944"/>
  <c r="Q902"/>
  <c r="Q959" s="1"/>
  <c r="Q712"/>
  <c r="Q670"/>
  <c r="Q727" s="1"/>
  <c r="R655"/>
  <c r="O956"/>
  <c r="Q884"/>
  <c r="P941"/>
  <c r="P899"/>
  <c r="L494"/>
  <c r="L491" s="1"/>
  <c r="L434"/>
  <c r="K501"/>
  <c r="K512" s="1"/>
  <c r="P376"/>
  <c r="M714"/>
  <c r="N657"/>
  <c r="M662"/>
  <c r="M560"/>
  <c r="M571" s="1"/>
  <c r="O246"/>
  <c r="P189"/>
  <c r="O204"/>
  <c r="O261" s="1"/>
  <c r="L385"/>
  <c r="L396" s="1"/>
  <c r="M328"/>
  <c r="M336" s="1"/>
  <c r="O145"/>
  <c r="P130"/>
  <c r="Q73"/>
  <c r="P88"/>
  <c r="I1180"/>
  <c r="J1123"/>
  <c r="I1128"/>
  <c r="M715"/>
  <c r="N658"/>
  <c r="M663"/>
  <c r="M720" s="1"/>
  <c r="I252"/>
  <c r="J195"/>
  <c r="I200"/>
  <c r="G138"/>
  <c r="H1069"/>
  <c r="H1009"/>
  <c r="N385"/>
  <c r="N396" s="1"/>
  <c r="H605"/>
  <c r="H602" s="1"/>
  <c r="H545"/>
  <c r="R75"/>
  <c r="Q132"/>
  <c r="Q90"/>
  <c r="Q147" s="1"/>
  <c r="Q828"/>
  <c r="R771"/>
  <c r="Q786"/>
  <c r="Q843" s="1"/>
  <c r="M842"/>
  <c r="M839" s="1"/>
  <c r="M782"/>
  <c r="N827"/>
  <c r="N824" s="1"/>
  <c r="N848" s="1"/>
  <c r="O770"/>
  <c r="N785"/>
  <c r="N842" s="1"/>
  <c r="N839" s="1"/>
  <c r="O74"/>
  <c r="N131"/>
  <c r="N89"/>
  <c r="Q1058"/>
  <c r="R1001"/>
  <c r="Q1016"/>
  <c r="Q1073" s="1"/>
  <c r="O840"/>
  <c r="M1190"/>
  <c r="M1187" s="1"/>
  <c r="M1130"/>
  <c r="P1188"/>
  <c r="M1081"/>
  <c r="M1092" s="1"/>
  <c r="M1089"/>
  <c r="L726"/>
  <c r="L723" s="1"/>
  <c r="L666"/>
  <c r="K733"/>
  <c r="K744" s="1"/>
  <c r="G953"/>
  <c r="G950" s="1"/>
  <c r="G893"/>
  <c r="L1065"/>
  <c r="M1008"/>
  <c r="L1013"/>
  <c r="L1070" s="1"/>
  <c r="L949"/>
  <c r="M892"/>
  <c r="L897"/>
  <c r="L954" s="1"/>
  <c r="H484"/>
  <c r="I427"/>
  <c r="H432"/>
  <c r="L1067"/>
  <c r="M1181"/>
  <c r="M1129"/>
  <c r="M1186" s="1"/>
  <c r="N1124"/>
  <c r="L1183"/>
  <c r="O886"/>
  <c r="N943"/>
  <c r="N940" s="1"/>
  <c r="N964" s="1"/>
  <c r="N901"/>
  <c r="L908"/>
  <c r="L919" s="1"/>
  <c r="L916"/>
  <c r="M250"/>
  <c r="N193"/>
  <c r="M198"/>
  <c r="N610"/>
  <c r="N607" s="1"/>
  <c r="N550"/>
  <c r="K487"/>
  <c r="K951"/>
  <c r="L603"/>
  <c r="L371"/>
  <c r="L833"/>
  <c r="M776"/>
  <c r="L781"/>
  <c r="L838" s="1"/>
  <c r="M247"/>
  <c r="M244" s="1"/>
  <c r="M268" s="1"/>
  <c r="N190"/>
  <c r="M205"/>
  <c r="M187"/>
  <c r="M211" s="1"/>
  <c r="K212"/>
  <c r="K223"/>
  <c r="K220"/>
  <c r="I136"/>
  <c r="J79"/>
  <c r="I84"/>
  <c r="M135"/>
  <c r="N78"/>
  <c r="M83"/>
  <c r="M140" s="1"/>
  <c r="G721"/>
  <c r="G718" s="1"/>
  <c r="G661"/>
  <c r="P652"/>
  <c r="O709"/>
  <c r="O667"/>
  <c r="O767"/>
  <c r="O791" s="1"/>
  <c r="N782"/>
  <c r="O318"/>
  <c r="P535"/>
  <c r="P559" s="1"/>
  <c r="J104" l="1"/>
  <c r="M625"/>
  <c r="M396"/>
  <c r="K452"/>
  <c r="M339"/>
  <c r="M568"/>
  <c r="K509"/>
  <c r="O550"/>
  <c r="O560" s="1"/>
  <c r="K280"/>
  <c r="J164"/>
  <c r="K96"/>
  <c r="K107" s="1"/>
  <c r="N72"/>
  <c r="M129"/>
  <c r="M128" s="1"/>
  <c r="M152" s="1"/>
  <c r="M87"/>
  <c r="M71"/>
  <c r="M95" s="1"/>
  <c r="J134"/>
  <c r="J82"/>
  <c r="J139" s="1"/>
  <c r="K77"/>
  <c r="K153"/>
  <c r="K161" s="1"/>
  <c r="L144"/>
  <c r="L143" s="1"/>
  <c r="L86"/>
  <c r="K741"/>
  <c r="N393"/>
  <c r="L393"/>
  <c r="L1151"/>
  <c r="N336"/>
  <c r="L976"/>
  <c r="K687"/>
  <c r="M916"/>
  <c r="N849"/>
  <c r="N857" s="1"/>
  <c r="N860"/>
  <c r="O328"/>
  <c r="O339" s="1"/>
  <c r="O336"/>
  <c r="O617"/>
  <c r="O625"/>
  <c r="O628"/>
  <c r="P709"/>
  <c r="P667"/>
  <c r="Q652"/>
  <c r="N135"/>
  <c r="O78"/>
  <c r="N83"/>
  <c r="N140" s="1"/>
  <c r="I141"/>
  <c r="I81"/>
  <c r="N247"/>
  <c r="N244" s="1"/>
  <c r="N268" s="1"/>
  <c r="O190"/>
  <c r="N205"/>
  <c r="N187"/>
  <c r="N211" s="1"/>
  <c r="N617"/>
  <c r="N628" s="1"/>
  <c r="N250"/>
  <c r="O193"/>
  <c r="N198"/>
  <c r="N1181"/>
  <c r="O1124"/>
  <c r="N1129"/>
  <c r="N1186" s="1"/>
  <c r="I484"/>
  <c r="J427"/>
  <c r="I432"/>
  <c r="M1065"/>
  <c r="N1008"/>
  <c r="M1013"/>
  <c r="M1070" s="1"/>
  <c r="L733"/>
  <c r="L741" s="1"/>
  <c r="L744"/>
  <c r="M1140"/>
  <c r="M1151" s="1"/>
  <c r="M1148"/>
  <c r="M849"/>
  <c r="M857"/>
  <c r="M860"/>
  <c r="S771"/>
  <c r="R828"/>
  <c r="R786"/>
  <c r="R843" s="1"/>
  <c r="R132"/>
  <c r="S75"/>
  <c r="R90"/>
  <c r="R147" s="1"/>
  <c r="H1066"/>
  <c r="I257"/>
  <c r="I254" s="1"/>
  <c r="I197"/>
  <c r="N715"/>
  <c r="N663"/>
  <c r="N720" s="1"/>
  <c r="O658"/>
  <c r="I1185"/>
  <c r="I1182" s="1"/>
  <c r="I1125"/>
  <c r="P145"/>
  <c r="P246"/>
  <c r="Q189"/>
  <c r="P204"/>
  <c r="P261" s="1"/>
  <c r="N714"/>
  <c r="O657"/>
  <c r="N662"/>
  <c r="L501"/>
  <c r="L512" s="1"/>
  <c r="Q941"/>
  <c r="R884"/>
  <c r="Q899"/>
  <c r="R944"/>
  <c r="S887"/>
  <c r="R902"/>
  <c r="R596"/>
  <c r="S539"/>
  <c r="R554"/>
  <c r="R611" s="1"/>
  <c r="N601"/>
  <c r="O544"/>
  <c r="N549"/>
  <c r="N606" s="1"/>
  <c r="N1081"/>
  <c r="N1089" s="1"/>
  <c r="R1060"/>
  <c r="S1003"/>
  <c r="R1018"/>
  <c r="R1075" s="1"/>
  <c r="O1063"/>
  <c r="P1006"/>
  <c r="O1011"/>
  <c r="O1068" s="1"/>
  <c r="G834"/>
  <c r="P477"/>
  <c r="P435"/>
  <c r="Q420"/>
  <c r="P260"/>
  <c r="R188"/>
  <c r="Q245"/>
  <c r="Q203"/>
  <c r="O385"/>
  <c r="O396" s="1"/>
  <c r="O393"/>
  <c r="I716"/>
  <c r="J659"/>
  <c r="I664"/>
  <c r="M836"/>
  <c r="L269"/>
  <c r="L280" s="1"/>
  <c r="L277"/>
  <c r="N366"/>
  <c r="O309"/>
  <c r="N314"/>
  <c r="M603"/>
  <c r="M946"/>
  <c r="N889"/>
  <c r="M894"/>
  <c r="Q306"/>
  <c r="P363"/>
  <c r="P360" s="1"/>
  <c r="P384" s="1"/>
  <c r="P321"/>
  <c r="P303"/>
  <c r="P327" s="1"/>
  <c r="M482"/>
  <c r="N425"/>
  <c r="M430"/>
  <c r="R593"/>
  <c r="S536"/>
  <c r="R551"/>
  <c r="N1178"/>
  <c r="O1121"/>
  <c r="N1126"/>
  <c r="M1067"/>
  <c r="I948"/>
  <c r="J891"/>
  <c r="I896"/>
  <c r="M726"/>
  <c r="M723" s="1"/>
  <c r="M666"/>
  <c r="N711"/>
  <c r="N708" s="1"/>
  <c r="N732" s="1"/>
  <c r="N669"/>
  <c r="O654"/>
  <c r="N651"/>
  <c r="N675" s="1"/>
  <c r="Q1188"/>
  <c r="N1190"/>
  <c r="N1187" s="1"/>
  <c r="N1130"/>
  <c r="O1175"/>
  <c r="O1172" s="1"/>
  <c r="O1196" s="1"/>
  <c r="P1118"/>
  <c r="O1133"/>
  <c r="O1115"/>
  <c r="O1139" s="1"/>
  <c r="J600"/>
  <c r="K543"/>
  <c r="J548"/>
  <c r="J1064"/>
  <c r="K1007"/>
  <c r="J1012"/>
  <c r="Q478"/>
  <c r="R421"/>
  <c r="Q436"/>
  <c r="Q493" s="1"/>
  <c r="R305"/>
  <c r="Q362"/>
  <c r="Q320"/>
  <c r="Q377" s="1"/>
  <c r="Q1072"/>
  <c r="R1057"/>
  <c r="S1000"/>
  <c r="R1015"/>
  <c r="H1182"/>
  <c r="Q376"/>
  <c r="Q710"/>
  <c r="R653"/>
  <c r="Q668"/>
  <c r="Q725" s="1"/>
  <c r="Q594"/>
  <c r="R537"/>
  <c r="Q552"/>
  <c r="Q609" s="1"/>
  <c r="N947"/>
  <c r="O890"/>
  <c r="N895"/>
  <c r="N952" s="1"/>
  <c r="N369"/>
  <c r="O312"/>
  <c r="N317"/>
  <c r="N374" s="1"/>
  <c r="L835"/>
  <c r="O1074"/>
  <c r="O1071" s="1"/>
  <c r="O1014"/>
  <c r="L1197"/>
  <c r="L1208" s="1"/>
  <c r="L1205"/>
  <c r="O251"/>
  <c r="P194"/>
  <c r="O199"/>
  <c r="O256" s="1"/>
  <c r="H837"/>
  <c r="H834" s="1"/>
  <c r="H777"/>
  <c r="I373"/>
  <c r="I313"/>
  <c r="Q303"/>
  <c r="Q327" s="1"/>
  <c r="N792"/>
  <c r="N803" s="1"/>
  <c r="N800"/>
  <c r="O724"/>
  <c r="J136"/>
  <c r="K79"/>
  <c r="J84"/>
  <c r="M262"/>
  <c r="M259" s="1"/>
  <c r="M202"/>
  <c r="M833"/>
  <c r="N776"/>
  <c r="M781"/>
  <c r="M838" s="1"/>
  <c r="N560"/>
  <c r="N571" s="1"/>
  <c r="M255"/>
  <c r="N958"/>
  <c r="N955" s="1"/>
  <c r="N898"/>
  <c r="O943"/>
  <c r="O940" s="1"/>
  <c r="O964" s="1"/>
  <c r="P886"/>
  <c r="O901"/>
  <c r="O883"/>
  <c r="O907" s="1"/>
  <c r="H489"/>
  <c r="H429"/>
  <c r="M949"/>
  <c r="N892"/>
  <c r="M897"/>
  <c r="M954" s="1"/>
  <c r="L676"/>
  <c r="L687" s="1"/>
  <c r="L684"/>
  <c r="M1197"/>
  <c r="M1205" s="1"/>
  <c r="R1058"/>
  <c r="S1001"/>
  <c r="R1016"/>
  <c r="R1073" s="1"/>
  <c r="N146"/>
  <c r="O131"/>
  <c r="P74"/>
  <c r="O89"/>
  <c r="P770"/>
  <c r="O827"/>
  <c r="O824" s="1"/>
  <c r="O848" s="1"/>
  <c r="O785"/>
  <c r="M792"/>
  <c r="M800" s="1"/>
  <c r="J252"/>
  <c r="K195"/>
  <c r="J200"/>
  <c r="J1180"/>
  <c r="K1123"/>
  <c r="J1128"/>
  <c r="R73"/>
  <c r="Q130"/>
  <c r="Q88"/>
  <c r="M719"/>
  <c r="L444"/>
  <c r="L452" s="1"/>
  <c r="P956"/>
  <c r="S655"/>
  <c r="R712"/>
  <c r="R670"/>
  <c r="R727" s="1"/>
  <c r="N1024"/>
  <c r="N1035" s="1"/>
  <c r="O492"/>
  <c r="R1174"/>
  <c r="S1117"/>
  <c r="R1132"/>
  <c r="R1189" s="1"/>
  <c r="M253"/>
  <c r="N196"/>
  <c r="M201"/>
  <c r="M258" s="1"/>
  <c r="P1122"/>
  <c r="O1179"/>
  <c r="O1127"/>
  <c r="O1184" s="1"/>
  <c r="H721"/>
  <c r="H718" s="1"/>
  <c r="H661"/>
  <c r="N831"/>
  <c r="O774"/>
  <c r="N779"/>
  <c r="N836" s="1"/>
  <c r="P942"/>
  <c r="Q885"/>
  <c r="P900"/>
  <c r="P957" s="1"/>
  <c r="L212"/>
  <c r="L220" s="1"/>
  <c r="M371"/>
  <c r="N598"/>
  <c r="O541"/>
  <c r="N546"/>
  <c r="L951"/>
  <c r="L487"/>
  <c r="Q608"/>
  <c r="P595"/>
  <c r="P592" s="1"/>
  <c r="P616" s="1"/>
  <c r="Q538"/>
  <c r="P553"/>
  <c r="M485"/>
  <c r="N428"/>
  <c r="M433"/>
  <c r="M490" s="1"/>
  <c r="M1183"/>
  <c r="N1062"/>
  <c r="O1005"/>
  <c r="N1010"/>
  <c r="N137"/>
  <c r="O80"/>
  <c r="N85"/>
  <c r="N142" s="1"/>
  <c r="H953"/>
  <c r="H950" s="1"/>
  <c r="H893"/>
  <c r="N717"/>
  <c r="N665"/>
  <c r="N722" s="1"/>
  <c r="O660"/>
  <c r="R1173"/>
  <c r="S1116"/>
  <c r="R1131"/>
  <c r="P840"/>
  <c r="R768"/>
  <c r="Q825"/>
  <c r="Q783"/>
  <c r="I605"/>
  <c r="I545"/>
  <c r="I1069"/>
  <c r="I1066" s="1"/>
  <c r="I1009"/>
  <c r="O367"/>
  <c r="O315"/>
  <c r="O372" s="1"/>
  <c r="P310"/>
  <c r="O483"/>
  <c r="P426"/>
  <c r="O431"/>
  <c r="O488" s="1"/>
  <c r="S423"/>
  <c r="R480"/>
  <c r="R438"/>
  <c r="R495" s="1"/>
  <c r="R364"/>
  <c r="S307"/>
  <c r="R322"/>
  <c r="R379" s="1"/>
  <c r="H254"/>
  <c r="R248"/>
  <c r="S191"/>
  <c r="R206"/>
  <c r="R263" s="1"/>
  <c r="S304"/>
  <c r="R361"/>
  <c r="R319"/>
  <c r="M494"/>
  <c r="M491" s="1"/>
  <c r="M434"/>
  <c r="N479"/>
  <c r="N476" s="1"/>
  <c r="N500" s="1"/>
  <c r="N437"/>
  <c r="O422"/>
  <c r="N419"/>
  <c r="N443" s="1"/>
  <c r="O599"/>
  <c r="P542"/>
  <c r="O547"/>
  <c r="O604" s="1"/>
  <c r="Q769"/>
  <c r="P826"/>
  <c r="P784"/>
  <c r="P841" s="1"/>
  <c r="T1119"/>
  <c r="S1176"/>
  <c r="S1134"/>
  <c r="S1191" s="1"/>
  <c r="M830"/>
  <c r="N773"/>
  <c r="M778"/>
  <c r="P1059"/>
  <c r="P1056" s="1"/>
  <c r="P1080" s="1"/>
  <c r="Q1002"/>
  <c r="P1017"/>
  <c r="P999"/>
  <c r="P1023" s="1"/>
  <c r="I832"/>
  <c r="J775"/>
  <c r="I780"/>
  <c r="J368"/>
  <c r="K311"/>
  <c r="J316"/>
  <c r="K164" l="1"/>
  <c r="O571"/>
  <c r="O568"/>
  <c r="L223"/>
  <c r="M803"/>
  <c r="N568"/>
  <c r="K104"/>
  <c r="L96"/>
  <c r="L107" s="1"/>
  <c r="L77"/>
  <c r="K134"/>
  <c r="K82"/>
  <c r="K139" s="1"/>
  <c r="M144"/>
  <c r="M143" s="1"/>
  <c r="M86"/>
  <c r="N129"/>
  <c r="N128" s="1"/>
  <c r="N152" s="1"/>
  <c r="O72"/>
  <c r="N87"/>
  <c r="N71"/>
  <c r="N95" s="1"/>
  <c r="N1032"/>
  <c r="L455"/>
  <c r="M1208"/>
  <c r="N1092"/>
  <c r="L509"/>
  <c r="N625"/>
  <c r="L153"/>
  <c r="L161" s="1"/>
  <c r="J373"/>
  <c r="J370" s="1"/>
  <c r="J313"/>
  <c r="J832"/>
  <c r="K775"/>
  <c r="J780"/>
  <c r="Q1059"/>
  <c r="Q1056" s="1"/>
  <c r="Q1080" s="1"/>
  <c r="R1002"/>
  <c r="Q1017"/>
  <c r="Q999"/>
  <c r="Q1023" s="1"/>
  <c r="M835"/>
  <c r="Q826"/>
  <c r="R769"/>
  <c r="Q784"/>
  <c r="Q841" s="1"/>
  <c r="P599"/>
  <c r="Q542"/>
  <c r="P547"/>
  <c r="P604" s="1"/>
  <c r="N494"/>
  <c r="N491" s="1"/>
  <c r="N434"/>
  <c r="M444"/>
  <c r="M455" s="1"/>
  <c r="R376"/>
  <c r="T307"/>
  <c r="S364"/>
  <c r="S322"/>
  <c r="S379" s="1"/>
  <c r="S480"/>
  <c r="T423"/>
  <c r="S438"/>
  <c r="S495" s="1"/>
  <c r="Q426"/>
  <c r="P483"/>
  <c r="P431"/>
  <c r="P488" s="1"/>
  <c r="P367"/>
  <c r="Q310"/>
  <c r="P315"/>
  <c r="P372" s="1"/>
  <c r="I602"/>
  <c r="Q840"/>
  <c r="R1188"/>
  <c r="S1173"/>
  <c r="S1131"/>
  <c r="T1116"/>
  <c r="O717"/>
  <c r="P660"/>
  <c r="O665"/>
  <c r="O722" s="1"/>
  <c r="O1062"/>
  <c r="P1005"/>
  <c r="O1010"/>
  <c r="Q595"/>
  <c r="Q592" s="1"/>
  <c r="Q616" s="1"/>
  <c r="R538"/>
  <c r="R535" s="1"/>
  <c r="R559" s="1"/>
  <c r="Q553"/>
  <c r="Q535"/>
  <c r="Q559" s="1"/>
  <c r="N603"/>
  <c r="O831"/>
  <c r="P774"/>
  <c r="O779"/>
  <c r="O836" s="1"/>
  <c r="S1174"/>
  <c r="T1117"/>
  <c r="S1132"/>
  <c r="S1189" s="1"/>
  <c r="Q145"/>
  <c r="R130"/>
  <c r="S73"/>
  <c r="R88"/>
  <c r="K1180"/>
  <c r="L1123"/>
  <c r="K1128"/>
  <c r="J257"/>
  <c r="J197"/>
  <c r="O842"/>
  <c r="O839" s="1"/>
  <c r="O782"/>
  <c r="P827"/>
  <c r="P824" s="1"/>
  <c r="P848" s="1"/>
  <c r="Q770"/>
  <c r="Q767" s="1"/>
  <c r="Q791" s="1"/>
  <c r="P785"/>
  <c r="P842" s="1"/>
  <c r="P767"/>
  <c r="P791" s="1"/>
  <c r="O146"/>
  <c r="S1058"/>
  <c r="T1001"/>
  <c r="S1016"/>
  <c r="S1073" s="1"/>
  <c r="H486"/>
  <c r="O958"/>
  <c r="O955" s="1"/>
  <c r="O898"/>
  <c r="N965"/>
  <c r="N973" s="1"/>
  <c r="M269"/>
  <c r="M280" s="1"/>
  <c r="K136"/>
  <c r="L79"/>
  <c r="K84"/>
  <c r="I370"/>
  <c r="P251"/>
  <c r="Q194"/>
  <c r="P199"/>
  <c r="P256" s="1"/>
  <c r="O1081"/>
  <c r="O1092" s="1"/>
  <c r="O369"/>
  <c r="O317"/>
  <c r="O374" s="1"/>
  <c r="P312"/>
  <c r="R594"/>
  <c r="S537"/>
  <c r="R552"/>
  <c r="R609" s="1"/>
  <c r="K1064"/>
  <c r="L1007"/>
  <c r="K1012"/>
  <c r="J605"/>
  <c r="J602" s="1"/>
  <c r="J545"/>
  <c r="P1175"/>
  <c r="P1172" s="1"/>
  <c r="P1196" s="1"/>
  <c r="Q1118"/>
  <c r="P1133"/>
  <c r="P1115"/>
  <c r="P1139" s="1"/>
  <c r="N1140"/>
  <c r="N1151" s="1"/>
  <c r="N1148"/>
  <c r="N726"/>
  <c r="N723" s="1"/>
  <c r="N666"/>
  <c r="M676"/>
  <c r="M687" s="1"/>
  <c r="I953"/>
  <c r="I893"/>
  <c r="N1183"/>
  <c r="N482"/>
  <c r="O425"/>
  <c r="N430"/>
  <c r="M951"/>
  <c r="O366"/>
  <c r="P309"/>
  <c r="O314"/>
  <c r="K659"/>
  <c r="J716"/>
  <c r="J664"/>
  <c r="Q260"/>
  <c r="P492"/>
  <c r="S1060"/>
  <c r="T1003"/>
  <c r="S1018"/>
  <c r="S1075" s="1"/>
  <c r="O601"/>
  <c r="P544"/>
  <c r="O549"/>
  <c r="O606" s="1"/>
  <c r="T887"/>
  <c r="S944"/>
  <c r="Q956"/>
  <c r="S884"/>
  <c r="R941"/>
  <c r="R899"/>
  <c r="O714"/>
  <c r="P657"/>
  <c r="O662"/>
  <c r="T75"/>
  <c r="S132"/>
  <c r="S90"/>
  <c r="S147" s="1"/>
  <c r="S828"/>
  <c r="T771"/>
  <c r="S786"/>
  <c r="S843" s="1"/>
  <c r="K427"/>
  <c r="J484"/>
  <c r="J432"/>
  <c r="O250"/>
  <c r="P193"/>
  <c r="O198"/>
  <c r="N262"/>
  <c r="N259" s="1"/>
  <c r="N202"/>
  <c r="R652"/>
  <c r="Q709"/>
  <c r="Q667"/>
  <c r="P782"/>
  <c r="L311"/>
  <c r="K368"/>
  <c r="K316"/>
  <c r="I837"/>
  <c r="I834" s="1"/>
  <c r="I777"/>
  <c r="P1074"/>
  <c r="P1071" s="1"/>
  <c r="P1014"/>
  <c r="N830"/>
  <c r="O773"/>
  <c r="N778"/>
  <c r="T1176"/>
  <c r="U1119"/>
  <c r="T1134"/>
  <c r="T1191" s="1"/>
  <c r="P422"/>
  <c r="O479"/>
  <c r="O476" s="1"/>
  <c r="O500" s="1"/>
  <c r="O437"/>
  <c r="O419"/>
  <c r="O443" s="1"/>
  <c r="M501"/>
  <c r="M512" s="1"/>
  <c r="M509"/>
  <c r="S361"/>
  <c r="S319"/>
  <c r="T304"/>
  <c r="S248"/>
  <c r="T191"/>
  <c r="S206"/>
  <c r="S263" s="1"/>
  <c r="R825"/>
  <c r="S768"/>
  <c r="R783"/>
  <c r="O137"/>
  <c r="P80"/>
  <c r="O85"/>
  <c r="O142" s="1"/>
  <c r="N1067"/>
  <c r="N485"/>
  <c r="N433"/>
  <c r="N490" s="1"/>
  <c r="O428"/>
  <c r="P610"/>
  <c r="P607" s="1"/>
  <c r="P550"/>
  <c r="O598"/>
  <c r="P541"/>
  <c r="O546"/>
  <c r="R885"/>
  <c r="Q942"/>
  <c r="Q900"/>
  <c r="Q957" s="1"/>
  <c r="P1179"/>
  <c r="Q1122"/>
  <c r="P1127"/>
  <c r="P1184" s="1"/>
  <c r="N253"/>
  <c r="O196"/>
  <c r="N201"/>
  <c r="N258" s="1"/>
  <c r="S712"/>
  <c r="T655"/>
  <c r="S670"/>
  <c r="S727" s="1"/>
  <c r="J1185"/>
  <c r="J1125"/>
  <c r="K252"/>
  <c r="L195"/>
  <c r="K200"/>
  <c r="Q74"/>
  <c r="P131"/>
  <c r="P89"/>
  <c r="N949"/>
  <c r="O892"/>
  <c r="N897"/>
  <c r="N954" s="1"/>
  <c r="Q886"/>
  <c r="P943"/>
  <c r="P940" s="1"/>
  <c r="P964" s="1"/>
  <c r="P901"/>
  <c r="P958" s="1"/>
  <c r="P883"/>
  <c r="P907" s="1"/>
  <c r="N908"/>
  <c r="N919"/>
  <c r="N916"/>
  <c r="N833"/>
  <c r="O776"/>
  <c r="N781"/>
  <c r="N838" s="1"/>
  <c r="M212"/>
  <c r="M220"/>
  <c r="M223"/>
  <c r="J141"/>
  <c r="J138" s="1"/>
  <c r="J81"/>
  <c r="O1024"/>
  <c r="O1032" s="1"/>
  <c r="O947"/>
  <c r="P890"/>
  <c r="O895"/>
  <c r="O952" s="1"/>
  <c r="S653"/>
  <c r="R710"/>
  <c r="R668"/>
  <c r="R725" s="1"/>
  <c r="R1072"/>
  <c r="S1057"/>
  <c r="T1000"/>
  <c r="S1015"/>
  <c r="R362"/>
  <c r="S305"/>
  <c r="R320"/>
  <c r="R377" s="1"/>
  <c r="S421"/>
  <c r="R478"/>
  <c r="R436"/>
  <c r="R493" s="1"/>
  <c r="J1069"/>
  <c r="J1066" s="1"/>
  <c r="J1009"/>
  <c r="K600"/>
  <c r="L543"/>
  <c r="K548"/>
  <c r="O1190"/>
  <c r="O1187" s="1"/>
  <c r="O1130"/>
  <c r="N1197"/>
  <c r="N1208" s="1"/>
  <c r="P654"/>
  <c r="O711"/>
  <c r="O708" s="1"/>
  <c r="O732" s="1"/>
  <c r="O669"/>
  <c r="O651"/>
  <c r="O675" s="1"/>
  <c r="M733"/>
  <c r="M744" s="1"/>
  <c r="J948"/>
  <c r="K891"/>
  <c r="J896"/>
  <c r="O1178"/>
  <c r="P1121"/>
  <c r="O1126"/>
  <c r="R608"/>
  <c r="S593"/>
  <c r="T536"/>
  <c r="S551"/>
  <c r="M487"/>
  <c r="P378"/>
  <c r="P375" s="1"/>
  <c r="P318"/>
  <c r="Q363"/>
  <c r="Q360" s="1"/>
  <c r="Q384" s="1"/>
  <c r="R306"/>
  <c r="Q321"/>
  <c r="N946"/>
  <c r="O889"/>
  <c r="N894"/>
  <c r="N371"/>
  <c r="I721"/>
  <c r="I661"/>
  <c r="R245"/>
  <c r="S188"/>
  <c r="R203"/>
  <c r="R420"/>
  <c r="Q477"/>
  <c r="Q435"/>
  <c r="P1063"/>
  <c r="Q1006"/>
  <c r="P1011"/>
  <c r="P1068" s="1"/>
  <c r="S596"/>
  <c r="T539"/>
  <c r="S554"/>
  <c r="S611" s="1"/>
  <c r="R959"/>
  <c r="B959" s="1"/>
  <c r="I37" s="1"/>
  <c r="B902"/>
  <c r="N719"/>
  <c r="Q246"/>
  <c r="R189"/>
  <c r="Q204"/>
  <c r="Q261" s="1"/>
  <c r="O715"/>
  <c r="P658"/>
  <c r="O663"/>
  <c r="O720" s="1"/>
  <c r="N1065"/>
  <c r="O1008"/>
  <c r="N1013"/>
  <c r="N1070" s="1"/>
  <c r="I489"/>
  <c r="I486" s="1"/>
  <c r="I429"/>
  <c r="O1181"/>
  <c r="O1129"/>
  <c r="O1186" s="1"/>
  <c r="P1124"/>
  <c r="N255"/>
  <c r="P190"/>
  <c r="O247"/>
  <c r="O244" s="1"/>
  <c r="O268" s="1"/>
  <c r="O205"/>
  <c r="O187"/>
  <c r="O211" s="1"/>
  <c r="I138"/>
  <c r="O135"/>
  <c r="P78"/>
  <c r="O83"/>
  <c r="O140" s="1"/>
  <c r="P724"/>
  <c r="P839"/>
  <c r="P955"/>
  <c r="Q883"/>
  <c r="Q907" s="1"/>
  <c r="N1205" l="1"/>
  <c r="M277"/>
  <c r="L104"/>
  <c r="M452"/>
  <c r="L164"/>
  <c r="N144"/>
  <c r="N143" s="1"/>
  <c r="N86"/>
  <c r="M153"/>
  <c r="M164" s="1"/>
  <c r="O129"/>
  <c r="O128" s="1"/>
  <c r="O152" s="1"/>
  <c r="O87"/>
  <c r="P72"/>
  <c r="O71"/>
  <c r="O95" s="1"/>
  <c r="M96"/>
  <c r="M104" s="1"/>
  <c r="M77"/>
  <c r="L134"/>
  <c r="L82"/>
  <c r="L139" s="1"/>
  <c r="M741"/>
  <c r="O1035"/>
  <c r="M684"/>
  <c r="O1089"/>
  <c r="N976"/>
  <c r="O262"/>
  <c r="O259" s="1"/>
  <c r="O202"/>
  <c r="P247"/>
  <c r="P244" s="1"/>
  <c r="P268" s="1"/>
  <c r="Q190"/>
  <c r="P205"/>
  <c r="P187"/>
  <c r="P211" s="1"/>
  <c r="S189"/>
  <c r="R246"/>
  <c r="R204"/>
  <c r="R261" s="1"/>
  <c r="Q1063"/>
  <c r="R1006"/>
  <c r="Q1011"/>
  <c r="Q1068" s="1"/>
  <c r="Q492"/>
  <c r="R260"/>
  <c r="S245"/>
  <c r="T188"/>
  <c r="S203"/>
  <c r="N951"/>
  <c r="S306"/>
  <c r="R363"/>
  <c r="R360" s="1"/>
  <c r="R384" s="1"/>
  <c r="R321"/>
  <c r="R378" s="1"/>
  <c r="R303"/>
  <c r="R327" s="1"/>
  <c r="P328"/>
  <c r="P339"/>
  <c r="P336"/>
  <c r="S608"/>
  <c r="O1183"/>
  <c r="K948"/>
  <c r="L891"/>
  <c r="K896"/>
  <c r="O726"/>
  <c r="O723" s="1"/>
  <c r="O666"/>
  <c r="P711"/>
  <c r="P708" s="1"/>
  <c r="P732" s="1"/>
  <c r="Q654"/>
  <c r="P669"/>
  <c r="P651"/>
  <c r="P675" s="1"/>
  <c r="O1140"/>
  <c r="O1151"/>
  <c r="O1148"/>
  <c r="K605"/>
  <c r="K602" s="1"/>
  <c r="K545"/>
  <c r="S478"/>
  <c r="T421"/>
  <c r="S436"/>
  <c r="S493" s="1"/>
  <c r="T305"/>
  <c r="S362"/>
  <c r="S320"/>
  <c r="S377" s="1"/>
  <c r="S1072"/>
  <c r="T1057"/>
  <c r="U1000"/>
  <c r="T1015"/>
  <c r="S710"/>
  <c r="S668"/>
  <c r="S725" s="1"/>
  <c r="T653"/>
  <c r="P947"/>
  <c r="Q890"/>
  <c r="P895"/>
  <c r="P952" s="1"/>
  <c r="K257"/>
  <c r="K254" s="1"/>
  <c r="K197"/>
  <c r="J1182"/>
  <c r="U655"/>
  <c r="T712"/>
  <c r="T670"/>
  <c r="T727" s="1"/>
  <c r="Q1179"/>
  <c r="Q1127"/>
  <c r="Q1184" s="1"/>
  <c r="R1122"/>
  <c r="R942"/>
  <c r="S885"/>
  <c r="R900"/>
  <c r="P598"/>
  <c r="Q541"/>
  <c r="P546"/>
  <c r="P560"/>
  <c r="P571" s="1"/>
  <c r="P568"/>
  <c r="O485"/>
  <c r="P428"/>
  <c r="O433"/>
  <c r="O490" s="1"/>
  <c r="P137"/>
  <c r="Q80"/>
  <c r="P85"/>
  <c r="P142" s="1"/>
  <c r="R840"/>
  <c r="T768"/>
  <c r="S825"/>
  <c r="S783"/>
  <c r="S376"/>
  <c r="O830"/>
  <c r="P773"/>
  <c r="O778"/>
  <c r="P1024"/>
  <c r="P1035" s="1"/>
  <c r="P1032"/>
  <c r="P792"/>
  <c r="P803"/>
  <c r="P800"/>
  <c r="Q724"/>
  <c r="N212"/>
  <c r="N223" s="1"/>
  <c r="N220"/>
  <c r="O255"/>
  <c r="O719"/>
  <c r="S941"/>
  <c r="T884"/>
  <c r="T944"/>
  <c r="U887"/>
  <c r="P601"/>
  <c r="Q544"/>
  <c r="P549"/>
  <c r="P606" s="1"/>
  <c r="O371"/>
  <c r="O482"/>
  <c r="P425"/>
  <c r="O430"/>
  <c r="N733"/>
  <c r="N744" s="1"/>
  <c r="Q1175"/>
  <c r="Q1172" s="1"/>
  <c r="Q1196" s="1"/>
  <c r="Q1133"/>
  <c r="R1118"/>
  <c r="Q1115"/>
  <c r="Q1139" s="1"/>
  <c r="L1064"/>
  <c r="M1007"/>
  <c r="L1012"/>
  <c r="Q251"/>
  <c r="R194"/>
  <c r="Q199"/>
  <c r="Q256" s="1"/>
  <c r="K141"/>
  <c r="K138" s="1"/>
  <c r="K81"/>
  <c r="O965"/>
  <c r="O973" s="1"/>
  <c r="T1058"/>
  <c r="U1001"/>
  <c r="T1016"/>
  <c r="T1073" s="1"/>
  <c r="O849"/>
  <c r="O860" s="1"/>
  <c r="J254"/>
  <c r="L1180"/>
  <c r="M1123"/>
  <c r="L1128"/>
  <c r="T73"/>
  <c r="S130"/>
  <c r="S88"/>
  <c r="P831"/>
  <c r="Q774"/>
  <c r="P779"/>
  <c r="P836" s="1"/>
  <c r="R595"/>
  <c r="R592" s="1"/>
  <c r="R616" s="1"/>
  <c r="S538"/>
  <c r="R553"/>
  <c r="O1067"/>
  <c r="P665"/>
  <c r="P722" s="1"/>
  <c r="Q660"/>
  <c r="P717"/>
  <c r="S1188"/>
  <c r="N501"/>
  <c r="N512" s="1"/>
  <c r="Q599"/>
  <c r="R542"/>
  <c r="Q547"/>
  <c r="Q604" s="1"/>
  <c r="Q1074"/>
  <c r="Q1071" s="1"/>
  <c r="Q1014"/>
  <c r="K832"/>
  <c r="L775"/>
  <c r="K780"/>
  <c r="P898"/>
  <c r="R318"/>
  <c r="P965"/>
  <c r="P973" s="1"/>
  <c r="P849"/>
  <c r="P860" s="1"/>
  <c r="P135"/>
  <c r="Q78"/>
  <c r="P83"/>
  <c r="P140" s="1"/>
  <c r="P1181"/>
  <c r="Q1124"/>
  <c r="P1129"/>
  <c r="P1186" s="1"/>
  <c r="O1065"/>
  <c r="P1008"/>
  <c r="O1013"/>
  <c r="O1070" s="1"/>
  <c r="Q658"/>
  <c r="P715"/>
  <c r="P663"/>
  <c r="P720" s="1"/>
  <c r="T596"/>
  <c r="U539"/>
  <c r="T554"/>
  <c r="T611" s="1"/>
  <c r="R477"/>
  <c r="R435"/>
  <c r="S420"/>
  <c r="I718"/>
  <c r="O946"/>
  <c r="P889"/>
  <c r="O894"/>
  <c r="Q378"/>
  <c r="Q375" s="1"/>
  <c r="Q318"/>
  <c r="P385"/>
  <c r="P396" s="1"/>
  <c r="T593"/>
  <c r="U536"/>
  <c r="T551"/>
  <c r="P1178"/>
  <c r="Q1121"/>
  <c r="P1126"/>
  <c r="J953"/>
  <c r="J950" s="1"/>
  <c r="J893"/>
  <c r="O1197"/>
  <c r="O1208" s="1"/>
  <c r="L600"/>
  <c r="M543"/>
  <c r="L548"/>
  <c r="O833"/>
  <c r="P776"/>
  <c r="O781"/>
  <c r="O838" s="1"/>
  <c r="Q943"/>
  <c r="Q940" s="1"/>
  <c r="Q964" s="1"/>
  <c r="R886"/>
  <c r="Q901"/>
  <c r="Q958" s="1"/>
  <c r="Q955" s="1"/>
  <c r="O949"/>
  <c r="P892"/>
  <c r="O897"/>
  <c r="O954" s="1"/>
  <c r="P146"/>
  <c r="Q131"/>
  <c r="R74"/>
  <c r="Q89"/>
  <c r="L252"/>
  <c r="M195"/>
  <c r="L200"/>
  <c r="O253"/>
  <c r="P196"/>
  <c r="O201"/>
  <c r="O258" s="1"/>
  <c r="O603"/>
  <c r="P617"/>
  <c r="P628" s="1"/>
  <c r="U191"/>
  <c r="T248"/>
  <c r="T206"/>
  <c r="T263" s="1"/>
  <c r="U304"/>
  <c r="T361"/>
  <c r="T319"/>
  <c r="O494"/>
  <c r="O491" s="1"/>
  <c r="O434"/>
  <c r="P479"/>
  <c r="P476" s="1"/>
  <c r="P500" s="1"/>
  <c r="Q422"/>
  <c r="P437"/>
  <c r="P419"/>
  <c r="P443" s="1"/>
  <c r="U1176"/>
  <c r="V1119"/>
  <c r="U1134"/>
  <c r="U1191" s="1"/>
  <c r="N835"/>
  <c r="P1081"/>
  <c r="P1089" s="1"/>
  <c r="K373"/>
  <c r="K370" s="1"/>
  <c r="K313"/>
  <c r="L368"/>
  <c r="M311"/>
  <c r="L316"/>
  <c r="R709"/>
  <c r="R667"/>
  <c r="S652"/>
  <c r="N269"/>
  <c r="N277" s="1"/>
  <c r="P250"/>
  <c r="Q193"/>
  <c r="P198"/>
  <c r="J489"/>
  <c r="J486" s="1"/>
  <c r="J429"/>
  <c r="K484"/>
  <c r="L427"/>
  <c r="K432"/>
  <c r="U771"/>
  <c r="T828"/>
  <c r="T786"/>
  <c r="T843" s="1"/>
  <c r="T132"/>
  <c r="U75"/>
  <c r="T90"/>
  <c r="T147" s="1"/>
  <c r="P714"/>
  <c r="Q657"/>
  <c r="P662"/>
  <c r="R956"/>
  <c r="B899"/>
  <c r="T1060"/>
  <c r="U1003"/>
  <c r="T1018"/>
  <c r="T1075" s="1"/>
  <c r="J721"/>
  <c r="J718" s="1"/>
  <c r="J661"/>
  <c r="K716"/>
  <c r="L659"/>
  <c r="K664"/>
  <c r="P366"/>
  <c r="Q309"/>
  <c r="P314"/>
  <c r="N487"/>
  <c r="I950"/>
  <c r="N676"/>
  <c r="N687" s="1"/>
  <c r="P1190"/>
  <c r="P1187" s="1"/>
  <c r="P1130"/>
  <c r="K1069"/>
  <c r="K1066" s="1"/>
  <c r="K1009"/>
  <c r="S594"/>
  <c r="T537"/>
  <c r="S552"/>
  <c r="S609" s="1"/>
  <c r="P369"/>
  <c r="Q312"/>
  <c r="P317"/>
  <c r="P374" s="1"/>
  <c r="L136"/>
  <c r="M79"/>
  <c r="L84"/>
  <c r="O908"/>
  <c r="O919" s="1"/>
  <c r="R770"/>
  <c r="Q827"/>
  <c r="Q824" s="1"/>
  <c r="Q848" s="1"/>
  <c r="Q785"/>
  <c r="O792"/>
  <c r="O800" s="1"/>
  <c r="O803"/>
  <c r="K1185"/>
  <c r="K1182" s="1"/>
  <c r="K1125"/>
  <c r="R145"/>
  <c r="T1174"/>
  <c r="U1117"/>
  <c r="T1132"/>
  <c r="T1189" s="1"/>
  <c r="Q610"/>
  <c r="Q607" s="1"/>
  <c r="Q550"/>
  <c r="P1062"/>
  <c r="Q1005"/>
  <c r="P1010"/>
  <c r="U1116"/>
  <c r="T1173"/>
  <c r="T1131"/>
  <c r="R310"/>
  <c r="Q367"/>
  <c r="Q315"/>
  <c r="Q372" s="1"/>
  <c r="Q483"/>
  <c r="R426"/>
  <c r="Q431"/>
  <c r="Q488" s="1"/>
  <c r="U423"/>
  <c r="T480"/>
  <c r="T438"/>
  <c r="T495" s="1"/>
  <c r="T364"/>
  <c r="U307"/>
  <c r="T322"/>
  <c r="T379" s="1"/>
  <c r="N444"/>
  <c r="N455" s="1"/>
  <c r="S769"/>
  <c r="R826"/>
  <c r="R784"/>
  <c r="R841" s="1"/>
  <c r="R1059"/>
  <c r="R1056" s="1"/>
  <c r="R1080" s="1"/>
  <c r="S1002"/>
  <c r="R1017"/>
  <c r="R999"/>
  <c r="R1023" s="1"/>
  <c r="J837"/>
  <c r="J834" s="1"/>
  <c r="J777"/>
  <c r="S303"/>
  <c r="S327" s="1"/>
  <c r="R883"/>
  <c r="R907" s="1"/>
  <c r="B907" s="1"/>
  <c r="Q898"/>
  <c r="R375"/>
  <c r="M107" l="1"/>
  <c r="P1092"/>
  <c r="O1205"/>
  <c r="P625"/>
  <c r="P393"/>
  <c r="P857"/>
  <c r="O916"/>
  <c r="N280"/>
  <c r="P976"/>
  <c r="N509"/>
  <c r="O976"/>
  <c r="N741"/>
  <c r="M161"/>
  <c r="N77"/>
  <c r="M134"/>
  <c r="M82"/>
  <c r="M139" s="1"/>
  <c r="O144"/>
  <c r="O143" s="1"/>
  <c r="O86"/>
  <c r="N153"/>
  <c r="N161" s="1"/>
  <c r="Q72"/>
  <c r="P87"/>
  <c r="P129"/>
  <c r="P128" s="1"/>
  <c r="P152" s="1"/>
  <c r="P71"/>
  <c r="P95" s="1"/>
  <c r="N96"/>
  <c r="N107" s="1"/>
  <c r="N452"/>
  <c r="N684"/>
  <c r="O857"/>
  <c r="Q965"/>
  <c r="Q976" s="1"/>
  <c r="R1074"/>
  <c r="R1071" s="1"/>
  <c r="R1014"/>
  <c r="V307"/>
  <c r="U364"/>
  <c r="U322"/>
  <c r="U379" s="1"/>
  <c r="U480"/>
  <c r="V423"/>
  <c r="U438"/>
  <c r="U495" s="1"/>
  <c r="R483"/>
  <c r="R431"/>
  <c r="R488" s="1"/>
  <c r="S426"/>
  <c r="R367"/>
  <c r="S310"/>
  <c r="R315"/>
  <c r="R372" s="1"/>
  <c r="U1173"/>
  <c r="U1131"/>
  <c r="V1116"/>
  <c r="Q1062"/>
  <c r="R1005"/>
  <c r="Q1010"/>
  <c r="Q560"/>
  <c r="Q571" s="1"/>
  <c r="Q842"/>
  <c r="Q839" s="1"/>
  <c r="Q782"/>
  <c r="R827"/>
  <c r="R824" s="1"/>
  <c r="R848" s="1"/>
  <c r="S770"/>
  <c r="R785"/>
  <c r="R842" s="1"/>
  <c r="R839" s="1"/>
  <c r="R767"/>
  <c r="R791" s="1"/>
  <c r="M136"/>
  <c r="N79"/>
  <c r="M84"/>
  <c r="T594"/>
  <c r="U537"/>
  <c r="T552"/>
  <c r="T609" s="1"/>
  <c r="P1140"/>
  <c r="P1148" s="1"/>
  <c r="Q366"/>
  <c r="R309"/>
  <c r="Q314"/>
  <c r="K721"/>
  <c r="K718" s="1"/>
  <c r="K661"/>
  <c r="P719"/>
  <c r="V75"/>
  <c r="U132"/>
  <c r="U90"/>
  <c r="U147" s="1"/>
  <c r="U828"/>
  <c r="V771"/>
  <c r="U786"/>
  <c r="L484"/>
  <c r="M427"/>
  <c r="L432"/>
  <c r="P255"/>
  <c r="T652"/>
  <c r="S709"/>
  <c r="S667"/>
  <c r="L373"/>
  <c r="L370" s="1"/>
  <c r="L313"/>
  <c r="P494"/>
  <c r="P491" s="1"/>
  <c r="P434"/>
  <c r="O501"/>
  <c r="O512" s="1"/>
  <c r="U361"/>
  <c r="U319"/>
  <c r="V304"/>
  <c r="P253"/>
  <c r="Q196"/>
  <c r="P201"/>
  <c r="P258" s="1"/>
  <c r="L257"/>
  <c r="L254" s="1"/>
  <c r="L197"/>
  <c r="Q146"/>
  <c r="P949"/>
  <c r="Q892"/>
  <c r="P897"/>
  <c r="P954" s="1"/>
  <c r="P833"/>
  <c r="Q776"/>
  <c r="P781"/>
  <c r="P838" s="1"/>
  <c r="L605"/>
  <c r="L602" s="1"/>
  <c r="L545"/>
  <c r="Q1178"/>
  <c r="R1121"/>
  <c r="Q1126"/>
  <c r="T608"/>
  <c r="U593"/>
  <c r="U551"/>
  <c r="V536"/>
  <c r="Q385"/>
  <c r="Q393" s="1"/>
  <c r="P946"/>
  <c r="Q889"/>
  <c r="P894"/>
  <c r="T420"/>
  <c r="S477"/>
  <c r="S435"/>
  <c r="Q1181"/>
  <c r="Q1129"/>
  <c r="Q1186" s="1"/>
  <c r="R1124"/>
  <c r="R328"/>
  <c r="R339" s="1"/>
  <c r="L832"/>
  <c r="M775"/>
  <c r="L780"/>
  <c r="Q1024"/>
  <c r="Q1032" s="1"/>
  <c r="S595"/>
  <c r="S592" s="1"/>
  <c r="S616" s="1"/>
  <c r="S553"/>
  <c r="S610" s="1"/>
  <c r="S607" s="1"/>
  <c r="T538"/>
  <c r="S535"/>
  <c r="S559" s="1"/>
  <c r="S145"/>
  <c r="T130"/>
  <c r="U73"/>
  <c r="T88"/>
  <c r="N1123"/>
  <c r="M1180"/>
  <c r="M1128"/>
  <c r="M1064"/>
  <c r="N1007"/>
  <c r="M1012"/>
  <c r="Q1190"/>
  <c r="Q1187" s="1"/>
  <c r="Q1130"/>
  <c r="P482"/>
  <c r="Q425"/>
  <c r="P430"/>
  <c r="U884"/>
  <c r="T941"/>
  <c r="P830"/>
  <c r="Q773"/>
  <c r="P778"/>
  <c r="S840"/>
  <c r="P433"/>
  <c r="P490" s="1"/>
  <c r="Q428"/>
  <c r="P485"/>
  <c r="Q598"/>
  <c r="R541"/>
  <c r="Q546"/>
  <c r="R957"/>
  <c r="B957" s="1"/>
  <c r="I35" s="1"/>
  <c r="B900"/>
  <c r="U712"/>
  <c r="U670"/>
  <c r="U727" s="1"/>
  <c r="V655"/>
  <c r="Q947"/>
  <c r="R890"/>
  <c r="Q895"/>
  <c r="Q952" s="1"/>
  <c r="U653"/>
  <c r="T710"/>
  <c r="T668"/>
  <c r="T725" s="1"/>
  <c r="R654"/>
  <c r="Q711"/>
  <c r="Q708" s="1"/>
  <c r="Q732" s="1"/>
  <c r="Q669"/>
  <c r="Q651"/>
  <c r="Q675" s="1"/>
  <c r="O676"/>
  <c r="O684" s="1"/>
  <c r="K953"/>
  <c r="K950" s="1"/>
  <c r="K893"/>
  <c r="S260"/>
  <c r="T245"/>
  <c r="U188"/>
  <c r="T203"/>
  <c r="P262"/>
  <c r="P259" s="1"/>
  <c r="P202"/>
  <c r="O269"/>
  <c r="O277" s="1"/>
  <c r="R385"/>
  <c r="R396" s="1"/>
  <c r="Q908"/>
  <c r="Q919" s="1"/>
  <c r="T1002"/>
  <c r="S1059"/>
  <c r="S1056" s="1"/>
  <c r="S1080" s="1"/>
  <c r="S1017"/>
  <c r="S999"/>
  <c r="S1023" s="1"/>
  <c r="S826"/>
  <c r="T769"/>
  <c r="S784"/>
  <c r="S841" s="1"/>
  <c r="T1188"/>
  <c r="P1067"/>
  <c r="Q617"/>
  <c r="Q628" s="1"/>
  <c r="V1117"/>
  <c r="U1174"/>
  <c r="U1132"/>
  <c r="U1189" s="1"/>
  <c r="L141"/>
  <c r="L138" s="1"/>
  <c r="L81"/>
  <c r="Q317"/>
  <c r="Q374" s="1"/>
  <c r="R312"/>
  <c r="Q369"/>
  <c r="P1197"/>
  <c r="P1208" s="1"/>
  <c r="P371"/>
  <c r="L716"/>
  <c r="M659"/>
  <c r="L664"/>
  <c r="U1060"/>
  <c r="V1003"/>
  <c r="U1018"/>
  <c r="U1075" s="1"/>
  <c r="B956"/>
  <c r="Q714"/>
  <c r="R657"/>
  <c r="Q662"/>
  <c r="K489"/>
  <c r="K486" s="1"/>
  <c r="K429"/>
  <c r="Q250"/>
  <c r="R193"/>
  <c r="Q198"/>
  <c r="R724"/>
  <c r="M368"/>
  <c r="N311"/>
  <c r="M316"/>
  <c r="V1176"/>
  <c r="W1119"/>
  <c r="V1134"/>
  <c r="V1191" s="1"/>
  <c r="R422"/>
  <c r="Q479"/>
  <c r="Q476" s="1"/>
  <c r="Q500" s="1"/>
  <c r="Q437"/>
  <c r="Q419"/>
  <c r="Q443" s="1"/>
  <c r="O444"/>
  <c r="O455" s="1"/>
  <c r="T376"/>
  <c r="U248"/>
  <c r="V191"/>
  <c r="U206"/>
  <c r="U263" s="1"/>
  <c r="M252"/>
  <c r="N195"/>
  <c r="M200"/>
  <c r="S74"/>
  <c r="R131"/>
  <c r="R89"/>
  <c r="S886"/>
  <c r="R943"/>
  <c r="R940" s="1"/>
  <c r="R964" s="1"/>
  <c r="B964" s="1"/>
  <c r="I42" s="1"/>
  <c r="R901"/>
  <c r="M600"/>
  <c r="N543"/>
  <c r="M548"/>
  <c r="P1183"/>
  <c r="Q328"/>
  <c r="Q336" s="1"/>
  <c r="O951"/>
  <c r="R492"/>
  <c r="U596"/>
  <c r="V539"/>
  <c r="U554"/>
  <c r="U611" s="1"/>
  <c r="Q715"/>
  <c r="R658"/>
  <c r="Q663"/>
  <c r="Q720" s="1"/>
  <c r="P1065"/>
  <c r="Q1008"/>
  <c r="P1013"/>
  <c r="P1070" s="1"/>
  <c r="Q135"/>
  <c r="R78"/>
  <c r="Q83"/>
  <c r="Q140" s="1"/>
  <c r="P908"/>
  <c r="P919" s="1"/>
  <c r="K837"/>
  <c r="K834" s="1"/>
  <c r="K777"/>
  <c r="Q1081"/>
  <c r="Q1092" s="1"/>
  <c r="Q1089"/>
  <c r="R599"/>
  <c r="S542"/>
  <c r="R547"/>
  <c r="R604" s="1"/>
  <c r="Q717"/>
  <c r="R660"/>
  <c r="Q665"/>
  <c r="Q722" s="1"/>
  <c r="R610"/>
  <c r="R607" s="1"/>
  <c r="R550"/>
  <c r="Q831"/>
  <c r="R774"/>
  <c r="Q779"/>
  <c r="Q836" s="1"/>
  <c r="L1185"/>
  <c r="L1182" s="1"/>
  <c r="L1125"/>
  <c r="U1058"/>
  <c r="V1001"/>
  <c r="U1016"/>
  <c r="U1073" s="1"/>
  <c r="R251"/>
  <c r="S194"/>
  <c r="R199"/>
  <c r="R256" s="1"/>
  <c r="L1069"/>
  <c r="L1066" s="1"/>
  <c r="L1009"/>
  <c r="S1118"/>
  <c r="R1175"/>
  <c r="R1172" s="1"/>
  <c r="R1196" s="1"/>
  <c r="R1133"/>
  <c r="R1115"/>
  <c r="R1139" s="1"/>
  <c r="O487"/>
  <c r="Q601"/>
  <c r="Q549"/>
  <c r="Q606" s="1"/>
  <c r="R544"/>
  <c r="V887"/>
  <c r="U944"/>
  <c r="O835"/>
  <c r="T825"/>
  <c r="U768"/>
  <c r="T783"/>
  <c r="Q137"/>
  <c r="R80"/>
  <c r="Q85"/>
  <c r="Q142" s="1"/>
  <c r="P603"/>
  <c r="T885"/>
  <c r="S942"/>
  <c r="R1179"/>
  <c r="S1122"/>
  <c r="R1127"/>
  <c r="R1184" s="1"/>
  <c r="T1072"/>
  <c r="U1057"/>
  <c r="V1000"/>
  <c r="U1015"/>
  <c r="T362"/>
  <c r="U305"/>
  <c r="T320"/>
  <c r="T377" s="1"/>
  <c r="U421"/>
  <c r="T478"/>
  <c r="T436"/>
  <c r="T493" s="1"/>
  <c r="P726"/>
  <c r="P723" s="1"/>
  <c r="P666"/>
  <c r="O733"/>
  <c r="O741" s="1"/>
  <c r="L948"/>
  <c r="M891"/>
  <c r="L896"/>
  <c r="S363"/>
  <c r="S360" s="1"/>
  <c r="S384" s="1"/>
  <c r="S321"/>
  <c r="T306"/>
  <c r="R1063"/>
  <c r="S1006"/>
  <c r="R1011"/>
  <c r="R1068" s="1"/>
  <c r="S246"/>
  <c r="T189"/>
  <c r="S204"/>
  <c r="S261" s="1"/>
  <c r="Q247"/>
  <c r="Q244" s="1"/>
  <c r="Q268" s="1"/>
  <c r="R190"/>
  <c r="Q205"/>
  <c r="Q187"/>
  <c r="Q211" s="1"/>
  <c r="O212"/>
  <c r="O223" s="1"/>
  <c r="T535"/>
  <c r="T559" s="1"/>
  <c r="S550"/>
  <c r="R393" l="1"/>
  <c r="O280"/>
  <c r="O687"/>
  <c r="Q396"/>
  <c r="O509"/>
  <c r="Q568"/>
  <c r="N104"/>
  <c r="P1205"/>
  <c r="Q973"/>
  <c r="O220"/>
  <c r="P916"/>
  <c r="O452"/>
  <c r="Q625"/>
  <c r="R782"/>
  <c r="Q1035"/>
  <c r="P144"/>
  <c r="P143" s="1"/>
  <c r="P86"/>
  <c r="O96"/>
  <c r="O104" s="1"/>
  <c r="N134"/>
  <c r="N82"/>
  <c r="N139" s="1"/>
  <c r="O77"/>
  <c r="O744"/>
  <c r="Q339"/>
  <c r="Q916"/>
  <c r="R336"/>
  <c r="P1151"/>
  <c r="Q129"/>
  <c r="Q128" s="1"/>
  <c r="Q152" s="1"/>
  <c r="Q87"/>
  <c r="R72"/>
  <c r="Q71"/>
  <c r="Q95" s="1"/>
  <c r="O153"/>
  <c r="O164" s="1"/>
  <c r="N164"/>
  <c r="S560"/>
  <c r="S568" s="1"/>
  <c r="Q262"/>
  <c r="Q259" s="1"/>
  <c r="Q202"/>
  <c r="S1063"/>
  <c r="T1006"/>
  <c r="S1011"/>
  <c r="S1068" s="1"/>
  <c r="U306"/>
  <c r="U303" s="1"/>
  <c r="U327" s="1"/>
  <c r="T363"/>
  <c r="T360" s="1"/>
  <c r="T384" s="1"/>
  <c r="T321"/>
  <c r="T378" s="1"/>
  <c r="T303"/>
  <c r="T327" s="1"/>
  <c r="M948"/>
  <c r="N891"/>
  <c r="M896"/>
  <c r="P733"/>
  <c r="P744" s="1"/>
  <c r="S1179"/>
  <c r="T1122"/>
  <c r="S1127"/>
  <c r="S1184" s="1"/>
  <c r="V944"/>
  <c r="W887"/>
  <c r="W1001"/>
  <c r="V1058"/>
  <c r="V1016"/>
  <c r="R617"/>
  <c r="R625" s="1"/>
  <c r="R717"/>
  <c r="R665"/>
  <c r="R722" s="1"/>
  <c r="S660"/>
  <c r="Q1065"/>
  <c r="R1008"/>
  <c r="Q1013"/>
  <c r="Q1070" s="1"/>
  <c r="V596"/>
  <c r="W539"/>
  <c r="V554"/>
  <c r="V611" s="1"/>
  <c r="N600"/>
  <c r="O543"/>
  <c r="N548"/>
  <c r="R958"/>
  <c r="B901"/>
  <c r="B898" s="1"/>
  <c r="R898"/>
  <c r="S943"/>
  <c r="S940" s="1"/>
  <c r="T886"/>
  <c r="T883" s="1"/>
  <c r="S883"/>
  <c r="M257"/>
  <c r="M254" s="1"/>
  <c r="M197"/>
  <c r="V248"/>
  <c r="W191"/>
  <c r="V206"/>
  <c r="Q494"/>
  <c r="Q491" s="1"/>
  <c r="Q434"/>
  <c r="R479"/>
  <c r="R476" s="1"/>
  <c r="R500" s="1"/>
  <c r="R437"/>
  <c r="S422"/>
  <c r="R419"/>
  <c r="R443" s="1"/>
  <c r="X1119"/>
  <c r="W1176"/>
  <c r="W1134"/>
  <c r="M373"/>
  <c r="M370" s="1"/>
  <c r="M313"/>
  <c r="R250"/>
  <c r="S193"/>
  <c r="R198"/>
  <c r="Q719"/>
  <c r="V1060"/>
  <c r="W1003"/>
  <c r="V1018"/>
  <c r="L721"/>
  <c r="L718" s="1"/>
  <c r="L661"/>
  <c r="U769"/>
  <c r="T826"/>
  <c r="T784"/>
  <c r="T841" s="1"/>
  <c r="S617"/>
  <c r="S628" s="1"/>
  <c r="R792"/>
  <c r="R803" s="1"/>
  <c r="P269"/>
  <c r="P280" s="1"/>
  <c r="U710"/>
  <c r="V653"/>
  <c r="U668"/>
  <c r="U725" s="1"/>
  <c r="R947"/>
  <c r="S890"/>
  <c r="R895"/>
  <c r="W655"/>
  <c r="V712"/>
  <c r="V670"/>
  <c r="R598"/>
  <c r="S541"/>
  <c r="R546"/>
  <c r="Q830"/>
  <c r="R773"/>
  <c r="Q778"/>
  <c r="U941"/>
  <c r="V884"/>
  <c r="Q482"/>
  <c r="R425"/>
  <c r="Q430"/>
  <c r="Q1140"/>
  <c r="Q1148" s="1"/>
  <c r="Q1151"/>
  <c r="M1069"/>
  <c r="M1066" s="1"/>
  <c r="M1009"/>
  <c r="V73"/>
  <c r="U130"/>
  <c r="U88"/>
  <c r="M832"/>
  <c r="N775"/>
  <c r="M780"/>
  <c r="S492"/>
  <c r="P951"/>
  <c r="U608"/>
  <c r="Q1183"/>
  <c r="Q833"/>
  <c r="R776"/>
  <c r="Q781"/>
  <c r="Q838" s="1"/>
  <c r="W304"/>
  <c r="V361"/>
  <c r="V319"/>
  <c r="P444"/>
  <c r="P455" s="1"/>
  <c r="S724"/>
  <c r="L489"/>
  <c r="L486" s="1"/>
  <c r="L429"/>
  <c r="W771"/>
  <c r="V828"/>
  <c r="V132"/>
  <c r="W75"/>
  <c r="V90"/>
  <c r="V147" s="1"/>
  <c r="R366"/>
  <c r="S309"/>
  <c r="R314"/>
  <c r="U594"/>
  <c r="V537"/>
  <c r="U552"/>
  <c r="U609" s="1"/>
  <c r="M141"/>
  <c r="M138" s="1"/>
  <c r="M81"/>
  <c r="Q849"/>
  <c r="Q860" s="1"/>
  <c r="Q1067"/>
  <c r="U1188"/>
  <c r="S367"/>
  <c r="S315"/>
  <c r="S372" s="1"/>
  <c r="T310"/>
  <c r="S483"/>
  <c r="T426"/>
  <c r="S431"/>
  <c r="S488" s="1"/>
  <c r="W423"/>
  <c r="V480"/>
  <c r="V438"/>
  <c r="V495" s="1"/>
  <c r="V364"/>
  <c r="W307"/>
  <c r="V322"/>
  <c r="V379" s="1"/>
  <c r="R1081"/>
  <c r="R1092" s="1"/>
  <c r="T375"/>
  <c r="R849"/>
  <c r="R857" s="1"/>
  <c r="R860"/>
  <c r="R247"/>
  <c r="R244" s="1"/>
  <c r="R268" s="1"/>
  <c r="S190"/>
  <c r="R205"/>
  <c r="R187"/>
  <c r="R211" s="1"/>
  <c r="T246"/>
  <c r="U189"/>
  <c r="T204"/>
  <c r="T261" s="1"/>
  <c r="S378"/>
  <c r="S375" s="1"/>
  <c r="S318"/>
  <c r="L953"/>
  <c r="L950" s="1"/>
  <c r="L893"/>
  <c r="P676"/>
  <c r="P687" s="1"/>
  <c r="U478"/>
  <c r="V421"/>
  <c r="U436"/>
  <c r="U493" s="1"/>
  <c r="V305"/>
  <c r="U362"/>
  <c r="U320"/>
  <c r="U377" s="1"/>
  <c r="U1072"/>
  <c r="V1057"/>
  <c r="W1000"/>
  <c r="V1015"/>
  <c r="T942"/>
  <c r="U885"/>
  <c r="R137"/>
  <c r="S80"/>
  <c r="R85"/>
  <c r="R142" s="1"/>
  <c r="T840"/>
  <c r="V768"/>
  <c r="U825"/>
  <c r="U783"/>
  <c r="R601"/>
  <c r="S544"/>
  <c r="R549"/>
  <c r="R606" s="1"/>
  <c r="R1190"/>
  <c r="R1187" s="1"/>
  <c r="R1130"/>
  <c r="S1175"/>
  <c r="S1172" s="1"/>
  <c r="S1196" s="1"/>
  <c r="T1118"/>
  <c r="S1133"/>
  <c r="S1115"/>
  <c r="S1139" s="1"/>
  <c r="S251"/>
  <c r="T194"/>
  <c r="S199"/>
  <c r="S256" s="1"/>
  <c r="R831"/>
  <c r="S774"/>
  <c r="R779"/>
  <c r="R836" s="1"/>
  <c r="R560"/>
  <c r="R568" s="1"/>
  <c r="S599"/>
  <c r="T542"/>
  <c r="S547"/>
  <c r="S604" s="1"/>
  <c r="R135"/>
  <c r="S78"/>
  <c r="R83"/>
  <c r="R140" s="1"/>
  <c r="R715"/>
  <c r="R663"/>
  <c r="R720" s="1"/>
  <c r="S658"/>
  <c r="M605"/>
  <c r="M602" s="1"/>
  <c r="M545"/>
  <c r="R146"/>
  <c r="S131"/>
  <c r="T74"/>
  <c r="S89"/>
  <c r="N252"/>
  <c r="O195"/>
  <c r="N200"/>
  <c r="N368"/>
  <c r="O311"/>
  <c r="N316"/>
  <c r="Q255"/>
  <c r="R714"/>
  <c r="S657"/>
  <c r="R662"/>
  <c r="I34"/>
  <c r="M716"/>
  <c r="N659"/>
  <c r="M664"/>
  <c r="R369"/>
  <c r="S312"/>
  <c r="R317"/>
  <c r="R374" s="1"/>
  <c r="V1174"/>
  <c r="W1117"/>
  <c r="V1132"/>
  <c r="V1189" s="1"/>
  <c r="S1074"/>
  <c r="S1071" s="1"/>
  <c r="S1014"/>
  <c r="T1059"/>
  <c r="T1056" s="1"/>
  <c r="T1080" s="1"/>
  <c r="U1002"/>
  <c r="T1017"/>
  <c r="T999"/>
  <c r="T1023" s="1"/>
  <c r="P212"/>
  <c r="P223" s="1"/>
  <c r="T260"/>
  <c r="V188"/>
  <c r="U245"/>
  <c r="U203"/>
  <c r="Q726"/>
  <c r="Q723" s="1"/>
  <c r="Q666"/>
  <c r="R711"/>
  <c r="R708" s="1"/>
  <c r="R732" s="1"/>
  <c r="R669"/>
  <c r="S654"/>
  <c r="R651"/>
  <c r="R675" s="1"/>
  <c r="Q603"/>
  <c r="Q485"/>
  <c r="R428"/>
  <c r="Q433"/>
  <c r="Q490" s="1"/>
  <c r="P835"/>
  <c r="P487"/>
  <c r="Q1197"/>
  <c r="Q1208" s="1"/>
  <c r="N1064"/>
  <c r="O1007"/>
  <c r="N1012"/>
  <c r="M1185"/>
  <c r="M1182" s="1"/>
  <c r="M1125"/>
  <c r="N1180"/>
  <c r="O1123"/>
  <c r="N1128"/>
  <c r="T145"/>
  <c r="T595"/>
  <c r="T592" s="1"/>
  <c r="T616" s="1"/>
  <c r="U538"/>
  <c r="T553"/>
  <c r="L837"/>
  <c r="L834" s="1"/>
  <c r="L777"/>
  <c r="R1181"/>
  <c r="S1124"/>
  <c r="R1129"/>
  <c r="R1186" s="1"/>
  <c r="T477"/>
  <c r="T435"/>
  <c r="U420"/>
  <c r="Q946"/>
  <c r="R889"/>
  <c r="Q894"/>
  <c r="V593"/>
  <c r="W536"/>
  <c r="V551"/>
  <c r="R1178"/>
  <c r="S1121"/>
  <c r="R1126"/>
  <c r="Q949"/>
  <c r="R892"/>
  <c r="Q897"/>
  <c r="Q954" s="1"/>
  <c r="Q253"/>
  <c r="R196"/>
  <c r="Q201"/>
  <c r="Q258" s="1"/>
  <c r="U376"/>
  <c r="P501"/>
  <c r="P512" s="1"/>
  <c r="T709"/>
  <c r="T667"/>
  <c r="U652"/>
  <c r="M484"/>
  <c r="N427"/>
  <c r="M432"/>
  <c r="U843"/>
  <c r="B843" s="1"/>
  <c r="H37" s="1"/>
  <c r="B786"/>
  <c r="Q371"/>
  <c r="N136"/>
  <c r="O79"/>
  <c r="N84"/>
  <c r="T770"/>
  <c r="S827"/>
  <c r="S824" s="1"/>
  <c r="S848" s="1"/>
  <c r="S785"/>
  <c r="S842" s="1"/>
  <c r="S839" s="1"/>
  <c r="Q792"/>
  <c r="Q800" s="1"/>
  <c r="R1062"/>
  <c r="S1005"/>
  <c r="R1010"/>
  <c r="V1173"/>
  <c r="W1116"/>
  <c r="V1131"/>
  <c r="R1024"/>
  <c r="R1035" s="1"/>
  <c r="T318"/>
  <c r="S782"/>
  <c r="S767"/>
  <c r="S791" s="1"/>
  <c r="O107" l="1"/>
  <c r="P509"/>
  <c r="Q1205"/>
  <c r="R571"/>
  <c r="P684"/>
  <c r="Q857"/>
  <c r="P277"/>
  <c r="S571"/>
  <c r="P452"/>
  <c r="R800"/>
  <c r="S625"/>
  <c r="R628"/>
  <c r="O161"/>
  <c r="R129"/>
  <c r="R128" s="1"/>
  <c r="R152" s="1"/>
  <c r="S72"/>
  <c r="R87"/>
  <c r="R71"/>
  <c r="R95" s="1"/>
  <c r="P153"/>
  <c r="P161" s="1"/>
  <c r="Q144"/>
  <c r="Q143" s="1"/>
  <c r="Q86"/>
  <c r="P77"/>
  <c r="O134"/>
  <c r="O82"/>
  <c r="O139" s="1"/>
  <c r="P96"/>
  <c r="P107" s="1"/>
  <c r="R1032"/>
  <c r="Q803"/>
  <c r="P220"/>
  <c r="R1089"/>
  <c r="P741"/>
  <c r="S849"/>
  <c r="S860"/>
  <c r="S857"/>
  <c r="T328"/>
  <c r="T339" s="1"/>
  <c r="V1188"/>
  <c r="W1173"/>
  <c r="W1131"/>
  <c r="X1116"/>
  <c r="R1067"/>
  <c r="T827"/>
  <c r="T824" s="1"/>
  <c r="T848" s="1"/>
  <c r="U770"/>
  <c r="T785"/>
  <c r="T767"/>
  <c r="T791" s="1"/>
  <c r="O136"/>
  <c r="P79"/>
  <c r="O84"/>
  <c r="M489"/>
  <c r="M486" s="1"/>
  <c r="M429"/>
  <c r="V652"/>
  <c r="U709"/>
  <c r="U667"/>
  <c r="S1178"/>
  <c r="T1121"/>
  <c r="S1126"/>
  <c r="V608"/>
  <c r="W593"/>
  <c r="X536"/>
  <c r="W551"/>
  <c r="Q951"/>
  <c r="V420"/>
  <c r="U477"/>
  <c r="U435"/>
  <c r="S1129"/>
  <c r="S1186" s="1"/>
  <c r="T1124"/>
  <c r="S1181"/>
  <c r="T610"/>
  <c r="T607" s="1"/>
  <c r="T550"/>
  <c r="O1180"/>
  <c r="P1123"/>
  <c r="O1128"/>
  <c r="N1069"/>
  <c r="N1066" s="1"/>
  <c r="N1009"/>
  <c r="T654"/>
  <c r="S711"/>
  <c r="S708" s="1"/>
  <c r="S732" s="1"/>
  <c r="S669"/>
  <c r="S651"/>
  <c r="S675" s="1"/>
  <c r="Q733"/>
  <c r="Q744" s="1"/>
  <c r="Q741"/>
  <c r="V245"/>
  <c r="W188"/>
  <c r="V203"/>
  <c r="U1059"/>
  <c r="U1056" s="1"/>
  <c r="U1080" s="1"/>
  <c r="V1002"/>
  <c r="U1017"/>
  <c r="U999"/>
  <c r="U1023" s="1"/>
  <c r="S1024"/>
  <c r="S1032" s="1"/>
  <c r="S369"/>
  <c r="S317"/>
  <c r="S374" s="1"/>
  <c r="T312"/>
  <c r="M721"/>
  <c r="M718" s="1"/>
  <c r="M661"/>
  <c r="S714"/>
  <c r="T657"/>
  <c r="S662"/>
  <c r="N373"/>
  <c r="N370" s="1"/>
  <c r="N313"/>
  <c r="O252"/>
  <c r="P195"/>
  <c r="O200"/>
  <c r="U74"/>
  <c r="T131"/>
  <c r="T89"/>
  <c r="S715"/>
  <c r="T658"/>
  <c r="S663"/>
  <c r="S720" s="1"/>
  <c r="S135"/>
  <c r="T78"/>
  <c r="S83"/>
  <c r="S140" s="1"/>
  <c r="T251"/>
  <c r="U194"/>
  <c r="T199"/>
  <c r="T256" s="1"/>
  <c r="T1175"/>
  <c r="T1172" s="1"/>
  <c r="T1196" s="1"/>
  <c r="U1118"/>
  <c r="T1133"/>
  <c r="T1115"/>
  <c r="T1139" s="1"/>
  <c r="R1140"/>
  <c r="R1148" s="1"/>
  <c r="V825"/>
  <c r="W768"/>
  <c r="S137"/>
  <c r="T80"/>
  <c r="S85"/>
  <c r="S142" s="1"/>
  <c r="V885"/>
  <c r="U942"/>
  <c r="V1072"/>
  <c r="B1015"/>
  <c r="W1057"/>
  <c r="X1000"/>
  <c r="V362"/>
  <c r="W305"/>
  <c r="V320"/>
  <c r="V377" s="1"/>
  <c r="W421"/>
  <c r="V478"/>
  <c r="V436"/>
  <c r="V493" s="1"/>
  <c r="S385"/>
  <c r="S396" s="1"/>
  <c r="U246"/>
  <c r="V189"/>
  <c r="U204"/>
  <c r="U261" s="1"/>
  <c r="T190"/>
  <c r="S247"/>
  <c r="S244" s="1"/>
  <c r="S268" s="1"/>
  <c r="S205"/>
  <c r="S187"/>
  <c r="S211" s="1"/>
  <c r="V594"/>
  <c r="W537"/>
  <c r="V552"/>
  <c r="V609" s="1"/>
  <c r="R371"/>
  <c r="X75"/>
  <c r="W132"/>
  <c r="W90"/>
  <c r="W147" s="1"/>
  <c r="W361"/>
  <c r="W319"/>
  <c r="X304"/>
  <c r="N832"/>
  <c r="O775"/>
  <c r="N780"/>
  <c r="R482"/>
  <c r="S425"/>
  <c r="R430"/>
  <c r="R830"/>
  <c r="S773"/>
  <c r="R778"/>
  <c r="R603"/>
  <c r="R952"/>
  <c r="B952" s="1"/>
  <c r="I30" s="1"/>
  <c r="B895"/>
  <c r="W653"/>
  <c r="V710"/>
  <c r="V668"/>
  <c r="V1075"/>
  <c r="B1075" s="1"/>
  <c r="J37" s="1"/>
  <c r="B1018"/>
  <c r="S250"/>
  <c r="T193"/>
  <c r="S198"/>
  <c r="W1191"/>
  <c r="B1191" s="1"/>
  <c r="K37" s="1"/>
  <c r="B1134"/>
  <c r="X1176"/>
  <c r="Y1119"/>
  <c r="T422"/>
  <c r="S479"/>
  <c r="S476" s="1"/>
  <c r="S500" s="1"/>
  <c r="S437"/>
  <c r="S419"/>
  <c r="S443" s="1"/>
  <c r="Q501"/>
  <c r="Q512" s="1"/>
  <c r="W248"/>
  <c r="X191"/>
  <c r="U886"/>
  <c r="U883" s="1"/>
  <c r="T943"/>
  <c r="T940" s="1"/>
  <c r="R908"/>
  <c r="B908" s="1"/>
  <c r="B958"/>
  <c r="R955"/>
  <c r="O600"/>
  <c r="P543"/>
  <c r="O548"/>
  <c r="R1065"/>
  <c r="S1008"/>
  <c r="R1013"/>
  <c r="R1070" s="1"/>
  <c r="S717"/>
  <c r="T660"/>
  <c r="S665"/>
  <c r="S722" s="1"/>
  <c r="V1073"/>
  <c r="B1073" s="1"/>
  <c r="J35" s="1"/>
  <c r="B1016"/>
  <c r="W1058"/>
  <c r="X1001"/>
  <c r="T1179"/>
  <c r="U1122"/>
  <c r="T1127"/>
  <c r="T1184" s="1"/>
  <c r="N948"/>
  <c r="O891"/>
  <c r="N896"/>
  <c r="Q212"/>
  <c r="Q220" s="1"/>
  <c r="S792"/>
  <c r="S800" s="1"/>
  <c r="S1062"/>
  <c r="T1005"/>
  <c r="S1010"/>
  <c r="N141"/>
  <c r="N138" s="1"/>
  <c r="N81"/>
  <c r="O427"/>
  <c r="N484"/>
  <c r="N432"/>
  <c r="T724"/>
  <c r="R253"/>
  <c r="S196"/>
  <c r="R201"/>
  <c r="R258" s="1"/>
  <c r="R949"/>
  <c r="S892"/>
  <c r="R897"/>
  <c r="R1183"/>
  <c r="R946"/>
  <c r="S889"/>
  <c r="R894"/>
  <c r="T492"/>
  <c r="U595"/>
  <c r="U592" s="1"/>
  <c r="U616" s="1"/>
  <c r="V538"/>
  <c r="U553"/>
  <c r="U610" s="1"/>
  <c r="U607" s="1"/>
  <c r="U535"/>
  <c r="U559" s="1"/>
  <c r="N1185"/>
  <c r="N1182" s="1"/>
  <c r="N1125"/>
  <c r="O1064"/>
  <c r="P1007"/>
  <c r="O1012"/>
  <c r="R485"/>
  <c r="R433"/>
  <c r="R490" s="1"/>
  <c r="S428"/>
  <c r="R726"/>
  <c r="R723" s="1"/>
  <c r="R666"/>
  <c r="Q676"/>
  <c r="Q687" s="1"/>
  <c r="U260"/>
  <c r="T1074"/>
  <c r="T1071" s="1"/>
  <c r="T1014"/>
  <c r="S1081"/>
  <c r="S1092" s="1"/>
  <c r="W1174"/>
  <c r="X1117"/>
  <c r="W1132"/>
  <c r="O659"/>
  <c r="N716"/>
  <c r="N664"/>
  <c r="R719"/>
  <c r="P311"/>
  <c r="O368"/>
  <c r="O316"/>
  <c r="N257"/>
  <c r="N254" s="1"/>
  <c r="N197"/>
  <c r="S146"/>
  <c r="T599"/>
  <c r="U542"/>
  <c r="T547"/>
  <c r="T604" s="1"/>
  <c r="S831"/>
  <c r="T774"/>
  <c r="S779"/>
  <c r="S836" s="1"/>
  <c r="S1190"/>
  <c r="S1187" s="1"/>
  <c r="S1130"/>
  <c r="R1197"/>
  <c r="R1208" s="1"/>
  <c r="S601"/>
  <c r="T544"/>
  <c r="S549"/>
  <c r="S606" s="1"/>
  <c r="U840"/>
  <c r="B783"/>
  <c r="S328"/>
  <c r="S336" s="1"/>
  <c r="R262"/>
  <c r="R259" s="1"/>
  <c r="R202"/>
  <c r="T385"/>
  <c r="T393" s="1"/>
  <c r="X307"/>
  <c r="W364"/>
  <c r="W322"/>
  <c r="W480"/>
  <c r="X423"/>
  <c r="W438"/>
  <c r="W495" s="1"/>
  <c r="U426"/>
  <c r="T483"/>
  <c r="T431"/>
  <c r="T488" s="1"/>
  <c r="T367"/>
  <c r="U310"/>
  <c r="T315"/>
  <c r="T372" s="1"/>
  <c r="S366"/>
  <c r="T309"/>
  <c r="S314"/>
  <c r="W828"/>
  <c r="X771"/>
  <c r="V376"/>
  <c r="R833"/>
  <c r="S776"/>
  <c r="R781"/>
  <c r="R838" s="1"/>
  <c r="M837"/>
  <c r="M834" s="1"/>
  <c r="M777"/>
  <c r="U145"/>
  <c r="V130"/>
  <c r="W73"/>
  <c r="V88"/>
  <c r="Q487"/>
  <c r="W884"/>
  <c r="V941"/>
  <c r="Q835"/>
  <c r="S598"/>
  <c r="T541"/>
  <c r="S546"/>
  <c r="V727"/>
  <c r="B727" s="1"/>
  <c r="G37" s="1"/>
  <c r="B670"/>
  <c r="W712"/>
  <c r="X655"/>
  <c r="S947"/>
  <c r="T890"/>
  <c r="U826"/>
  <c r="V769"/>
  <c r="U784"/>
  <c r="W1060"/>
  <c r="X1003"/>
  <c r="R255"/>
  <c r="R494"/>
  <c r="R491" s="1"/>
  <c r="R434"/>
  <c r="Q444"/>
  <c r="Q455" s="1"/>
  <c r="Q452"/>
  <c r="V263"/>
  <c r="B263" s="1"/>
  <c r="C37" s="1"/>
  <c r="B206"/>
  <c r="N605"/>
  <c r="N602" s="1"/>
  <c r="N545"/>
  <c r="W596"/>
  <c r="X539"/>
  <c r="W554"/>
  <c r="X887"/>
  <c r="W944"/>
  <c r="M953"/>
  <c r="M950" s="1"/>
  <c r="M893"/>
  <c r="U363"/>
  <c r="U360" s="1"/>
  <c r="U384" s="1"/>
  <c r="V306"/>
  <c r="V303" s="1"/>
  <c r="V327" s="1"/>
  <c r="U321"/>
  <c r="T1063"/>
  <c r="U1006"/>
  <c r="T1011"/>
  <c r="T1068" s="1"/>
  <c r="Q269"/>
  <c r="Q277" s="1"/>
  <c r="P104" l="1"/>
  <c r="S393"/>
  <c r="Q280"/>
  <c r="T396"/>
  <c r="R1205"/>
  <c r="Q223"/>
  <c r="Q509"/>
  <c r="S1035"/>
  <c r="U550"/>
  <c r="Q684"/>
  <c r="S803"/>
  <c r="R1151"/>
  <c r="P164"/>
  <c r="Q96"/>
  <c r="Q107" s="1"/>
  <c r="R144"/>
  <c r="R143" s="1"/>
  <c r="R86"/>
  <c r="S339"/>
  <c r="S1089"/>
  <c r="T336"/>
  <c r="P134"/>
  <c r="P82"/>
  <c r="P139" s="1"/>
  <c r="Q77"/>
  <c r="Q153"/>
  <c r="Q164" s="1"/>
  <c r="S129"/>
  <c r="S128" s="1"/>
  <c r="S152" s="1"/>
  <c r="S87"/>
  <c r="T72"/>
  <c r="S71"/>
  <c r="S95" s="1"/>
  <c r="R916"/>
  <c r="B916" s="1"/>
  <c r="B917" s="1"/>
  <c r="U617"/>
  <c r="U628" s="1"/>
  <c r="U1063"/>
  <c r="V1006"/>
  <c r="U1011"/>
  <c r="U1068" s="1"/>
  <c r="U378"/>
  <c r="U375" s="1"/>
  <c r="U318"/>
  <c r="X944"/>
  <c r="Y887"/>
  <c r="X596"/>
  <c r="Y539"/>
  <c r="R501"/>
  <c r="R512" s="1"/>
  <c r="W769"/>
  <c r="V826"/>
  <c r="T947"/>
  <c r="U890"/>
  <c r="Y655"/>
  <c r="X712"/>
  <c r="S603"/>
  <c r="X73"/>
  <c r="W130"/>
  <c r="W88"/>
  <c r="T366"/>
  <c r="U309"/>
  <c r="T314"/>
  <c r="R269"/>
  <c r="R277" s="1"/>
  <c r="B840"/>
  <c r="T601"/>
  <c r="U544"/>
  <c r="T549"/>
  <c r="T606" s="1"/>
  <c r="S1197"/>
  <c r="S1205" s="1"/>
  <c r="T831"/>
  <c r="U774"/>
  <c r="T779"/>
  <c r="T836" s="1"/>
  <c r="O373"/>
  <c r="O370" s="1"/>
  <c r="O313"/>
  <c r="P368"/>
  <c r="Q311"/>
  <c r="P316"/>
  <c r="W1189"/>
  <c r="B1189" s="1"/>
  <c r="K35" s="1"/>
  <c r="B1132"/>
  <c r="T1024"/>
  <c r="T1035" s="1"/>
  <c r="R733"/>
  <c r="R741" s="1"/>
  <c r="R744"/>
  <c r="O1069"/>
  <c r="O1066" s="1"/>
  <c r="O1009"/>
  <c r="S946"/>
  <c r="T889"/>
  <c r="R954"/>
  <c r="B954" s="1"/>
  <c r="I32" s="1"/>
  <c r="B897"/>
  <c r="S253"/>
  <c r="T196"/>
  <c r="S201"/>
  <c r="S258" s="1"/>
  <c r="N489"/>
  <c r="N486" s="1"/>
  <c r="N429"/>
  <c r="O484"/>
  <c r="P427"/>
  <c r="O432"/>
  <c r="T1062"/>
  <c r="U1005"/>
  <c r="T1010"/>
  <c r="N953"/>
  <c r="N950" s="1"/>
  <c r="N893"/>
  <c r="U1179"/>
  <c r="U1127"/>
  <c r="U1184" s="1"/>
  <c r="V1122"/>
  <c r="X1058"/>
  <c r="Y1001"/>
  <c r="S1065"/>
  <c r="T1008"/>
  <c r="S1013"/>
  <c r="S1070" s="1"/>
  <c r="O605"/>
  <c r="O602" s="1"/>
  <c r="O545"/>
  <c r="I36"/>
  <c r="B955"/>
  <c r="I33" s="1"/>
  <c r="Y191"/>
  <c r="X248"/>
  <c r="S494"/>
  <c r="S491" s="1"/>
  <c r="S434"/>
  <c r="T479"/>
  <c r="T476" s="1"/>
  <c r="T500" s="1"/>
  <c r="U422"/>
  <c r="T437"/>
  <c r="T419"/>
  <c r="T443" s="1"/>
  <c r="T250"/>
  <c r="U193"/>
  <c r="T198"/>
  <c r="V725"/>
  <c r="B725" s="1"/>
  <c r="G35" s="1"/>
  <c r="B668"/>
  <c r="W710"/>
  <c r="X653"/>
  <c r="S830"/>
  <c r="T773"/>
  <c r="S778"/>
  <c r="R487"/>
  <c r="O832"/>
  <c r="P775"/>
  <c r="O780"/>
  <c r="Y304"/>
  <c r="X361"/>
  <c r="X132"/>
  <c r="Y75"/>
  <c r="X90"/>
  <c r="W594"/>
  <c r="X537"/>
  <c r="W552"/>
  <c r="W478"/>
  <c r="X421"/>
  <c r="W436"/>
  <c r="W493" s="1"/>
  <c r="X305"/>
  <c r="W362"/>
  <c r="W320"/>
  <c r="X768"/>
  <c r="W825"/>
  <c r="T1190"/>
  <c r="T1187" s="1"/>
  <c r="T1130"/>
  <c r="U251"/>
  <c r="V194"/>
  <c r="U199"/>
  <c r="U256" s="1"/>
  <c r="U658"/>
  <c r="T715"/>
  <c r="T663"/>
  <c r="T720" s="1"/>
  <c r="T146"/>
  <c r="U131"/>
  <c r="V74"/>
  <c r="U89"/>
  <c r="P252"/>
  <c r="Q195"/>
  <c r="P200"/>
  <c r="S719"/>
  <c r="U1074"/>
  <c r="U1071" s="1"/>
  <c r="U1014"/>
  <c r="O1185"/>
  <c r="O1182" s="1"/>
  <c r="O1125"/>
  <c r="T617"/>
  <c r="T628" s="1"/>
  <c r="T1181"/>
  <c r="U1124"/>
  <c r="T1129"/>
  <c r="T1186" s="1"/>
  <c r="U492"/>
  <c r="W608"/>
  <c r="B551"/>
  <c r="S1183"/>
  <c r="V709"/>
  <c r="V667"/>
  <c r="W652"/>
  <c r="P136"/>
  <c r="Q79"/>
  <c r="P84"/>
  <c r="V770"/>
  <c r="V767" s="1"/>
  <c r="U827"/>
  <c r="U824" s="1"/>
  <c r="U848" s="1"/>
  <c r="B848" s="1"/>
  <c r="H42" s="1"/>
  <c r="U785"/>
  <c r="U767"/>
  <c r="U791" s="1"/>
  <c r="B791" s="1"/>
  <c r="W1188"/>
  <c r="B1131"/>
  <c r="R919"/>
  <c r="B919" s="1"/>
  <c r="B920" s="1"/>
  <c r="U560"/>
  <c r="U571" s="1"/>
  <c r="W306"/>
  <c r="V363"/>
  <c r="V360" s="1"/>
  <c r="V384" s="1"/>
  <c r="V321"/>
  <c r="W611"/>
  <c r="B611" s="1"/>
  <c r="F37" s="1"/>
  <c r="B554"/>
  <c r="R444"/>
  <c r="R455" s="1"/>
  <c r="Y1003"/>
  <c r="X1060"/>
  <c r="U841"/>
  <c r="B841" s="1"/>
  <c r="H35" s="1"/>
  <c r="B784"/>
  <c r="T598"/>
  <c r="U541"/>
  <c r="T546"/>
  <c r="W941"/>
  <c r="X884"/>
  <c r="V145"/>
  <c r="S833"/>
  <c r="T776"/>
  <c r="S781"/>
  <c r="S838" s="1"/>
  <c r="Y771"/>
  <c r="X828"/>
  <c r="S371"/>
  <c r="V310"/>
  <c r="U367"/>
  <c r="U315"/>
  <c r="U372" s="1"/>
  <c r="U483"/>
  <c r="V426"/>
  <c r="U431"/>
  <c r="U488" s="1"/>
  <c r="Y423"/>
  <c r="X480"/>
  <c r="X438"/>
  <c r="W379"/>
  <c r="B379" s="1"/>
  <c r="D37" s="1"/>
  <c r="B322"/>
  <c r="X364"/>
  <c r="Y307"/>
  <c r="R212"/>
  <c r="R220" s="1"/>
  <c r="R223"/>
  <c r="S1140"/>
  <c r="S1151" s="1"/>
  <c r="S1148"/>
  <c r="U599"/>
  <c r="V542"/>
  <c r="U547"/>
  <c r="U604" s="1"/>
  <c r="N721"/>
  <c r="N718" s="1"/>
  <c r="N661"/>
  <c r="O716"/>
  <c r="P659"/>
  <c r="O664"/>
  <c r="X1174"/>
  <c r="Y1117"/>
  <c r="T1081"/>
  <c r="T1089" s="1"/>
  <c r="T1092"/>
  <c r="R676"/>
  <c r="R684"/>
  <c r="R687"/>
  <c r="S485"/>
  <c r="T428"/>
  <c r="S433"/>
  <c r="S490" s="1"/>
  <c r="P1064"/>
  <c r="Q1007"/>
  <c r="P1012"/>
  <c r="V595"/>
  <c r="V592" s="1"/>
  <c r="V616" s="1"/>
  <c r="W538"/>
  <c r="V553"/>
  <c r="V610" s="1"/>
  <c r="V607" s="1"/>
  <c r="V535"/>
  <c r="V559" s="1"/>
  <c r="R951"/>
  <c r="B894"/>
  <c r="S949"/>
  <c r="T892"/>
  <c r="S1067"/>
  <c r="O948"/>
  <c r="P891"/>
  <c r="O896"/>
  <c r="T665"/>
  <c r="T722" s="1"/>
  <c r="U660"/>
  <c r="T717"/>
  <c r="P600"/>
  <c r="Q543"/>
  <c r="P548"/>
  <c r="R965"/>
  <c r="B965" s="1"/>
  <c r="I43" s="1"/>
  <c r="U943"/>
  <c r="U940" s="1"/>
  <c r="V886"/>
  <c r="Y1176"/>
  <c r="Z1119"/>
  <c r="S255"/>
  <c r="R835"/>
  <c r="S482"/>
  <c r="T425"/>
  <c r="S430"/>
  <c r="N837"/>
  <c r="N834" s="1"/>
  <c r="N777"/>
  <c r="W376"/>
  <c r="B319"/>
  <c r="S262"/>
  <c r="S259" s="1"/>
  <c r="S202"/>
  <c r="T247"/>
  <c r="T244" s="1"/>
  <c r="T268" s="1"/>
  <c r="U190"/>
  <c r="T205"/>
  <c r="T187"/>
  <c r="T211" s="1"/>
  <c r="W189"/>
  <c r="V246"/>
  <c r="V204"/>
  <c r="X1057"/>
  <c r="Y1000"/>
  <c r="B1072"/>
  <c r="V942"/>
  <c r="W885"/>
  <c r="T137"/>
  <c r="U80"/>
  <c r="T85"/>
  <c r="T142" s="1"/>
  <c r="U1175"/>
  <c r="U1172" s="1"/>
  <c r="U1196" s="1"/>
  <c r="U1133"/>
  <c r="V1118"/>
  <c r="U1115"/>
  <c r="U1139" s="1"/>
  <c r="T135"/>
  <c r="U78"/>
  <c r="T83"/>
  <c r="T140" s="1"/>
  <c r="O257"/>
  <c r="O254" s="1"/>
  <c r="O197"/>
  <c r="T714"/>
  <c r="U657"/>
  <c r="T662"/>
  <c r="T369"/>
  <c r="U312"/>
  <c r="T317"/>
  <c r="T374" s="1"/>
  <c r="V1059"/>
  <c r="V1056" s="1"/>
  <c r="V1080" s="1"/>
  <c r="B1080" s="1"/>
  <c r="J42" s="1"/>
  <c r="W1002"/>
  <c r="V1017"/>
  <c r="V999"/>
  <c r="V1023" s="1"/>
  <c r="B1023" s="1"/>
  <c r="V260"/>
  <c r="B203"/>
  <c r="W245"/>
  <c r="X188"/>
  <c r="S726"/>
  <c r="S723" s="1"/>
  <c r="S666"/>
  <c r="T711"/>
  <c r="T708" s="1"/>
  <c r="T732" s="1"/>
  <c r="U654"/>
  <c r="T669"/>
  <c r="T651"/>
  <c r="T675" s="1"/>
  <c r="P1180"/>
  <c r="Q1123"/>
  <c r="P1128"/>
  <c r="T560"/>
  <c r="T571" s="1"/>
  <c r="T568"/>
  <c r="V477"/>
  <c r="V435"/>
  <c r="W420"/>
  <c r="X593"/>
  <c r="Y536"/>
  <c r="T1178"/>
  <c r="U1121"/>
  <c r="T1126"/>
  <c r="U724"/>
  <c r="O141"/>
  <c r="O138" s="1"/>
  <c r="O81"/>
  <c r="T842"/>
  <c r="T839" s="1"/>
  <c r="T782"/>
  <c r="Y1116"/>
  <c r="X1173"/>
  <c r="U782"/>
  <c r="R452" l="1"/>
  <c r="T625"/>
  <c r="T1032"/>
  <c r="S1208"/>
  <c r="R280"/>
  <c r="R976"/>
  <c r="B976" s="1"/>
  <c r="B977" s="1"/>
  <c r="I48" s="1"/>
  <c r="U625"/>
  <c r="Q104"/>
  <c r="U72"/>
  <c r="T87"/>
  <c r="T129"/>
  <c r="T128" s="1"/>
  <c r="T152" s="1"/>
  <c r="T71"/>
  <c r="T95" s="1"/>
  <c r="R153"/>
  <c r="R164" s="1"/>
  <c r="R509"/>
  <c r="S144"/>
  <c r="S143" s="1"/>
  <c r="S86"/>
  <c r="R77"/>
  <c r="Q134"/>
  <c r="Q82"/>
  <c r="Q139" s="1"/>
  <c r="R96"/>
  <c r="R104" s="1"/>
  <c r="U568"/>
  <c r="Q161"/>
  <c r="V617"/>
  <c r="V628" s="1"/>
  <c r="V625"/>
  <c r="Y1173"/>
  <c r="Z1116"/>
  <c r="T849"/>
  <c r="T860"/>
  <c r="T857"/>
  <c r="U1178"/>
  <c r="V1121"/>
  <c r="U1126"/>
  <c r="V492"/>
  <c r="P1185"/>
  <c r="P1182" s="1"/>
  <c r="P1125"/>
  <c r="T726"/>
  <c r="T723" s="1"/>
  <c r="T666"/>
  <c r="S733"/>
  <c r="S741" s="1"/>
  <c r="X245"/>
  <c r="Y188"/>
  <c r="B260"/>
  <c r="V1074"/>
  <c r="B1017"/>
  <c r="B1014" s="1"/>
  <c r="V1014"/>
  <c r="U317"/>
  <c r="U374" s="1"/>
  <c r="V312"/>
  <c r="U369"/>
  <c r="T719"/>
  <c r="U135"/>
  <c r="V78"/>
  <c r="U83"/>
  <c r="U140" s="1"/>
  <c r="U1190"/>
  <c r="U1187" s="1"/>
  <c r="U1130"/>
  <c r="Y1057"/>
  <c r="Z1000"/>
  <c r="V261"/>
  <c r="B261" s="1"/>
  <c r="C35" s="1"/>
  <c r="B204"/>
  <c r="W246"/>
  <c r="X189"/>
  <c r="T262"/>
  <c r="T259" s="1"/>
  <c r="T202"/>
  <c r="S269"/>
  <c r="S277" s="1"/>
  <c r="S487"/>
  <c r="Z1176"/>
  <c r="AA1119"/>
  <c r="W886"/>
  <c r="W883" s="1"/>
  <c r="V943"/>
  <c r="V940" s="1"/>
  <c r="V883"/>
  <c r="Q600"/>
  <c r="R543"/>
  <c r="Q548"/>
  <c r="P948"/>
  <c r="Q891"/>
  <c r="P896"/>
  <c r="T949"/>
  <c r="U892"/>
  <c r="B951"/>
  <c r="Q1064"/>
  <c r="R1007"/>
  <c r="Q1012"/>
  <c r="P716"/>
  <c r="Q659"/>
  <c r="P664"/>
  <c r="V599"/>
  <c r="W542"/>
  <c r="V547"/>
  <c r="V604" s="1"/>
  <c r="Z307"/>
  <c r="Y364"/>
  <c r="X495"/>
  <c r="B495" s="1"/>
  <c r="E37" s="1"/>
  <c r="B438"/>
  <c r="Y480"/>
  <c r="Z423"/>
  <c r="V483"/>
  <c r="V431"/>
  <c r="V488" s="1"/>
  <c r="W426"/>
  <c r="V367"/>
  <c r="W310"/>
  <c r="V315"/>
  <c r="V372" s="1"/>
  <c r="Y828"/>
  <c r="Z771"/>
  <c r="T833"/>
  <c r="U776"/>
  <c r="T781"/>
  <c r="T838" s="1"/>
  <c r="U598"/>
  <c r="V541"/>
  <c r="U546"/>
  <c r="P141"/>
  <c r="P138" s="1"/>
  <c r="P81"/>
  <c r="V724"/>
  <c r="B667"/>
  <c r="U1024"/>
  <c r="U1032" s="1"/>
  <c r="P257"/>
  <c r="P254" s="1"/>
  <c r="P197"/>
  <c r="U146"/>
  <c r="T1197"/>
  <c r="T1208" s="1"/>
  <c r="W377"/>
  <c r="B377" s="1"/>
  <c r="D35" s="1"/>
  <c r="B320"/>
  <c r="X362"/>
  <c r="Y305"/>
  <c r="Y421"/>
  <c r="X478"/>
  <c r="X436"/>
  <c r="W609"/>
  <c r="B609" s="1"/>
  <c r="F35" s="1"/>
  <c r="B552"/>
  <c r="Z75"/>
  <c r="Y132"/>
  <c r="Y361"/>
  <c r="Z304"/>
  <c r="P832"/>
  <c r="Q775"/>
  <c r="P780"/>
  <c r="T830"/>
  <c r="U773"/>
  <c r="T778"/>
  <c r="Y653"/>
  <c r="X710"/>
  <c r="T255"/>
  <c r="T494"/>
  <c r="T491" s="1"/>
  <c r="T434"/>
  <c r="S501"/>
  <c r="S512" s="1"/>
  <c r="Y248"/>
  <c r="Z191"/>
  <c r="T1065"/>
  <c r="U1008"/>
  <c r="T1013"/>
  <c r="T1070" s="1"/>
  <c r="Y1058"/>
  <c r="Z1001"/>
  <c r="V1179"/>
  <c r="W1122"/>
  <c r="V1127"/>
  <c r="V1184" s="1"/>
  <c r="T1067"/>
  <c r="P484"/>
  <c r="Q427"/>
  <c r="P432"/>
  <c r="Q368"/>
  <c r="R311"/>
  <c r="Q316"/>
  <c r="U831"/>
  <c r="V774"/>
  <c r="U779"/>
  <c r="U601"/>
  <c r="U549"/>
  <c r="U606" s="1"/>
  <c r="V544"/>
  <c r="H34"/>
  <c r="U366"/>
  <c r="V309"/>
  <c r="U314"/>
  <c r="U947"/>
  <c r="V890"/>
  <c r="U385"/>
  <c r="U393" s="1"/>
  <c r="V1063"/>
  <c r="W1006"/>
  <c r="V1011"/>
  <c r="V550"/>
  <c r="U792"/>
  <c r="U803" s="1"/>
  <c r="T792"/>
  <c r="T803" s="1"/>
  <c r="T1183"/>
  <c r="Y593"/>
  <c r="Z536"/>
  <c r="X420"/>
  <c r="W477"/>
  <c r="W435"/>
  <c r="Q1180"/>
  <c r="R1123"/>
  <c r="Q1128"/>
  <c r="V654"/>
  <c r="U711"/>
  <c r="U708" s="1"/>
  <c r="U732" s="1"/>
  <c r="U669"/>
  <c r="U651"/>
  <c r="U675" s="1"/>
  <c r="S676"/>
  <c r="S684" s="1"/>
  <c r="W1059"/>
  <c r="W1056" s="1"/>
  <c r="X1002"/>
  <c r="W999"/>
  <c r="U714"/>
  <c r="V657"/>
  <c r="U662"/>
  <c r="W1118"/>
  <c r="V1175"/>
  <c r="V1172" s="1"/>
  <c r="V1196" s="1"/>
  <c r="V1133"/>
  <c r="V1115"/>
  <c r="V1139" s="1"/>
  <c r="U137"/>
  <c r="V80"/>
  <c r="U85"/>
  <c r="U142" s="1"/>
  <c r="X885"/>
  <c r="W942"/>
  <c r="J34"/>
  <c r="U247"/>
  <c r="U244" s="1"/>
  <c r="U268" s="1"/>
  <c r="V190"/>
  <c r="U205"/>
  <c r="U187"/>
  <c r="U211" s="1"/>
  <c r="S212"/>
  <c r="S223" s="1"/>
  <c r="B376"/>
  <c r="T482"/>
  <c r="U425"/>
  <c r="T430"/>
  <c r="P605"/>
  <c r="P602" s="1"/>
  <c r="P545"/>
  <c r="U717"/>
  <c r="V660"/>
  <c r="U665"/>
  <c r="U722" s="1"/>
  <c r="O953"/>
  <c r="O950" s="1"/>
  <c r="O893"/>
  <c r="W595"/>
  <c r="W592" s="1"/>
  <c r="W616" s="1"/>
  <c r="B616" s="1"/>
  <c r="F42" s="1"/>
  <c r="W553"/>
  <c r="X538"/>
  <c r="P1069"/>
  <c r="P1066" s="1"/>
  <c r="P1009"/>
  <c r="T433"/>
  <c r="T490" s="1"/>
  <c r="U428"/>
  <c r="T485"/>
  <c r="Z1117"/>
  <c r="Y1174"/>
  <c r="O721"/>
  <c r="O718" s="1"/>
  <c r="O661"/>
  <c r="Y884"/>
  <c r="X941"/>
  <c r="T603"/>
  <c r="Y1060"/>
  <c r="Z1003"/>
  <c r="V378"/>
  <c r="V375" s="1"/>
  <c r="V318"/>
  <c r="W363"/>
  <c r="W360" s="1"/>
  <c r="W384" s="1"/>
  <c r="B384" s="1"/>
  <c r="D42" s="1"/>
  <c r="W321"/>
  <c r="X306"/>
  <c r="X303" s="1"/>
  <c r="W303"/>
  <c r="W327" s="1"/>
  <c r="B327" s="1"/>
  <c r="B1188"/>
  <c r="U842"/>
  <c r="B842" s="1"/>
  <c r="H36" s="1"/>
  <c r="B785"/>
  <c r="B782" s="1"/>
  <c r="V827"/>
  <c r="V824" s="1"/>
  <c r="W770"/>
  <c r="Q136"/>
  <c r="R79"/>
  <c r="Q84"/>
  <c r="X652"/>
  <c r="W709"/>
  <c r="B608"/>
  <c r="U1181"/>
  <c r="U1129"/>
  <c r="U1186" s="1"/>
  <c r="V1124"/>
  <c r="U1081"/>
  <c r="U1092" s="1"/>
  <c r="Q252"/>
  <c r="R195"/>
  <c r="Q200"/>
  <c r="W74"/>
  <c r="V131"/>
  <c r="V89"/>
  <c r="U715"/>
  <c r="V658"/>
  <c r="U663"/>
  <c r="U720" s="1"/>
  <c r="V251"/>
  <c r="W194"/>
  <c r="V199"/>
  <c r="T1140"/>
  <c r="T1148" s="1"/>
  <c r="X825"/>
  <c r="Y768"/>
  <c r="X594"/>
  <c r="Y537"/>
  <c r="X147"/>
  <c r="B147" s="1"/>
  <c r="B37" s="1"/>
  <c r="B90"/>
  <c r="O837"/>
  <c r="O834" s="1"/>
  <c r="O777"/>
  <c r="S835"/>
  <c r="U250"/>
  <c r="V193"/>
  <c r="U198"/>
  <c r="V422"/>
  <c r="U479"/>
  <c r="U476" s="1"/>
  <c r="U500" s="1"/>
  <c r="U437"/>
  <c r="U419"/>
  <c r="U443" s="1"/>
  <c r="S444"/>
  <c r="S455" s="1"/>
  <c r="U1062"/>
  <c r="V1005"/>
  <c r="U1010"/>
  <c r="O489"/>
  <c r="O486" s="1"/>
  <c r="O429"/>
  <c r="T253"/>
  <c r="U196"/>
  <c r="T201"/>
  <c r="T258" s="1"/>
  <c r="T946"/>
  <c r="U889"/>
  <c r="P373"/>
  <c r="P370" s="1"/>
  <c r="P313"/>
  <c r="T371"/>
  <c r="W145"/>
  <c r="X130"/>
  <c r="Y73"/>
  <c r="X88"/>
  <c r="Y712"/>
  <c r="Z655"/>
  <c r="W826"/>
  <c r="X769"/>
  <c r="Y596"/>
  <c r="Z539"/>
  <c r="Z887"/>
  <c r="Y944"/>
  <c r="U328"/>
  <c r="U336" s="1"/>
  <c r="R973"/>
  <c r="B973" s="1"/>
  <c r="B974" s="1"/>
  <c r="W535"/>
  <c r="W559" s="1"/>
  <c r="B559" s="1"/>
  <c r="U839"/>
  <c r="S509" l="1"/>
  <c r="U339"/>
  <c r="T1151"/>
  <c r="T800"/>
  <c r="U1035"/>
  <c r="S280"/>
  <c r="U1089"/>
  <c r="S744"/>
  <c r="R161"/>
  <c r="S96"/>
  <c r="S107" s="1"/>
  <c r="U129"/>
  <c r="U128" s="1"/>
  <c r="U152" s="1"/>
  <c r="U87"/>
  <c r="V72"/>
  <c r="U71"/>
  <c r="U95" s="1"/>
  <c r="S452"/>
  <c r="S220"/>
  <c r="S687"/>
  <c r="U396"/>
  <c r="T1205"/>
  <c r="R107"/>
  <c r="R134"/>
  <c r="R82"/>
  <c r="R139" s="1"/>
  <c r="S77"/>
  <c r="S153"/>
  <c r="S164" s="1"/>
  <c r="T144"/>
  <c r="T86"/>
  <c r="B792"/>
  <c r="Z596"/>
  <c r="AA539"/>
  <c r="Y769"/>
  <c r="X826"/>
  <c r="AA655"/>
  <c r="Z712"/>
  <c r="Z73"/>
  <c r="Y130"/>
  <c r="U946"/>
  <c r="V889"/>
  <c r="V1062"/>
  <c r="W1005"/>
  <c r="V1010"/>
  <c r="U494"/>
  <c r="U491" s="1"/>
  <c r="U434"/>
  <c r="V479"/>
  <c r="V476" s="1"/>
  <c r="V500" s="1"/>
  <c r="V437"/>
  <c r="W422"/>
  <c r="V419"/>
  <c r="V443" s="1"/>
  <c r="V250"/>
  <c r="W193"/>
  <c r="V198"/>
  <c r="Y594"/>
  <c r="Z537"/>
  <c r="V256"/>
  <c r="B256" s="1"/>
  <c r="C30" s="1"/>
  <c r="B199"/>
  <c r="V715"/>
  <c r="V663"/>
  <c r="W658"/>
  <c r="V146"/>
  <c r="W131"/>
  <c r="X74"/>
  <c r="W89"/>
  <c r="Q257"/>
  <c r="Q254" s="1"/>
  <c r="Q197"/>
  <c r="V1181"/>
  <c r="W1124"/>
  <c r="V1129"/>
  <c r="V1186" s="1"/>
  <c r="Q141"/>
  <c r="Q138" s="1"/>
  <c r="Q81"/>
  <c r="Y306"/>
  <c r="X363"/>
  <c r="X360" s="1"/>
  <c r="V385"/>
  <c r="V396" s="1"/>
  <c r="W610"/>
  <c r="B553"/>
  <c r="B550" s="1"/>
  <c r="W550"/>
  <c r="U482"/>
  <c r="V425"/>
  <c r="U430"/>
  <c r="D34"/>
  <c r="U262"/>
  <c r="U259" s="1"/>
  <c r="U202"/>
  <c r="X942"/>
  <c r="Y885"/>
  <c r="V137"/>
  <c r="W80"/>
  <c r="V85"/>
  <c r="V142" s="1"/>
  <c r="U719"/>
  <c r="X1059"/>
  <c r="X1056" s="1"/>
  <c r="Y1002"/>
  <c r="X999"/>
  <c r="U726"/>
  <c r="U723" s="1"/>
  <c r="U666"/>
  <c r="V711"/>
  <c r="V708" s="1"/>
  <c r="V732" s="1"/>
  <c r="B732" s="1"/>
  <c r="G42" s="1"/>
  <c r="V669"/>
  <c r="W654"/>
  <c r="V651"/>
  <c r="V675" s="1"/>
  <c r="B675" s="1"/>
  <c r="R1180"/>
  <c r="S1123"/>
  <c r="R1128"/>
  <c r="W492"/>
  <c r="V560"/>
  <c r="V571" s="1"/>
  <c r="W1063"/>
  <c r="X1006"/>
  <c r="V366"/>
  <c r="W309"/>
  <c r="V314"/>
  <c r="V601"/>
  <c r="W544"/>
  <c r="V549"/>
  <c r="V606" s="1"/>
  <c r="V831"/>
  <c r="W774"/>
  <c r="Q373"/>
  <c r="Q370" s="1"/>
  <c r="Q313"/>
  <c r="Q484"/>
  <c r="R427"/>
  <c r="Q432"/>
  <c r="X1122"/>
  <c r="W1179"/>
  <c r="W1127"/>
  <c r="Z1058"/>
  <c r="AA1001"/>
  <c r="T444"/>
  <c r="T452" s="1"/>
  <c r="T835"/>
  <c r="Q832"/>
  <c r="R775"/>
  <c r="Q780"/>
  <c r="Z132"/>
  <c r="AA75"/>
  <c r="Z305"/>
  <c r="Y362"/>
  <c r="U603"/>
  <c r="U833"/>
  <c r="V776"/>
  <c r="U781"/>
  <c r="AA771"/>
  <c r="Z828"/>
  <c r="AA423"/>
  <c r="Z480"/>
  <c r="Q716"/>
  <c r="R659"/>
  <c r="Q664"/>
  <c r="Q1069"/>
  <c r="Q1066" s="1"/>
  <c r="Q1009"/>
  <c r="Q948"/>
  <c r="R891"/>
  <c r="Q896"/>
  <c r="Q605"/>
  <c r="Q602" s="1"/>
  <c r="Q545"/>
  <c r="AB1119"/>
  <c r="AA1176"/>
  <c r="T212"/>
  <c r="T220" s="1"/>
  <c r="X246"/>
  <c r="Y189"/>
  <c r="U1197"/>
  <c r="U1205" s="1"/>
  <c r="V135"/>
  <c r="W78"/>
  <c r="V83"/>
  <c r="V140" s="1"/>
  <c r="C34"/>
  <c r="T676"/>
  <c r="T687" s="1"/>
  <c r="U1183"/>
  <c r="Z1173"/>
  <c r="AA1116"/>
  <c r="B803"/>
  <c r="B804" s="1"/>
  <c r="U849"/>
  <c r="B849" s="1"/>
  <c r="H43" s="1"/>
  <c r="U860"/>
  <c r="B860" s="1"/>
  <c r="B861" s="1"/>
  <c r="H48" s="1"/>
  <c r="I49"/>
  <c r="BJ868"/>
  <c r="I868"/>
  <c r="M868"/>
  <c r="Q868"/>
  <c r="U868"/>
  <c r="Y868"/>
  <c r="AC868"/>
  <c r="AG868"/>
  <c r="AK868"/>
  <c r="AO868"/>
  <c r="AS868"/>
  <c r="AW868"/>
  <c r="BA868"/>
  <c r="BE868"/>
  <c r="BI868"/>
  <c r="D868"/>
  <c r="J868"/>
  <c r="N868"/>
  <c r="R868"/>
  <c r="V868"/>
  <c r="Z868"/>
  <c r="AD868"/>
  <c r="AH868"/>
  <c r="AL868"/>
  <c r="AP868"/>
  <c r="AT868"/>
  <c r="AX868"/>
  <c r="BB868"/>
  <c r="BF868"/>
  <c r="C868"/>
  <c r="K868"/>
  <c r="O868"/>
  <c r="S868"/>
  <c r="W868"/>
  <c r="AA868"/>
  <c r="AE868"/>
  <c r="AI868"/>
  <c r="AM868"/>
  <c r="AQ868"/>
  <c r="AU868"/>
  <c r="AY868"/>
  <c r="BC868"/>
  <c r="BG868"/>
  <c r="H868"/>
  <c r="L868"/>
  <c r="P868"/>
  <c r="T868"/>
  <c r="X868"/>
  <c r="AB868"/>
  <c r="AF868"/>
  <c r="AJ868"/>
  <c r="AN868"/>
  <c r="AR868"/>
  <c r="AV868"/>
  <c r="AZ868"/>
  <c r="BD868"/>
  <c r="BH868"/>
  <c r="E868"/>
  <c r="F868"/>
  <c r="G868"/>
  <c r="Z944"/>
  <c r="AA887"/>
  <c r="X145"/>
  <c r="B88"/>
  <c r="U253"/>
  <c r="V196"/>
  <c r="U201"/>
  <c r="U258" s="1"/>
  <c r="U1067"/>
  <c r="U255"/>
  <c r="Z768"/>
  <c r="Y825"/>
  <c r="W251"/>
  <c r="X194"/>
  <c r="R252"/>
  <c r="S195"/>
  <c r="R200"/>
  <c r="F34"/>
  <c r="X709"/>
  <c r="Y652"/>
  <c r="R136"/>
  <c r="S79"/>
  <c r="R84"/>
  <c r="X770"/>
  <c r="X767" s="1"/>
  <c r="W827"/>
  <c r="W824" s="1"/>
  <c r="W767"/>
  <c r="K34"/>
  <c r="W378"/>
  <c r="B321"/>
  <c r="B318" s="1"/>
  <c r="W318"/>
  <c r="V328"/>
  <c r="V339" s="1"/>
  <c r="Z1060"/>
  <c r="AA1003"/>
  <c r="Y941"/>
  <c r="Z884"/>
  <c r="Z1174"/>
  <c r="AA1117"/>
  <c r="U485"/>
  <c r="V428"/>
  <c r="U433"/>
  <c r="U490" s="1"/>
  <c r="X595"/>
  <c r="X592" s="1"/>
  <c r="Y538"/>
  <c r="X535"/>
  <c r="V717"/>
  <c r="V665"/>
  <c r="W660"/>
  <c r="T487"/>
  <c r="V247"/>
  <c r="V244" s="1"/>
  <c r="V268" s="1"/>
  <c r="B268" s="1"/>
  <c r="C42" s="1"/>
  <c r="W190"/>
  <c r="V205"/>
  <c r="V187"/>
  <c r="V211" s="1"/>
  <c r="B211" s="1"/>
  <c r="V1190"/>
  <c r="V1187" s="1"/>
  <c r="V1130"/>
  <c r="W1175"/>
  <c r="W1172" s="1"/>
  <c r="W1196" s="1"/>
  <c r="B1196" s="1"/>
  <c r="K42" s="1"/>
  <c r="X1118"/>
  <c r="W1133"/>
  <c r="W1115"/>
  <c r="W1139" s="1"/>
  <c r="B1139" s="1"/>
  <c r="V714"/>
  <c r="W657"/>
  <c r="V662"/>
  <c r="Q1185"/>
  <c r="Q1182" s="1"/>
  <c r="Q1125"/>
  <c r="X477"/>
  <c r="X435"/>
  <c r="Y420"/>
  <c r="Z593"/>
  <c r="AA536"/>
  <c r="V1068"/>
  <c r="B1068" s="1"/>
  <c r="J30" s="1"/>
  <c r="B1011"/>
  <c r="V947"/>
  <c r="W890"/>
  <c r="U371"/>
  <c r="U836"/>
  <c r="B836" s="1"/>
  <c r="H30" s="1"/>
  <c r="B779"/>
  <c r="R368"/>
  <c r="S311"/>
  <c r="R316"/>
  <c r="P489"/>
  <c r="P486" s="1"/>
  <c r="P429"/>
  <c r="U1065"/>
  <c r="V1008"/>
  <c r="U1013"/>
  <c r="U1070" s="1"/>
  <c r="Z248"/>
  <c r="AA191"/>
  <c r="T501"/>
  <c r="T512" s="1"/>
  <c r="Y710"/>
  <c r="Z653"/>
  <c r="U830"/>
  <c r="V773"/>
  <c r="U778"/>
  <c r="P837"/>
  <c r="P834" s="1"/>
  <c r="P777"/>
  <c r="AA304"/>
  <c r="Z361"/>
  <c r="X493"/>
  <c r="B493" s="1"/>
  <c r="E35" s="1"/>
  <c r="B436"/>
  <c r="Y478"/>
  <c r="Z421"/>
  <c r="B724"/>
  <c r="V598"/>
  <c r="W541"/>
  <c r="V546"/>
  <c r="W367"/>
  <c r="W315"/>
  <c r="X310"/>
  <c r="W483"/>
  <c r="X426"/>
  <c r="W431"/>
  <c r="W488" s="1"/>
  <c r="Z364"/>
  <c r="AA307"/>
  <c r="W599"/>
  <c r="X542"/>
  <c r="W547"/>
  <c r="P721"/>
  <c r="P718" s="1"/>
  <c r="P661"/>
  <c r="R1064"/>
  <c r="S1007"/>
  <c r="R1012"/>
  <c r="I29"/>
  <c r="U949"/>
  <c r="V892"/>
  <c r="P953"/>
  <c r="P950" s="1"/>
  <c r="P893"/>
  <c r="R600"/>
  <c r="S543"/>
  <c r="R548"/>
  <c r="W943"/>
  <c r="W940" s="1"/>
  <c r="X886"/>
  <c r="T269"/>
  <c r="T280" s="1"/>
  <c r="T277"/>
  <c r="Z1057"/>
  <c r="AA1000"/>
  <c r="U1140"/>
  <c r="U1151" s="1"/>
  <c r="V369"/>
  <c r="W312"/>
  <c r="V317"/>
  <c r="V374" s="1"/>
  <c r="V1024"/>
  <c r="B1024" s="1"/>
  <c r="V1032"/>
  <c r="B1032" s="1"/>
  <c r="B1033" s="1"/>
  <c r="B1074"/>
  <c r="V1071"/>
  <c r="Z188"/>
  <c r="Y245"/>
  <c r="T733"/>
  <c r="T741"/>
  <c r="T744"/>
  <c r="V1178"/>
  <c r="W1121"/>
  <c r="V1126"/>
  <c r="U800"/>
  <c r="B839"/>
  <c r="H33" s="1"/>
  <c r="B800" l="1"/>
  <c r="B801" s="1"/>
  <c r="U857"/>
  <c r="B857" s="1"/>
  <c r="B858" s="1"/>
  <c r="T684"/>
  <c r="U1208"/>
  <c r="T223"/>
  <c r="V393"/>
  <c r="S161"/>
  <c r="S104"/>
  <c r="U1148"/>
  <c r="T509"/>
  <c r="V568"/>
  <c r="T96"/>
  <c r="T104" s="1"/>
  <c r="T143"/>
  <c r="V129"/>
  <c r="V128" s="1"/>
  <c r="V152" s="1"/>
  <c r="W72"/>
  <c r="V87"/>
  <c r="V71"/>
  <c r="V95" s="1"/>
  <c r="V1035"/>
  <c r="B1035" s="1"/>
  <c r="B1036" s="1"/>
  <c r="V336"/>
  <c r="S134"/>
  <c r="S82"/>
  <c r="S139" s="1"/>
  <c r="T77"/>
  <c r="U144"/>
  <c r="U143" s="1"/>
  <c r="U86"/>
  <c r="T455"/>
  <c r="V1183"/>
  <c r="Z245"/>
  <c r="AA188"/>
  <c r="J36"/>
  <c r="B1071"/>
  <c r="J33" s="1"/>
  <c r="Y886"/>
  <c r="X943"/>
  <c r="X940" s="1"/>
  <c r="X883"/>
  <c r="R605"/>
  <c r="R602" s="1"/>
  <c r="R545"/>
  <c r="S1064"/>
  <c r="T1007"/>
  <c r="S1012"/>
  <c r="W604"/>
  <c r="B604" s="1"/>
  <c r="F30" s="1"/>
  <c r="B547"/>
  <c r="Y426"/>
  <c r="X483"/>
  <c r="X431"/>
  <c r="X367"/>
  <c r="Y310"/>
  <c r="W598"/>
  <c r="X541"/>
  <c r="W546"/>
  <c r="G34"/>
  <c r="U835"/>
  <c r="B778"/>
  <c r="AA248"/>
  <c r="AB191"/>
  <c r="R373"/>
  <c r="R370" s="1"/>
  <c r="R313"/>
  <c r="AA593"/>
  <c r="AB536"/>
  <c r="X492"/>
  <c r="B435"/>
  <c r="V719"/>
  <c r="B662"/>
  <c r="W1190"/>
  <c r="B1133"/>
  <c r="B1130" s="1"/>
  <c r="W1130"/>
  <c r="V1197"/>
  <c r="V1208" s="1"/>
  <c r="V262"/>
  <c r="B205"/>
  <c r="B202" s="1"/>
  <c r="V202"/>
  <c r="V722"/>
  <c r="B722" s="1"/>
  <c r="G32" s="1"/>
  <c r="B665"/>
  <c r="V485"/>
  <c r="V433"/>
  <c r="V490" s="1"/>
  <c r="W428"/>
  <c r="AA1174"/>
  <c r="AB1117"/>
  <c r="W328"/>
  <c r="B328" s="1"/>
  <c r="B378"/>
  <c r="W375"/>
  <c r="R141"/>
  <c r="R138" s="1"/>
  <c r="R81"/>
  <c r="Z652"/>
  <c r="Y709"/>
  <c r="R257"/>
  <c r="R254" s="1"/>
  <c r="R197"/>
  <c r="X251"/>
  <c r="Y194"/>
  <c r="Z825"/>
  <c r="AA768"/>
  <c r="V253"/>
  <c r="W196"/>
  <c r="V201"/>
  <c r="B145"/>
  <c r="F925"/>
  <c r="F934" s="1"/>
  <c r="F960" s="1"/>
  <c r="F877"/>
  <c r="F903" s="1"/>
  <c r="BH925"/>
  <c r="BH934" s="1"/>
  <c r="BH960" s="1"/>
  <c r="BH877"/>
  <c r="BH903" s="1"/>
  <c r="AZ925"/>
  <c r="AZ934" s="1"/>
  <c r="AZ960" s="1"/>
  <c r="AZ877"/>
  <c r="AZ903" s="1"/>
  <c r="AR925"/>
  <c r="AR934" s="1"/>
  <c r="AR960" s="1"/>
  <c r="AR877"/>
  <c r="AR903" s="1"/>
  <c r="AJ925"/>
  <c r="AJ934" s="1"/>
  <c r="AJ960" s="1"/>
  <c r="AJ877"/>
  <c r="AJ903" s="1"/>
  <c r="AB925"/>
  <c r="AB934" s="1"/>
  <c r="AB960" s="1"/>
  <c r="AB877"/>
  <c r="AB903" s="1"/>
  <c r="T925"/>
  <c r="T934" s="1"/>
  <c r="T960" s="1"/>
  <c r="T877"/>
  <c r="T903" s="1"/>
  <c r="L925"/>
  <c r="L934" s="1"/>
  <c r="L960" s="1"/>
  <c r="L877"/>
  <c r="L903" s="1"/>
  <c r="BG925"/>
  <c r="BG934" s="1"/>
  <c r="BG960" s="1"/>
  <c r="BG877"/>
  <c r="BG903" s="1"/>
  <c r="AY925"/>
  <c r="AY934" s="1"/>
  <c r="AY960" s="1"/>
  <c r="AY877"/>
  <c r="AY903" s="1"/>
  <c r="AQ925"/>
  <c r="AQ934" s="1"/>
  <c r="AQ960" s="1"/>
  <c r="AQ877"/>
  <c r="AQ903" s="1"/>
  <c r="AI925"/>
  <c r="AI934" s="1"/>
  <c r="AI960" s="1"/>
  <c r="AI877"/>
  <c r="AI903" s="1"/>
  <c r="AA925"/>
  <c r="AA934" s="1"/>
  <c r="AA960" s="1"/>
  <c r="AA877"/>
  <c r="AA903" s="1"/>
  <c r="S925"/>
  <c r="S934" s="1"/>
  <c r="S960" s="1"/>
  <c r="S877"/>
  <c r="S903" s="1"/>
  <c r="K925"/>
  <c r="K934" s="1"/>
  <c r="K960" s="1"/>
  <c r="K877"/>
  <c r="K903" s="1"/>
  <c r="BF925"/>
  <c r="BF934" s="1"/>
  <c r="BF960" s="1"/>
  <c r="BF877"/>
  <c r="BF903" s="1"/>
  <c r="AX925"/>
  <c r="AX934" s="1"/>
  <c r="AX960" s="1"/>
  <c r="AX877"/>
  <c r="AX903" s="1"/>
  <c r="AP925"/>
  <c r="AP934" s="1"/>
  <c r="AP960" s="1"/>
  <c r="AP877"/>
  <c r="AP903" s="1"/>
  <c r="AH925"/>
  <c r="AH934" s="1"/>
  <c r="AH960" s="1"/>
  <c r="AH877"/>
  <c r="AH903" s="1"/>
  <c r="Z925"/>
  <c r="Z934" s="1"/>
  <c r="Z960" s="1"/>
  <c r="Z877"/>
  <c r="Z903" s="1"/>
  <c r="R925"/>
  <c r="R934" s="1"/>
  <c r="R960" s="1"/>
  <c r="R877"/>
  <c r="R903" s="1"/>
  <c r="J925"/>
  <c r="J934" s="1"/>
  <c r="J960" s="1"/>
  <c r="J877"/>
  <c r="J903" s="1"/>
  <c r="BI925"/>
  <c r="BI934" s="1"/>
  <c r="BI960" s="1"/>
  <c r="BI877"/>
  <c r="BI903" s="1"/>
  <c r="BA925"/>
  <c r="BA934" s="1"/>
  <c r="BA960" s="1"/>
  <c r="BA877"/>
  <c r="BA903" s="1"/>
  <c r="AS925"/>
  <c r="AS934" s="1"/>
  <c r="AS960" s="1"/>
  <c r="AS877"/>
  <c r="AS903" s="1"/>
  <c r="AK925"/>
  <c r="AK934" s="1"/>
  <c r="AK960" s="1"/>
  <c r="AK877"/>
  <c r="AK903" s="1"/>
  <c r="AC925"/>
  <c r="AC934" s="1"/>
  <c r="AC960" s="1"/>
  <c r="AC877"/>
  <c r="AC903" s="1"/>
  <c r="U925"/>
  <c r="U934" s="1"/>
  <c r="U960" s="1"/>
  <c r="U877"/>
  <c r="U903" s="1"/>
  <c r="M925"/>
  <c r="M934" s="1"/>
  <c r="M960" s="1"/>
  <c r="M877"/>
  <c r="M903" s="1"/>
  <c r="BJ925"/>
  <c r="BJ934" s="1"/>
  <c r="BJ960" s="1"/>
  <c r="BJ877"/>
  <c r="BJ903" s="1"/>
  <c r="Y246"/>
  <c r="Z189"/>
  <c r="Q953"/>
  <c r="Q950" s="1"/>
  <c r="Q893"/>
  <c r="S659"/>
  <c r="R716"/>
  <c r="R664"/>
  <c r="U838"/>
  <c r="B838" s="1"/>
  <c r="H32" s="1"/>
  <c r="B781"/>
  <c r="AB75"/>
  <c r="AA132"/>
  <c r="Q837"/>
  <c r="Q834" s="1"/>
  <c r="Q777"/>
  <c r="AA1058"/>
  <c r="AB1001"/>
  <c r="W1184"/>
  <c r="B1184" s="1"/>
  <c r="K30" s="1"/>
  <c r="B1127"/>
  <c r="X1179"/>
  <c r="Y1122"/>
  <c r="S427"/>
  <c r="R484"/>
  <c r="R432"/>
  <c r="W831"/>
  <c r="X774"/>
  <c r="W366"/>
  <c r="X309"/>
  <c r="W314"/>
  <c r="X1063"/>
  <c r="Y1006"/>
  <c r="S1180"/>
  <c r="T1123"/>
  <c r="S1128"/>
  <c r="V726"/>
  <c r="B669"/>
  <c r="B666" s="1"/>
  <c r="V666"/>
  <c r="U676"/>
  <c r="U687" s="1"/>
  <c r="W137"/>
  <c r="X80"/>
  <c r="W85"/>
  <c r="W142" s="1"/>
  <c r="Z885"/>
  <c r="Y942"/>
  <c r="U212"/>
  <c r="U220" s="1"/>
  <c r="U487"/>
  <c r="Y363"/>
  <c r="Y360" s="1"/>
  <c r="Z306"/>
  <c r="Y303"/>
  <c r="W1181"/>
  <c r="W1129"/>
  <c r="X1124"/>
  <c r="Y74"/>
  <c r="X131"/>
  <c r="X89"/>
  <c r="W715"/>
  <c r="X658"/>
  <c r="W250"/>
  <c r="X193"/>
  <c r="V494"/>
  <c r="V491" s="1"/>
  <c r="V434"/>
  <c r="U444"/>
  <c r="U452" s="1"/>
  <c r="V1067"/>
  <c r="B1010"/>
  <c r="AA596"/>
  <c r="AB539"/>
  <c r="W1178"/>
  <c r="X1121"/>
  <c r="W1126"/>
  <c r="V1081"/>
  <c r="B1081" s="1"/>
  <c r="J43" s="1"/>
  <c r="W369"/>
  <c r="W317"/>
  <c r="X312"/>
  <c r="AA1057"/>
  <c r="AB1000"/>
  <c r="S600"/>
  <c r="T543"/>
  <c r="S548"/>
  <c r="V949"/>
  <c r="W892"/>
  <c r="R1069"/>
  <c r="R1066" s="1"/>
  <c r="R1009"/>
  <c r="X599"/>
  <c r="Y542"/>
  <c r="AB307"/>
  <c r="AA364"/>
  <c r="W372"/>
  <c r="B372" s="1"/>
  <c r="D30" s="1"/>
  <c r="B315"/>
  <c r="V603"/>
  <c r="AA421"/>
  <c r="Z478"/>
  <c r="AA361"/>
  <c r="AB304"/>
  <c r="V830"/>
  <c r="W773"/>
  <c r="AA653"/>
  <c r="Z710"/>
  <c r="V1065"/>
  <c r="W1008"/>
  <c r="V1013"/>
  <c r="T311"/>
  <c r="S368"/>
  <c r="S316"/>
  <c r="W947"/>
  <c r="X890"/>
  <c r="Z420"/>
  <c r="Y477"/>
  <c r="W714"/>
  <c r="X657"/>
  <c r="X1175"/>
  <c r="X1172" s="1"/>
  <c r="Y1118"/>
  <c r="X1115"/>
  <c r="V1140"/>
  <c r="V1151" s="1"/>
  <c r="V1148"/>
  <c r="X190"/>
  <c r="W247"/>
  <c r="W244" s="1"/>
  <c r="W187"/>
  <c r="W717"/>
  <c r="X660"/>
  <c r="Y595"/>
  <c r="Y592" s="1"/>
  <c r="Z538"/>
  <c r="AA884"/>
  <c r="Z941"/>
  <c r="AA1060"/>
  <c r="AB1003"/>
  <c r="X827"/>
  <c r="X824" s="1"/>
  <c r="Y770"/>
  <c r="S136"/>
  <c r="T79"/>
  <c r="S84"/>
  <c r="S252"/>
  <c r="T195"/>
  <c r="S200"/>
  <c r="AB887"/>
  <c r="AA944"/>
  <c r="G925"/>
  <c r="G934" s="1"/>
  <c r="G960" s="1"/>
  <c r="G877"/>
  <c r="G903" s="1"/>
  <c r="E925"/>
  <c r="E934" s="1"/>
  <c r="E960" s="1"/>
  <c r="E877"/>
  <c r="E903" s="1"/>
  <c r="BD925"/>
  <c r="BD934" s="1"/>
  <c r="BD960" s="1"/>
  <c r="BD877"/>
  <c r="BD903" s="1"/>
  <c r="AV925"/>
  <c r="AV934" s="1"/>
  <c r="AV960" s="1"/>
  <c r="AV877"/>
  <c r="AV903" s="1"/>
  <c r="AN925"/>
  <c r="AN934" s="1"/>
  <c r="AN960" s="1"/>
  <c r="AN877"/>
  <c r="AN903" s="1"/>
  <c r="AF925"/>
  <c r="AF934" s="1"/>
  <c r="AF960" s="1"/>
  <c r="AF877"/>
  <c r="AF903" s="1"/>
  <c r="X925"/>
  <c r="X934" s="1"/>
  <c r="X960" s="1"/>
  <c r="X877"/>
  <c r="X903" s="1"/>
  <c r="P925"/>
  <c r="P934" s="1"/>
  <c r="P960" s="1"/>
  <c r="P877"/>
  <c r="P903" s="1"/>
  <c r="H925"/>
  <c r="H934" s="1"/>
  <c r="H960" s="1"/>
  <c r="H877"/>
  <c r="H903" s="1"/>
  <c r="BC925"/>
  <c r="BC934" s="1"/>
  <c r="BC960" s="1"/>
  <c r="BC877"/>
  <c r="BC903" s="1"/>
  <c r="AU925"/>
  <c r="AU934" s="1"/>
  <c r="AU960" s="1"/>
  <c r="AU877"/>
  <c r="AU903" s="1"/>
  <c r="AM925"/>
  <c r="AM934" s="1"/>
  <c r="AM960" s="1"/>
  <c r="AM877"/>
  <c r="AM903" s="1"/>
  <c r="AE925"/>
  <c r="AE934" s="1"/>
  <c r="AE960" s="1"/>
  <c r="AE877"/>
  <c r="AE903" s="1"/>
  <c r="W925"/>
  <c r="W934" s="1"/>
  <c r="W960" s="1"/>
  <c r="W877"/>
  <c r="W903" s="1"/>
  <c r="O925"/>
  <c r="O934" s="1"/>
  <c r="O960" s="1"/>
  <c r="O877"/>
  <c r="O903" s="1"/>
  <c r="B868"/>
  <c r="C925"/>
  <c r="C877"/>
  <c r="BB925"/>
  <c r="BB934" s="1"/>
  <c r="BB960" s="1"/>
  <c r="BB877"/>
  <c r="BB903" s="1"/>
  <c r="AT925"/>
  <c r="AT934" s="1"/>
  <c r="AT960" s="1"/>
  <c r="AT877"/>
  <c r="AT903" s="1"/>
  <c r="AL925"/>
  <c r="AL934" s="1"/>
  <c r="AL960" s="1"/>
  <c r="AL877"/>
  <c r="AL903" s="1"/>
  <c r="AD925"/>
  <c r="AD934" s="1"/>
  <c r="AD960" s="1"/>
  <c r="AD877"/>
  <c r="AD903" s="1"/>
  <c r="V925"/>
  <c r="V934" s="1"/>
  <c r="V960" s="1"/>
  <c r="V877"/>
  <c r="V903" s="1"/>
  <c r="N925"/>
  <c r="N934" s="1"/>
  <c r="N960" s="1"/>
  <c r="N877"/>
  <c r="N903" s="1"/>
  <c r="D925"/>
  <c r="D934" s="1"/>
  <c r="D960" s="1"/>
  <c r="D877"/>
  <c r="D903" s="1"/>
  <c r="BE925"/>
  <c r="BE934" s="1"/>
  <c r="BE960" s="1"/>
  <c r="BE877"/>
  <c r="BE903" s="1"/>
  <c r="AW925"/>
  <c r="AW934" s="1"/>
  <c r="AW960" s="1"/>
  <c r="AW877"/>
  <c r="AW903" s="1"/>
  <c r="AO925"/>
  <c r="AO934" s="1"/>
  <c r="AO960" s="1"/>
  <c r="AO877"/>
  <c r="AO903" s="1"/>
  <c r="AG925"/>
  <c r="AG934" s="1"/>
  <c r="AG960" s="1"/>
  <c r="AG877"/>
  <c r="AG903" s="1"/>
  <c r="Y925"/>
  <c r="Y934" s="1"/>
  <c r="Y960" s="1"/>
  <c r="Y877"/>
  <c r="Y903" s="1"/>
  <c r="Q925"/>
  <c r="Q934" s="1"/>
  <c r="Q960" s="1"/>
  <c r="Q877"/>
  <c r="Q903" s="1"/>
  <c r="I925"/>
  <c r="I934" s="1"/>
  <c r="I960" s="1"/>
  <c r="I877"/>
  <c r="I903" s="1"/>
  <c r="H49"/>
  <c r="H752"/>
  <c r="L752"/>
  <c r="P752"/>
  <c r="T752"/>
  <c r="X752"/>
  <c r="AB752"/>
  <c r="AF752"/>
  <c r="AJ752"/>
  <c r="AN752"/>
  <c r="AR752"/>
  <c r="AV752"/>
  <c r="AZ752"/>
  <c r="BD752"/>
  <c r="BH752"/>
  <c r="I752"/>
  <c r="M752"/>
  <c r="Q752"/>
  <c r="U752"/>
  <c r="Y752"/>
  <c r="AC752"/>
  <c r="AG752"/>
  <c r="AK752"/>
  <c r="AO752"/>
  <c r="AS752"/>
  <c r="AW752"/>
  <c r="BA752"/>
  <c r="BE752"/>
  <c r="E752"/>
  <c r="BI752"/>
  <c r="D752"/>
  <c r="J752"/>
  <c r="N752"/>
  <c r="R752"/>
  <c r="V752"/>
  <c r="Z752"/>
  <c r="AD752"/>
  <c r="AH752"/>
  <c r="AL752"/>
  <c r="AP752"/>
  <c r="AT752"/>
  <c r="AX752"/>
  <c r="BB752"/>
  <c r="BF752"/>
  <c r="BJ752"/>
  <c r="C752"/>
  <c r="K752"/>
  <c r="O752"/>
  <c r="S752"/>
  <c r="W752"/>
  <c r="AA752"/>
  <c r="AE752"/>
  <c r="AI752"/>
  <c r="AM752"/>
  <c r="AQ752"/>
  <c r="AU752"/>
  <c r="AY752"/>
  <c r="BC752"/>
  <c r="BG752"/>
  <c r="F752"/>
  <c r="G752"/>
  <c r="AA1173"/>
  <c r="AB1116"/>
  <c r="W135"/>
  <c r="X78"/>
  <c r="W83"/>
  <c r="W140" s="1"/>
  <c r="AB1176"/>
  <c r="AC1119"/>
  <c r="R948"/>
  <c r="S891"/>
  <c r="R896"/>
  <c r="Q721"/>
  <c r="Q718" s="1"/>
  <c r="Q661"/>
  <c r="AA480"/>
  <c r="AB423"/>
  <c r="AA828"/>
  <c r="AB771"/>
  <c r="V833"/>
  <c r="W776"/>
  <c r="Z362"/>
  <c r="AA305"/>
  <c r="R832"/>
  <c r="S775"/>
  <c r="R780"/>
  <c r="Q489"/>
  <c r="Q486" s="1"/>
  <c r="Q429"/>
  <c r="W601"/>
  <c r="X544"/>
  <c r="W549"/>
  <c r="V371"/>
  <c r="R1185"/>
  <c r="R1182" s="1"/>
  <c r="R1125"/>
  <c r="X654"/>
  <c r="W711"/>
  <c r="W708" s="1"/>
  <c r="W651"/>
  <c r="U733"/>
  <c r="U744" s="1"/>
  <c r="Y1059"/>
  <c r="Y1056" s="1"/>
  <c r="Z1002"/>
  <c r="Y999"/>
  <c r="U269"/>
  <c r="U280" s="1"/>
  <c r="V482"/>
  <c r="W425"/>
  <c r="V430"/>
  <c r="W560"/>
  <c r="B560" s="1"/>
  <c r="B610"/>
  <c r="W607"/>
  <c r="W146"/>
  <c r="V720"/>
  <c r="B720" s="1"/>
  <c r="G30" s="1"/>
  <c r="B663"/>
  <c r="Z594"/>
  <c r="AA537"/>
  <c r="V255"/>
  <c r="B198"/>
  <c r="X422"/>
  <c r="W479"/>
  <c r="W476" s="1"/>
  <c r="W500" s="1"/>
  <c r="W437"/>
  <c r="W419"/>
  <c r="W443" s="1"/>
  <c r="U501"/>
  <c r="U509" s="1"/>
  <c r="W1062"/>
  <c r="X1005"/>
  <c r="V946"/>
  <c r="W889"/>
  <c r="Z130"/>
  <c r="AA73"/>
  <c r="AA712"/>
  <c r="AB655"/>
  <c r="Y826"/>
  <c r="Z769"/>
  <c r="Y535"/>
  <c r="U512" l="1"/>
  <c r="U741"/>
  <c r="U455"/>
  <c r="U684"/>
  <c r="T107"/>
  <c r="W568"/>
  <c r="B568" s="1"/>
  <c r="B569" s="1"/>
  <c r="W336"/>
  <c r="B336" s="1"/>
  <c r="B337" s="1"/>
  <c r="V1205"/>
  <c r="U96"/>
  <c r="U107" s="1"/>
  <c r="T134"/>
  <c r="T82"/>
  <c r="T139" s="1"/>
  <c r="U77"/>
  <c r="V144"/>
  <c r="V143" s="1"/>
  <c r="V86"/>
  <c r="T153"/>
  <c r="T164" s="1"/>
  <c r="U277"/>
  <c r="V1092"/>
  <c r="B1092" s="1"/>
  <c r="B1093" s="1"/>
  <c r="J48" s="1"/>
  <c r="U223"/>
  <c r="U153"/>
  <c r="U164" s="1"/>
  <c r="W129"/>
  <c r="W128" s="1"/>
  <c r="W152" s="1"/>
  <c r="W87"/>
  <c r="X72"/>
  <c r="W71"/>
  <c r="W95" s="1"/>
  <c r="AA769"/>
  <c r="Z826"/>
  <c r="B255"/>
  <c r="W617"/>
  <c r="B617" s="1"/>
  <c r="F43" s="1"/>
  <c r="W628"/>
  <c r="B628" s="1"/>
  <c r="B629" s="1"/>
  <c r="F48" s="1"/>
  <c r="W482"/>
  <c r="X425"/>
  <c r="W430"/>
  <c r="Z1059"/>
  <c r="Z1056" s="1"/>
  <c r="AA1002"/>
  <c r="Z999"/>
  <c r="W606"/>
  <c r="B606" s="1"/>
  <c r="F32" s="1"/>
  <c r="B549"/>
  <c r="S832"/>
  <c r="T775"/>
  <c r="S780"/>
  <c r="AB305"/>
  <c r="AA362"/>
  <c r="W833"/>
  <c r="X776"/>
  <c r="AC771"/>
  <c r="AB828"/>
  <c r="AC423"/>
  <c r="AB480"/>
  <c r="R953"/>
  <c r="B896"/>
  <c r="B893" s="1"/>
  <c r="R893"/>
  <c r="X135"/>
  <c r="Y78"/>
  <c r="X83"/>
  <c r="F809"/>
  <c r="F818" s="1"/>
  <c r="F844" s="1"/>
  <c r="F761"/>
  <c r="F787" s="1"/>
  <c r="BC809"/>
  <c r="BC818" s="1"/>
  <c r="BC844" s="1"/>
  <c r="BC761"/>
  <c r="BC787" s="1"/>
  <c r="AU809"/>
  <c r="AU818" s="1"/>
  <c r="AU844" s="1"/>
  <c r="AU761"/>
  <c r="AU787" s="1"/>
  <c r="AM809"/>
  <c r="AM818" s="1"/>
  <c r="AM844" s="1"/>
  <c r="AM761"/>
  <c r="AM787" s="1"/>
  <c r="AE809"/>
  <c r="AE818" s="1"/>
  <c r="AE844" s="1"/>
  <c r="AE761"/>
  <c r="AE787" s="1"/>
  <c r="W809"/>
  <c r="W818" s="1"/>
  <c r="W844" s="1"/>
  <c r="W761"/>
  <c r="W787" s="1"/>
  <c r="O809"/>
  <c r="O818" s="1"/>
  <c r="O844" s="1"/>
  <c r="O761"/>
  <c r="O787" s="1"/>
  <c r="C809"/>
  <c r="C761"/>
  <c r="B752"/>
  <c r="BF809"/>
  <c r="BF818" s="1"/>
  <c r="BF844" s="1"/>
  <c r="BF761"/>
  <c r="BF787" s="1"/>
  <c r="AX809"/>
  <c r="AX818" s="1"/>
  <c r="AX844" s="1"/>
  <c r="AX761"/>
  <c r="AX787" s="1"/>
  <c r="AP809"/>
  <c r="AP818" s="1"/>
  <c r="AP844" s="1"/>
  <c r="AP761"/>
  <c r="AP787" s="1"/>
  <c r="AH809"/>
  <c r="AH818" s="1"/>
  <c r="AH844" s="1"/>
  <c r="AH761"/>
  <c r="AH787" s="1"/>
  <c r="Z809"/>
  <c r="Z818" s="1"/>
  <c r="Z844" s="1"/>
  <c r="Z761"/>
  <c r="Z787" s="1"/>
  <c r="R809"/>
  <c r="R818" s="1"/>
  <c r="R844" s="1"/>
  <c r="R761"/>
  <c r="R787" s="1"/>
  <c r="J809"/>
  <c r="J818" s="1"/>
  <c r="J844" s="1"/>
  <c r="J761"/>
  <c r="J787" s="1"/>
  <c r="BI809"/>
  <c r="BI818" s="1"/>
  <c r="BI844" s="1"/>
  <c r="BI761"/>
  <c r="BI787" s="1"/>
  <c r="BE809"/>
  <c r="BE818" s="1"/>
  <c r="BE844" s="1"/>
  <c r="BE761"/>
  <c r="BE787" s="1"/>
  <c r="AW809"/>
  <c r="AW818" s="1"/>
  <c r="AW844" s="1"/>
  <c r="AW761"/>
  <c r="AW787" s="1"/>
  <c r="AO809"/>
  <c r="AO818" s="1"/>
  <c r="AO844" s="1"/>
  <c r="AO761"/>
  <c r="AO787" s="1"/>
  <c r="AG809"/>
  <c r="AG818" s="1"/>
  <c r="AG844" s="1"/>
  <c r="AG761"/>
  <c r="AG787" s="1"/>
  <c r="Y809"/>
  <c r="Y818" s="1"/>
  <c r="Y844" s="1"/>
  <c r="Y761"/>
  <c r="Y787" s="1"/>
  <c r="Q809"/>
  <c r="Q818" s="1"/>
  <c r="Q844" s="1"/>
  <c r="Q761"/>
  <c r="Q787" s="1"/>
  <c r="I809"/>
  <c r="I818" s="1"/>
  <c r="I844" s="1"/>
  <c r="I761"/>
  <c r="I787" s="1"/>
  <c r="BD809"/>
  <c r="BD818" s="1"/>
  <c r="BD844" s="1"/>
  <c r="BD761"/>
  <c r="BD787" s="1"/>
  <c r="AV809"/>
  <c r="AV818" s="1"/>
  <c r="AV844" s="1"/>
  <c r="AV761"/>
  <c r="AV787" s="1"/>
  <c r="AN809"/>
  <c r="AN818" s="1"/>
  <c r="AN844" s="1"/>
  <c r="AN761"/>
  <c r="AN787" s="1"/>
  <c r="AF809"/>
  <c r="AF818" s="1"/>
  <c r="AF844" s="1"/>
  <c r="AF761"/>
  <c r="AF787" s="1"/>
  <c r="X809"/>
  <c r="X818" s="1"/>
  <c r="X844" s="1"/>
  <c r="X761"/>
  <c r="X787" s="1"/>
  <c r="P809"/>
  <c r="P818" s="1"/>
  <c r="P844" s="1"/>
  <c r="P761"/>
  <c r="P787" s="1"/>
  <c r="H809"/>
  <c r="H818" s="1"/>
  <c r="H844" s="1"/>
  <c r="H761"/>
  <c r="H787" s="1"/>
  <c r="I904"/>
  <c r="I905" s="1"/>
  <c r="I910" s="1"/>
  <c r="I911" s="1"/>
  <c r="Q904"/>
  <c r="Q905" s="1"/>
  <c r="Q910" s="1"/>
  <c r="Q911" s="1"/>
  <c r="Y904"/>
  <c r="Y905" s="1"/>
  <c r="Y910" s="1"/>
  <c r="Y911" s="1"/>
  <c r="Y912" s="1"/>
  <c r="AG904"/>
  <c r="AG905" s="1"/>
  <c r="AG910" s="1"/>
  <c r="AG911" s="1"/>
  <c r="AG912" s="1"/>
  <c r="AO904"/>
  <c r="AO905" s="1"/>
  <c r="AO910" s="1"/>
  <c r="AO911" s="1"/>
  <c r="AO912" s="1"/>
  <c r="AW904"/>
  <c r="AW905" s="1"/>
  <c r="AW910" s="1"/>
  <c r="AW911" s="1"/>
  <c r="AW912" s="1"/>
  <c r="BE904"/>
  <c r="BE905" s="1"/>
  <c r="BE910" s="1"/>
  <c r="BE911" s="1"/>
  <c r="BE912" s="1"/>
  <c r="D904"/>
  <c r="D905" s="1"/>
  <c r="D910" s="1"/>
  <c r="D911" s="1"/>
  <c r="N904"/>
  <c r="N905" s="1"/>
  <c r="N910" s="1"/>
  <c r="N911" s="1"/>
  <c r="V904"/>
  <c r="V905" s="1"/>
  <c r="V910" s="1"/>
  <c r="V911" s="1"/>
  <c r="V912" s="1"/>
  <c r="AD904"/>
  <c r="AD905" s="1"/>
  <c r="AD910" s="1"/>
  <c r="AD911" s="1"/>
  <c r="AD912" s="1"/>
  <c r="AL904"/>
  <c r="AL905" s="1"/>
  <c r="AL910" s="1"/>
  <c r="AL911" s="1"/>
  <c r="AL912" s="1"/>
  <c r="AT904"/>
  <c r="AT905" s="1"/>
  <c r="AT910" s="1"/>
  <c r="AT911" s="1"/>
  <c r="AT912" s="1"/>
  <c r="BB904"/>
  <c r="BB905" s="1"/>
  <c r="BB910" s="1"/>
  <c r="BB911" s="1"/>
  <c r="BB912" s="1"/>
  <c r="B877"/>
  <c r="C903"/>
  <c r="O961"/>
  <c r="O962" s="1"/>
  <c r="O967" s="1"/>
  <c r="O968" s="1"/>
  <c r="W961"/>
  <c r="W962" s="1"/>
  <c r="W967" s="1"/>
  <c r="W968" s="1"/>
  <c r="W969" s="1"/>
  <c r="W1222" s="1"/>
  <c r="W1241" s="1"/>
  <c r="AE961"/>
  <c r="AE962" s="1"/>
  <c r="AE967" s="1"/>
  <c r="AE968" s="1"/>
  <c r="AE969" s="1"/>
  <c r="AE1222" s="1"/>
  <c r="AE1241" s="1"/>
  <c r="AM961"/>
  <c r="AM962" s="1"/>
  <c r="AM967" s="1"/>
  <c r="AM968" s="1"/>
  <c r="AM969" s="1"/>
  <c r="AM1222" s="1"/>
  <c r="AM1241" s="1"/>
  <c r="AU961"/>
  <c r="AU962" s="1"/>
  <c r="AU967" s="1"/>
  <c r="AU968" s="1"/>
  <c r="AU969" s="1"/>
  <c r="AU1222" s="1"/>
  <c r="AU1241" s="1"/>
  <c r="BC961"/>
  <c r="BC962" s="1"/>
  <c r="BC967" s="1"/>
  <c r="BC968" s="1"/>
  <c r="BC969" s="1"/>
  <c r="BC1222" s="1"/>
  <c r="BC1241" s="1"/>
  <c r="H961"/>
  <c r="H962" s="1"/>
  <c r="H967" s="1"/>
  <c r="H968" s="1"/>
  <c r="P961"/>
  <c r="P962" s="1"/>
  <c r="P967" s="1"/>
  <c r="P968" s="1"/>
  <c r="X961"/>
  <c r="X962" s="1"/>
  <c r="X967" s="1"/>
  <c r="X968" s="1"/>
  <c r="X969" s="1"/>
  <c r="X1222" s="1"/>
  <c r="X1241" s="1"/>
  <c r="AF961"/>
  <c r="AF962" s="1"/>
  <c r="AF967" s="1"/>
  <c r="AF968" s="1"/>
  <c r="AF969" s="1"/>
  <c r="AF1222" s="1"/>
  <c r="AF1241" s="1"/>
  <c r="AN961"/>
  <c r="AN962" s="1"/>
  <c r="AN967" s="1"/>
  <c r="AN968" s="1"/>
  <c r="AN969" s="1"/>
  <c r="AN1222" s="1"/>
  <c r="AN1241" s="1"/>
  <c r="AV961"/>
  <c r="AV962" s="1"/>
  <c r="AV967" s="1"/>
  <c r="AV968" s="1"/>
  <c r="AV969" s="1"/>
  <c r="AV1222" s="1"/>
  <c r="AV1241" s="1"/>
  <c r="BD961"/>
  <c r="BD962" s="1"/>
  <c r="BD967" s="1"/>
  <c r="BD968" s="1"/>
  <c r="BD969" s="1"/>
  <c r="BD1222" s="1"/>
  <c r="BD1241" s="1"/>
  <c r="E961"/>
  <c r="E962" s="1"/>
  <c r="E967" s="1"/>
  <c r="E968" s="1"/>
  <c r="G961"/>
  <c r="G962" s="1"/>
  <c r="G967" s="1"/>
  <c r="G968" s="1"/>
  <c r="AB944"/>
  <c r="AC887"/>
  <c r="T252"/>
  <c r="U195"/>
  <c r="T200"/>
  <c r="S141"/>
  <c r="S138" s="1"/>
  <c r="S81"/>
  <c r="Z595"/>
  <c r="Z592" s="1"/>
  <c r="AA538"/>
  <c r="Z535"/>
  <c r="Y660"/>
  <c r="X717"/>
  <c r="X247"/>
  <c r="X244" s="1"/>
  <c r="Y190"/>
  <c r="X187"/>
  <c r="X947"/>
  <c r="Y890"/>
  <c r="S373"/>
  <c r="S370" s="1"/>
  <c r="S313"/>
  <c r="T368"/>
  <c r="U311"/>
  <c r="T316"/>
  <c r="W1065"/>
  <c r="X1008"/>
  <c r="W830"/>
  <c r="X773"/>
  <c r="AC304"/>
  <c r="AB361"/>
  <c r="AA478"/>
  <c r="AB421"/>
  <c r="AB364"/>
  <c r="AC307"/>
  <c r="T600"/>
  <c r="U543"/>
  <c r="T548"/>
  <c r="W374"/>
  <c r="B374" s="1"/>
  <c r="D32" s="1"/>
  <c r="B317"/>
  <c r="X1178"/>
  <c r="Y1121"/>
  <c r="V501"/>
  <c r="V512" s="1"/>
  <c r="X1181"/>
  <c r="Y1124"/>
  <c r="AA306"/>
  <c r="Z363"/>
  <c r="Z360" s="1"/>
  <c r="Z303"/>
  <c r="Z942"/>
  <c r="AA885"/>
  <c r="X137"/>
  <c r="Y80"/>
  <c r="X85"/>
  <c r="S1185"/>
  <c r="S1182" s="1"/>
  <c r="S1125"/>
  <c r="X366"/>
  <c r="Y309"/>
  <c r="X831"/>
  <c r="Y774"/>
  <c r="R489"/>
  <c r="R486" s="1"/>
  <c r="R429"/>
  <c r="S484"/>
  <c r="T427"/>
  <c r="S432"/>
  <c r="AB132"/>
  <c r="AC75"/>
  <c r="BJ961"/>
  <c r="BJ962" s="1"/>
  <c r="BJ967" s="1"/>
  <c r="BJ968" s="1"/>
  <c r="BJ969" s="1"/>
  <c r="BJ1222" s="1"/>
  <c r="BJ1241" s="1"/>
  <c r="M961"/>
  <c r="M962" s="1"/>
  <c r="M967" s="1"/>
  <c r="M968" s="1"/>
  <c r="U961"/>
  <c r="U962" s="1"/>
  <c r="U967" s="1"/>
  <c r="U968" s="1"/>
  <c r="U969" s="1"/>
  <c r="U1222" s="1"/>
  <c r="U1241" s="1"/>
  <c r="AC961"/>
  <c r="AC962" s="1"/>
  <c r="AC967" s="1"/>
  <c r="AC968" s="1"/>
  <c r="AC969" s="1"/>
  <c r="AC1222" s="1"/>
  <c r="AC1241" s="1"/>
  <c r="AK961"/>
  <c r="AK962" s="1"/>
  <c r="AK967" s="1"/>
  <c r="AK968" s="1"/>
  <c r="AK969" s="1"/>
  <c r="AK1222" s="1"/>
  <c r="AK1241" s="1"/>
  <c r="AS961"/>
  <c r="AS962" s="1"/>
  <c r="AS967" s="1"/>
  <c r="AS968" s="1"/>
  <c r="AS969" s="1"/>
  <c r="AS1222" s="1"/>
  <c r="AS1241" s="1"/>
  <c r="BA961"/>
  <c r="BA962" s="1"/>
  <c r="BA967" s="1"/>
  <c r="BA968" s="1"/>
  <c r="BA969" s="1"/>
  <c r="BA1222" s="1"/>
  <c r="BA1241" s="1"/>
  <c r="BI961"/>
  <c r="BI962" s="1"/>
  <c r="BI967" s="1"/>
  <c r="BI968" s="1"/>
  <c r="BI969" s="1"/>
  <c r="BI1222" s="1"/>
  <c r="BI1241" s="1"/>
  <c r="J961"/>
  <c r="J962" s="1"/>
  <c r="J967" s="1"/>
  <c r="J968" s="1"/>
  <c r="R961"/>
  <c r="R962" s="1"/>
  <c r="R967" s="1"/>
  <c r="R968" s="1"/>
  <c r="Z961"/>
  <c r="Z962" s="1"/>
  <c r="Z967" s="1"/>
  <c r="Z968" s="1"/>
  <c r="Z969" s="1"/>
  <c r="Z1222" s="1"/>
  <c r="Z1241" s="1"/>
  <c r="AH961"/>
  <c r="AH962" s="1"/>
  <c r="AH967" s="1"/>
  <c r="AH968" s="1"/>
  <c r="AH969" s="1"/>
  <c r="AH1222" s="1"/>
  <c r="AH1241" s="1"/>
  <c r="AP961"/>
  <c r="AP962" s="1"/>
  <c r="AP967" s="1"/>
  <c r="AP968" s="1"/>
  <c r="AP969" s="1"/>
  <c r="AP1222" s="1"/>
  <c r="AP1241" s="1"/>
  <c r="AX961"/>
  <c r="AX962" s="1"/>
  <c r="AX967" s="1"/>
  <c r="AX968" s="1"/>
  <c r="AX969" s="1"/>
  <c r="AX1222" s="1"/>
  <c r="AX1241" s="1"/>
  <c r="BF961"/>
  <c r="BF962" s="1"/>
  <c r="BF967" s="1"/>
  <c r="BF968" s="1"/>
  <c r="BF969" s="1"/>
  <c r="BF1222" s="1"/>
  <c r="BF1241" s="1"/>
  <c r="K961"/>
  <c r="K962" s="1"/>
  <c r="K967" s="1"/>
  <c r="K968" s="1"/>
  <c r="S961"/>
  <c r="S962" s="1"/>
  <c r="S967" s="1"/>
  <c r="S968" s="1"/>
  <c r="S969" s="1"/>
  <c r="S1222" s="1"/>
  <c r="S1241" s="1"/>
  <c r="AA961"/>
  <c r="AA962" s="1"/>
  <c r="AA967" s="1"/>
  <c r="AA968" s="1"/>
  <c r="AA969" s="1"/>
  <c r="AA1222" s="1"/>
  <c r="AA1241" s="1"/>
  <c r="AI961"/>
  <c r="AI962" s="1"/>
  <c r="AI967" s="1"/>
  <c r="AI968" s="1"/>
  <c r="AI969" s="1"/>
  <c r="AI1222" s="1"/>
  <c r="AI1241" s="1"/>
  <c r="AQ961"/>
  <c r="AQ962" s="1"/>
  <c r="AQ967" s="1"/>
  <c r="AQ968" s="1"/>
  <c r="AQ969" s="1"/>
  <c r="AQ1222" s="1"/>
  <c r="AQ1241" s="1"/>
  <c r="AY961"/>
  <c r="AY962" s="1"/>
  <c r="AY967" s="1"/>
  <c r="AY968" s="1"/>
  <c r="AY969" s="1"/>
  <c r="AY1222" s="1"/>
  <c r="AY1241" s="1"/>
  <c r="BG961"/>
  <c r="BG962" s="1"/>
  <c r="BG967" s="1"/>
  <c r="BG968" s="1"/>
  <c r="BG969" s="1"/>
  <c r="BG1222" s="1"/>
  <c r="BG1241" s="1"/>
  <c r="L961"/>
  <c r="L962" s="1"/>
  <c r="L967" s="1"/>
  <c r="L968" s="1"/>
  <c r="T961"/>
  <c r="T962" s="1"/>
  <c r="T967" s="1"/>
  <c r="T968" s="1"/>
  <c r="T969" s="1"/>
  <c r="T1222" s="1"/>
  <c r="T1241" s="1"/>
  <c r="AB961"/>
  <c r="AB962" s="1"/>
  <c r="AB967" s="1"/>
  <c r="AB968" s="1"/>
  <c r="AB969" s="1"/>
  <c r="AB1222" s="1"/>
  <c r="AB1241" s="1"/>
  <c r="AJ961"/>
  <c r="AJ962" s="1"/>
  <c r="AJ967" s="1"/>
  <c r="AJ968" s="1"/>
  <c r="AJ969" s="1"/>
  <c r="AJ1222" s="1"/>
  <c r="AJ1241" s="1"/>
  <c r="AR961"/>
  <c r="AR962" s="1"/>
  <c r="AR967" s="1"/>
  <c r="AR968" s="1"/>
  <c r="AR969" s="1"/>
  <c r="AR1222" s="1"/>
  <c r="AR1241" s="1"/>
  <c r="AZ961"/>
  <c r="AZ962" s="1"/>
  <c r="AZ967" s="1"/>
  <c r="AZ968" s="1"/>
  <c r="AZ969" s="1"/>
  <c r="AZ1222" s="1"/>
  <c r="AZ1241" s="1"/>
  <c r="BH961"/>
  <c r="BH962" s="1"/>
  <c r="BH967" s="1"/>
  <c r="BH968" s="1"/>
  <c r="BH969" s="1"/>
  <c r="BH1222" s="1"/>
  <c r="BH1241" s="1"/>
  <c r="F961"/>
  <c r="F962" s="1"/>
  <c r="F967" s="1"/>
  <c r="F968" s="1"/>
  <c r="B35"/>
  <c r="W253"/>
  <c r="X196"/>
  <c r="W385"/>
  <c r="B385" s="1"/>
  <c r="D43" s="1"/>
  <c r="V212"/>
  <c r="B212" s="1"/>
  <c r="B262"/>
  <c r="V259"/>
  <c r="W1140"/>
  <c r="B1140" s="1"/>
  <c r="B1190"/>
  <c r="W1187"/>
  <c r="B719"/>
  <c r="B492"/>
  <c r="W603"/>
  <c r="B546"/>
  <c r="S1069"/>
  <c r="S1066" s="1"/>
  <c r="S1009"/>
  <c r="AC655"/>
  <c r="AB712"/>
  <c r="AB73"/>
  <c r="AA130"/>
  <c r="W946"/>
  <c r="X889"/>
  <c r="X1062"/>
  <c r="Y1005"/>
  <c r="W494"/>
  <c r="W491" s="1"/>
  <c r="W434"/>
  <c r="X479"/>
  <c r="X476" s="1"/>
  <c r="X500" s="1"/>
  <c r="B500" s="1"/>
  <c r="E42" s="1"/>
  <c r="Y422"/>
  <c r="X437"/>
  <c r="X419"/>
  <c r="X443" s="1"/>
  <c r="B443" s="1"/>
  <c r="AA594"/>
  <c r="AB537"/>
  <c r="F36"/>
  <c r="B607"/>
  <c r="F33" s="1"/>
  <c r="V487"/>
  <c r="X711"/>
  <c r="X708" s="1"/>
  <c r="Y654"/>
  <c r="X651"/>
  <c r="X601"/>
  <c r="Y544"/>
  <c r="R837"/>
  <c r="R834" s="1"/>
  <c r="R777"/>
  <c r="S948"/>
  <c r="T891"/>
  <c r="AC1176"/>
  <c r="AD1119"/>
  <c r="AC1116"/>
  <c r="AB1173"/>
  <c r="G809"/>
  <c r="G818" s="1"/>
  <c r="G844" s="1"/>
  <c r="G761"/>
  <c r="G787" s="1"/>
  <c r="BG809"/>
  <c r="BG818" s="1"/>
  <c r="BG844" s="1"/>
  <c r="BG761"/>
  <c r="BG787" s="1"/>
  <c r="AY809"/>
  <c r="AY818" s="1"/>
  <c r="AY844" s="1"/>
  <c r="AY761"/>
  <c r="AY787" s="1"/>
  <c r="AQ809"/>
  <c r="AQ818" s="1"/>
  <c r="AQ844" s="1"/>
  <c r="AQ761"/>
  <c r="AQ787" s="1"/>
  <c r="AI809"/>
  <c r="AI818" s="1"/>
  <c r="AI844" s="1"/>
  <c r="AI761"/>
  <c r="AI787" s="1"/>
  <c r="AA809"/>
  <c r="AA818" s="1"/>
  <c r="AA844" s="1"/>
  <c r="AA761"/>
  <c r="AA787" s="1"/>
  <c r="S809"/>
  <c r="S818" s="1"/>
  <c r="S844" s="1"/>
  <c r="S761"/>
  <c r="S787" s="1"/>
  <c r="K809"/>
  <c r="K818" s="1"/>
  <c r="K844" s="1"/>
  <c r="K761"/>
  <c r="K787" s="1"/>
  <c r="BJ809"/>
  <c r="BJ818" s="1"/>
  <c r="BJ844" s="1"/>
  <c r="BJ761"/>
  <c r="BJ787" s="1"/>
  <c r="BB809"/>
  <c r="BB818" s="1"/>
  <c r="BB844" s="1"/>
  <c r="BB761"/>
  <c r="BB787" s="1"/>
  <c r="AT809"/>
  <c r="AT818" s="1"/>
  <c r="AT844" s="1"/>
  <c r="AT761"/>
  <c r="AT787" s="1"/>
  <c r="AL809"/>
  <c r="AL818" s="1"/>
  <c r="AL844" s="1"/>
  <c r="AL761"/>
  <c r="AL787" s="1"/>
  <c r="AD809"/>
  <c r="AD818" s="1"/>
  <c r="AD844" s="1"/>
  <c r="AD761"/>
  <c r="AD787" s="1"/>
  <c r="V809"/>
  <c r="V818" s="1"/>
  <c r="V844" s="1"/>
  <c r="V761"/>
  <c r="V787" s="1"/>
  <c r="N809"/>
  <c r="N818" s="1"/>
  <c r="N844" s="1"/>
  <c r="N761"/>
  <c r="N787" s="1"/>
  <c r="D809"/>
  <c r="D818" s="1"/>
  <c r="D844" s="1"/>
  <c r="D761"/>
  <c r="D787" s="1"/>
  <c r="E809"/>
  <c r="E818" s="1"/>
  <c r="E844" s="1"/>
  <c r="E761"/>
  <c r="E787" s="1"/>
  <c r="BA809"/>
  <c r="BA818" s="1"/>
  <c r="BA844" s="1"/>
  <c r="BA761"/>
  <c r="BA787" s="1"/>
  <c r="AS809"/>
  <c r="AS818" s="1"/>
  <c r="AS844" s="1"/>
  <c r="AS761"/>
  <c r="AS787" s="1"/>
  <c r="AK809"/>
  <c r="AK818" s="1"/>
  <c r="AK844" s="1"/>
  <c r="AK761"/>
  <c r="AK787" s="1"/>
  <c r="AC809"/>
  <c r="AC818" s="1"/>
  <c r="AC844" s="1"/>
  <c r="AC761"/>
  <c r="AC787" s="1"/>
  <c r="U809"/>
  <c r="U818" s="1"/>
  <c r="U844" s="1"/>
  <c r="U761"/>
  <c r="U787" s="1"/>
  <c r="M809"/>
  <c r="M818" s="1"/>
  <c r="M844" s="1"/>
  <c r="M761"/>
  <c r="M787" s="1"/>
  <c r="BH809"/>
  <c r="BH818" s="1"/>
  <c r="BH844" s="1"/>
  <c r="BH761"/>
  <c r="BH787" s="1"/>
  <c r="AZ809"/>
  <c r="AZ818" s="1"/>
  <c r="AZ844" s="1"/>
  <c r="AZ761"/>
  <c r="AZ787" s="1"/>
  <c r="AR809"/>
  <c r="AR818" s="1"/>
  <c r="AR844" s="1"/>
  <c r="AR761"/>
  <c r="AR787" s="1"/>
  <c r="AJ809"/>
  <c r="AJ818" s="1"/>
  <c r="AJ844" s="1"/>
  <c r="AJ761"/>
  <c r="AJ787" s="1"/>
  <c r="AB809"/>
  <c r="AB818" s="1"/>
  <c r="AB844" s="1"/>
  <c r="AB761"/>
  <c r="AB787" s="1"/>
  <c r="T809"/>
  <c r="T818" s="1"/>
  <c r="T844" s="1"/>
  <c r="T761"/>
  <c r="T787" s="1"/>
  <c r="L809"/>
  <c r="L818" s="1"/>
  <c r="L844" s="1"/>
  <c r="L761"/>
  <c r="L787" s="1"/>
  <c r="I961"/>
  <c r="I962" s="1"/>
  <c r="I967" s="1"/>
  <c r="I968" s="1"/>
  <c r="Q961"/>
  <c r="Q962" s="1"/>
  <c r="Q967" s="1"/>
  <c r="Q968" s="1"/>
  <c r="Y961"/>
  <c r="Y962" s="1"/>
  <c r="Y967" s="1"/>
  <c r="Y968" s="1"/>
  <c r="Y969" s="1"/>
  <c r="Y1222" s="1"/>
  <c r="Y1241" s="1"/>
  <c r="AG961"/>
  <c r="AG962" s="1"/>
  <c r="AG967" s="1"/>
  <c r="AG968" s="1"/>
  <c r="AG969" s="1"/>
  <c r="AG1222" s="1"/>
  <c r="AG1241" s="1"/>
  <c r="AO961"/>
  <c r="AO962" s="1"/>
  <c r="AO967" s="1"/>
  <c r="AO968" s="1"/>
  <c r="AO969" s="1"/>
  <c r="AO1222" s="1"/>
  <c r="AO1241" s="1"/>
  <c r="AW961"/>
  <c r="AW962" s="1"/>
  <c r="AW967" s="1"/>
  <c r="AW968" s="1"/>
  <c r="AW969" s="1"/>
  <c r="AW1222" s="1"/>
  <c r="AW1241" s="1"/>
  <c r="BE961"/>
  <c r="BE962" s="1"/>
  <c r="BE967" s="1"/>
  <c r="BE968" s="1"/>
  <c r="BE969" s="1"/>
  <c r="BE1222" s="1"/>
  <c r="BE1241" s="1"/>
  <c r="D961"/>
  <c r="D962" s="1"/>
  <c r="D967" s="1"/>
  <c r="D968" s="1"/>
  <c r="N961"/>
  <c r="N962" s="1"/>
  <c r="N967" s="1"/>
  <c r="N968" s="1"/>
  <c r="V961"/>
  <c r="V962" s="1"/>
  <c r="V967" s="1"/>
  <c r="V968" s="1"/>
  <c r="V969" s="1"/>
  <c r="V1222" s="1"/>
  <c r="V1241" s="1"/>
  <c r="AD961"/>
  <c r="AD962" s="1"/>
  <c r="AD967" s="1"/>
  <c r="AD968" s="1"/>
  <c r="AD969" s="1"/>
  <c r="AD1222" s="1"/>
  <c r="AD1241" s="1"/>
  <c r="AL961"/>
  <c r="AL962" s="1"/>
  <c r="AL967" s="1"/>
  <c r="AL968" s="1"/>
  <c r="AL969" s="1"/>
  <c r="AL1222" s="1"/>
  <c r="AL1241" s="1"/>
  <c r="AT961"/>
  <c r="AT962" s="1"/>
  <c r="AT967" s="1"/>
  <c r="AT968" s="1"/>
  <c r="AT969" s="1"/>
  <c r="AT1222" s="1"/>
  <c r="AT1241" s="1"/>
  <c r="BB961"/>
  <c r="BB962" s="1"/>
  <c r="BB967" s="1"/>
  <c r="BB968" s="1"/>
  <c r="BB969" s="1"/>
  <c r="BB1222" s="1"/>
  <c r="BB1241" s="1"/>
  <c r="C934"/>
  <c r="B925"/>
  <c r="I3" s="1"/>
  <c r="O904"/>
  <c r="O905" s="1"/>
  <c r="O910" s="1"/>
  <c r="O911" s="1"/>
  <c r="W904"/>
  <c r="W905" s="1"/>
  <c r="W910" s="1"/>
  <c r="W911" s="1"/>
  <c r="W912" s="1"/>
  <c r="AE904"/>
  <c r="AE905" s="1"/>
  <c r="AE910" s="1"/>
  <c r="AE911" s="1"/>
  <c r="AE912" s="1"/>
  <c r="AM904"/>
  <c r="AM905" s="1"/>
  <c r="AM910" s="1"/>
  <c r="AM911" s="1"/>
  <c r="AM912" s="1"/>
  <c r="AU904"/>
  <c r="AU905" s="1"/>
  <c r="AU910" s="1"/>
  <c r="AU911" s="1"/>
  <c r="AU912" s="1"/>
  <c r="BC904"/>
  <c r="BC905" s="1"/>
  <c r="BC910" s="1"/>
  <c r="BC911" s="1"/>
  <c r="BC912" s="1"/>
  <c r="H904"/>
  <c r="H905" s="1"/>
  <c r="H910" s="1"/>
  <c r="H911" s="1"/>
  <c r="P904"/>
  <c r="P905" s="1"/>
  <c r="P910" s="1"/>
  <c r="P911" s="1"/>
  <c r="X904"/>
  <c r="X905" s="1"/>
  <c r="X910" s="1"/>
  <c r="X911" s="1"/>
  <c r="X912" s="1"/>
  <c r="AF904"/>
  <c r="AF905" s="1"/>
  <c r="AF910" s="1"/>
  <c r="AF911" s="1"/>
  <c r="AF912" s="1"/>
  <c r="AN904"/>
  <c r="AN905" s="1"/>
  <c r="AN910" s="1"/>
  <c r="AN911" s="1"/>
  <c r="AN912" s="1"/>
  <c r="AV904"/>
  <c r="AV905" s="1"/>
  <c r="AV910" s="1"/>
  <c r="AV911" s="1"/>
  <c r="AV912" s="1"/>
  <c r="BD904"/>
  <c r="BD905" s="1"/>
  <c r="BD910" s="1"/>
  <c r="BD911" s="1"/>
  <c r="BD912" s="1"/>
  <c r="E904"/>
  <c r="E905" s="1"/>
  <c r="E910" s="1"/>
  <c r="E911" s="1"/>
  <c r="G904"/>
  <c r="G905" s="1"/>
  <c r="G910" s="1"/>
  <c r="G911" s="1"/>
  <c r="S257"/>
  <c r="S254" s="1"/>
  <c r="S197"/>
  <c r="T136"/>
  <c r="U79"/>
  <c r="T84"/>
  <c r="Z770"/>
  <c r="Z767" s="1"/>
  <c r="Y827"/>
  <c r="Y824" s="1"/>
  <c r="Y767"/>
  <c r="AB1060"/>
  <c r="AC1003"/>
  <c r="AA941"/>
  <c r="AB884"/>
  <c r="Y1175"/>
  <c r="Y1172" s="1"/>
  <c r="Z1118"/>
  <c r="Y1115"/>
  <c r="X714"/>
  <c r="Y657"/>
  <c r="Z477"/>
  <c r="AA420"/>
  <c r="V1070"/>
  <c r="B1070" s="1"/>
  <c r="J32" s="1"/>
  <c r="B1013"/>
  <c r="AA710"/>
  <c r="AB653"/>
  <c r="Y599"/>
  <c r="Z542"/>
  <c r="W949"/>
  <c r="X892"/>
  <c r="S605"/>
  <c r="S602" s="1"/>
  <c r="S545"/>
  <c r="AB1057"/>
  <c r="AC1000"/>
  <c r="X369"/>
  <c r="Y312"/>
  <c r="W1183"/>
  <c r="B1126"/>
  <c r="AB596"/>
  <c r="AC539"/>
  <c r="B1067"/>
  <c r="V444"/>
  <c r="V455"/>
  <c r="V452"/>
  <c r="X250"/>
  <c r="Y193"/>
  <c r="Y658"/>
  <c r="X715"/>
  <c r="X146"/>
  <c r="B89"/>
  <c r="Y131"/>
  <c r="Z74"/>
  <c r="W1186"/>
  <c r="B1186" s="1"/>
  <c r="K32" s="1"/>
  <c r="B1129"/>
  <c r="V676"/>
  <c r="B676" s="1"/>
  <c r="B726"/>
  <c r="V723"/>
  <c r="T1180"/>
  <c r="U1123"/>
  <c r="T1128"/>
  <c r="Y1063"/>
  <c r="Z1006"/>
  <c r="W371"/>
  <c r="B314"/>
  <c r="Y1179"/>
  <c r="Z1122"/>
  <c r="AB1058"/>
  <c r="AC1001"/>
  <c r="R721"/>
  <c r="R718" s="1"/>
  <c r="R661"/>
  <c r="S716"/>
  <c r="T659"/>
  <c r="S664"/>
  <c r="AA189"/>
  <c r="Z246"/>
  <c r="BJ904"/>
  <c r="BJ905" s="1"/>
  <c r="BJ910" s="1"/>
  <c r="BJ911" s="1"/>
  <c r="BJ912" s="1"/>
  <c r="M904"/>
  <c r="M905" s="1"/>
  <c r="M910" s="1"/>
  <c r="M911" s="1"/>
  <c r="U904"/>
  <c r="U905" s="1"/>
  <c r="U910" s="1"/>
  <c r="U911" s="1"/>
  <c r="U912" s="1"/>
  <c r="AC904"/>
  <c r="AC905" s="1"/>
  <c r="AC910" s="1"/>
  <c r="AC911" s="1"/>
  <c r="AC912" s="1"/>
  <c r="AK904"/>
  <c r="AK905" s="1"/>
  <c r="AK910" s="1"/>
  <c r="AK911" s="1"/>
  <c r="AK912" s="1"/>
  <c r="AS904"/>
  <c r="AS905" s="1"/>
  <c r="AS910" s="1"/>
  <c r="AS911" s="1"/>
  <c r="AS912" s="1"/>
  <c r="BA904"/>
  <c r="BA905" s="1"/>
  <c r="BA910" s="1"/>
  <c r="BA911" s="1"/>
  <c r="BA912" s="1"/>
  <c r="BI904"/>
  <c r="BI905" s="1"/>
  <c r="BI910" s="1"/>
  <c r="BI911" s="1"/>
  <c r="BI912" s="1"/>
  <c r="J904"/>
  <c r="J905" s="1"/>
  <c r="J910" s="1"/>
  <c r="J911" s="1"/>
  <c r="R904"/>
  <c r="R905" s="1"/>
  <c r="R910" s="1"/>
  <c r="R911" s="1"/>
  <c r="Z904"/>
  <c r="Z905" s="1"/>
  <c r="Z910" s="1"/>
  <c r="Z911" s="1"/>
  <c r="Z912" s="1"/>
  <c r="AH904"/>
  <c r="AH905" s="1"/>
  <c r="AH910" s="1"/>
  <c r="AH911" s="1"/>
  <c r="AH912" s="1"/>
  <c r="AP904"/>
  <c r="AP905" s="1"/>
  <c r="AP910" s="1"/>
  <c r="AP911" s="1"/>
  <c r="AP912" s="1"/>
  <c r="AX904"/>
  <c r="AX905" s="1"/>
  <c r="AX910" s="1"/>
  <c r="AX911" s="1"/>
  <c r="AX912" s="1"/>
  <c r="BF904"/>
  <c r="BF905" s="1"/>
  <c r="BF910" s="1"/>
  <c r="BF911" s="1"/>
  <c r="BF912" s="1"/>
  <c r="K904"/>
  <c r="K905" s="1"/>
  <c r="K910" s="1"/>
  <c r="K911" s="1"/>
  <c r="S904"/>
  <c r="S905" s="1"/>
  <c r="S910" s="1"/>
  <c r="S911" s="1"/>
  <c r="S912" s="1"/>
  <c r="AA904"/>
  <c r="AA905" s="1"/>
  <c r="AA910" s="1"/>
  <c r="AA911" s="1"/>
  <c r="AA912" s="1"/>
  <c r="AI904"/>
  <c r="AI905" s="1"/>
  <c r="AI910" s="1"/>
  <c r="AI911" s="1"/>
  <c r="AI912" s="1"/>
  <c r="AQ904"/>
  <c r="AQ905" s="1"/>
  <c r="AQ910" s="1"/>
  <c r="AQ911" s="1"/>
  <c r="AQ912" s="1"/>
  <c r="AY904"/>
  <c r="AY905" s="1"/>
  <c r="AY910" s="1"/>
  <c r="AY911" s="1"/>
  <c r="AY912" s="1"/>
  <c r="BG904"/>
  <c r="BG905" s="1"/>
  <c r="BG910" s="1"/>
  <c r="BG911" s="1"/>
  <c r="BG912" s="1"/>
  <c r="L904"/>
  <c r="L905" s="1"/>
  <c r="L910" s="1"/>
  <c r="L911" s="1"/>
  <c r="T904"/>
  <c r="T905" s="1"/>
  <c r="T910" s="1"/>
  <c r="T911" s="1"/>
  <c r="T912" s="1"/>
  <c r="AB904"/>
  <c r="AB905" s="1"/>
  <c r="AB910" s="1"/>
  <c r="AB911" s="1"/>
  <c r="AB912" s="1"/>
  <c r="AJ904"/>
  <c r="AJ905" s="1"/>
  <c r="AJ910" s="1"/>
  <c r="AJ911" s="1"/>
  <c r="AJ912" s="1"/>
  <c r="AR904"/>
  <c r="AR905" s="1"/>
  <c r="AR910" s="1"/>
  <c r="AR911" s="1"/>
  <c r="AR912" s="1"/>
  <c r="AZ904"/>
  <c r="AZ905" s="1"/>
  <c r="AZ910" s="1"/>
  <c r="AZ911" s="1"/>
  <c r="AZ912" s="1"/>
  <c r="BH904"/>
  <c r="BH905" s="1"/>
  <c r="BH910" s="1"/>
  <c r="BH911" s="1"/>
  <c r="BH912" s="1"/>
  <c r="F904"/>
  <c r="F905" s="1"/>
  <c r="F910" s="1"/>
  <c r="F911" s="1"/>
  <c r="V258"/>
  <c r="B258" s="1"/>
  <c r="C32" s="1"/>
  <c r="B201"/>
  <c r="AB768"/>
  <c r="AA825"/>
  <c r="Y251"/>
  <c r="Z194"/>
  <c r="Z709"/>
  <c r="AA652"/>
  <c r="D36"/>
  <c r="B375"/>
  <c r="D33" s="1"/>
  <c r="AB1174"/>
  <c r="AC1117"/>
  <c r="W485"/>
  <c r="X428"/>
  <c r="W433"/>
  <c r="W490" s="1"/>
  <c r="AB593"/>
  <c r="AC536"/>
  <c r="AC191"/>
  <c r="AB248"/>
  <c r="B835"/>
  <c r="X598"/>
  <c r="Y541"/>
  <c r="Z310"/>
  <c r="Y367"/>
  <c r="X488"/>
  <c r="B488" s="1"/>
  <c r="E30" s="1"/>
  <c r="B431"/>
  <c r="Y483"/>
  <c r="Z426"/>
  <c r="T1064"/>
  <c r="U1007"/>
  <c r="T1012"/>
  <c r="Y943"/>
  <c r="Y940" s="1"/>
  <c r="Z886"/>
  <c r="Y883"/>
  <c r="AA245"/>
  <c r="AB188"/>
  <c r="W571"/>
  <c r="B571" s="1"/>
  <c r="B572" s="1"/>
  <c r="AA303"/>
  <c r="V1089"/>
  <c r="B1089" s="1"/>
  <c r="B1090" s="1"/>
  <c r="W339"/>
  <c r="B339" s="1"/>
  <c r="B340" s="1"/>
  <c r="W393" l="1"/>
  <c r="B393" s="1"/>
  <c r="B394" s="1"/>
  <c r="W625"/>
  <c r="B625" s="1"/>
  <c r="B626" s="1"/>
  <c r="U104"/>
  <c r="V684"/>
  <c r="B684" s="1"/>
  <c r="B685" s="1"/>
  <c r="W1148"/>
  <c r="B1148" s="1"/>
  <c r="B1149" s="1"/>
  <c r="W396"/>
  <c r="B396" s="1"/>
  <c r="B397" s="1"/>
  <c r="D48" s="1"/>
  <c r="X129"/>
  <c r="X128" s="1"/>
  <c r="X152" s="1"/>
  <c r="B152" s="1"/>
  <c r="B42" s="1"/>
  <c r="Y72"/>
  <c r="X87"/>
  <c r="B87" s="1"/>
  <c r="B86" s="1"/>
  <c r="X71"/>
  <c r="X95" s="1"/>
  <c r="B95" s="1"/>
  <c r="V77"/>
  <c r="U134"/>
  <c r="U82"/>
  <c r="U161"/>
  <c r="T161"/>
  <c r="W144"/>
  <c r="W86"/>
  <c r="V96"/>
  <c r="V107" s="1"/>
  <c r="V153"/>
  <c r="V161" s="1"/>
  <c r="W1151"/>
  <c r="B1151" s="1"/>
  <c r="B1152" s="1"/>
  <c r="V223"/>
  <c r="B223" s="1"/>
  <c r="B224" s="1"/>
  <c r="V509"/>
  <c r="AA886"/>
  <c r="Z943"/>
  <c r="Z940" s="1"/>
  <c r="Z883"/>
  <c r="T1069"/>
  <c r="T1066" s="1"/>
  <c r="T1009"/>
  <c r="Z367"/>
  <c r="AA310"/>
  <c r="AC248"/>
  <c r="AD191"/>
  <c r="AC593"/>
  <c r="AD536"/>
  <c r="Z251"/>
  <c r="AA194"/>
  <c r="AB825"/>
  <c r="AC768"/>
  <c r="AA246"/>
  <c r="AB189"/>
  <c r="T716"/>
  <c r="U659"/>
  <c r="T664"/>
  <c r="AC1058"/>
  <c r="AD1001"/>
  <c r="Z1179"/>
  <c r="AA1122"/>
  <c r="V1123"/>
  <c r="U1180"/>
  <c r="U1128"/>
  <c r="V733"/>
  <c r="B733" s="1"/>
  <c r="G43" s="1"/>
  <c r="AA74"/>
  <c r="Z131"/>
  <c r="B146"/>
  <c r="Y715"/>
  <c r="Z658"/>
  <c r="J29"/>
  <c r="AC596"/>
  <c r="AD539"/>
  <c r="B1183"/>
  <c r="AC1057"/>
  <c r="AD1000"/>
  <c r="X949"/>
  <c r="Y892"/>
  <c r="Z599"/>
  <c r="AA542"/>
  <c r="AC653"/>
  <c r="AB710"/>
  <c r="AB420"/>
  <c r="AA477"/>
  <c r="AA1118"/>
  <c r="Z1175"/>
  <c r="Z1172" s="1"/>
  <c r="Z1115"/>
  <c r="T141"/>
  <c r="T138" s="1"/>
  <c r="T81"/>
  <c r="C960"/>
  <c r="B934"/>
  <c r="I12" s="1"/>
  <c r="L845"/>
  <c r="L846" s="1"/>
  <c r="L851" s="1"/>
  <c r="L852" s="1"/>
  <c r="T845"/>
  <c r="T846" s="1"/>
  <c r="T851" s="1"/>
  <c r="T852" s="1"/>
  <c r="AB845"/>
  <c r="AB846" s="1"/>
  <c r="AB851" s="1"/>
  <c r="AB852" s="1"/>
  <c r="AB853" s="1"/>
  <c r="AB1221" s="1"/>
  <c r="AB1240" s="1"/>
  <c r="AJ845"/>
  <c r="AJ846" s="1"/>
  <c r="AJ851" s="1"/>
  <c r="AJ852" s="1"/>
  <c r="AJ853" s="1"/>
  <c r="AJ1221" s="1"/>
  <c r="AJ1240" s="1"/>
  <c r="AR845"/>
  <c r="AR846" s="1"/>
  <c r="AR851" s="1"/>
  <c r="AR852" s="1"/>
  <c r="AR853" s="1"/>
  <c r="AR1221" s="1"/>
  <c r="AR1240" s="1"/>
  <c r="AZ845"/>
  <c r="AZ846" s="1"/>
  <c r="AZ851" s="1"/>
  <c r="AZ852" s="1"/>
  <c r="AZ853" s="1"/>
  <c r="AZ1221" s="1"/>
  <c r="AZ1240" s="1"/>
  <c r="BH845"/>
  <c r="BH846" s="1"/>
  <c r="BH851" s="1"/>
  <c r="BH852" s="1"/>
  <c r="BH853" s="1"/>
  <c r="BH1221" s="1"/>
  <c r="BH1240" s="1"/>
  <c r="M845"/>
  <c r="M846" s="1"/>
  <c r="M851" s="1"/>
  <c r="M852" s="1"/>
  <c r="U845"/>
  <c r="U846" s="1"/>
  <c r="U851" s="1"/>
  <c r="U852" s="1"/>
  <c r="AC845"/>
  <c r="AC846" s="1"/>
  <c r="AC851" s="1"/>
  <c r="AC852" s="1"/>
  <c r="AC853" s="1"/>
  <c r="AC1221" s="1"/>
  <c r="AC1240" s="1"/>
  <c r="AK845"/>
  <c r="AK846" s="1"/>
  <c r="AK851" s="1"/>
  <c r="AK852" s="1"/>
  <c r="AK853" s="1"/>
  <c r="AK1221" s="1"/>
  <c r="AK1240" s="1"/>
  <c r="AS845"/>
  <c r="AS846" s="1"/>
  <c r="AS851" s="1"/>
  <c r="AS852" s="1"/>
  <c r="AS853" s="1"/>
  <c r="AS1221" s="1"/>
  <c r="AS1240" s="1"/>
  <c r="BA845"/>
  <c r="BA846" s="1"/>
  <c r="BA851" s="1"/>
  <c r="BA852" s="1"/>
  <c r="BA853" s="1"/>
  <c r="BA1221" s="1"/>
  <c r="BA1240" s="1"/>
  <c r="E845"/>
  <c r="E846" s="1"/>
  <c r="E851" s="1"/>
  <c r="E852" s="1"/>
  <c r="D845"/>
  <c r="D846" s="1"/>
  <c r="D851" s="1"/>
  <c r="D852" s="1"/>
  <c r="N845"/>
  <c r="N846" s="1"/>
  <c r="N851" s="1"/>
  <c r="N852" s="1"/>
  <c r="V845"/>
  <c r="V846" s="1"/>
  <c r="V851" s="1"/>
  <c r="V852" s="1"/>
  <c r="V853" s="1"/>
  <c r="V1221" s="1"/>
  <c r="V1240" s="1"/>
  <c r="AD845"/>
  <c r="AD846" s="1"/>
  <c r="AD851" s="1"/>
  <c r="AD852" s="1"/>
  <c r="AD853" s="1"/>
  <c r="AD1221" s="1"/>
  <c r="AD1240" s="1"/>
  <c r="AL845"/>
  <c r="AL846" s="1"/>
  <c r="AL851" s="1"/>
  <c r="AL852" s="1"/>
  <c r="AL853" s="1"/>
  <c r="AL1221" s="1"/>
  <c r="AL1240" s="1"/>
  <c r="AT845"/>
  <c r="AT846" s="1"/>
  <c r="AT851" s="1"/>
  <c r="AT852" s="1"/>
  <c r="AT853" s="1"/>
  <c r="AT1221" s="1"/>
  <c r="AT1240" s="1"/>
  <c r="BB845"/>
  <c r="BB846" s="1"/>
  <c r="BB851" s="1"/>
  <c r="BB852" s="1"/>
  <c r="BB853" s="1"/>
  <c r="BB1221" s="1"/>
  <c r="BB1240" s="1"/>
  <c r="BJ845"/>
  <c r="BJ846" s="1"/>
  <c r="BJ851" s="1"/>
  <c r="BJ852" s="1"/>
  <c r="BJ853" s="1"/>
  <c r="BJ1221" s="1"/>
  <c r="BJ1240" s="1"/>
  <c r="K845"/>
  <c r="K846" s="1"/>
  <c r="K851" s="1"/>
  <c r="K852" s="1"/>
  <c r="S845"/>
  <c r="S846" s="1"/>
  <c r="S851" s="1"/>
  <c r="S852" s="1"/>
  <c r="AA845"/>
  <c r="AA846" s="1"/>
  <c r="AA851" s="1"/>
  <c r="AA852" s="1"/>
  <c r="AA853" s="1"/>
  <c r="AA1221" s="1"/>
  <c r="AA1240" s="1"/>
  <c r="AI845"/>
  <c r="AI846" s="1"/>
  <c r="AI851" s="1"/>
  <c r="AI852" s="1"/>
  <c r="AI853" s="1"/>
  <c r="AI1221" s="1"/>
  <c r="AI1240" s="1"/>
  <c r="AQ845"/>
  <c r="AQ846" s="1"/>
  <c r="AQ851" s="1"/>
  <c r="AQ852" s="1"/>
  <c r="AQ853" s="1"/>
  <c r="AQ1221" s="1"/>
  <c r="AQ1240" s="1"/>
  <c r="AY845"/>
  <c r="AY846" s="1"/>
  <c r="AY851" s="1"/>
  <c r="AY852" s="1"/>
  <c r="AY853" s="1"/>
  <c r="AY1221" s="1"/>
  <c r="AY1240" s="1"/>
  <c r="BG845"/>
  <c r="BG846" s="1"/>
  <c r="BG851" s="1"/>
  <c r="BG852" s="1"/>
  <c r="BG853" s="1"/>
  <c r="BG1221" s="1"/>
  <c r="BG1240" s="1"/>
  <c r="G845"/>
  <c r="G846" s="1"/>
  <c r="G851" s="1"/>
  <c r="G852" s="1"/>
  <c r="AD1176"/>
  <c r="AE1119"/>
  <c r="T948"/>
  <c r="U891"/>
  <c r="Y601"/>
  <c r="Z544"/>
  <c r="AB594"/>
  <c r="AC537"/>
  <c r="Z422"/>
  <c r="Y479"/>
  <c r="Y476" s="1"/>
  <c r="Y419"/>
  <c r="W444"/>
  <c r="W455" s="1"/>
  <c r="W452"/>
  <c r="Y1062"/>
  <c r="Z1005"/>
  <c r="X946"/>
  <c r="Y889"/>
  <c r="AB130"/>
  <c r="AC73"/>
  <c r="AC712"/>
  <c r="AD655"/>
  <c r="K36"/>
  <c r="B1187"/>
  <c r="K33" s="1"/>
  <c r="V269"/>
  <c r="B269" s="1"/>
  <c r="C43" s="1"/>
  <c r="V277"/>
  <c r="B277" s="1"/>
  <c r="B278" s="1"/>
  <c r="X253"/>
  <c r="Y196"/>
  <c r="T484"/>
  <c r="U427"/>
  <c r="T432"/>
  <c r="Y831"/>
  <c r="Z774"/>
  <c r="Y366"/>
  <c r="Z309"/>
  <c r="X142"/>
  <c r="B142" s="1"/>
  <c r="B32" s="1"/>
  <c r="B85"/>
  <c r="Y1181"/>
  <c r="Z1124"/>
  <c r="U600"/>
  <c r="V543"/>
  <c r="U548"/>
  <c r="AD307"/>
  <c r="AC364"/>
  <c r="AC421"/>
  <c r="AB478"/>
  <c r="AC361"/>
  <c r="AD304"/>
  <c r="U368"/>
  <c r="V311"/>
  <c r="U316"/>
  <c r="Y947"/>
  <c r="Z890"/>
  <c r="Y717"/>
  <c r="Z660"/>
  <c r="AA595"/>
  <c r="AA592" s="1"/>
  <c r="AB538"/>
  <c r="T257"/>
  <c r="T254" s="1"/>
  <c r="T197"/>
  <c r="H846"/>
  <c r="H851" s="1"/>
  <c r="H852" s="1"/>
  <c r="H845"/>
  <c r="P846"/>
  <c r="P851" s="1"/>
  <c r="P852" s="1"/>
  <c r="P845"/>
  <c r="X846"/>
  <c r="X851" s="1"/>
  <c r="X852" s="1"/>
  <c r="X853" s="1"/>
  <c r="X1221" s="1"/>
  <c r="X1240" s="1"/>
  <c r="X845"/>
  <c r="AF846"/>
  <c r="AF851" s="1"/>
  <c r="AF852" s="1"/>
  <c r="AF853" s="1"/>
  <c r="AF1221" s="1"/>
  <c r="AF1240" s="1"/>
  <c r="AF845"/>
  <c r="AN846"/>
  <c r="AN851" s="1"/>
  <c r="AN852" s="1"/>
  <c r="AN853" s="1"/>
  <c r="AN1221" s="1"/>
  <c r="AN1240" s="1"/>
  <c r="AN845"/>
  <c r="AV846"/>
  <c r="AV851" s="1"/>
  <c r="AV852" s="1"/>
  <c r="AV853" s="1"/>
  <c r="AV1221" s="1"/>
  <c r="AV1240" s="1"/>
  <c r="AV845"/>
  <c r="BD846"/>
  <c r="BD851" s="1"/>
  <c r="BD852" s="1"/>
  <c r="BD853" s="1"/>
  <c r="BD1221" s="1"/>
  <c r="BD1240" s="1"/>
  <c r="BD845"/>
  <c r="I845"/>
  <c r="I846" s="1"/>
  <c r="I851" s="1"/>
  <c r="I852" s="1"/>
  <c r="Q845"/>
  <c r="Q846" s="1"/>
  <c r="Q851" s="1"/>
  <c r="Q852" s="1"/>
  <c r="Y845"/>
  <c r="Y846" s="1"/>
  <c r="Y851" s="1"/>
  <c r="Y852" s="1"/>
  <c r="Y853" s="1"/>
  <c r="Y1221" s="1"/>
  <c r="Y1240" s="1"/>
  <c r="AG845"/>
  <c r="AG846" s="1"/>
  <c r="AG851" s="1"/>
  <c r="AG852" s="1"/>
  <c r="AG853" s="1"/>
  <c r="AG1221" s="1"/>
  <c r="AG1240" s="1"/>
  <c r="AO845"/>
  <c r="AO846" s="1"/>
  <c r="AO851" s="1"/>
  <c r="AO852" s="1"/>
  <c r="AO853" s="1"/>
  <c r="AO1221" s="1"/>
  <c r="AO1240" s="1"/>
  <c r="AW845"/>
  <c r="AW846" s="1"/>
  <c r="AW851" s="1"/>
  <c r="AW852" s="1"/>
  <c r="AW853" s="1"/>
  <c r="AW1221" s="1"/>
  <c r="AW1240" s="1"/>
  <c r="BE845"/>
  <c r="BE846" s="1"/>
  <c r="BE851" s="1"/>
  <c r="BE852" s="1"/>
  <c r="BE853" s="1"/>
  <c r="BE1221" s="1"/>
  <c r="BE1240" s="1"/>
  <c r="BI845"/>
  <c r="BI846" s="1"/>
  <c r="BI851" s="1"/>
  <c r="BI852" s="1"/>
  <c r="BI853" s="1"/>
  <c r="BI1221" s="1"/>
  <c r="BI1240" s="1"/>
  <c r="J846"/>
  <c r="J851" s="1"/>
  <c r="J852" s="1"/>
  <c r="J845"/>
  <c r="R846"/>
  <c r="R851" s="1"/>
  <c r="R852" s="1"/>
  <c r="R845"/>
  <c r="Z846"/>
  <c r="Z851" s="1"/>
  <c r="Z852" s="1"/>
  <c r="Z853" s="1"/>
  <c r="Z1221" s="1"/>
  <c r="Z1240" s="1"/>
  <c r="Z845"/>
  <c r="AH846"/>
  <c r="AH851" s="1"/>
  <c r="AH852" s="1"/>
  <c r="AH853" s="1"/>
  <c r="AH1221" s="1"/>
  <c r="AH1240" s="1"/>
  <c r="AH845"/>
  <c r="AP846"/>
  <c r="AP851" s="1"/>
  <c r="AP852" s="1"/>
  <c r="AP853" s="1"/>
  <c r="AP1221" s="1"/>
  <c r="AP1240" s="1"/>
  <c r="AP845"/>
  <c r="AX846"/>
  <c r="AX851" s="1"/>
  <c r="AX852" s="1"/>
  <c r="AX853" s="1"/>
  <c r="AX1221" s="1"/>
  <c r="AX1240" s="1"/>
  <c r="AX845"/>
  <c r="BF846"/>
  <c r="BF851" s="1"/>
  <c r="BF852" s="1"/>
  <c r="BF853" s="1"/>
  <c r="BF1221" s="1"/>
  <c r="BF1240" s="1"/>
  <c r="BF845"/>
  <c r="C787"/>
  <c r="B761"/>
  <c r="O789"/>
  <c r="O794" s="1"/>
  <c r="O795" s="1"/>
  <c r="O788"/>
  <c r="W789"/>
  <c r="W794" s="1"/>
  <c r="W795" s="1"/>
  <c r="W796" s="1"/>
  <c r="W788"/>
  <c r="AE789"/>
  <c r="AE794" s="1"/>
  <c r="AE795" s="1"/>
  <c r="AE796" s="1"/>
  <c r="AE788"/>
  <c r="AM789"/>
  <c r="AM794" s="1"/>
  <c r="AM795" s="1"/>
  <c r="AM796" s="1"/>
  <c r="AM788"/>
  <c r="AU789"/>
  <c r="AU794" s="1"/>
  <c r="AU795" s="1"/>
  <c r="AU796" s="1"/>
  <c r="AU788"/>
  <c r="BC789"/>
  <c r="BC794" s="1"/>
  <c r="BC795" s="1"/>
  <c r="BC796" s="1"/>
  <c r="BC788"/>
  <c r="F788"/>
  <c r="F789" s="1"/>
  <c r="F794" s="1"/>
  <c r="F795" s="1"/>
  <c r="X140"/>
  <c r="B140" s="1"/>
  <c r="B30" s="1"/>
  <c r="B83"/>
  <c r="X833"/>
  <c r="Y776"/>
  <c r="S837"/>
  <c r="S834" s="1"/>
  <c r="S777"/>
  <c r="AB1002"/>
  <c r="AA1059"/>
  <c r="AA1056" s="1"/>
  <c r="AA999"/>
  <c r="W487"/>
  <c r="BG520"/>
  <c r="BC520"/>
  <c r="AY520"/>
  <c r="AU520"/>
  <c r="AQ520"/>
  <c r="AM520"/>
  <c r="AI520"/>
  <c r="AE520"/>
  <c r="AA520"/>
  <c r="W520"/>
  <c r="S520"/>
  <c r="O520"/>
  <c r="K520"/>
  <c r="C520"/>
  <c r="BI520"/>
  <c r="BE520"/>
  <c r="BA520"/>
  <c r="AW520"/>
  <c r="AS520"/>
  <c r="AO520"/>
  <c r="AK520"/>
  <c r="AG520"/>
  <c r="AC520"/>
  <c r="Y520"/>
  <c r="U520"/>
  <c r="Q520"/>
  <c r="M520"/>
  <c r="I520"/>
  <c r="F49"/>
  <c r="BJ520"/>
  <c r="J520"/>
  <c r="N520"/>
  <c r="R520"/>
  <c r="V520"/>
  <c r="Z520"/>
  <c r="AD520"/>
  <c r="AH520"/>
  <c r="AL520"/>
  <c r="AP520"/>
  <c r="AT520"/>
  <c r="AX520"/>
  <c r="BB520"/>
  <c r="BF520"/>
  <c r="H520"/>
  <c r="P520"/>
  <c r="X520"/>
  <c r="AF520"/>
  <c r="AN520"/>
  <c r="AV520"/>
  <c r="BD520"/>
  <c r="L520"/>
  <c r="T520"/>
  <c r="AB520"/>
  <c r="AJ520"/>
  <c r="AR520"/>
  <c r="AZ520"/>
  <c r="BH520"/>
  <c r="D520"/>
  <c r="E520"/>
  <c r="F520"/>
  <c r="G520"/>
  <c r="AA826"/>
  <c r="AB769"/>
  <c r="J49"/>
  <c r="BI984"/>
  <c r="H984"/>
  <c r="L984"/>
  <c r="P984"/>
  <c r="T984"/>
  <c r="X984"/>
  <c r="AB984"/>
  <c r="AF984"/>
  <c r="AJ984"/>
  <c r="AN984"/>
  <c r="AR984"/>
  <c r="AV984"/>
  <c r="AZ984"/>
  <c r="BD984"/>
  <c r="BH984"/>
  <c r="I984"/>
  <c r="M984"/>
  <c r="Q984"/>
  <c r="U984"/>
  <c r="Y984"/>
  <c r="AC984"/>
  <c r="AG984"/>
  <c r="AK984"/>
  <c r="AO984"/>
  <c r="AS984"/>
  <c r="AW984"/>
  <c r="BA984"/>
  <c r="BE984"/>
  <c r="J984"/>
  <c r="N984"/>
  <c r="R984"/>
  <c r="V984"/>
  <c r="Z984"/>
  <c r="AD984"/>
  <c r="AH984"/>
  <c r="AL984"/>
  <c r="AP984"/>
  <c r="AT984"/>
  <c r="AX984"/>
  <c r="BB984"/>
  <c r="BF984"/>
  <c r="BJ984"/>
  <c r="C984"/>
  <c r="K984"/>
  <c r="O984"/>
  <c r="S984"/>
  <c r="W984"/>
  <c r="AA984"/>
  <c r="AE984"/>
  <c r="AI984"/>
  <c r="AM984"/>
  <c r="AQ984"/>
  <c r="AU984"/>
  <c r="AY984"/>
  <c r="BC984"/>
  <c r="BG984"/>
  <c r="D984"/>
  <c r="E984"/>
  <c r="F984"/>
  <c r="G984"/>
  <c r="AB245"/>
  <c r="AC188"/>
  <c r="U1064"/>
  <c r="V1007"/>
  <c r="U1012"/>
  <c r="Z483"/>
  <c r="AA426"/>
  <c r="Y598"/>
  <c r="Z541"/>
  <c r="H29"/>
  <c r="X433"/>
  <c r="Y428"/>
  <c r="X485"/>
  <c r="AD1117"/>
  <c r="AC1174"/>
  <c r="AB652"/>
  <c r="AA709"/>
  <c r="S721"/>
  <c r="S718" s="1"/>
  <c r="S661"/>
  <c r="B371"/>
  <c r="Z1063"/>
  <c r="AA1006"/>
  <c r="T1185"/>
  <c r="T1182" s="1"/>
  <c r="T1125"/>
  <c r="G36"/>
  <c r="B723"/>
  <c r="G33" s="1"/>
  <c r="Y250"/>
  <c r="Z193"/>
  <c r="Z312"/>
  <c r="Y369"/>
  <c r="Y714"/>
  <c r="Z657"/>
  <c r="AC884"/>
  <c r="AB941"/>
  <c r="AC1060"/>
  <c r="AD1003"/>
  <c r="Z827"/>
  <c r="Z824" s="1"/>
  <c r="AA770"/>
  <c r="U136"/>
  <c r="V79"/>
  <c r="U84"/>
  <c r="L788"/>
  <c r="L789" s="1"/>
  <c r="L794" s="1"/>
  <c r="L795" s="1"/>
  <c r="T788"/>
  <c r="T789" s="1"/>
  <c r="T794" s="1"/>
  <c r="T795" s="1"/>
  <c r="AB788"/>
  <c r="AB789" s="1"/>
  <c r="AB794" s="1"/>
  <c r="AB795" s="1"/>
  <c r="AB796" s="1"/>
  <c r="AJ788"/>
  <c r="AJ789" s="1"/>
  <c r="AJ794" s="1"/>
  <c r="AJ795" s="1"/>
  <c r="AJ796" s="1"/>
  <c r="AR788"/>
  <c r="AR789" s="1"/>
  <c r="AR794" s="1"/>
  <c r="AR795" s="1"/>
  <c r="AR796" s="1"/>
  <c r="AZ788"/>
  <c r="AZ789" s="1"/>
  <c r="AZ794" s="1"/>
  <c r="AZ795" s="1"/>
  <c r="AZ796" s="1"/>
  <c r="BH788"/>
  <c r="BH789" s="1"/>
  <c r="BH794" s="1"/>
  <c r="BH795" s="1"/>
  <c r="BH796" s="1"/>
  <c r="M788"/>
  <c r="M789" s="1"/>
  <c r="M794" s="1"/>
  <c r="M795" s="1"/>
  <c r="U788"/>
  <c r="U789" s="1"/>
  <c r="U794" s="1"/>
  <c r="U795" s="1"/>
  <c r="AC788"/>
  <c r="AC789" s="1"/>
  <c r="AC794" s="1"/>
  <c r="AC795" s="1"/>
  <c r="AC796" s="1"/>
  <c r="AK788"/>
  <c r="AK789" s="1"/>
  <c r="AK794" s="1"/>
  <c r="AK795" s="1"/>
  <c r="AK796" s="1"/>
  <c r="AS788"/>
  <c r="AS789" s="1"/>
  <c r="AS794" s="1"/>
  <c r="AS795" s="1"/>
  <c r="AS796" s="1"/>
  <c r="BA788"/>
  <c r="BA789" s="1"/>
  <c r="BA794" s="1"/>
  <c r="BA795" s="1"/>
  <c r="BA796" s="1"/>
  <c r="E788"/>
  <c r="E789" s="1"/>
  <c r="E794" s="1"/>
  <c r="E795" s="1"/>
  <c r="D788"/>
  <c r="D789" s="1"/>
  <c r="D794" s="1"/>
  <c r="D795" s="1"/>
  <c r="N788"/>
  <c r="N789" s="1"/>
  <c r="N794" s="1"/>
  <c r="N795" s="1"/>
  <c r="V788"/>
  <c r="V789" s="1"/>
  <c r="V794" s="1"/>
  <c r="V795" s="1"/>
  <c r="V796" s="1"/>
  <c r="AD788"/>
  <c r="AD789" s="1"/>
  <c r="AD794" s="1"/>
  <c r="AD795" s="1"/>
  <c r="AD796" s="1"/>
  <c r="AL788"/>
  <c r="AL789" s="1"/>
  <c r="AL794" s="1"/>
  <c r="AL795" s="1"/>
  <c r="AL796" s="1"/>
  <c r="AT788"/>
  <c r="AT789" s="1"/>
  <c r="AT794" s="1"/>
  <c r="AT795" s="1"/>
  <c r="AT796" s="1"/>
  <c r="BB788"/>
  <c r="BB789" s="1"/>
  <c r="BB794" s="1"/>
  <c r="BB795" s="1"/>
  <c r="BB796" s="1"/>
  <c r="BJ788"/>
  <c r="BJ789" s="1"/>
  <c r="BJ794" s="1"/>
  <c r="BJ795" s="1"/>
  <c r="BJ796" s="1"/>
  <c r="K788"/>
  <c r="K789" s="1"/>
  <c r="K794" s="1"/>
  <c r="K795" s="1"/>
  <c r="S788"/>
  <c r="S789" s="1"/>
  <c r="S794" s="1"/>
  <c r="S795" s="1"/>
  <c r="AA788"/>
  <c r="AA789" s="1"/>
  <c r="AA794" s="1"/>
  <c r="AA795" s="1"/>
  <c r="AA796" s="1"/>
  <c r="AI788"/>
  <c r="AI789" s="1"/>
  <c r="AI794" s="1"/>
  <c r="AI795" s="1"/>
  <c r="AI796" s="1"/>
  <c r="AQ788"/>
  <c r="AQ789" s="1"/>
  <c r="AQ794" s="1"/>
  <c r="AQ795" s="1"/>
  <c r="AQ796" s="1"/>
  <c r="AY788"/>
  <c r="AY789" s="1"/>
  <c r="AY794" s="1"/>
  <c r="AY795" s="1"/>
  <c r="AY796" s="1"/>
  <c r="BG788"/>
  <c r="BG789" s="1"/>
  <c r="BG794" s="1"/>
  <c r="BG795" s="1"/>
  <c r="BG796" s="1"/>
  <c r="G788"/>
  <c r="G789" s="1"/>
  <c r="G794" s="1"/>
  <c r="G795" s="1"/>
  <c r="AC1173"/>
  <c r="AD1116"/>
  <c r="Z654"/>
  <c r="Y711"/>
  <c r="Y708" s="1"/>
  <c r="Y651"/>
  <c r="X494"/>
  <c r="B437"/>
  <c r="B434" s="1"/>
  <c r="X434"/>
  <c r="W501"/>
  <c r="W512" s="1"/>
  <c r="B603"/>
  <c r="E34"/>
  <c r="G29"/>
  <c r="W1197"/>
  <c r="B1197" s="1"/>
  <c r="K43" s="1"/>
  <c r="C36"/>
  <c r="B259"/>
  <c r="C33" s="1"/>
  <c r="BG288"/>
  <c r="BC288"/>
  <c r="AY288"/>
  <c r="AU288"/>
  <c r="AQ288"/>
  <c r="AM288"/>
  <c r="AI288"/>
  <c r="AE288"/>
  <c r="AA288"/>
  <c r="W288"/>
  <c r="S288"/>
  <c r="O288"/>
  <c r="K288"/>
  <c r="C288"/>
  <c r="BI288"/>
  <c r="BE288"/>
  <c r="BA288"/>
  <c r="AW288"/>
  <c r="AS288"/>
  <c r="AO288"/>
  <c r="AK288"/>
  <c r="AG288"/>
  <c r="AC288"/>
  <c r="Y288"/>
  <c r="U288"/>
  <c r="Q288"/>
  <c r="M288"/>
  <c r="I288"/>
  <c r="D49"/>
  <c r="BJ288"/>
  <c r="J288"/>
  <c r="N288"/>
  <c r="R288"/>
  <c r="V288"/>
  <c r="Z288"/>
  <c r="AD288"/>
  <c r="AH288"/>
  <c r="AL288"/>
  <c r="AP288"/>
  <c r="AT288"/>
  <c r="AX288"/>
  <c r="BB288"/>
  <c r="BF288"/>
  <c r="L288"/>
  <c r="T288"/>
  <c r="AB288"/>
  <c r="AJ288"/>
  <c r="AR288"/>
  <c r="AZ288"/>
  <c r="BH288"/>
  <c r="H288"/>
  <c r="P288"/>
  <c r="X288"/>
  <c r="AF288"/>
  <c r="AN288"/>
  <c r="AV288"/>
  <c r="BD288"/>
  <c r="D288"/>
  <c r="E288"/>
  <c r="F288"/>
  <c r="G288"/>
  <c r="AD75"/>
  <c r="AC132"/>
  <c r="S489"/>
  <c r="S486" s="1"/>
  <c r="S429"/>
  <c r="Y137"/>
  <c r="Z80"/>
  <c r="AB885"/>
  <c r="AA942"/>
  <c r="AA363"/>
  <c r="AA360" s="1"/>
  <c r="AB306"/>
  <c r="Y1178"/>
  <c r="Z1121"/>
  <c r="T605"/>
  <c r="T602" s="1"/>
  <c r="T545"/>
  <c r="X830"/>
  <c r="Y773"/>
  <c r="X1065"/>
  <c r="Y1008"/>
  <c r="T373"/>
  <c r="T370" s="1"/>
  <c r="T313"/>
  <c r="Y247"/>
  <c r="Y244" s="1"/>
  <c r="Z190"/>
  <c r="Y187"/>
  <c r="U252"/>
  <c r="V195"/>
  <c r="U200"/>
  <c r="AD887"/>
  <c r="AC944"/>
  <c r="C904"/>
  <c r="B904" s="1"/>
  <c r="B903"/>
  <c r="C905"/>
  <c r="H788"/>
  <c r="H789" s="1"/>
  <c r="H794" s="1"/>
  <c r="H795" s="1"/>
  <c r="P788"/>
  <c r="P789" s="1"/>
  <c r="P794" s="1"/>
  <c r="P795" s="1"/>
  <c r="X788"/>
  <c r="X789" s="1"/>
  <c r="X794" s="1"/>
  <c r="X795" s="1"/>
  <c r="X796" s="1"/>
  <c r="AF788"/>
  <c r="AF789" s="1"/>
  <c r="AF794" s="1"/>
  <c r="AF795" s="1"/>
  <c r="AF796" s="1"/>
  <c r="AN788"/>
  <c r="AN789" s="1"/>
  <c r="AN794" s="1"/>
  <c r="AN795" s="1"/>
  <c r="AN796" s="1"/>
  <c r="AV788"/>
  <c r="AV789" s="1"/>
  <c r="AV794" s="1"/>
  <c r="AV795" s="1"/>
  <c r="AV796" s="1"/>
  <c r="BD788"/>
  <c r="BD789" s="1"/>
  <c r="BD794" s="1"/>
  <c r="BD795" s="1"/>
  <c r="BD796" s="1"/>
  <c r="I788"/>
  <c r="I789" s="1"/>
  <c r="I794" s="1"/>
  <c r="I795" s="1"/>
  <c r="Q788"/>
  <c r="Q789" s="1"/>
  <c r="Q794" s="1"/>
  <c r="Q795" s="1"/>
  <c r="Y788"/>
  <c r="Y789" s="1"/>
  <c r="Y794" s="1"/>
  <c r="Y795" s="1"/>
  <c r="Y796" s="1"/>
  <c r="AG788"/>
  <c r="AG789" s="1"/>
  <c r="AG794" s="1"/>
  <c r="AG795" s="1"/>
  <c r="AG796" s="1"/>
  <c r="AO788"/>
  <c r="AO789" s="1"/>
  <c r="AO794" s="1"/>
  <c r="AO795" s="1"/>
  <c r="AO796" s="1"/>
  <c r="AW788"/>
  <c r="AW789" s="1"/>
  <c r="AW794" s="1"/>
  <c r="AW795" s="1"/>
  <c r="AW796" s="1"/>
  <c r="BE788"/>
  <c r="BE789" s="1"/>
  <c r="BE794" s="1"/>
  <c r="BE795" s="1"/>
  <c r="BE796" s="1"/>
  <c r="BI788"/>
  <c r="BI789" s="1"/>
  <c r="BI794" s="1"/>
  <c r="BI795" s="1"/>
  <c r="BI796" s="1"/>
  <c r="J788"/>
  <c r="J789" s="1"/>
  <c r="J794" s="1"/>
  <c r="J795" s="1"/>
  <c r="R788"/>
  <c r="R789" s="1"/>
  <c r="R794" s="1"/>
  <c r="R795" s="1"/>
  <c r="Z788"/>
  <c r="Z789" s="1"/>
  <c r="Z794" s="1"/>
  <c r="Z795" s="1"/>
  <c r="Z796" s="1"/>
  <c r="AH788"/>
  <c r="AH789" s="1"/>
  <c r="AH794" s="1"/>
  <c r="AH795" s="1"/>
  <c r="AH796" s="1"/>
  <c r="AP788"/>
  <c r="AP789" s="1"/>
  <c r="AP794" s="1"/>
  <c r="AP795" s="1"/>
  <c r="AP796" s="1"/>
  <c r="AX788"/>
  <c r="AX789" s="1"/>
  <c r="AX794" s="1"/>
  <c r="AX795" s="1"/>
  <c r="AX796" s="1"/>
  <c r="BF788"/>
  <c r="BF789" s="1"/>
  <c r="BF794" s="1"/>
  <c r="BF795" s="1"/>
  <c r="BF796" s="1"/>
  <c r="C818"/>
  <c r="B809"/>
  <c r="H3" s="1"/>
  <c r="O845"/>
  <c r="O846" s="1"/>
  <c r="O851" s="1"/>
  <c r="O852" s="1"/>
  <c r="W845"/>
  <c r="W846" s="1"/>
  <c r="W851" s="1"/>
  <c r="W852" s="1"/>
  <c r="W853" s="1"/>
  <c r="W1221" s="1"/>
  <c r="W1240" s="1"/>
  <c r="AE845"/>
  <c r="AE846" s="1"/>
  <c r="AE851" s="1"/>
  <c r="AE852" s="1"/>
  <c r="AE853" s="1"/>
  <c r="AE1221" s="1"/>
  <c r="AE1240" s="1"/>
  <c r="AM845"/>
  <c r="AM846" s="1"/>
  <c r="AM851" s="1"/>
  <c r="AM852" s="1"/>
  <c r="AM853" s="1"/>
  <c r="AM1221" s="1"/>
  <c r="AM1240" s="1"/>
  <c r="AU845"/>
  <c r="AU846" s="1"/>
  <c r="AU851" s="1"/>
  <c r="AU852" s="1"/>
  <c r="AU853" s="1"/>
  <c r="AU1221" s="1"/>
  <c r="AU1240" s="1"/>
  <c r="BC845"/>
  <c r="BC846" s="1"/>
  <c r="BC851" s="1"/>
  <c r="BC852" s="1"/>
  <c r="BC853" s="1"/>
  <c r="BC1221" s="1"/>
  <c r="BC1240" s="1"/>
  <c r="F845"/>
  <c r="F846" s="1"/>
  <c r="F851" s="1"/>
  <c r="F852" s="1"/>
  <c r="Y135"/>
  <c r="Z78"/>
  <c r="B953"/>
  <c r="R950"/>
  <c r="AC480"/>
  <c r="AD423"/>
  <c r="AC828"/>
  <c r="AD771"/>
  <c r="AB362"/>
  <c r="AC305"/>
  <c r="T832"/>
  <c r="U775"/>
  <c r="T780"/>
  <c r="X482"/>
  <c r="Y425"/>
  <c r="X430"/>
  <c r="C29"/>
  <c r="AB535"/>
  <c r="AA767"/>
  <c r="V687"/>
  <c r="B687" s="1"/>
  <c r="B688" s="1"/>
  <c r="V220"/>
  <c r="B220" s="1"/>
  <c r="B221" s="1"/>
  <c r="AA535"/>
  <c r="V104" l="1"/>
  <c r="V164"/>
  <c r="W1208"/>
  <c r="B1208" s="1"/>
  <c r="B1209" s="1"/>
  <c r="K48" s="1"/>
  <c r="W509"/>
  <c r="W143"/>
  <c r="Y129"/>
  <c r="Y128" s="1"/>
  <c r="Z72"/>
  <c r="Y71"/>
  <c r="W96"/>
  <c r="W107" s="1"/>
  <c r="U139"/>
  <c r="V134"/>
  <c r="V82"/>
  <c r="V139" s="1"/>
  <c r="W77"/>
  <c r="X144"/>
  <c r="X143" s="1"/>
  <c r="X86"/>
  <c r="W1205"/>
  <c r="B1205" s="1"/>
  <c r="B1206" s="1"/>
  <c r="V280"/>
  <c r="B280" s="1"/>
  <c r="B281" s="1"/>
  <c r="C48" s="1"/>
  <c r="V744"/>
  <c r="B744" s="1"/>
  <c r="B745" s="1"/>
  <c r="G48" s="1"/>
  <c r="AD305"/>
  <c r="AC362"/>
  <c r="AE423"/>
  <c r="AD480"/>
  <c r="Z135"/>
  <c r="AA78"/>
  <c r="Y482"/>
  <c r="Z425"/>
  <c r="T837"/>
  <c r="T834" s="1"/>
  <c r="T777"/>
  <c r="I31"/>
  <c r="B950"/>
  <c r="I28" s="1"/>
  <c r="B818"/>
  <c r="H12" s="1"/>
  <c r="C844"/>
  <c r="U257"/>
  <c r="U254" s="1"/>
  <c r="U197"/>
  <c r="Z247"/>
  <c r="Z244" s="1"/>
  <c r="AA190"/>
  <c r="Z187"/>
  <c r="Y1065"/>
  <c r="Z1008"/>
  <c r="Y830"/>
  <c r="Z773"/>
  <c r="Z1178"/>
  <c r="AA1121"/>
  <c r="AC306"/>
  <c r="AB363"/>
  <c r="AB360" s="1"/>
  <c r="AB303"/>
  <c r="Z137"/>
  <c r="AA80"/>
  <c r="F345"/>
  <c r="F354" s="1"/>
  <c r="F380" s="1"/>
  <c r="F297"/>
  <c r="F323" s="1"/>
  <c r="D345"/>
  <c r="D354" s="1"/>
  <c r="D380" s="1"/>
  <c r="D297"/>
  <c r="D323" s="1"/>
  <c r="AV345"/>
  <c r="AV354" s="1"/>
  <c r="AV380" s="1"/>
  <c r="AV297"/>
  <c r="AV323" s="1"/>
  <c r="AF345"/>
  <c r="AF354" s="1"/>
  <c r="AF380" s="1"/>
  <c r="AF297"/>
  <c r="AF323" s="1"/>
  <c r="P345"/>
  <c r="P354" s="1"/>
  <c r="P380" s="1"/>
  <c r="P297"/>
  <c r="P323" s="1"/>
  <c r="BH345"/>
  <c r="BH354" s="1"/>
  <c r="BH380" s="1"/>
  <c r="BH297"/>
  <c r="BH323" s="1"/>
  <c r="AR345"/>
  <c r="AR354" s="1"/>
  <c r="AR380" s="1"/>
  <c r="AR297"/>
  <c r="AR323" s="1"/>
  <c r="AB345"/>
  <c r="AB354" s="1"/>
  <c r="AB380" s="1"/>
  <c r="AB297"/>
  <c r="AB323" s="1"/>
  <c r="L345"/>
  <c r="L354" s="1"/>
  <c r="L380" s="1"/>
  <c r="L297"/>
  <c r="L323" s="1"/>
  <c r="BB345"/>
  <c r="BB354" s="1"/>
  <c r="BB380" s="1"/>
  <c r="BB297"/>
  <c r="BB323" s="1"/>
  <c r="AT345"/>
  <c r="AT354" s="1"/>
  <c r="AT380" s="1"/>
  <c r="AT297"/>
  <c r="AT323" s="1"/>
  <c r="AL345"/>
  <c r="AL354" s="1"/>
  <c r="AL380" s="1"/>
  <c r="AL297"/>
  <c r="AL323" s="1"/>
  <c r="AD345"/>
  <c r="AD354" s="1"/>
  <c r="AD380" s="1"/>
  <c r="AD297"/>
  <c r="AD323" s="1"/>
  <c r="V345"/>
  <c r="V354" s="1"/>
  <c r="V380" s="1"/>
  <c r="V297"/>
  <c r="V323" s="1"/>
  <c r="N345"/>
  <c r="N354" s="1"/>
  <c r="N380" s="1"/>
  <c r="N297"/>
  <c r="N323" s="1"/>
  <c r="BJ345"/>
  <c r="BJ354" s="1"/>
  <c r="BJ380" s="1"/>
  <c r="BJ297"/>
  <c r="BJ323" s="1"/>
  <c r="I297"/>
  <c r="I323" s="1"/>
  <c r="I345"/>
  <c r="I354" s="1"/>
  <c r="I380" s="1"/>
  <c r="Q297"/>
  <c r="Q323" s="1"/>
  <c r="Q345"/>
  <c r="Q354" s="1"/>
  <c r="Q380" s="1"/>
  <c r="Y297"/>
  <c r="Y323" s="1"/>
  <c r="Y345"/>
  <c r="Y354" s="1"/>
  <c r="Y380" s="1"/>
  <c r="AG297"/>
  <c r="AG323" s="1"/>
  <c r="AG345"/>
  <c r="AG354" s="1"/>
  <c r="AG380" s="1"/>
  <c r="AO297"/>
  <c r="AO323" s="1"/>
  <c r="AO345"/>
  <c r="AO354" s="1"/>
  <c r="AO380" s="1"/>
  <c r="AW297"/>
  <c r="AW323" s="1"/>
  <c r="AW345"/>
  <c r="AW354" s="1"/>
  <c r="AW380" s="1"/>
  <c r="BE297"/>
  <c r="BE323" s="1"/>
  <c r="BE345"/>
  <c r="BE354" s="1"/>
  <c r="BE380" s="1"/>
  <c r="B288"/>
  <c r="C345"/>
  <c r="C297"/>
  <c r="O345"/>
  <c r="O354" s="1"/>
  <c r="O380" s="1"/>
  <c r="O297"/>
  <c r="O323" s="1"/>
  <c r="W345"/>
  <c r="W354" s="1"/>
  <c r="W380" s="1"/>
  <c r="W297"/>
  <c r="W323" s="1"/>
  <c r="AE345"/>
  <c r="AE354" s="1"/>
  <c r="AE380" s="1"/>
  <c r="AE297"/>
  <c r="AE323" s="1"/>
  <c r="AM345"/>
  <c r="AM354" s="1"/>
  <c r="AM380" s="1"/>
  <c r="AM297"/>
  <c r="AM323" s="1"/>
  <c r="AU345"/>
  <c r="AU354" s="1"/>
  <c r="AU380" s="1"/>
  <c r="AU297"/>
  <c r="AU323" s="1"/>
  <c r="BC345"/>
  <c r="BC354" s="1"/>
  <c r="BC380" s="1"/>
  <c r="BC297"/>
  <c r="BC323" s="1"/>
  <c r="X444"/>
  <c r="B444" s="1"/>
  <c r="X455"/>
  <c r="B455" s="1"/>
  <c r="B456" s="1"/>
  <c r="B494"/>
  <c r="X491"/>
  <c r="AD1173"/>
  <c r="AE1116"/>
  <c r="V136"/>
  <c r="W79"/>
  <c r="V84"/>
  <c r="AB770"/>
  <c r="AA827"/>
  <c r="AA824" s="1"/>
  <c r="AD1060"/>
  <c r="AE1003"/>
  <c r="AC941"/>
  <c r="AD884"/>
  <c r="Z369"/>
  <c r="AA312"/>
  <c r="X490"/>
  <c r="B490" s="1"/>
  <c r="E32" s="1"/>
  <c r="B433"/>
  <c r="V1064"/>
  <c r="W1007"/>
  <c r="V1012"/>
  <c r="F1041"/>
  <c r="F1050" s="1"/>
  <c r="F1076" s="1"/>
  <c r="F993"/>
  <c r="F1019" s="1"/>
  <c r="D1041"/>
  <c r="D1050" s="1"/>
  <c r="D1076" s="1"/>
  <c r="D993"/>
  <c r="D1019" s="1"/>
  <c r="BC1041"/>
  <c r="BC1050" s="1"/>
  <c r="BC1076" s="1"/>
  <c r="BC993"/>
  <c r="BC1019" s="1"/>
  <c r="AU1041"/>
  <c r="AU1050" s="1"/>
  <c r="AU1076" s="1"/>
  <c r="AU993"/>
  <c r="AU1019" s="1"/>
  <c r="AM1041"/>
  <c r="AM1050" s="1"/>
  <c r="AM1076" s="1"/>
  <c r="AM993"/>
  <c r="AM1019" s="1"/>
  <c r="AE1041"/>
  <c r="AE1050" s="1"/>
  <c r="AE1076" s="1"/>
  <c r="AE993"/>
  <c r="AE1019" s="1"/>
  <c r="W1041"/>
  <c r="W1050" s="1"/>
  <c r="W1076" s="1"/>
  <c r="W993"/>
  <c r="W1019" s="1"/>
  <c r="O1041"/>
  <c r="O1050" s="1"/>
  <c r="O1076" s="1"/>
  <c r="O993"/>
  <c r="O1019" s="1"/>
  <c r="C1041"/>
  <c r="C993"/>
  <c r="B984"/>
  <c r="BF1041"/>
  <c r="BF1050" s="1"/>
  <c r="BF1076" s="1"/>
  <c r="BF993"/>
  <c r="BF1019" s="1"/>
  <c r="AX1041"/>
  <c r="AX1050" s="1"/>
  <c r="AX1076" s="1"/>
  <c r="AX993"/>
  <c r="AX1019" s="1"/>
  <c r="AP1041"/>
  <c r="AP1050" s="1"/>
  <c r="AP1076" s="1"/>
  <c r="AP993"/>
  <c r="AP1019" s="1"/>
  <c r="AH1041"/>
  <c r="AH1050" s="1"/>
  <c r="AH1076" s="1"/>
  <c r="AH993"/>
  <c r="AH1019" s="1"/>
  <c r="Z1041"/>
  <c r="Z1050" s="1"/>
  <c r="Z1076" s="1"/>
  <c r="Z993"/>
  <c r="Z1019" s="1"/>
  <c r="R1041"/>
  <c r="R1050" s="1"/>
  <c r="R1076" s="1"/>
  <c r="R993"/>
  <c r="R1019" s="1"/>
  <c r="J1041"/>
  <c r="J1050" s="1"/>
  <c r="J1076" s="1"/>
  <c r="J993"/>
  <c r="J1019" s="1"/>
  <c r="BA1041"/>
  <c r="BA1050" s="1"/>
  <c r="BA1076" s="1"/>
  <c r="BA993"/>
  <c r="BA1019" s="1"/>
  <c r="AS1041"/>
  <c r="AS1050" s="1"/>
  <c r="AS1076" s="1"/>
  <c r="AS993"/>
  <c r="AS1019" s="1"/>
  <c r="AK1041"/>
  <c r="AK1050" s="1"/>
  <c r="AK1076" s="1"/>
  <c r="AK993"/>
  <c r="AK1019" s="1"/>
  <c r="AC1041"/>
  <c r="AC1050" s="1"/>
  <c r="AC1076" s="1"/>
  <c r="AC993"/>
  <c r="AC1019" s="1"/>
  <c r="U1041"/>
  <c r="U1050" s="1"/>
  <c r="U1076" s="1"/>
  <c r="U993"/>
  <c r="U1019" s="1"/>
  <c r="M1041"/>
  <c r="M1050" s="1"/>
  <c r="M1076" s="1"/>
  <c r="M993"/>
  <c r="M1019" s="1"/>
  <c r="BH1041"/>
  <c r="BH1050" s="1"/>
  <c r="BH1076" s="1"/>
  <c r="BH993"/>
  <c r="BH1019" s="1"/>
  <c r="AZ1041"/>
  <c r="AZ1050" s="1"/>
  <c r="AZ1076" s="1"/>
  <c r="AZ993"/>
  <c r="AZ1019" s="1"/>
  <c r="AR1041"/>
  <c r="AR1050" s="1"/>
  <c r="AR1076" s="1"/>
  <c r="AR993"/>
  <c r="AR1019" s="1"/>
  <c r="AJ1041"/>
  <c r="AJ1050" s="1"/>
  <c r="AJ1076" s="1"/>
  <c r="AJ993"/>
  <c r="AJ1019" s="1"/>
  <c r="AB1041"/>
  <c r="AB1050" s="1"/>
  <c r="AB1076" s="1"/>
  <c r="AB993"/>
  <c r="AB1019" s="1"/>
  <c r="T1041"/>
  <c r="T1050" s="1"/>
  <c r="T1076" s="1"/>
  <c r="T993"/>
  <c r="T1019" s="1"/>
  <c r="L1041"/>
  <c r="L1050" s="1"/>
  <c r="L1076" s="1"/>
  <c r="L993"/>
  <c r="L1019" s="1"/>
  <c r="BI1041"/>
  <c r="BI1050" s="1"/>
  <c r="BI1076" s="1"/>
  <c r="BI993"/>
  <c r="BI1019" s="1"/>
  <c r="AC769"/>
  <c r="AB826"/>
  <c r="G577"/>
  <c r="G586" s="1"/>
  <c r="G612" s="1"/>
  <c r="G529"/>
  <c r="G555" s="1"/>
  <c r="E577"/>
  <c r="E586" s="1"/>
  <c r="E612" s="1"/>
  <c r="E529"/>
  <c r="E555" s="1"/>
  <c r="BH577"/>
  <c r="BH586" s="1"/>
  <c r="BH612" s="1"/>
  <c r="BH529"/>
  <c r="BH555" s="1"/>
  <c r="AR577"/>
  <c r="AR586" s="1"/>
  <c r="AR612" s="1"/>
  <c r="AR529"/>
  <c r="AR555" s="1"/>
  <c r="AB577"/>
  <c r="AB586" s="1"/>
  <c r="AB612" s="1"/>
  <c r="AB529"/>
  <c r="AB555" s="1"/>
  <c r="L577"/>
  <c r="L586" s="1"/>
  <c r="L612" s="1"/>
  <c r="L529"/>
  <c r="L555" s="1"/>
  <c r="AV577"/>
  <c r="AV586" s="1"/>
  <c r="AV612" s="1"/>
  <c r="AV529"/>
  <c r="AV555" s="1"/>
  <c r="AF577"/>
  <c r="AF586" s="1"/>
  <c r="AF612" s="1"/>
  <c r="AF529"/>
  <c r="AF555" s="1"/>
  <c r="P577"/>
  <c r="P586" s="1"/>
  <c r="P612" s="1"/>
  <c r="P529"/>
  <c r="P555" s="1"/>
  <c r="BF577"/>
  <c r="BF586" s="1"/>
  <c r="BF612" s="1"/>
  <c r="BF529"/>
  <c r="BF555" s="1"/>
  <c r="AX577"/>
  <c r="AX586" s="1"/>
  <c r="AX612" s="1"/>
  <c r="AX529"/>
  <c r="AX555" s="1"/>
  <c r="AP577"/>
  <c r="AP586" s="1"/>
  <c r="AP612" s="1"/>
  <c r="AP529"/>
  <c r="AP555" s="1"/>
  <c r="AH577"/>
  <c r="AH586" s="1"/>
  <c r="AH612" s="1"/>
  <c r="AH529"/>
  <c r="AH555" s="1"/>
  <c r="Z577"/>
  <c r="Z586" s="1"/>
  <c r="Z612" s="1"/>
  <c r="Z529"/>
  <c r="Z555" s="1"/>
  <c r="R577"/>
  <c r="R586" s="1"/>
  <c r="R612" s="1"/>
  <c r="R529"/>
  <c r="R555" s="1"/>
  <c r="J577"/>
  <c r="J586" s="1"/>
  <c r="J612" s="1"/>
  <c r="J529"/>
  <c r="J555" s="1"/>
  <c r="M577"/>
  <c r="M586" s="1"/>
  <c r="M612" s="1"/>
  <c r="M529"/>
  <c r="M555" s="1"/>
  <c r="U577"/>
  <c r="U586" s="1"/>
  <c r="U612" s="1"/>
  <c r="U529"/>
  <c r="U555" s="1"/>
  <c r="AC577"/>
  <c r="AC586" s="1"/>
  <c r="AC612" s="1"/>
  <c r="AC529"/>
  <c r="AC555" s="1"/>
  <c r="AK577"/>
  <c r="AK586" s="1"/>
  <c r="AK612" s="1"/>
  <c r="AK529"/>
  <c r="AK555" s="1"/>
  <c r="AS577"/>
  <c r="AS586" s="1"/>
  <c r="AS612" s="1"/>
  <c r="AS529"/>
  <c r="AS555" s="1"/>
  <c r="BA577"/>
  <c r="BA586" s="1"/>
  <c r="BA612" s="1"/>
  <c r="BA529"/>
  <c r="BA555" s="1"/>
  <c r="BI577"/>
  <c r="BI586" s="1"/>
  <c r="BI612" s="1"/>
  <c r="BI529"/>
  <c r="BI555" s="1"/>
  <c r="K577"/>
  <c r="K586" s="1"/>
  <c r="K612" s="1"/>
  <c r="K529"/>
  <c r="K555" s="1"/>
  <c r="S577"/>
  <c r="S586" s="1"/>
  <c r="S612" s="1"/>
  <c r="S529"/>
  <c r="S555" s="1"/>
  <c r="AA577"/>
  <c r="AA586" s="1"/>
  <c r="AA612" s="1"/>
  <c r="AA529"/>
  <c r="AA555" s="1"/>
  <c r="AI577"/>
  <c r="AI586" s="1"/>
  <c r="AI612" s="1"/>
  <c r="AI529"/>
  <c r="AI555" s="1"/>
  <c r="AQ577"/>
  <c r="AQ586" s="1"/>
  <c r="AQ612" s="1"/>
  <c r="AQ529"/>
  <c r="AQ555" s="1"/>
  <c r="AY577"/>
  <c r="AY586" s="1"/>
  <c r="AY612" s="1"/>
  <c r="AY529"/>
  <c r="AY555" s="1"/>
  <c r="BG577"/>
  <c r="BG586" s="1"/>
  <c r="BG612" s="1"/>
  <c r="BG529"/>
  <c r="BG555" s="1"/>
  <c r="Y833"/>
  <c r="Z776"/>
  <c r="AB595"/>
  <c r="AB592" s="1"/>
  <c r="AC538"/>
  <c r="Z717"/>
  <c r="AA660"/>
  <c r="Z947"/>
  <c r="AA890"/>
  <c r="U373"/>
  <c r="U370" s="1"/>
  <c r="U313"/>
  <c r="AE304"/>
  <c r="AD361"/>
  <c r="U605"/>
  <c r="U602" s="1"/>
  <c r="U545"/>
  <c r="U484"/>
  <c r="V427"/>
  <c r="U432"/>
  <c r="Y253"/>
  <c r="Z196"/>
  <c r="C49"/>
  <c r="E172"/>
  <c r="BI172"/>
  <c r="D172"/>
  <c r="J172"/>
  <c r="N172"/>
  <c r="R172"/>
  <c r="V172"/>
  <c r="Z172"/>
  <c r="AD172"/>
  <c r="AH172"/>
  <c r="AL172"/>
  <c r="AP172"/>
  <c r="AT172"/>
  <c r="AX172"/>
  <c r="BB172"/>
  <c r="BF172"/>
  <c r="BJ172"/>
  <c r="H172"/>
  <c r="P172"/>
  <c r="X172"/>
  <c r="AF172"/>
  <c r="AN172"/>
  <c r="AV172"/>
  <c r="BD172"/>
  <c r="C172"/>
  <c r="K172"/>
  <c r="O172"/>
  <c r="S172"/>
  <c r="W172"/>
  <c r="AA172"/>
  <c r="AE172"/>
  <c r="AI172"/>
  <c r="AM172"/>
  <c r="AQ172"/>
  <c r="AU172"/>
  <c r="AY172"/>
  <c r="BC172"/>
  <c r="BG172"/>
  <c r="L172"/>
  <c r="T172"/>
  <c r="AB172"/>
  <c r="AJ172"/>
  <c r="AR172"/>
  <c r="AZ172"/>
  <c r="BH172"/>
  <c r="I172"/>
  <c r="M172"/>
  <c r="Q172"/>
  <c r="U172"/>
  <c r="Y172"/>
  <c r="AC172"/>
  <c r="AG172"/>
  <c r="AK172"/>
  <c r="AO172"/>
  <c r="AS172"/>
  <c r="AW172"/>
  <c r="BA172"/>
  <c r="BE172"/>
  <c r="F172"/>
  <c r="G172"/>
  <c r="AD73"/>
  <c r="AC130"/>
  <c r="Y946"/>
  <c r="Z889"/>
  <c r="Z1062"/>
  <c r="AA1005"/>
  <c r="AC594"/>
  <c r="AD537"/>
  <c r="Z601"/>
  <c r="AA544"/>
  <c r="U948"/>
  <c r="V891"/>
  <c r="AF1119"/>
  <c r="AE1176"/>
  <c r="AA1175"/>
  <c r="AA1172" s="1"/>
  <c r="AB1118"/>
  <c r="AA1115"/>
  <c r="AA599"/>
  <c r="AB542"/>
  <c r="Y949"/>
  <c r="Z892"/>
  <c r="B36"/>
  <c r="AA131"/>
  <c r="AB74"/>
  <c r="U1185"/>
  <c r="U1182" s="1"/>
  <c r="U1125"/>
  <c r="V1180"/>
  <c r="W1123"/>
  <c r="V1128"/>
  <c r="U716"/>
  <c r="V659"/>
  <c r="U664"/>
  <c r="AB246"/>
  <c r="AC189"/>
  <c r="AD593"/>
  <c r="AE536"/>
  <c r="AD248"/>
  <c r="AE191"/>
  <c r="AA367"/>
  <c r="AB310"/>
  <c r="AA943"/>
  <c r="AA940" s="1"/>
  <c r="AB886"/>
  <c r="AA883"/>
  <c r="V741"/>
  <c r="B741" s="1"/>
  <c r="B742" s="1"/>
  <c r="AB767"/>
  <c r="X487"/>
  <c r="B430"/>
  <c r="U832"/>
  <c r="V775"/>
  <c r="U780"/>
  <c r="AE771"/>
  <c r="AD828"/>
  <c r="C910"/>
  <c r="B905"/>
  <c r="AD944"/>
  <c r="AE887"/>
  <c r="V252"/>
  <c r="W195"/>
  <c r="V200"/>
  <c r="AB942"/>
  <c r="AC885"/>
  <c r="AD132"/>
  <c r="AE75"/>
  <c r="G345"/>
  <c r="G354" s="1"/>
  <c r="G380" s="1"/>
  <c r="G297"/>
  <c r="G323" s="1"/>
  <c r="E297"/>
  <c r="E323" s="1"/>
  <c r="E345"/>
  <c r="E354" s="1"/>
  <c r="E380" s="1"/>
  <c r="BD345"/>
  <c r="BD354" s="1"/>
  <c r="BD380" s="1"/>
  <c r="BD297"/>
  <c r="BD323" s="1"/>
  <c r="AN345"/>
  <c r="AN354" s="1"/>
  <c r="AN380" s="1"/>
  <c r="AN297"/>
  <c r="AN323" s="1"/>
  <c r="X345"/>
  <c r="X354" s="1"/>
  <c r="X380" s="1"/>
  <c r="X297"/>
  <c r="X323" s="1"/>
  <c r="H345"/>
  <c r="H354" s="1"/>
  <c r="H380" s="1"/>
  <c r="H297"/>
  <c r="H323" s="1"/>
  <c r="AZ345"/>
  <c r="AZ354" s="1"/>
  <c r="AZ380" s="1"/>
  <c r="AZ297"/>
  <c r="AZ323" s="1"/>
  <c r="AJ345"/>
  <c r="AJ354" s="1"/>
  <c r="AJ380" s="1"/>
  <c r="AJ297"/>
  <c r="AJ323" s="1"/>
  <c r="T345"/>
  <c r="T354" s="1"/>
  <c r="T380" s="1"/>
  <c r="T297"/>
  <c r="T323" s="1"/>
  <c r="BF345"/>
  <c r="BF354" s="1"/>
  <c r="BF380" s="1"/>
  <c r="BF297"/>
  <c r="BF323" s="1"/>
  <c r="AX345"/>
  <c r="AX354" s="1"/>
  <c r="AX380" s="1"/>
  <c r="AX297"/>
  <c r="AX323" s="1"/>
  <c r="AP345"/>
  <c r="AP354" s="1"/>
  <c r="AP380" s="1"/>
  <c r="AP297"/>
  <c r="AP323" s="1"/>
  <c r="AH345"/>
  <c r="AH354" s="1"/>
  <c r="AH380" s="1"/>
  <c r="AH297"/>
  <c r="AH323" s="1"/>
  <c r="Z345"/>
  <c r="Z354" s="1"/>
  <c r="Z380" s="1"/>
  <c r="Z297"/>
  <c r="Z323" s="1"/>
  <c r="R345"/>
  <c r="R354" s="1"/>
  <c r="R380" s="1"/>
  <c r="R297"/>
  <c r="R323" s="1"/>
  <c r="J345"/>
  <c r="J354" s="1"/>
  <c r="J380" s="1"/>
  <c r="J297"/>
  <c r="J323" s="1"/>
  <c r="M297"/>
  <c r="M323" s="1"/>
  <c r="M345"/>
  <c r="M354" s="1"/>
  <c r="M380" s="1"/>
  <c r="U297"/>
  <c r="U323" s="1"/>
  <c r="U345"/>
  <c r="U354" s="1"/>
  <c r="U380" s="1"/>
  <c r="AC297"/>
  <c r="AC323" s="1"/>
  <c r="AC345"/>
  <c r="AC354" s="1"/>
  <c r="AC380" s="1"/>
  <c r="AK297"/>
  <c r="AK323" s="1"/>
  <c r="AK345"/>
  <c r="AK354" s="1"/>
  <c r="AK380" s="1"/>
  <c r="AS297"/>
  <c r="AS323" s="1"/>
  <c r="AS345"/>
  <c r="AS354" s="1"/>
  <c r="AS380" s="1"/>
  <c r="BA297"/>
  <c r="BA323" s="1"/>
  <c r="BA345"/>
  <c r="BA354" s="1"/>
  <c r="BA380" s="1"/>
  <c r="BI297"/>
  <c r="BI323" s="1"/>
  <c r="BI345"/>
  <c r="BI354" s="1"/>
  <c r="BI380" s="1"/>
  <c r="K345"/>
  <c r="K354" s="1"/>
  <c r="K380" s="1"/>
  <c r="K297"/>
  <c r="K323" s="1"/>
  <c r="S345"/>
  <c r="S354" s="1"/>
  <c r="S380" s="1"/>
  <c r="S297"/>
  <c r="S323" s="1"/>
  <c r="AA345"/>
  <c r="AA354" s="1"/>
  <c r="AA380" s="1"/>
  <c r="AA297"/>
  <c r="AA323" s="1"/>
  <c r="AI345"/>
  <c r="AI354" s="1"/>
  <c r="AI380" s="1"/>
  <c r="AI297"/>
  <c r="AI323" s="1"/>
  <c r="AQ345"/>
  <c r="AQ354" s="1"/>
  <c r="AQ380" s="1"/>
  <c r="AQ297"/>
  <c r="AQ323" s="1"/>
  <c r="AY345"/>
  <c r="AY354" s="1"/>
  <c r="AY380" s="1"/>
  <c r="AY297"/>
  <c r="AY323" s="1"/>
  <c r="BG345"/>
  <c r="BG354" s="1"/>
  <c r="BG380" s="1"/>
  <c r="BG297"/>
  <c r="BG323" s="1"/>
  <c r="BI1100"/>
  <c r="BE1100"/>
  <c r="BA1100"/>
  <c r="AW1100"/>
  <c r="AS1100"/>
  <c r="AO1100"/>
  <c r="AK1100"/>
  <c r="AG1100"/>
  <c r="AC1100"/>
  <c r="Y1100"/>
  <c r="U1100"/>
  <c r="Q1100"/>
  <c r="M1100"/>
  <c r="I1100"/>
  <c r="BG1100"/>
  <c r="BC1100"/>
  <c r="AY1100"/>
  <c r="AU1100"/>
  <c r="AQ1100"/>
  <c r="AM1100"/>
  <c r="AI1100"/>
  <c r="AE1100"/>
  <c r="AA1100"/>
  <c r="W1100"/>
  <c r="S1100"/>
  <c r="O1100"/>
  <c r="K1100"/>
  <c r="C1100"/>
  <c r="K49"/>
  <c r="BJ1100"/>
  <c r="J1100"/>
  <c r="N1100"/>
  <c r="R1100"/>
  <c r="V1100"/>
  <c r="Z1100"/>
  <c r="AD1100"/>
  <c r="AH1100"/>
  <c r="AL1100"/>
  <c r="AP1100"/>
  <c r="AT1100"/>
  <c r="AX1100"/>
  <c r="BB1100"/>
  <c r="BF1100"/>
  <c r="H1100"/>
  <c r="L1100"/>
  <c r="P1100"/>
  <c r="T1100"/>
  <c r="X1100"/>
  <c r="AB1100"/>
  <c r="AF1100"/>
  <c r="AJ1100"/>
  <c r="AN1100"/>
  <c r="AR1100"/>
  <c r="AV1100"/>
  <c r="AZ1100"/>
  <c r="BD1100"/>
  <c r="BH1100"/>
  <c r="D1100"/>
  <c r="E1100"/>
  <c r="F1100"/>
  <c r="G1100"/>
  <c r="F29"/>
  <c r="Z711"/>
  <c r="Z708" s="1"/>
  <c r="AA654"/>
  <c r="Z651"/>
  <c r="U141"/>
  <c r="U81"/>
  <c r="Z714"/>
  <c r="AA657"/>
  <c r="Z250"/>
  <c r="AA193"/>
  <c r="AA1063"/>
  <c r="AB1006"/>
  <c r="D29"/>
  <c r="AB709"/>
  <c r="AC652"/>
  <c r="AD1174"/>
  <c r="AE1117"/>
  <c r="Y485"/>
  <c r="Z428"/>
  <c r="Z598"/>
  <c r="AA541"/>
  <c r="AA483"/>
  <c r="AB426"/>
  <c r="U1069"/>
  <c r="U1066" s="1"/>
  <c r="U1009"/>
  <c r="AD188"/>
  <c r="AC245"/>
  <c r="G1041"/>
  <c r="G1050" s="1"/>
  <c r="G1076" s="1"/>
  <c r="G993"/>
  <c r="G1019" s="1"/>
  <c r="E1041"/>
  <c r="E1050" s="1"/>
  <c r="E1076" s="1"/>
  <c r="E993"/>
  <c r="E1019" s="1"/>
  <c r="BG1041"/>
  <c r="BG1050" s="1"/>
  <c r="BG1076" s="1"/>
  <c r="BG993"/>
  <c r="BG1019" s="1"/>
  <c r="AY1041"/>
  <c r="AY1050" s="1"/>
  <c r="AY1076" s="1"/>
  <c r="AY993"/>
  <c r="AY1019" s="1"/>
  <c r="AQ1041"/>
  <c r="AQ1050" s="1"/>
  <c r="AQ1076" s="1"/>
  <c r="AQ993"/>
  <c r="AQ1019" s="1"/>
  <c r="AI1041"/>
  <c r="AI1050" s="1"/>
  <c r="AI1076" s="1"/>
  <c r="AI993"/>
  <c r="AI1019" s="1"/>
  <c r="AA1041"/>
  <c r="AA1050" s="1"/>
  <c r="AA1076" s="1"/>
  <c r="AA993"/>
  <c r="AA1019" s="1"/>
  <c r="S1041"/>
  <c r="S1050" s="1"/>
  <c r="S1076" s="1"/>
  <c r="S993"/>
  <c r="S1019" s="1"/>
  <c r="K1041"/>
  <c r="K1050" s="1"/>
  <c r="K1076" s="1"/>
  <c r="K993"/>
  <c r="K1019" s="1"/>
  <c r="BJ1041"/>
  <c r="BJ1050" s="1"/>
  <c r="BJ1076" s="1"/>
  <c r="BJ993"/>
  <c r="BJ1019" s="1"/>
  <c r="BB1041"/>
  <c r="BB1050" s="1"/>
  <c r="BB1076" s="1"/>
  <c r="BB993"/>
  <c r="BB1019" s="1"/>
  <c r="AT1041"/>
  <c r="AT1050" s="1"/>
  <c r="AT1076" s="1"/>
  <c r="AT993"/>
  <c r="AT1019" s="1"/>
  <c r="AL1041"/>
  <c r="AL1050" s="1"/>
  <c r="AL1076" s="1"/>
  <c r="AL993"/>
  <c r="AL1019" s="1"/>
  <c r="AD1041"/>
  <c r="AD1050" s="1"/>
  <c r="AD1076" s="1"/>
  <c r="AD993"/>
  <c r="AD1019" s="1"/>
  <c r="V1041"/>
  <c r="V1050" s="1"/>
  <c r="V1076" s="1"/>
  <c r="V993"/>
  <c r="V1019" s="1"/>
  <c r="N1041"/>
  <c r="N1050" s="1"/>
  <c r="N1076" s="1"/>
  <c r="N993"/>
  <c r="N1019" s="1"/>
  <c r="BE1041"/>
  <c r="BE1050" s="1"/>
  <c r="BE1076" s="1"/>
  <c r="BE993"/>
  <c r="BE1019" s="1"/>
  <c r="AW1041"/>
  <c r="AW1050" s="1"/>
  <c r="AW1076" s="1"/>
  <c r="AW993"/>
  <c r="AW1019" s="1"/>
  <c r="AO1041"/>
  <c r="AO1050" s="1"/>
  <c r="AO1076" s="1"/>
  <c r="AO993"/>
  <c r="AO1019" s="1"/>
  <c r="AG1041"/>
  <c r="AG1050" s="1"/>
  <c r="AG1076" s="1"/>
  <c r="AG993"/>
  <c r="AG1019" s="1"/>
  <c r="Y1041"/>
  <c r="Y1050" s="1"/>
  <c r="Y1076" s="1"/>
  <c r="Y993"/>
  <c r="Y1019" s="1"/>
  <c r="Q1041"/>
  <c r="Q1050" s="1"/>
  <c r="Q1076" s="1"/>
  <c r="Q993"/>
  <c r="Q1019" s="1"/>
  <c r="I1041"/>
  <c r="I1050" s="1"/>
  <c r="I1076" s="1"/>
  <c r="I993"/>
  <c r="I1019" s="1"/>
  <c r="BD1041"/>
  <c r="BD1050" s="1"/>
  <c r="BD1076" s="1"/>
  <c r="BD993"/>
  <c r="BD1019" s="1"/>
  <c r="AV1041"/>
  <c r="AV1050" s="1"/>
  <c r="AV1076" s="1"/>
  <c r="AV993"/>
  <c r="AV1019" s="1"/>
  <c r="AN1041"/>
  <c r="AN1050" s="1"/>
  <c r="AN1076" s="1"/>
  <c r="AN993"/>
  <c r="AN1019" s="1"/>
  <c r="AF1041"/>
  <c r="AF1050" s="1"/>
  <c r="AF1076" s="1"/>
  <c r="AF993"/>
  <c r="AF1019" s="1"/>
  <c r="X1041"/>
  <c r="X1050" s="1"/>
  <c r="X1076" s="1"/>
  <c r="X993"/>
  <c r="X1019" s="1"/>
  <c r="P1041"/>
  <c r="P1050" s="1"/>
  <c r="P1076" s="1"/>
  <c r="P993"/>
  <c r="P1019" s="1"/>
  <c r="H1041"/>
  <c r="H1050" s="1"/>
  <c r="H1076" s="1"/>
  <c r="H993"/>
  <c r="H1019" s="1"/>
  <c r="F577"/>
  <c r="F586" s="1"/>
  <c r="F612" s="1"/>
  <c r="F529"/>
  <c r="F555" s="1"/>
  <c r="D577"/>
  <c r="D586" s="1"/>
  <c r="D612" s="1"/>
  <c r="D529"/>
  <c r="D555" s="1"/>
  <c r="AZ577"/>
  <c r="AZ586" s="1"/>
  <c r="AZ612" s="1"/>
  <c r="AZ529"/>
  <c r="AZ555" s="1"/>
  <c r="AJ577"/>
  <c r="AJ586" s="1"/>
  <c r="AJ612" s="1"/>
  <c r="AJ529"/>
  <c r="AJ555" s="1"/>
  <c r="T577"/>
  <c r="T586" s="1"/>
  <c r="T612" s="1"/>
  <c r="T529"/>
  <c r="T555" s="1"/>
  <c r="BD577"/>
  <c r="BD586" s="1"/>
  <c r="BD612" s="1"/>
  <c r="BD529"/>
  <c r="BD555" s="1"/>
  <c r="AN577"/>
  <c r="AN586" s="1"/>
  <c r="AN612" s="1"/>
  <c r="AN529"/>
  <c r="AN555" s="1"/>
  <c r="X577"/>
  <c r="X586" s="1"/>
  <c r="X612" s="1"/>
  <c r="X529"/>
  <c r="X555" s="1"/>
  <c r="H577"/>
  <c r="H586" s="1"/>
  <c r="H612" s="1"/>
  <c r="H529"/>
  <c r="H555" s="1"/>
  <c r="BB577"/>
  <c r="BB586" s="1"/>
  <c r="BB612" s="1"/>
  <c r="BB529"/>
  <c r="BB555" s="1"/>
  <c r="AT577"/>
  <c r="AT586" s="1"/>
  <c r="AT612" s="1"/>
  <c r="AT529"/>
  <c r="AT555" s="1"/>
  <c r="AL577"/>
  <c r="AL586" s="1"/>
  <c r="AL612" s="1"/>
  <c r="AL529"/>
  <c r="AL555" s="1"/>
  <c r="AD577"/>
  <c r="AD586" s="1"/>
  <c r="AD612" s="1"/>
  <c r="AD529"/>
  <c r="AD555" s="1"/>
  <c r="V577"/>
  <c r="V586" s="1"/>
  <c r="V612" s="1"/>
  <c r="V529"/>
  <c r="V555" s="1"/>
  <c r="N577"/>
  <c r="N586" s="1"/>
  <c r="N612" s="1"/>
  <c r="N529"/>
  <c r="N555" s="1"/>
  <c r="BJ577"/>
  <c r="BJ586" s="1"/>
  <c r="BJ612" s="1"/>
  <c r="BJ529"/>
  <c r="BJ555" s="1"/>
  <c r="I577"/>
  <c r="I586" s="1"/>
  <c r="I612" s="1"/>
  <c r="I529"/>
  <c r="I555" s="1"/>
  <c r="Q577"/>
  <c r="Q586" s="1"/>
  <c r="Q612" s="1"/>
  <c r="Q529"/>
  <c r="Q555" s="1"/>
  <c r="Y577"/>
  <c r="Y586" s="1"/>
  <c r="Y612" s="1"/>
  <c r="Y529"/>
  <c r="Y555" s="1"/>
  <c r="AG577"/>
  <c r="AG586" s="1"/>
  <c r="AG612" s="1"/>
  <c r="AG529"/>
  <c r="AG555" s="1"/>
  <c r="AO577"/>
  <c r="AO586" s="1"/>
  <c r="AO612" s="1"/>
  <c r="AO529"/>
  <c r="AO555" s="1"/>
  <c r="AW577"/>
  <c r="AW586" s="1"/>
  <c r="AW612" s="1"/>
  <c r="AW529"/>
  <c r="AW555" s="1"/>
  <c r="BE577"/>
  <c r="BE586" s="1"/>
  <c r="BE612" s="1"/>
  <c r="BE529"/>
  <c r="BE555" s="1"/>
  <c r="C577"/>
  <c r="B520"/>
  <c r="C529"/>
  <c r="O577"/>
  <c r="O586" s="1"/>
  <c r="O612" s="1"/>
  <c r="O529"/>
  <c r="O555" s="1"/>
  <c r="W577"/>
  <c r="W586" s="1"/>
  <c r="W612" s="1"/>
  <c r="W529"/>
  <c r="W555" s="1"/>
  <c r="AE577"/>
  <c r="AE586" s="1"/>
  <c r="AE612" s="1"/>
  <c r="AE529"/>
  <c r="AE555" s="1"/>
  <c r="AM577"/>
  <c r="AM586" s="1"/>
  <c r="AM612" s="1"/>
  <c r="AM529"/>
  <c r="AM555" s="1"/>
  <c r="AU577"/>
  <c r="AU586" s="1"/>
  <c r="AU612" s="1"/>
  <c r="AU529"/>
  <c r="AU555" s="1"/>
  <c r="BC577"/>
  <c r="BC586" s="1"/>
  <c r="BC612" s="1"/>
  <c r="BC529"/>
  <c r="BC555" s="1"/>
  <c r="AB1059"/>
  <c r="AB1056" s="1"/>
  <c r="AC1002"/>
  <c r="AB999"/>
  <c r="C788"/>
  <c r="B788" s="1"/>
  <c r="B787"/>
  <c r="V368"/>
  <c r="W311"/>
  <c r="V316"/>
  <c r="AC478"/>
  <c r="AD421"/>
  <c r="AD364"/>
  <c r="AE307"/>
  <c r="V600"/>
  <c r="W543"/>
  <c r="V548"/>
  <c r="Z1181"/>
  <c r="AA1124"/>
  <c r="Z366"/>
  <c r="AA309"/>
  <c r="Z831"/>
  <c r="AA774"/>
  <c r="T489"/>
  <c r="T486" s="1"/>
  <c r="T429"/>
  <c r="AE655"/>
  <c r="AD712"/>
  <c r="Z479"/>
  <c r="Z476" s="1"/>
  <c r="AA422"/>
  <c r="Z419"/>
  <c r="C961"/>
  <c r="B961" s="1"/>
  <c r="I39" s="1"/>
  <c r="B960"/>
  <c r="I38" s="1"/>
  <c r="AB477"/>
  <c r="AC420"/>
  <c r="AC710"/>
  <c r="AD653"/>
  <c r="AD1057"/>
  <c r="AE1000"/>
  <c r="K29"/>
  <c r="AD596"/>
  <c r="AE539"/>
  <c r="Z715"/>
  <c r="AA658"/>
  <c r="X153"/>
  <c r="X164" s="1"/>
  <c r="AA1179"/>
  <c r="AB1122"/>
  <c r="AE1001"/>
  <c r="AD1058"/>
  <c r="T721"/>
  <c r="T718" s="1"/>
  <c r="T661"/>
  <c r="AD768"/>
  <c r="AC825"/>
  <c r="AA251"/>
  <c r="AB194"/>
  <c r="AB883"/>
  <c r="AC303"/>
  <c r="AC535"/>
  <c r="U138" l="1"/>
  <c r="X161"/>
  <c r="C789"/>
  <c r="X452"/>
  <c r="B452" s="1"/>
  <c r="B453" s="1"/>
  <c r="W153"/>
  <c r="W164" s="1"/>
  <c r="B164" s="1"/>
  <c r="B165" s="1"/>
  <c r="B48" s="1"/>
  <c r="C962"/>
  <c r="C967" s="1"/>
  <c r="X96"/>
  <c r="W134"/>
  <c r="W82"/>
  <c r="W139" s="1"/>
  <c r="X77"/>
  <c r="AA72"/>
  <c r="Z129"/>
  <c r="Z128" s="1"/>
  <c r="Z71"/>
  <c r="W104"/>
  <c r="B144"/>
  <c r="AB251"/>
  <c r="AC194"/>
  <c r="AD825"/>
  <c r="AE768"/>
  <c r="AE1058"/>
  <c r="AF1001"/>
  <c r="AA715"/>
  <c r="AB658"/>
  <c r="AE596"/>
  <c r="AF539"/>
  <c r="AD420"/>
  <c r="AC477"/>
  <c r="B962"/>
  <c r="I40" s="1"/>
  <c r="AB422"/>
  <c r="AA479"/>
  <c r="AA476" s="1"/>
  <c r="AA419"/>
  <c r="AA831"/>
  <c r="AB774"/>
  <c r="AA366"/>
  <c r="AB309"/>
  <c r="AB1124"/>
  <c r="AA1181"/>
  <c r="V605"/>
  <c r="V602" s="1"/>
  <c r="V545"/>
  <c r="X311"/>
  <c r="W368"/>
  <c r="W316"/>
  <c r="C794"/>
  <c r="B789"/>
  <c r="AC1059"/>
  <c r="AC1056" s="1"/>
  <c r="AD1002"/>
  <c r="AC999"/>
  <c r="BC556"/>
  <c r="BC557" s="1"/>
  <c r="BC562" s="1"/>
  <c r="BC563" s="1"/>
  <c r="BC564" s="1"/>
  <c r="AU556"/>
  <c r="AU557" s="1"/>
  <c r="AU562" s="1"/>
  <c r="AU563" s="1"/>
  <c r="AU564" s="1"/>
  <c r="AM556"/>
  <c r="AM557" s="1"/>
  <c r="AM562" s="1"/>
  <c r="AM563" s="1"/>
  <c r="AM564" s="1"/>
  <c r="AE556"/>
  <c r="AE557" s="1"/>
  <c r="AE562" s="1"/>
  <c r="AE563" s="1"/>
  <c r="AE564" s="1"/>
  <c r="W556"/>
  <c r="W557" s="1"/>
  <c r="W562" s="1"/>
  <c r="W563" s="1"/>
  <c r="O556"/>
  <c r="O557" s="1"/>
  <c r="O562" s="1"/>
  <c r="O563" s="1"/>
  <c r="C555"/>
  <c r="B529"/>
  <c r="C586"/>
  <c r="B577"/>
  <c r="F3" s="1"/>
  <c r="BE613"/>
  <c r="BE614" s="1"/>
  <c r="BE619" s="1"/>
  <c r="BE620" s="1"/>
  <c r="BE621" s="1"/>
  <c r="BE1219" s="1"/>
  <c r="AW613"/>
  <c r="AW614" s="1"/>
  <c r="AW619" s="1"/>
  <c r="AW620" s="1"/>
  <c r="AW621" s="1"/>
  <c r="AW1219" s="1"/>
  <c r="AO613"/>
  <c r="AO614" s="1"/>
  <c r="AO619" s="1"/>
  <c r="AO620" s="1"/>
  <c r="AO621" s="1"/>
  <c r="AO1219" s="1"/>
  <c r="AG613"/>
  <c r="AG614" s="1"/>
  <c r="AG619" s="1"/>
  <c r="AG620" s="1"/>
  <c r="AG621" s="1"/>
  <c r="AG1219" s="1"/>
  <c r="Y613"/>
  <c r="Y614" s="1"/>
  <c r="Y619" s="1"/>
  <c r="Y620" s="1"/>
  <c r="Y621" s="1"/>
  <c r="Y1219" s="1"/>
  <c r="Q613"/>
  <c r="Q614" s="1"/>
  <c r="Q619" s="1"/>
  <c r="Q620" s="1"/>
  <c r="I613"/>
  <c r="I614" s="1"/>
  <c r="I619" s="1"/>
  <c r="I620" s="1"/>
  <c r="BJ613"/>
  <c r="BJ614" s="1"/>
  <c r="BJ619" s="1"/>
  <c r="BJ620" s="1"/>
  <c r="BJ621" s="1"/>
  <c r="BJ1219" s="1"/>
  <c r="N613"/>
  <c r="N614" s="1"/>
  <c r="N619" s="1"/>
  <c r="N620" s="1"/>
  <c r="V613"/>
  <c r="V614" s="1"/>
  <c r="V619" s="1"/>
  <c r="V620" s="1"/>
  <c r="AD613"/>
  <c r="AD614" s="1"/>
  <c r="AD619" s="1"/>
  <c r="AD620" s="1"/>
  <c r="AD621" s="1"/>
  <c r="AD1219" s="1"/>
  <c r="AL613"/>
  <c r="AL614" s="1"/>
  <c r="AL619" s="1"/>
  <c r="AL620" s="1"/>
  <c r="AL621" s="1"/>
  <c r="AL1219" s="1"/>
  <c r="AT613"/>
  <c r="AT614" s="1"/>
  <c r="AT619" s="1"/>
  <c r="AT620" s="1"/>
  <c r="AT621" s="1"/>
  <c r="AT1219" s="1"/>
  <c r="BB613"/>
  <c r="BB614" s="1"/>
  <c r="BB619" s="1"/>
  <c r="BB620" s="1"/>
  <c r="BB621" s="1"/>
  <c r="BB1219" s="1"/>
  <c r="H613"/>
  <c r="H614" s="1"/>
  <c r="H619" s="1"/>
  <c r="H620" s="1"/>
  <c r="X613"/>
  <c r="X614" s="1"/>
  <c r="X619" s="1"/>
  <c r="X620" s="1"/>
  <c r="X621" s="1"/>
  <c r="X1219" s="1"/>
  <c r="AN613"/>
  <c r="AN614" s="1"/>
  <c r="AN619" s="1"/>
  <c r="AN620" s="1"/>
  <c r="AN621" s="1"/>
  <c r="AN1219" s="1"/>
  <c r="BD613"/>
  <c r="BD614" s="1"/>
  <c r="BD619" s="1"/>
  <c r="BD620" s="1"/>
  <c r="BD621" s="1"/>
  <c r="BD1219" s="1"/>
  <c r="T613"/>
  <c r="T614" s="1"/>
  <c r="T619" s="1"/>
  <c r="T620" s="1"/>
  <c r="AJ613"/>
  <c r="AJ614" s="1"/>
  <c r="AJ619" s="1"/>
  <c r="AJ620" s="1"/>
  <c r="AJ621" s="1"/>
  <c r="AJ1219" s="1"/>
  <c r="AZ613"/>
  <c r="AZ614" s="1"/>
  <c r="AZ619" s="1"/>
  <c r="AZ620" s="1"/>
  <c r="AZ621" s="1"/>
  <c r="AZ1219" s="1"/>
  <c r="D613"/>
  <c r="D614" s="1"/>
  <c r="D619" s="1"/>
  <c r="D620" s="1"/>
  <c r="F613"/>
  <c r="F614" s="1"/>
  <c r="F619" s="1"/>
  <c r="F620" s="1"/>
  <c r="H1077"/>
  <c r="H1078" s="1"/>
  <c r="H1083" s="1"/>
  <c r="H1084" s="1"/>
  <c r="P1077"/>
  <c r="P1078" s="1"/>
  <c r="P1083" s="1"/>
  <c r="P1084" s="1"/>
  <c r="X1077"/>
  <c r="X1078" s="1"/>
  <c r="X1083" s="1"/>
  <c r="X1084" s="1"/>
  <c r="X1085" s="1"/>
  <c r="X1223" s="1"/>
  <c r="X1242" s="1"/>
  <c r="AF1077"/>
  <c r="AF1078" s="1"/>
  <c r="AF1083" s="1"/>
  <c r="AF1084" s="1"/>
  <c r="AF1085" s="1"/>
  <c r="AF1223" s="1"/>
  <c r="AF1242" s="1"/>
  <c r="AN1077"/>
  <c r="AN1078" s="1"/>
  <c r="AN1083" s="1"/>
  <c r="AN1084" s="1"/>
  <c r="AN1085" s="1"/>
  <c r="AN1223" s="1"/>
  <c r="AN1242" s="1"/>
  <c r="AV1077"/>
  <c r="AV1078" s="1"/>
  <c r="AV1083" s="1"/>
  <c r="AV1084" s="1"/>
  <c r="AV1085" s="1"/>
  <c r="AV1223" s="1"/>
  <c r="AV1242" s="1"/>
  <c r="BD1077"/>
  <c r="BD1078" s="1"/>
  <c r="BD1083" s="1"/>
  <c r="BD1084" s="1"/>
  <c r="BD1085" s="1"/>
  <c r="BD1223" s="1"/>
  <c r="BD1242" s="1"/>
  <c r="I1077"/>
  <c r="I1078" s="1"/>
  <c r="I1083" s="1"/>
  <c r="I1084" s="1"/>
  <c r="Q1077"/>
  <c r="Q1078" s="1"/>
  <c r="Q1083" s="1"/>
  <c r="Q1084" s="1"/>
  <c r="Y1077"/>
  <c r="Y1078" s="1"/>
  <c r="Y1083" s="1"/>
  <c r="Y1084" s="1"/>
  <c r="Y1085" s="1"/>
  <c r="Y1223" s="1"/>
  <c r="Y1242" s="1"/>
  <c r="AG1077"/>
  <c r="AG1078" s="1"/>
  <c r="AG1083" s="1"/>
  <c r="AG1084" s="1"/>
  <c r="AG1085" s="1"/>
  <c r="AG1223" s="1"/>
  <c r="AG1242" s="1"/>
  <c r="AO1077"/>
  <c r="AO1078" s="1"/>
  <c r="AO1083" s="1"/>
  <c r="AO1084" s="1"/>
  <c r="AO1085" s="1"/>
  <c r="AO1223" s="1"/>
  <c r="AO1242" s="1"/>
  <c r="AW1077"/>
  <c r="AW1078" s="1"/>
  <c r="AW1083" s="1"/>
  <c r="AW1084" s="1"/>
  <c r="AW1085" s="1"/>
  <c r="AW1223" s="1"/>
  <c r="AW1242" s="1"/>
  <c r="BE1077"/>
  <c r="BE1078" s="1"/>
  <c r="BE1083" s="1"/>
  <c r="BE1084" s="1"/>
  <c r="BE1085" s="1"/>
  <c r="BE1223" s="1"/>
  <c r="BE1242" s="1"/>
  <c r="N1077"/>
  <c r="N1078" s="1"/>
  <c r="N1083" s="1"/>
  <c r="N1084" s="1"/>
  <c r="V1077"/>
  <c r="V1078" s="1"/>
  <c r="V1083" s="1"/>
  <c r="V1084" s="1"/>
  <c r="AD1077"/>
  <c r="AD1078" s="1"/>
  <c r="AD1083" s="1"/>
  <c r="AD1084" s="1"/>
  <c r="AD1085" s="1"/>
  <c r="AD1223" s="1"/>
  <c r="AD1242" s="1"/>
  <c r="AL1077"/>
  <c r="AL1078" s="1"/>
  <c r="AL1083" s="1"/>
  <c r="AL1084" s="1"/>
  <c r="AL1085" s="1"/>
  <c r="AL1223" s="1"/>
  <c r="AL1242" s="1"/>
  <c r="AT1077"/>
  <c r="AT1078" s="1"/>
  <c r="AT1083" s="1"/>
  <c r="AT1084" s="1"/>
  <c r="AT1085" s="1"/>
  <c r="AT1223" s="1"/>
  <c r="AT1242" s="1"/>
  <c r="BB1077"/>
  <c r="BB1078" s="1"/>
  <c r="BB1083" s="1"/>
  <c r="BB1084" s="1"/>
  <c r="BB1085" s="1"/>
  <c r="BB1223" s="1"/>
  <c r="BB1242" s="1"/>
  <c r="BJ1077"/>
  <c r="BJ1078" s="1"/>
  <c r="BJ1083" s="1"/>
  <c r="BJ1084" s="1"/>
  <c r="BJ1085" s="1"/>
  <c r="BJ1223" s="1"/>
  <c r="BJ1242" s="1"/>
  <c r="K1077"/>
  <c r="K1078" s="1"/>
  <c r="K1083" s="1"/>
  <c r="K1084" s="1"/>
  <c r="S1077"/>
  <c r="S1078" s="1"/>
  <c r="S1083" s="1"/>
  <c r="S1084" s="1"/>
  <c r="AA1077"/>
  <c r="AA1078" s="1"/>
  <c r="AA1083" s="1"/>
  <c r="AA1084" s="1"/>
  <c r="AA1085" s="1"/>
  <c r="AA1223" s="1"/>
  <c r="AA1242" s="1"/>
  <c r="AI1077"/>
  <c r="AI1078" s="1"/>
  <c r="AI1083" s="1"/>
  <c r="AI1084" s="1"/>
  <c r="AI1085" s="1"/>
  <c r="AI1223" s="1"/>
  <c r="AI1242" s="1"/>
  <c r="AQ1077"/>
  <c r="AQ1078" s="1"/>
  <c r="AQ1083" s="1"/>
  <c r="AQ1084" s="1"/>
  <c r="AQ1085" s="1"/>
  <c r="AQ1223" s="1"/>
  <c r="AQ1242" s="1"/>
  <c r="AY1077"/>
  <c r="AY1078" s="1"/>
  <c r="AY1083" s="1"/>
  <c r="AY1084" s="1"/>
  <c r="AY1085" s="1"/>
  <c r="AY1223" s="1"/>
  <c r="AY1242" s="1"/>
  <c r="BG1077"/>
  <c r="BG1078" s="1"/>
  <c r="BG1083" s="1"/>
  <c r="BG1084" s="1"/>
  <c r="BG1085" s="1"/>
  <c r="BG1223" s="1"/>
  <c r="BG1242" s="1"/>
  <c r="E1077"/>
  <c r="E1078" s="1"/>
  <c r="E1083" s="1"/>
  <c r="E1084" s="1"/>
  <c r="G1077"/>
  <c r="G1078" s="1"/>
  <c r="G1083" s="1"/>
  <c r="G1084" s="1"/>
  <c r="AC426"/>
  <c r="AB483"/>
  <c r="AA598"/>
  <c r="AB541"/>
  <c r="Z485"/>
  <c r="AA428"/>
  <c r="AE1174"/>
  <c r="AF1117"/>
  <c r="AB654"/>
  <c r="AA711"/>
  <c r="AA708" s="1"/>
  <c r="AA651"/>
  <c r="G1109"/>
  <c r="G1135" s="1"/>
  <c r="G1157"/>
  <c r="G1166" s="1"/>
  <c r="G1192" s="1"/>
  <c r="E1157"/>
  <c r="E1166" s="1"/>
  <c r="E1192" s="1"/>
  <c r="E1109"/>
  <c r="E1135" s="1"/>
  <c r="BH1157"/>
  <c r="BH1166" s="1"/>
  <c r="BH1192" s="1"/>
  <c r="BH1109"/>
  <c r="BH1135" s="1"/>
  <c r="AZ1157"/>
  <c r="AZ1166" s="1"/>
  <c r="AZ1192" s="1"/>
  <c r="AZ1109"/>
  <c r="AZ1135" s="1"/>
  <c r="AR1157"/>
  <c r="AR1166" s="1"/>
  <c r="AR1192" s="1"/>
  <c r="AR1109"/>
  <c r="AR1135" s="1"/>
  <c r="AJ1157"/>
  <c r="AJ1166" s="1"/>
  <c r="AJ1192" s="1"/>
  <c r="AJ1109"/>
  <c r="AJ1135" s="1"/>
  <c r="AB1157"/>
  <c r="AB1166" s="1"/>
  <c r="AB1192" s="1"/>
  <c r="AB1109"/>
  <c r="AB1135" s="1"/>
  <c r="T1157"/>
  <c r="T1166" s="1"/>
  <c r="T1192" s="1"/>
  <c r="T1109"/>
  <c r="T1135" s="1"/>
  <c r="L1157"/>
  <c r="L1166" s="1"/>
  <c r="L1192" s="1"/>
  <c r="L1109"/>
  <c r="L1135" s="1"/>
  <c r="BF1157"/>
  <c r="BF1166" s="1"/>
  <c r="BF1192" s="1"/>
  <c r="BF1109"/>
  <c r="BF1135" s="1"/>
  <c r="AX1157"/>
  <c r="AX1166" s="1"/>
  <c r="AX1192" s="1"/>
  <c r="AX1109"/>
  <c r="AX1135" s="1"/>
  <c r="AP1157"/>
  <c r="AP1166" s="1"/>
  <c r="AP1192" s="1"/>
  <c r="AP1109"/>
  <c r="AP1135" s="1"/>
  <c r="AH1157"/>
  <c r="AH1166" s="1"/>
  <c r="AH1192" s="1"/>
  <c r="AH1109"/>
  <c r="AH1135" s="1"/>
  <c r="Z1157"/>
  <c r="Z1166" s="1"/>
  <c r="Z1192" s="1"/>
  <c r="Z1109"/>
  <c r="Z1135" s="1"/>
  <c r="R1157"/>
  <c r="R1166" s="1"/>
  <c r="R1192" s="1"/>
  <c r="R1109"/>
  <c r="R1135" s="1"/>
  <c r="J1157"/>
  <c r="J1166" s="1"/>
  <c r="J1192" s="1"/>
  <c r="J1109"/>
  <c r="J1135" s="1"/>
  <c r="K1157"/>
  <c r="K1166" s="1"/>
  <c r="K1192" s="1"/>
  <c r="K1109"/>
  <c r="K1135" s="1"/>
  <c r="S1157"/>
  <c r="S1166" s="1"/>
  <c r="S1192" s="1"/>
  <c r="S1109"/>
  <c r="S1135" s="1"/>
  <c r="AA1157"/>
  <c r="AA1166" s="1"/>
  <c r="AA1192" s="1"/>
  <c r="AA1109"/>
  <c r="AA1135" s="1"/>
  <c r="AI1157"/>
  <c r="AI1166" s="1"/>
  <c r="AI1192" s="1"/>
  <c r="AI1109"/>
  <c r="AI1135" s="1"/>
  <c r="AQ1157"/>
  <c r="AQ1166" s="1"/>
  <c r="AQ1192" s="1"/>
  <c r="AQ1109"/>
  <c r="AQ1135" s="1"/>
  <c r="AY1157"/>
  <c r="AY1166" s="1"/>
  <c r="AY1192" s="1"/>
  <c r="AY1109"/>
  <c r="AY1135" s="1"/>
  <c r="BG1157"/>
  <c r="BG1166" s="1"/>
  <c r="BG1192" s="1"/>
  <c r="BG1109"/>
  <c r="BG1135" s="1"/>
  <c r="M1157"/>
  <c r="M1166" s="1"/>
  <c r="M1192" s="1"/>
  <c r="M1109"/>
  <c r="M1135" s="1"/>
  <c r="U1157"/>
  <c r="U1166" s="1"/>
  <c r="U1192" s="1"/>
  <c r="U1109"/>
  <c r="U1135" s="1"/>
  <c r="AC1157"/>
  <c r="AC1166" s="1"/>
  <c r="AC1192" s="1"/>
  <c r="AC1109"/>
  <c r="AC1135" s="1"/>
  <c r="AK1157"/>
  <c r="AK1166" s="1"/>
  <c r="AK1192" s="1"/>
  <c r="AK1109"/>
  <c r="AK1135" s="1"/>
  <c r="AS1157"/>
  <c r="AS1166" s="1"/>
  <c r="AS1192" s="1"/>
  <c r="AS1109"/>
  <c r="AS1135" s="1"/>
  <c r="BA1157"/>
  <c r="BA1166" s="1"/>
  <c r="BA1192" s="1"/>
  <c r="BA1109"/>
  <c r="BA1135" s="1"/>
  <c r="BI1157"/>
  <c r="BI1166" s="1"/>
  <c r="BI1192" s="1"/>
  <c r="BI1109"/>
  <c r="BI1135" s="1"/>
  <c r="BG381"/>
  <c r="BG382" s="1"/>
  <c r="BG387" s="1"/>
  <c r="BG388" s="1"/>
  <c r="BG389" s="1"/>
  <c r="BG1217" s="1"/>
  <c r="AY381"/>
  <c r="AY382" s="1"/>
  <c r="AY387" s="1"/>
  <c r="AY388" s="1"/>
  <c r="AY389" s="1"/>
  <c r="AY1217" s="1"/>
  <c r="AQ381"/>
  <c r="AQ382" s="1"/>
  <c r="AQ387" s="1"/>
  <c r="AQ388" s="1"/>
  <c r="AQ389" s="1"/>
  <c r="AQ1217" s="1"/>
  <c r="AI381"/>
  <c r="AI382" s="1"/>
  <c r="AI387" s="1"/>
  <c r="AI388" s="1"/>
  <c r="AI389" s="1"/>
  <c r="AI1217" s="1"/>
  <c r="AA381"/>
  <c r="AA382" s="1"/>
  <c r="AA387" s="1"/>
  <c r="AA388" s="1"/>
  <c r="AA389" s="1"/>
  <c r="AA1217" s="1"/>
  <c r="S381"/>
  <c r="S382" s="1"/>
  <c r="S387" s="1"/>
  <c r="S388" s="1"/>
  <c r="K381"/>
  <c r="K382" s="1"/>
  <c r="K387" s="1"/>
  <c r="K388" s="1"/>
  <c r="BI324"/>
  <c r="BI325"/>
  <c r="BI330" s="1"/>
  <c r="BI331" s="1"/>
  <c r="BI332" s="1"/>
  <c r="BA324"/>
  <c r="BA325"/>
  <c r="BA330" s="1"/>
  <c r="BA331" s="1"/>
  <c r="BA332" s="1"/>
  <c r="AS324"/>
  <c r="AS325"/>
  <c r="AS330" s="1"/>
  <c r="AS331" s="1"/>
  <c r="AS332" s="1"/>
  <c r="AK324"/>
  <c r="AK325"/>
  <c r="AK330" s="1"/>
  <c r="AK331" s="1"/>
  <c r="AK332" s="1"/>
  <c r="AC324"/>
  <c r="AC325"/>
  <c r="AC330" s="1"/>
  <c r="AC331" s="1"/>
  <c r="AC332" s="1"/>
  <c r="U324"/>
  <c r="U325"/>
  <c r="U330" s="1"/>
  <c r="U331" s="1"/>
  <c r="M324"/>
  <c r="M325"/>
  <c r="M330" s="1"/>
  <c r="M331" s="1"/>
  <c r="J381"/>
  <c r="J382"/>
  <c r="J387" s="1"/>
  <c r="J388" s="1"/>
  <c r="R381"/>
  <c r="R382"/>
  <c r="R387" s="1"/>
  <c r="R388" s="1"/>
  <c r="Z381"/>
  <c r="Z382"/>
  <c r="Z387" s="1"/>
  <c r="Z388" s="1"/>
  <c r="Z389" s="1"/>
  <c r="Z1217" s="1"/>
  <c r="AH381"/>
  <c r="AH382"/>
  <c r="AH387" s="1"/>
  <c r="AH388" s="1"/>
  <c r="AH389" s="1"/>
  <c r="AH1217" s="1"/>
  <c r="AP381"/>
  <c r="AP382"/>
  <c r="AP387" s="1"/>
  <c r="AP388" s="1"/>
  <c r="AP389" s="1"/>
  <c r="AP1217" s="1"/>
  <c r="AX381"/>
  <c r="AX382"/>
  <c r="AX387" s="1"/>
  <c r="AX388" s="1"/>
  <c r="AX389" s="1"/>
  <c r="AX1217" s="1"/>
  <c r="BF381"/>
  <c r="BF382"/>
  <c r="BF387" s="1"/>
  <c r="BF388" s="1"/>
  <c r="BF389" s="1"/>
  <c r="BF1217" s="1"/>
  <c r="T381"/>
  <c r="T382"/>
  <c r="T387" s="1"/>
  <c r="T388" s="1"/>
  <c r="AJ381"/>
  <c r="AJ382"/>
  <c r="AJ387" s="1"/>
  <c r="AJ388" s="1"/>
  <c r="AJ389" s="1"/>
  <c r="AJ1217" s="1"/>
  <c r="AZ381"/>
  <c r="AZ382"/>
  <c r="AZ387" s="1"/>
  <c r="AZ388" s="1"/>
  <c r="AZ389" s="1"/>
  <c r="AZ1217" s="1"/>
  <c r="H381"/>
  <c r="H382"/>
  <c r="H387" s="1"/>
  <c r="H388" s="1"/>
  <c r="X381"/>
  <c r="X382"/>
  <c r="X387" s="1"/>
  <c r="X388" s="1"/>
  <c r="X389" s="1"/>
  <c r="X1217" s="1"/>
  <c r="AN381"/>
  <c r="AN382"/>
  <c r="AN387" s="1"/>
  <c r="AN388" s="1"/>
  <c r="AN389" s="1"/>
  <c r="AN1217" s="1"/>
  <c r="BD381"/>
  <c r="BD382"/>
  <c r="BD387" s="1"/>
  <c r="BD388" s="1"/>
  <c r="BD389" s="1"/>
  <c r="BD1217" s="1"/>
  <c r="E324"/>
  <c r="E325"/>
  <c r="E330" s="1"/>
  <c r="E331" s="1"/>
  <c r="G381"/>
  <c r="G382" s="1"/>
  <c r="G387" s="1"/>
  <c r="G388" s="1"/>
  <c r="W252"/>
  <c r="X195"/>
  <c r="AF887"/>
  <c r="AE944"/>
  <c r="U837"/>
  <c r="B780"/>
  <c r="B777" s="1"/>
  <c r="U777"/>
  <c r="G49"/>
  <c r="BJ636"/>
  <c r="E636"/>
  <c r="F636"/>
  <c r="N636"/>
  <c r="V636"/>
  <c r="AD636"/>
  <c r="AL636"/>
  <c r="AT636"/>
  <c r="BB636"/>
  <c r="BI636"/>
  <c r="BE636"/>
  <c r="BA636"/>
  <c r="AW636"/>
  <c r="AS636"/>
  <c r="AO636"/>
  <c r="AK636"/>
  <c r="AG636"/>
  <c r="AC636"/>
  <c r="Y636"/>
  <c r="U636"/>
  <c r="Q636"/>
  <c r="M636"/>
  <c r="I636"/>
  <c r="G636"/>
  <c r="D636"/>
  <c r="L636"/>
  <c r="T636"/>
  <c r="AB636"/>
  <c r="AJ636"/>
  <c r="AR636"/>
  <c r="AZ636"/>
  <c r="BH636"/>
  <c r="R636"/>
  <c r="AH636"/>
  <c r="AX636"/>
  <c r="BC636"/>
  <c r="AU636"/>
  <c r="AM636"/>
  <c r="AE636"/>
  <c r="W636"/>
  <c r="O636"/>
  <c r="C636"/>
  <c r="H636"/>
  <c r="X636"/>
  <c r="AN636"/>
  <c r="BD636"/>
  <c r="J636"/>
  <c r="Z636"/>
  <c r="AP636"/>
  <c r="BF636"/>
  <c r="BG636"/>
  <c r="AY636"/>
  <c r="AQ636"/>
  <c r="AI636"/>
  <c r="AA636"/>
  <c r="S636"/>
  <c r="K636"/>
  <c r="P636"/>
  <c r="AF636"/>
  <c r="AV636"/>
  <c r="AC886"/>
  <c r="AB943"/>
  <c r="AB940" s="1"/>
  <c r="AB367"/>
  <c r="AC310"/>
  <c r="AE248"/>
  <c r="AF191"/>
  <c r="W659"/>
  <c r="V716"/>
  <c r="V664"/>
  <c r="V1185"/>
  <c r="V1182" s="1"/>
  <c r="V1125"/>
  <c r="AC74"/>
  <c r="AB131"/>
  <c r="Z949"/>
  <c r="AA892"/>
  <c r="AB599"/>
  <c r="AC542"/>
  <c r="AF1176"/>
  <c r="AG1119"/>
  <c r="G229"/>
  <c r="G238" s="1"/>
  <c r="G264" s="1"/>
  <c r="G181"/>
  <c r="G207" s="1"/>
  <c r="BE229"/>
  <c r="BE238" s="1"/>
  <c r="BE264" s="1"/>
  <c r="BE181"/>
  <c r="BE207" s="1"/>
  <c r="AW229"/>
  <c r="AW238" s="1"/>
  <c r="AW264" s="1"/>
  <c r="AW181"/>
  <c r="AW207" s="1"/>
  <c r="AO229"/>
  <c r="AO238" s="1"/>
  <c r="AO264" s="1"/>
  <c r="AO181"/>
  <c r="AO207" s="1"/>
  <c r="AG229"/>
  <c r="AG238" s="1"/>
  <c r="AG264" s="1"/>
  <c r="AG181"/>
  <c r="AG207" s="1"/>
  <c r="Y229"/>
  <c r="Y238" s="1"/>
  <c r="Y264" s="1"/>
  <c r="Y181"/>
  <c r="Y207" s="1"/>
  <c r="Q229"/>
  <c r="Q238" s="1"/>
  <c r="Q264" s="1"/>
  <c r="Q181"/>
  <c r="Q207" s="1"/>
  <c r="I229"/>
  <c r="I238" s="1"/>
  <c r="I264" s="1"/>
  <c r="I181"/>
  <c r="I207" s="1"/>
  <c r="AZ229"/>
  <c r="AZ238" s="1"/>
  <c r="AZ264" s="1"/>
  <c r="AZ181"/>
  <c r="AZ207" s="1"/>
  <c r="AJ229"/>
  <c r="AJ238" s="1"/>
  <c r="AJ264" s="1"/>
  <c r="AJ181"/>
  <c r="AJ207" s="1"/>
  <c r="T229"/>
  <c r="T238" s="1"/>
  <c r="T264" s="1"/>
  <c r="T181"/>
  <c r="T207" s="1"/>
  <c r="BG229"/>
  <c r="BG238" s="1"/>
  <c r="BG264" s="1"/>
  <c r="BG181"/>
  <c r="BG207" s="1"/>
  <c r="AY229"/>
  <c r="AY238" s="1"/>
  <c r="AY264" s="1"/>
  <c r="AY181"/>
  <c r="AY207" s="1"/>
  <c r="AQ229"/>
  <c r="AQ238" s="1"/>
  <c r="AQ264" s="1"/>
  <c r="AQ181"/>
  <c r="AQ207" s="1"/>
  <c r="AI229"/>
  <c r="AI238" s="1"/>
  <c r="AI264" s="1"/>
  <c r="AI181"/>
  <c r="AI207" s="1"/>
  <c r="AA229"/>
  <c r="AA238" s="1"/>
  <c r="AA264" s="1"/>
  <c r="AA181"/>
  <c r="AA207" s="1"/>
  <c r="S229"/>
  <c r="S238" s="1"/>
  <c r="S264" s="1"/>
  <c r="S181"/>
  <c r="S207" s="1"/>
  <c r="K229"/>
  <c r="K238" s="1"/>
  <c r="K264" s="1"/>
  <c r="K181"/>
  <c r="K207" s="1"/>
  <c r="BD229"/>
  <c r="BD238" s="1"/>
  <c r="BD264" s="1"/>
  <c r="BD181"/>
  <c r="BD207" s="1"/>
  <c r="AN229"/>
  <c r="AN238" s="1"/>
  <c r="AN264" s="1"/>
  <c r="AN181"/>
  <c r="AN207" s="1"/>
  <c r="X229"/>
  <c r="X238" s="1"/>
  <c r="X264" s="1"/>
  <c r="X181"/>
  <c r="X207" s="1"/>
  <c r="H229"/>
  <c r="H238" s="1"/>
  <c r="H264" s="1"/>
  <c r="H181"/>
  <c r="H207" s="1"/>
  <c r="BF229"/>
  <c r="BF238" s="1"/>
  <c r="BF264" s="1"/>
  <c r="BF181"/>
  <c r="BF207" s="1"/>
  <c r="AX229"/>
  <c r="AX238" s="1"/>
  <c r="AX264" s="1"/>
  <c r="AX181"/>
  <c r="AX207" s="1"/>
  <c r="AP229"/>
  <c r="AP238" s="1"/>
  <c r="AP264" s="1"/>
  <c r="AP181"/>
  <c r="AP207" s="1"/>
  <c r="AH229"/>
  <c r="AH238" s="1"/>
  <c r="AH264" s="1"/>
  <c r="AH181"/>
  <c r="AH207" s="1"/>
  <c r="Z229"/>
  <c r="Z238" s="1"/>
  <c r="Z264" s="1"/>
  <c r="Z181"/>
  <c r="Z207" s="1"/>
  <c r="R229"/>
  <c r="R238" s="1"/>
  <c r="R264" s="1"/>
  <c r="R181"/>
  <c r="R207" s="1"/>
  <c r="J229"/>
  <c r="J238" s="1"/>
  <c r="J264" s="1"/>
  <c r="J181"/>
  <c r="J207" s="1"/>
  <c r="BI229"/>
  <c r="BI238" s="1"/>
  <c r="BI264" s="1"/>
  <c r="BI181"/>
  <c r="BI207" s="1"/>
  <c r="W427"/>
  <c r="V484"/>
  <c r="V432"/>
  <c r="AE361"/>
  <c r="AF304"/>
  <c r="BG613"/>
  <c r="BG614" s="1"/>
  <c r="BG619" s="1"/>
  <c r="BG620" s="1"/>
  <c r="BG621" s="1"/>
  <c r="BG1219" s="1"/>
  <c r="AY613"/>
  <c r="AY614" s="1"/>
  <c r="AY619" s="1"/>
  <c r="AY620" s="1"/>
  <c r="AY621" s="1"/>
  <c r="AY1219" s="1"/>
  <c r="AQ613"/>
  <c r="AQ614" s="1"/>
  <c r="AQ619" s="1"/>
  <c r="AQ620" s="1"/>
  <c r="AQ621" s="1"/>
  <c r="AQ1219" s="1"/>
  <c r="AI613"/>
  <c r="AI614" s="1"/>
  <c r="AI619" s="1"/>
  <c r="AI620" s="1"/>
  <c r="AI621" s="1"/>
  <c r="AI1219" s="1"/>
  <c r="AA613"/>
  <c r="AA614" s="1"/>
  <c r="AA619" s="1"/>
  <c r="AA620" s="1"/>
  <c r="AA621" s="1"/>
  <c r="AA1219" s="1"/>
  <c r="S613"/>
  <c r="S614" s="1"/>
  <c r="S619" s="1"/>
  <c r="S620" s="1"/>
  <c r="K613"/>
  <c r="K614" s="1"/>
  <c r="K619" s="1"/>
  <c r="K620" s="1"/>
  <c r="BI613"/>
  <c r="BI614" s="1"/>
  <c r="BI619" s="1"/>
  <c r="BI620" s="1"/>
  <c r="BI621" s="1"/>
  <c r="BI1219" s="1"/>
  <c r="BA613"/>
  <c r="BA614" s="1"/>
  <c r="BA619" s="1"/>
  <c r="BA620" s="1"/>
  <c r="BA621" s="1"/>
  <c r="BA1219" s="1"/>
  <c r="AS613"/>
  <c r="AS614" s="1"/>
  <c r="AS619" s="1"/>
  <c r="AS620" s="1"/>
  <c r="AS621" s="1"/>
  <c r="AS1219" s="1"/>
  <c r="AK613"/>
  <c r="AK614" s="1"/>
  <c r="AK619" s="1"/>
  <c r="AK620" s="1"/>
  <c r="AK621" s="1"/>
  <c r="AK1219" s="1"/>
  <c r="AC613"/>
  <c r="AC614" s="1"/>
  <c r="AC619" s="1"/>
  <c r="AC620" s="1"/>
  <c r="AC621" s="1"/>
  <c r="AC1219" s="1"/>
  <c r="U613"/>
  <c r="U614" s="1"/>
  <c r="U619" s="1"/>
  <c r="U620" s="1"/>
  <c r="M613"/>
  <c r="M614" s="1"/>
  <c r="M619" s="1"/>
  <c r="M620" s="1"/>
  <c r="J613"/>
  <c r="J614" s="1"/>
  <c r="J619" s="1"/>
  <c r="J620" s="1"/>
  <c r="R613"/>
  <c r="R614" s="1"/>
  <c r="R619" s="1"/>
  <c r="R620" s="1"/>
  <c r="Z613"/>
  <c r="Z614" s="1"/>
  <c r="Z619" s="1"/>
  <c r="Z620" s="1"/>
  <c r="Z621" s="1"/>
  <c r="Z1219" s="1"/>
  <c r="AH613"/>
  <c r="AH614" s="1"/>
  <c r="AH619" s="1"/>
  <c r="AH620" s="1"/>
  <c r="AH621" s="1"/>
  <c r="AH1219" s="1"/>
  <c r="AP613"/>
  <c r="AP614" s="1"/>
  <c r="AP619" s="1"/>
  <c r="AP620" s="1"/>
  <c r="AP621" s="1"/>
  <c r="AP1219" s="1"/>
  <c r="AX613"/>
  <c r="AX614" s="1"/>
  <c r="AX619" s="1"/>
  <c r="AX620" s="1"/>
  <c r="AX621" s="1"/>
  <c r="AX1219" s="1"/>
  <c r="BF613"/>
  <c r="BF614" s="1"/>
  <c r="BF619" s="1"/>
  <c r="BF620" s="1"/>
  <c r="BF621" s="1"/>
  <c r="BF1219" s="1"/>
  <c r="P613"/>
  <c r="P614" s="1"/>
  <c r="P619" s="1"/>
  <c r="P620" s="1"/>
  <c r="AF613"/>
  <c r="AF614" s="1"/>
  <c r="AF619" s="1"/>
  <c r="AF620" s="1"/>
  <c r="AF621" s="1"/>
  <c r="AF1219" s="1"/>
  <c r="AV613"/>
  <c r="AV614" s="1"/>
  <c r="AV619" s="1"/>
  <c r="AV620" s="1"/>
  <c r="AV621" s="1"/>
  <c r="AV1219" s="1"/>
  <c r="L613"/>
  <c r="L614" s="1"/>
  <c r="L619" s="1"/>
  <c r="L620" s="1"/>
  <c r="AB613"/>
  <c r="AB614" s="1"/>
  <c r="AB619" s="1"/>
  <c r="AB620" s="1"/>
  <c r="AB621" s="1"/>
  <c r="AB1219" s="1"/>
  <c r="AR613"/>
  <c r="AR614" s="1"/>
  <c r="AR619" s="1"/>
  <c r="AR620" s="1"/>
  <c r="AR621" s="1"/>
  <c r="AR1219" s="1"/>
  <c r="BH613"/>
  <c r="BH614" s="1"/>
  <c r="BH619" s="1"/>
  <c r="BH620" s="1"/>
  <c r="BH621" s="1"/>
  <c r="BH1219" s="1"/>
  <c r="E613"/>
  <c r="E614" s="1"/>
  <c r="E619" s="1"/>
  <c r="E620" s="1"/>
  <c r="G613"/>
  <c r="G614" s="1"/>
  <c r="G619" s="1"/>
  <c r="G620" s="1"/>
  <c r="AC826"/>
  <c r="AD769"/>
  <c r="BI1077"/>
  <c r="BI1078" s="1"/>
  <c r="BI1083" s="1"/>
  <c r="BI1084" s="1"/>
  <c r="BI1085" s="1"/>
  <c r="BI1223" s="1"/>
  <c r="BI1242" s="1"/>
  <c r="L1077"/>
  <c r="L1078" s="1"/>
  <c r="L1083" s="1"/>
  <c r="L1084" s="1"/>
  <c r="T1077"/>
  <c r="T1078" s="1"/>
  <c r="T1083" s="1"/>
  <c r="T1084" s="1"/>
  <c r="AB1077"/>
  <c r="AB1078" s="1"/>
  <c r="AB1083" s="1"/>
  <c r="AB1084" s="1"/>
  <c r="AB1085" s="1"/>
  <c r="AB1223" s="1"/>
  <c r="AB1242" s="1"/>
  <c r="AJ1077"/>
  <c r="AJ1078" s="1"/>
  <c r="AJ1083" s="1"/>
  <c r="AJ1084" s="1"/>
  <c r="AJ1085" s="1"/>
  <c r="AJ1223" s="1"/>
  <c r="AJ1242" s="1"/>
  <c r="AR1077"/>
  <c r="AR1078" s="1"/>
  <c r="AR1083" s="1"/>
  <c r="AR1084" s="1"/>
  <c r="AR1085" s="1"/>
  <c r="AR1223" s="1"/>
  <c r="AR1242" s="1"/>
  <c r="AZ1077"/>
  <c r="AZ1078" s="1"/>
  <c r="AZ1083" s="1"/>
  <c r="AZ1084" s="1"/>
  <c r="AZ1085" s="1"/>
  <c r="AZ1223" s="1"/>
  <c r="AZ1242" s="1"/>
  <c r="BH1077"/>
  <c r="BH1078" s="1"/>
  <c r="BH1083" s="1"/>
  <c r="BH1084" s="1"/>
  <c r="BH1085" s="1"/>
  <c r="BH1223" s="1"/>
  <c r="BH1242" s="1"/>
  <c r="M1077"/>
  <c r="M1078" s="1"/>
  <c r="M1083" s="1"/>
  <c r="M1084" s="1"/>
  <c r="U1077"/>
  <c r="U1078" s="1"/>
  <c r="U1083" s="1"/>
  <c r="U1084" s="1"/>
  <c r="AC1077"/>
  <c r="AC1078" s="1"/>
  <c r="AC1083" s="1"/>
  <c r="AC1084" s="1"/>
  <c r="AC1085" s="1"/>
  <c r="AC1223" s="1"/>
  <c r="AC1242" s="1"/>
  <c r="AK1077"/>
  <c r="AK1078" s="1"/>
  <c r="AK1083" s="1"/>
  <c r="AK1084" s="1"/>
  <c r="AK1085" s="1"/>
  <c r="AK1223" s="1"/>
  <c r="AK1242" s="1"/>
  <c r="AS1077"/>
  <c r="AS1078" s="1"/>
  <c r="AS1083" s="1"/>
  <c r="AS1084" s="1"/>
  <c r="AS1085" s="1"/>
  <c r="AS1223" s="1"/>
  <c r="AS1242" s="1"/>
  <c r="BA1077"/>
  <c r="BA1078" s="1"/>
  <c r="BA1083" s="1"/>
  <c r="BA1084" s="1"/>
  <c r="BA1085" s="1"/>
  <c r="BA1223" s="1"/>
  <c r="BA1242" s="1"/>
  <c r="J1077"/>
  <c r="J1078" s="1"/>
  <c r="J1083" s="1"/>
  <c r="J1084" s="1"/>
  <c r="R1077"/>
  <c r="R1078" s="1"/>
  <c r="R1083" s="1"/>
  <c r="R1084" s="1"/>
  <c r="Z1077"/>
  <c r="Z1078" s="1"/>
  <c r="Z1083" s="1"/>
  <c r="Z1084" s="1"/>
  <c r="Z1085" s="1"/>
  <c r="Z1223" s="1"/>
  <c r="Z1242" s="1"/>
  <c r="AH1077"/>
  <c r="AH1078" s="1"/>
  <c r="AH1083" s="1"/>
  <c r="AH1084" s="1"/>
  <c r="AH1085" s="1"/>
  <c r="AH1223" s="1"/>
  <c r="AH1242" s="1"/>
  <c r="AP1077"/>
  <c r="AP1078" s="1"/>
  <c r="AP1083" s="1"/>
  <c r="AP1084" s="1"/>
  <c r="AP1085" s="1"/>
  <c r="AP1223" s="1"/>
  <c r="AP1242" s="1"/>
  <c r="AX1077"/>
  <c r="AX1078" s="1"/>
  <c r="AX1083" s="1"/>
  <c r="AX1084" s="1"/>
  <c r="AX1085" s="1"/>
  <c r="AX1223" s="1"/>
  <c r="AX1242" s="1"/>
  <c r="BF1077"/>
  <c r="BF1078" s="1"/>
  <c r="BF1083" s="1"/>
  <c r="BF1084" s="1"/>
  <c r="BF1085" s="1"/>
  <c r="BF1223" s="1"/>
  <c r="BF1242" s="1"/>
  <c r="C1019"/>
  <c r="B993"/>
  <c r="O1020"/>
  <c r="O1021" s="1"/>
  <c r="O1026" s="1"/>
  <c r="O1027" s="1"/>
  <c r="W1020"/>
  <c r="W1021" s="1"/>
  <c r="W1026" s="1"/>
  <c r="W1027" s="1"/>
  <c r="W1028" s="1"/>
  <c r="AE1020"/>
  <c r="AE1021" s="1"/>
  <c r="AE1026" s="1"/>
  <c r="AE1027" s="1"/>
  <c r="AE1028" s="1"/>
  <c r="AM1020"/>
  <c r="AM1021" s="1"/>
  <c r="AM1026" s="1"/>
  <c r="AM1027" s="1"/>
  <c r="AM1028" s="1"/>
  <c r="AU1020"/>
  <c r="AU1021" s="1"/>
  <c r="AU1026" s="1"/>
  <c r="AU1027" s="1"/>
  <c r="AU1028" s="1"/>
  <c r="BC1020"/>
  <c r="BC1021" s="1"/>
  <c r="BC1026" s="1"/>
  <c r="BC1027" s="1"/>
  <c r="BC1028" s="1"/>
  <c r="D1020"/>
  <c r="D1021" s="1"/>
  <c r="D1026" s="1"/>
  <c r="D1027" s="1"/>
  <c r="F1020"/>
  <c r="F1021" s="1"/>
  <c r="F1026" s="1"/>
  <c r="F1027" s="1"/>
  <c r="V1069"/>
  <c r="B1012"/>
  <c r="B1009" s="1"/>
  <c r="V1009"/>
  <c r="AE884"/>
  <c r="AD941"/>
  <c r="AE1060"/>
  <c r="AF1003"/>
  <c r="V141"/>
  <c r="V138" s="1"/>
  <c r="V81"/>
  <c r="AE1173"/>
  <c r="AF1116"/>
  <c r="X501"/>
  <c r="B501" s="1"/>
  <c r="E43" s="1"/>
  <c r="BC381"/>
  <c r="BC382" s="1"/>
  <c r="BC387" s="1"/>
  <c r="BC388" s="1"/>
  <c r="BC389" s="1"/>
  <c r="BC1217" s="1"/>
  <c r="AU381"/>
  <c r="AU382" s="1"/>
  <c r="AU387" s="1"/>
  <c r="AU388" s="1"/>
  <c r="AU389" s="1"/>
  <c r="AU1217" s="1"/>
  <c r="AM381"/>
  <c r="AM382" s="1"/>
  <c r="AM387" s="1"/>
  <c r="AM388" s="1"/>
  <c r="AM389" s="1"/>
  <c r="AM1217" s="1"/>
  <c r="AE381"/>
  <c r="AE382" s="1"/>
  <c r="AE387" s="1"/>
  <c r="AE388" s="1"/>
  <c r="AE389" s="1"/>
  <c r="AE1217" s="1"/>
  <c r="W381"/>
  <c r="W382" s="1"/>
  <c r="W387" s="1"/>
  <c r="W388" s="1"/>
  <c r="O381"/>
  <c r="O382" s="1"/>
  <c r="O387" s="1"/>
  <c r="O388" s="1"/>
  <c r="C354"/>
  <c r="B345"/>
  <c r="D3" s="1"/>
  <c r="BE381"/>
  <c r="BE382" s="1"/>
  <c r="BE387" s="1"/>
  <c r="BE388" s="1"/>
  <c r="BE389" s="1"/>
  <c r="BE1217" s="1"/>
  <c r="AW381"/>
  <c r="AW382" s="1"/>
  <c r="AW387" s="1"/>
  <c r="AW388" s="1"/>
  <c r="AW389" s="1"/>
  <c r="AW1217" s="1"/>
  <c r="AO381"/>
  <c r="AO382" s="1"/>
  <c r="AO387" s="1"/>
  <c r="AO388" s="1"/>
  <c r="AO389" s="1"/>
  <c r="AO1217" s="1"/>
  <c r="AG381"/>
  <c r="AG382" s="1"/>
  <c r="AG387" s="1"/>
  <c r="AG388" s="1"/>
  <c r="AG389" s="1"/>
  <c r="AG1217" s="1"/>
  <c r="Y381"/>
  <c r="Y382" s="1"/>
  <c r="Y387" s="1"/>
  <c r="Y388" s="1"/>
  <c r="Y389" s="1"/>
  <c r="Y1217" s="1"/>
  <c r="Q381"/>
  <c r="Q382" s="1"/>
  <c r="Q387" s="1"/>
  <c r="Q388" s="1"/>
  <c r="I381"/>
  <c r="I382" s="1"/>
  <c r="I387" s="1"/>
  <c r="I388" s="1"/>
  <c r="BJ324"/>
  <c r="BJ325" s="1"/>
  <c r="BJ330" s="1"/>
  <c r="BJ331" s="1"/>
  <c r="BJ332" s="1"/>
  <c r="N324"/>
  <c r="N325" s="1"/>
  <c r="N330" s="1"/>
  <c r="N331" s="1"/>
  <c r="V324"/>
  <c r="V325" s="1"/>
  <c r="V330" s="1"/>
  <c r="V331" s="1"/>
  <c r="AD324"/>
  <c r="AD325" s="1"/>
  <c r="AD330" s="1"/>
  <c r="AD331" s="1"/>
  <c r="AD332" s="1"/>
  <c r="AL324"/>
  <c r="AL325" s="1"/>
  <c r="AL330" s="1"/>
  <c r="AL331" s="1"/>
  <c r="AL332" s="1"/>
  <c r="AT324"/>
  <c r="AT325" s="1"/>
  <c r="AT330" s="1"/>
  <c r="AT331" s="1"/>
  <c r="AT332" s="1"/>
  <c r="BB324"/>
  <c r="BB325" s="1"/>
  <c r="BB330" s="1"/>
  <c r="BB331" s="1"/>
  <c r="BB332" s="1"/>
  <c r="L324"/>
  <c r="L325" s="1"/>
  <c r="L330" s="1"/>
  <c r="L331" s="1"/>
  <c r="AB324"/>
  <c r="AB325" s="1"/>
  <c r="AB330" s="1"/>
  <c r="AB331" s="1"/>
  <c r="AB332" s="1"/>
  <c r="AR324"/>
  <c r="AR325" s="1"/>
  <c r="AR330" s="1"/>
  <c r="AR331" s="1"/>
  <c r="AR332" s="1"/>
  <c r="BH324"/>
  <c r="BH325" s="1"/>
  <c r="BH330" s="1"/>
  <c r="BH331" s="1"/>
  <c r="BH332" s="1"/>
  <c r="P324"/>
  <c r="P325" s="1"/>
  <c r="P330" s="1"/>
  <c r="P331" s="1"/>
  <c r="AF324"/>
  <c r="AF325" s="1"/>
  <c r="AF330" s="1"/>
  <c r="AF331" s="1"/>
  <c r="AF332" s="1"/>
  <c r="AV324"/>
  <c r="AV325" s="1"/>
  <c r="AV330" s="1"/>
  <c r="AV331" s="1"/>
  <c r="AV332" s="1"/>
  <c r="D324"/>
  <c r="D325" s="1"/>
  <c r="D330" s="1"/>
  <c r="D331" s="1"/>
  <c r="F324"/>
  <c r="F325" s="1"/>
  <c r="F330" s="1"/>
  <c r="F331" s="1"/>
  <c r="AA1178"/>
  <c r="AB1121"/>
  <c r="Z830"/>
  <c r="AA773"/>
  <c r="Z1065"/>
  <c r="AA1008"/>
  <c r="AE480"/>
  <c r="AF423"/>
  <c r="AD362"/>
  <c r="AE305"/>
  <c r="AB1179"/>
  <c r="AC1122"/>
  <c r="AE1057"/>
  <c r="AF1000"/>
  <c r="AE653"/>
  <c r="AD710"/>
  <c r="AE712"/>
  <c r="AF655"/>
  <c r="W600"/>
  <c r="X543"/>
  <c r="W548"/>
  <c r="AF307"/>
  <c r="AE364"/>
  <c r="AE421"/>
  <c r="AD478"/>
  <c r="V373"/>
  <c r="V370" s="1"/>
  <c r="V313"/>
  <c r="BC613"/>
  <c r="BC614" s="1"/>
  <c r="BC619" s="1"/>
  <c r="BC620" s="1"/>
  <c r="BC621" s="1"/>
  <c r="BC1219" s="1"/>
  <c r="AU613"/>
  <c r="AU614" s="1"/>
  <c r="AU619" s="1"/>
  <c r="AU620" s="1"/>
  <c r="AU621" s="1"/>
  <c r="AU1219" s="1"/>
  <c r="AM613"/>
  <c r="AM614" s="1"/>
  <c r="AM619" s="1"/>
  <c r="AM620" s="1"/>
  <c r="AM621" s="1"/>
  <c r="AM1219" s="1"/>
  <c r="AE613"/>
  <c r="AE614" s="1"/>
  <c r="AE619" s="1"/>
  <c r="AE620" s="1"/>
  <c r="AE621" s="1"/>
  <c r="AE1219" s="1"/>
  <c r="W613"/>
  <c r="W614" s="1"/>
  <c r="W619" s="1"/>
  <c r="W620" s="1"/>
  <c r="O613"/>
  <c r="O614" s="1"/>
  <c r="O619" s="1"/>
  <c r="O620" s="1"/>
  <c r="BE556"/>
  <c r="BE557" s="1"/>
  <c r="BE562" s="1"/>
  <c r="BE563" s="1"/>
  <c r="BE564" s="1"/>
  <c r="AW556"/>
  <c r="AW557" s="1"/>
  <c r="AW562" s="1"/>
  <c r="AW563" s="1"/>
  <c r="AW564" s="1"/>
  <c r="AO556"/>
  <c r="AO557" s="1"/>
  <c r="AO562" s="1"/>
  <c r="AO563" s="1"/>
  <c r="AO564" s="1"/>
  <c r="AG556"/>
  <c r="AG557" s="1"/>
  <c r="AG562" s="1"/>
  <c r="AG563" s="1"/>
  <c r="AG564" s="1"/>
  <c r="Y556"/>
  <c r="Y557" s="1"/>
  <c r="Y562" s="1"/>
  <c r="Y563" s="1"/>
  <c r="Y564" s="1"/>
  <c r="Q556"/>
  <c r="Q557" s="1"/>
  <c r="Q562" s="1"/>
  <c r="Q563" s="1"/>
  <c r="I556"/>
  <c r="I557" s="1"/>
  <c r="I562" s="1"/>
  <c r="I563" s="1"/>
  <c r="BJ556"/>
  <c r="BJ557" s="1"/>
  <c r="BJ562" s="1"/>
  <c r="BJ563" s="1"/>
  <c r="BJ564" s="1"/>
  <c r="N556"/>
  <c r="N557" s="1"/>
  <c r="N562" s="1"/>
  <c r="N563" s="1"/>
  <c r="V556"/>
  <c r="V557" s="1"/>
  <c r="V562" s="1"/>
  <c r="V563" s="1"/>
  <c r="AD556"/>
  <c r="AD557" s="1"/>
  <c r="AD562" s="1"/>
  <c r="AD563" s="1"/>
  <c r="AD564" s="1"/>
  <c r="AL556"/>
  <c r="AL557" s="1"/>
  <c r="AL562" s="1"/>
  <c r="AL563" s="1"/>
  <c r="AL564" s="1"/>
  <c r="AT556"/>
  <c r="AT557" s="1"/>
  <c r="AT562" s="1"/>
  <c r="AT563" s="1"/>
  <c r="AT564" s="1"/>
  <c r="BB556"/>
  <c r="BB557" s="1"/>
  <c r="BB562" s="1"/>
  <c r="BB563" s="1"/>
  <c r="BB564" s="1"/>
  <c r="H556"/>
  <c r="H557" s="1"/>
  <c r="H562" s="1"/>
  <c r="H563" s="1"/>
  <c r="X556"/>
  <c r="X557" s="1"/>
  <c r="X562" s="1"/>
  <c r="X563" s="1"/>
  <c r="X564" s="1"/>
  <c r="AN556"/>
  <c r="AN557" s="1"/>
  <c r="AN562" s="1"/>
  <c r="AN563" s="1"/>
  <c r="AN564" s="1"/>
  <c r="BD556"/>
  <c r="BD557" s="1"/>
  <c r="BD562" s="1"/>
  <c r="BD563" s="1"/>
  <c r="BD564" s="1"/>
  <c r="T556"/>
  <c r="T557" s="1"/>
  <c r="T562" s="1"/>
  <c r="T563" s="1"/>
  <c r="AJ556"/>
  <c r="AJ557" s="1"/>
  <c r="AJ562" s="1"/>
  <c r="AJ563" s="1"/>
  <c r="AJ564" s="1"/>
  <c r="AZ556"/>
  <c r="AZ557" s="1"/>
  <c r="AZ562" s="1"/>
  <c r="AZ563" s="1"/>
  <c r="AZ564" s="1"/>
  <c r="D556"/>
  <c r="D557" s="1"/>
  <c r="D562" s="1"/>
  <c r="D563" s="1"/>
  <c r="F556"/>
  <c r="F557" s="1"/>
  <c r="F562" s="1"/>
  <c r="F563" s="1"/>
  <c r="H1020"/>
  <c r="H1021" s="1"/>
  <c r="H1026" s="1"/>
  <c r="H1027" s="1"/>
  <c r="P1020"/>
  <c r="P1021" s="1"/>
  <c r="P1026" s="1"/>
  <c r="P1027" s="1"/>
  <c r="X1020"/>
  <c r="X1021" s="1"/>
  <c r="X1026" s="1"/>
  <c r="X1027" s="1"/>
  <c r="X1028" s="1"/>
  <c r="AF1020"/>
  <c r="AF1021" s="1"/>
  <c r="AF1026" s="1"/>
  <c r="AF1027" s="1"/>
  <c r="AF1028" s="1"/>
  <c r="AN1020"/>
  <c r="AN1021" s="1"/>
  <c r="AN1026" s="1"/>
  <c r="AN1027" s="1"/>
  <c r="AN1028" s="1"/>
  <c r="AV1020"/>
  <c r="AV1021" s="1"/>
  <c r="AV1026" s="1"/>
  <c r="AV1027" s="1"/>
  <c r="AV1028" s="1"/>
  <c r="BD1020"/>
  <c r="BD1021" s="1"/>
  <c r="BD1026" s="1"/>
  <c r="BD1027" s="1"/>
  <c r="BD1028" s="1"/>
  <c r="I1020"/>
  <c r="I1021" s="1"/>
  <c r="I1026" s="1"/>
  <c r="I1027" s="1"/>
  <c r="Q1020"/>
  <c r="Q1021" s="1"/>
  <c r="Q1026" s="1"/>
  <c r="Q1027" s="1"/>
  <c r="Y1020"/>
  <c r="Y1021" s="1"/>
  <c r="Y1026" s="1"/>
  <c r="Y1027" s="1"/>
  <c r="Y1028" s="1"/>
  <c r="AG1020"/>
  <c r="AG1021" s="1"/>
  <c r="AG1026" s="1"/>
  <c r="AG1027" s="1"/>
  <c r="AG1028" s="1"/>
  <c r="AO1020"/>
  <c r="AO1021" s="1"/>
  <c r="AO1026" s="1"/>
  <c r="AO1027" s="1"/>
  <c r="AO1028" s="1"/>
  <c r="AW1020"/>
  <c r="AW1021" s="1"/>
  <c r="AW1026" s="1"/>
  <c r="AW1027" s="1"/>
  <c r="AW1028" s="1"/>
  <c r="BE1020"/>
  <c r="BE1021" s="1"/>
  <c r="BE1026" s="1"/>
  <c r="BE1027" s="1"/>
  <c r="BE1028" s="1"/>
  <c r="N1020"/>
  <c r="N1021" s="1"/>
  <c r="N1026" s="1"/>
  <c r="N1027" s="1"/>
  <c r="V1020"/>
  <c r="V1021" s="1"/>
  <c r="V1026" s="1"/>
  <c r="V1027" s="1"/>
  <c r="AD1020"/>
  <c r="AD1021" s="1"/>
  <c r="AD1026" s="1"/>
  <c r="AD1027" s="1"/>
  <c r="AD1028" s="1"/>
  <c r="AL1020"/>
  <c r="AL1021" s="1"/>
  <c r="AL1026" s="1"/>
  <c r="AL1027" s="1"/>
  <c r="AL1028" s="1"/>
  <c r="AT1020"/>
  <c r="AT1021" s="1"/>
  <c r="AT1026" s="1"/>
  <c r="AT1027" s="1"/>
  <c r="AT1028" s="1"/>
  <c r="BB1020"/>
  <c r="BB1021" s="1"/>
  <c r="BB1026" s="1"/>
  <c r="BB1027" s="1"/>
  <c r="BB1028" s="1"/>
  <c r="BJ1020"/>
  <c r="BJ1021" s="1"/>
  <c r="BJ1026" s="1"/>
  <c r="BJ1027" s="1"/>
  <c r="BJ1028" s="1"/>
  <c r="K1020"/>
  <c r="K1021" s="1"/>
  <c r="K1026" s="1"/>
  <c r="K1027" s="1"/>
  <c r="S1020"/>
  <c r="S1021" s="1"/>
  <c r="S1026" s="1"/>
  <c r="S1027" s="1"/>
  <c r="AA1020"/>
  <c r="AA1021" s="1"/>
  <c r="AA1026" s="1"/>
  <c r="AA1027" s="1"/>
  <c r="AA1028" s="1"/>
  <c r="AI1020"/>
  <c r="AI1021" s="1"/>
  <c r="AI1026" s="1"/>
  <c r="AI1027" s="1"/>
  <c r="AI1028" s="1"/>
  <c r="AQ1020"/>
  <c r="AQ1021" s="1"/>
  <c r="AQ1026" s="1"/>
  <c r="AQ1027" s="1"/>
  <c r="AQ1028" s="1"/>
  <c r="AY1020"/>
  <c r="AY1021" s="1"/>
  <c r="AY1026" s="1"/>
  <c r="AY1027" s="1"/>
  <c r="AY1028" s="1"/>
  <c r="BG1020"/>
  <c r="BG1021" s="1"/>
  <c r="BG1026" s="1"/>
  <c r="BG1027" s="1"/>
  <c r="BG1028" s="1"/>
  <c r="E1020"/>
  <c r="E1021" s="1"/>
  <c r="E1026" s="1"/>
  <c r="E1027" s="1"/>
  <c r="G1020"/>
  <c r="G1021" s="1"/>
  <c r="G1026" s="1"/>
  <c r="G1027" s="1"/>
  <c r="AD245"/>
  <c r="AE188"/>
  <c r="AD652"/>
  <c r="AC709"/>
  <c r="AB1063"/>
  <c r="AC1006"/>
  <c r="AA250"/>
  <c r="AB193"/>
  <c r="AA714"/>
  <c r="AB657"/>
  <c r="F1157"/>
  <c r="F1166" s="1"/>
  <c r="F1192" s="1"/>
  <c r="F1109"/>
  <c r="F1135" s="1"/>
  <c r="D1157"/>
  <c r="D1166" s="1"/>
  <c r="D1192" s="1"/>
  <c r="D1109"/>
  <c r="D1135" s="1"/>
  <c r="BD1157"/>
  <c r="BD1166" s="1"/>
  <c r="BD1192" s="1"/>
  <c r="BD1109"/>
  <c r="BD1135" s="1"/>
  <c r="AV1157"/>
  <c r="AV1166" s="1"/>
  <c r="AV1192" s="1"/>
  <c r="AV1109"/>
  <c r="AV1135" s="1"/>
  <c r="AN1157"/>
  <c r="AN1166" s="1"/>
  <c r="AN1192" s="1"/>
  <c r="AN1109"/>
  <c r="AN1135" s="1"/>
  <c r="AF1157"/>
  <c r="AF1166" s="1"/>
  <c r="AF1192" s="1"/>
  <c r="AF1109"/>
  <c r="AF1135" s="1"/>
  <c r="X1157"/>
  <c r="X1166" s="1"/>
  <c r="X1192" s="1"/>
  <c r="X1109"/>
  <c r="X1135" s="1"/>
  <c r="P1157"/>
  <c r="P1166" s="1"/>
  <c r="P1192" s="1"/>
  <c r="P1109"/>
  <c r="P1135" s="1"/>
  <c r="H1157"/>
  <c r="H1166" s="1"/>
  <c r="H1192" s="1"/>
  <c r="H1109"/>
  <c r="H1135" s="1"/>
  <c r="BB1157"/>
  <c r="BB1166" s="1"/>
  <c r="BB1192" s="1"/>
  <c r="BB1109"/>
  <c r="BB1135" s="1"/>
  <c r="AT1157"/>
  <c r="AT1166" s="1"/>
  <c r="AT1192" s="1"/>
  <c r="AT1109"/>
  <c r="AT1135" s="1"/>
  <c r="AL1157"/>
  <c r="AL1166" s="1"/>
  <c r="AL1192" s="1"/>
  <c r="AL1109"/>
  <c r="AL1135" s="1"/>
  <c r="AD1157"/>
  <c r="AD1166" s="1"/>
  <c r="AD1192" s="1"/>
  <c r="AD1109"/>
  <c r="AD1135" s="1"/>
  <c r="V1157"/>
  <c r="V1166" s="1"/>
  <c r="V1192" s="1"/>
  <c r="V1109"/>
  <c r="V1135" s="1"/>
  <c r="N1157"/>
  <c r="N1166" s="1"/>
  <c r="N1192" s="1"/>
  <c r="N1109"/>
  <c r="N1135" s="1"/>
  <c r="BJ1157"/>
  <c r="BJ1166" s="1"/>
  <c r="BJ1192" s="1"/>
  <c r="BJ1109"/>
  <c r="BJ1135" s="1"/>
  <c r="B1100"/>
  <c r="C1157"/>
  <c r="C1109"/>
  <c r="O1109"/>
  <c r="O1135" s="1"/>
  <c r="O1157"/>
  <c r="O1166" s="1"/>
  <c r="O1192" s="1"/>
  <c r="W1109"/>
  <c r="W1135" s="1"/>
  <c r="W1157"/>
  <c r="W1166" s="1"/>
  <c r="W1192" s="1"/>
  <c r="AE1109"/>
  <c r="AE1135" s="1"/>
  <c r="AE1157"/>
  <c r="AE1166" s="1"/>
  <c r="AE1192" s="1"/>
  <c r="AM1109"/>
  <c r="AM1135" s="1"/>
  <c r="AM1157"/>
  <c r="AM1166" s="1"/>
  <c r="AM1192" s="1"/>
  <c r="AU1109"/>
  <c r="AU1135" s="1"/>
  <c r="AU1157"/>
  <c r="AU1166" s="1"/>
  <c r="AU1192" s="1"/>
  <c r="BC1109"/>
  <c r="BC1135" s="1"/>
  <c r="BC1157"/>
  <c r="BC1166" s="1"/>
  <c r="BC1192" s="1"/>
  <c r="I1157"/>
  <c r="I1166" s="1"/>
  <c r="I1192" s="1"/>
  <c r="I1109"/>
  <c r="I1135" s="1"/>
  <c r="Q1157"/>
  <c r="Q1166" s="1"/>
  <c r="Q1192" s="1"/>
  <c r="Q1109"/>
  <c r="Q1135" s="1"/>
  <c r="Y1157"/>
  <c r="Y1166" s="1"/>
  <c r="Y1192" s="1"/>
  <c r="Y1109"/>
  <c r="Y1135" s="1"/>
  <c r="AG1157"/>
  <c r="AG1166" s="1"/>
  <c r="AG1192" s="1"/>
  <c r="AG1109"/>
  <c r="AG1135" s="1"/>
  <c r="AO1157"/>
  <c r="AO1166" s="1"/>
  <c r="AO1192" s="1"/>
  <c r="AO1109"/>
  <c r="AO1135" s="1"/>
  <c r="AW1157"/>
  <c r="AW1166" s="1"/>
  <c r="AW1192" s="1"/>
  <c r="AW1109"/>
  <c r="AW1135" s="1"/>
  <c r="BE1157"/>
  <c r="BE1166" s="1"/>
  <c r="BE1192" s="1"/>
  <c r="BE1109"/>
  <c r="BE1135" s="1"/>
  <c r="BG324"/>
  <c r="BG325" s="1"/>
  <c r="BG330" s="1"/>
  <c r="BG331" s="1"/>
  <c r="BG332" s="1"/>
  <c r="AY324"/>
  <c r="AY325" s="1"/>
  <c r="AY330" s="1"/>
  <c r="AY331" s="1"/>
  <c r="AY332" s="1"/>
  <c r="AQ324"/>
  <c r="AQ325" s="1"/>
  <c r="AQ330" s="1"/>
  <c r="AQ331" s="1"/>
  <c r="AQ332" s="1"/>
  <c r="AI324"/>
  <c r="AI325" s="1"/>
  <c r="AI330" s="1"/>
  <c r="AI331" s="1"/>
  <c r="AI332" s="1"/>
  <c r="AA324"/>
  <c r="AA325" s="1"/>
  <c r="AA330" s="1"/>
  <c r="AA331" s="1"/>
  <c r="AA332" s="1"/>
  <c r="S324"/>
  <c r="S325" s="1"/>
  <c r="S330" s="1"/>
  <c r="S331" s="1"/>
  <c r="K324"/>
  <c r="K325" s="1"/>
  <c r="K330" s="1"/>
  <c r="K331" s="1"/>
  <c r="BI381"/>
  <c r="BI382" s="1"/>
  <c r="BI387" s="1"/>
  <c r="BI388" s="1"/>
  <c r="BI389" s="1"/>
  <c r="BI1217" s="1"/>
  <c r="BA381"/>
  <c r="BA382" s="1"/>
  <c r="BA387" s="1"/>
  <c r="BA388" s="1"/>
  <c r="BA389" s="1"/>
  <c r="BA1217" s="1"/>
  <c r="AS381"/>
  <c r="AS382" s="1"/>
  <c r="AS387" s="1"/>
  <c r="AS388" s="1"/>
  <c r="AS389" s="1"/>
  <c r="AS1217" s="1"/>
  <c r="AK381"/>
  <c r="AK382" s="1"/>
  <c r="AK387" s="1"/>
  <c r="AK388" s="1"/>
  <c r="AK389" s="1"/>
  <c r="AK1217" s="1"/>
  <c r="AC381"/>
  <c r="AC382" s="1"/>
  <c r="AC387" s="1"/>
  <c r="AC388" s="1"/>
  <c r="AC389" s="1"/>
  <c r="AC1217" s="1"/>
  <c r="U381"/>
  <c r="U382" s="1"/>
  <c r="U387" s="1"/>
  <c r="U388" s="1"/>
  <c r="M381"/>
  <c r="M382" s="1"/>
  <c r="M387" s="1"/>
  <c r="M388" s="1"/>
  <c r="J324"/>
  <c r="J325" s="1"/>
  <c r="J330" s="1"/>
  <c r="J331" s="1"/>
  <c r="R324"/>
  <c r="R325" s="1"/>
  <c r="R330" s="1"/>
  <c r="R331" s="1"/>
  <c r="Z324"/>
  <c r="Z325" s="1"/>
  <c r="Z330" s="1"/>
  <c r="Z331" s="1"/>
  <c r="Z332" s="1"/>
  <c r="AH324"/>
  <c r="AH325" s="1"/>
  <c r="AH330" s="1"/>
  <c r="AH331" s="1"/>
  <c r="AH332" s="1"/>
  <c r="AP324"/>
  <c r="AP325" s="1"/>
  <c r="AP330" s="1"/>
  <c r="AP331" s="1"/>
  <c r="AP332" s="1"/>
  <c r="AX324"/>
  <c r="AX325" s="1"/>
  <c r="AX330" s="1"/>
  <c r="AX331" s="1"/>
  <c r="AX332" s="1"/>
  <c r="BF324"/>
  <c r="BF325" s="1"/>
  <c r="BF330" s="1"/>
  <c r="BF331" s="1"/>
  <c r="BF332" s="1"/>
  <c r="T324"/>
  <c r="T325" s="1"/>
  <c r="T330" s="1"/>
  <c r="T331" s="1"/>
  <c r="AJ324"/>
  <c r="AJ325" s="1"/>
  <c r="AJ330" s="1"/>
  <c r="AJ331" s="1"/>
  <c r="AJ332" s="1"/>
  <c r="AZ324"/>
  <c r="AZ325" s="1"/>
  <c r="AZ330" s="1"/>
  <c r="AZ331" s="1"/>
  <c r="AZ332" s="1"/>
  <c r="H324"/>
  <c r="H325" s="1"/>
  <c r="H330" s="1"/>
  <c r="H331" s="1"/>
  <c r="X324"/>
  <c r="X325" s="1"/>
  <c r="X330" s="1"/>
  <c r="X331" s="1"/>
  <c r="X332" s="1"/>
  <c r="AN324"/>
  <c r="AN325" s="1"/>
  <c r="AN330" s="1"/>
  <c r="AN331" s="1"/>
  <c r="AN332" s="1"/>
  <c r="BD324"/>
  <c r="BD325" s="1"/>
  <c r="BD330" s="1"/>
  <c r="BD331" s="1"/>
  <c r="BD332" s="1"/>
  <c r="E381"/>
  <c r="E382" s="1"/>
  <c r="E387" s="1"/>
  <c r="E388" s="1"/>
  <c r="G324"/>
  <c r="G325" s="1"/>
  <c r="G330" s="1"/>
  <c r="G331" s="1"/>
  <c r="AF75"/>
  <c r="AE132"/>
  <c r="AD885"/>
  <c r="AC942"/>
  <c r="V257"/>
  <c r="B200"/>
  <c r="B197" s="1"/>
  <c r="V197"/>
  <c r="C911"/>
  <c r="B910"/>
  <c r="AE828"/>
  <c r="AF771"/>
  <c r="V832"/>
  <c r="W775"/>
  <c r="B487"/>
  <c r="AE593"/>
  <c r="AF536"/>
  <c r="AC246"/>
  <c r="AD189"/>
  <c r="U721"/>
  <c r="U718" s="1"/>
  <c r="U661"/>
  <c r="W1180"/>
  <c r="X1123"/>
  <c r="W1128"/>
  <c r="AB1175"/>
  <c r="AB1172" s="1"/>
  <c r="AC1118"/>
  <c r="AB1115"/>
  <c r="V948"/>
  <c r="W891"/>
  <c r="AA601"/>
  <c r="AB544"/>
  <c r="AD594"/>
  <c r="AE537"/>
  <c r="AA1062"/>
  <c r="AB1005"/>
  <c r="Z946"/>
  <c r="AA889"/>
  <c r="AD130"/>
  <c r="AE73"/>
  <c r="F229"/>
  <c r="F238" s="1"/>
  <c r="F264" s="1"/>
  <c r="F181"/>
  <c r="F207" s="1"/>
  <c r="BA229"/>
  <c r="BA238" s="1"/>
  <c r="BA264" s="1"/>
  <c r="BA181"/>
  <c r="BA207" s="1"/>
  <c r="AS229"/>
  <c r="AS238" s="1"/>
  <c r="AS264" s="1"/>
  <c r="AS181"/>
  <c r="AS207" s="1"/>
  <c r="AK229"/>
  <c r="AK238" s="1"/>
  <c r="AK264" s="1"/>
  <c r="AK181"/>
  <c r="AK207" s="1"/>
  <c r="AC229"/>
  <c r="AC238" s="1"/>
  <c r="AC264" s="1"/>
  <c r="AC181"/>
  <c r="AC207" s="1"/>
  <c r="U229"/>
  <c r="U238" s="1"/>
  <c r="U264" s="1"/>
  <c r="U181"/>
  <c r="U207" s="1"/>
  <c r="M229"/>
  <c r="M238" s="1"/>
  <c r="M264" s="1"/>
  <c r="M181"/>
  <c r="M207" s="1"/>
  <c r="BH229"/>
  <c r="BH238" s="1"/>
  <c r="BH264" s="1"/>
  <c r="BH181"/>
  <c r="BH207" s="1"/>
  <c r="AR229"/>
  <c r="AR238" s="1"/>
  <c r="AR264" s="1"/>
  <c r="AR181"/>
  <c r="AR207" s="1"/>
  <c r="AB229"/>
  <c r="AB238" s="1"/>
  <c r="AB264" s="1"/>
  <c r="AB181"/>
  <c r="AB207" s="1"/>
  <c r="L229"/>
  <c r="L238" s="1"/>
  <c r="L264" s="1"/>
  <c r="L181"/>
  <c r="L207" s="1"/>
  <c r="BC229"/>
  <c r="BC238" s="1"/>
  <c r="BC264" s="1"/>
  <c r="BC181"/>
  <c r="BC207" s="1"/>
  <c r="AU229"/>
  <c r="AU238" s="1"/>
  <c r="AU264" s="1"/>
  <c r="AU181"/>
  <c r="AU207" s="1"/>
  <c r="AM229"/>
  <c r="AM238" s="1"/>
  <c r="AM264" s="1"/>
  <c r="AM181"/>
  <c r="AM207" s="1"/>
  <c r="AE229"/>
  <c r="AE238" s="1"/>
  <c r="AE264" s="1"/>
  <c r="AE181"/>
  <c r="AE207" s="1"/>
  <c r="W229"/>
  <c r="W238" s="1"/>
  <c r="W264" s="1"/>
  <c r="W181"/>
  <c r="W207" s="1"/>
  <c r="O229"/>
  <c r="O238" s="1"/>
  <c r="O264" s="1"/>
  <c r="O181"/>
  <c r="O207" s="1"/>
  <c r="C229"/>
  <c r="C181"/>
  <c r="B172"/>
  <c r="AV229"/>
  <c r="AV238" s="1"/>
  <c r="AV264" s="1"/>
  <c r="AV181"/>
  <c r="AV207" s="1"/>
  <c r="AF229"/>
  <c r="AF238" s="1"/>
  <c r="AF264" s="1"/>
  <c r="AF181"/>
  <c r="AF207" s="1"/>
  <c r="P229"/>
  <c r="P238" s="1"/>
  <c r="P264" s="1"/>
  <c r="P181"/>
  <c r="P207" s="1"/>
  <c r="BJ229"/>
  <c r="BJ238" s="1"/>
  <c r="BJ264" s="1"/>
  <c r="BJ181"/>
  <c r="BJ207" s="1"/>
  <c r="BB229"/>
  <c r="BB238" s="1"/>
  <c r="BB264" s="1"/>
  <c r="BB181"/>
  <c r="BB207" s="1"/>
  <c r="AT229"/>
  <c r="AT238" s="1"/>
  <c r="AT264" s="1"/>
  <c r="AT181"/>
  <c r="AT207" s="1"/>
  <c r="AL229"/>
  <c r="AL238" s="1"/>
  <c r="AL264" s="1"/>
  <c r="AL181"/>
  <c r="AL207" s="1"/>
  <c r="AD229"/>
  <c r="AD238" s="1"/>
  <c r="AD264" s="1"/>
  <c r="AD181"/>
  <c r="AD207" s="1"/>
  <c r="V229"/>
  <c r="V238" s="1"/>
  <c r="V264" s="1"/>
  <c r="V181"/>
  <c r="V207" s="1"/>
  <c r="N229"/>
  <c r="N238" s="1"/>
  <c r="N264" s="1"/>
  <c r="N181"/>
  <c r="N207" s="1"/>
  <c r="D229"/>
  <c r="D238" s="1"/>
  <c r="D264" s="1"/>
  <c r="D181"/>
  <c r="D207" s="1"/>
  <c r="E229"/>
  <c r="E238" s="1"/>
  <c r="E264" s="1"/>
  <c r="E181"/>
  <c r="E207" s="1"/>
  <c r="Z253"/>
  <c r="AA196"/>
  <c r="U489"/>
  <c r="U486" s="1"/>
  <c r="U429"/>
  <c r="AA947"/>
  <c r="AB890"/>
  <c r="AA717"/>
  <c r="AB660"/>
  <c r="AC595"/>
  <c r="AC592" s="1"/>
  <c r="AD538"/>
  <c r="Z833"/>
  <c r="AA776"/>
  <c r="BG556"/>
  <c r="BG557" s="1"/>
  <c r="BG562" s="1"/>
  <c r="BG563" s="1"/>
  <c r="BG564" s="1"/>
  <c r="AY556"/>
  <c r="AY557" s="1"/>
  <c r="AY562" s="1"/>
  <c r="AY563" s="1"/>
  <c r="AY564" s="1"/>
  <c r="AQ556"/>
  <c r="AQ557" s="1"/>
  <c r="AQ562" s="1"/>
  <c r="AQ563" s="1"/>
  <c r="AQ564" s="1"/>
  <c r="AI556"/>
  <c r="AI557" s="1"/>
  <c r="AI562" s="1"/>
  <c r="AI563" s="1"/>
  <c r="AI564" s="1"/>
  <c r="AA556"/>
  <c r="AA557" s="1"/>
  <c r="AA562" s="1"/>
  <c r="AA563" s="1"/>
  <c r="AA564" s="1"/>
  <c r="S556"/>
  <c r="S557" s="1"/>
  <c r="S562" s="1"/>
  <c r="S563" s="1"/>
  <c r="K556"/>
  <c r="K557" s="1"/>
  <c r="K562" s="1"/>
  <c r="K563" s="1"/>
  <c r="BI556"/>
  <c r="BI557" s="1"/>
  <c r="BI562" s="1"/>
  <c r="BI563" s="1"/>
  <c r="BI564" s="1"/>
  <c r="BA556"/>
  <c r="BA557" s="1"/>
  <c r="BA562" s="1"/>
  <c r="BA563" s="1"/>
  <c r="BA564" s="1"/>
  <c r="AS556"/>
  <c r="AS557" s="1"/>
  <c r="AS562" s="1"/>
  <c r="AS563" s="1"/>
  <c r="AS564" s="1"/>
  <c r="AK556"/>
  <c r="AK557" s="1"/>
  <c r="AK562" s="1"/>
  <c r="AK563" s="1"/>
  <c r="AK564" s="1"/>
  <c r="AC556"/>
  <c r="AC557" s="1"/>
  <c r="AC562" s="1"/>
  <c r="AC563" s="1"/>
  <c r="AC564" s="1"/>
  <c r="U556"/>
  <c r="U557" s="1"/>
  <c r="U562" s="1"/>
  <c r="U563" s="1"/>
  <c r="M556"/>
  <c r="M557" s="1"/>
  <c r="M562" s="1"/>
  <c r="M563" s="1"/>
  <c r="J556"/>
  <c r="J557" s="1"/>
  <c r="J562" s="1"/>
  <c r="J563" s="1"/>
  <c r="R556"/>
  <c r="R557" s="1"/>
  <c r="R562" s="1"/>
  <c r="R563" s="1"/>
  <c r="Z556"/>
  <c r="Z557" s="1"/>
  <c r="Z562" s="1"/>
  <c r="Z563" s="1"/>
  <c r="Z564" s="1"/>
  <c r="AH556"/>
  <c r="AH557" s="1"/>
  <c r="AH562" s="1"/>
  <c r="AH563" s="1"/>
  <c r="AH564" s="1"/>
  <c r="AP556"/>
  <c r="AP557" s="1"/>
  <c r="AP562" s="1"/>
  <c r="AP563" s="1"/>
  <c r="AP564" s="1"/>
  <c r="AX556"/>
  <c r="AX557" s="1"/>
  <c r="AX562" s="1"/>
  <c r="AX563" s="1"/>
  <c r="AX564" s="1"/>
  <c r="BF556"/>
  <c r="BF557" s="1"/>
  <c r="BF562" s="1"/>
  <c r="BF563" s="1"/>
  <c r="BF564" s="1"/>
  <c r="P556"/>
  <c r="P557" s="1"/>
  <c r="P562" s="1"/>
  <c r="P563" s="1"/>
  <c r="AF556"/>
  <c r="AF557" s="1"/>
  <c r="AF562" s="1"/>
  <c r="AF563" s="1"/>
  <c r="AF564" s="1"/>
  <c r="AV556"/>
  <c r="AV557" s="1"/>
  <c r="AV562" s="1"/>
  <c r="AV563" s="1"/>
  <c r="AV564" s="1"/>
  <c r="L556"/>
  <c r="L557" s="1"/>
  <c r="L562" s="1"/>
  <c r="L563" s="1"/>
  <c r="AB556"/>
  <c r="AB557" s="1"/>
  <c r="AB562" s="1"/>
  <c r="AB563" s="1"/>
  <c r="AB564" s="1"/>
  <c r="AR556"/>
  <c r="AR557" s="1"/>
  <c r="AR562" s="1"/>
  <c r="AR563" s="1"/>
  <c r="AR564" s="1"/>
  <c r="BH556"/>
  <c r="BH557" s="1"/>
  <c r="BH562" s="1"/>
  <c r="BH563" s="1"/>
  <c r="BH564" s="1"/>
  <c r="E556"/>
  <c r="E557" s="1"/>
  <c r="E562" s="1"/>
  <c r="E563" s="1"/>
  <c r="G556"/>
  <c r="G557" s="1"/>
  <c r="G562" s="1"/>
  <c r="G563" s="1"/>
  <c r="BI1020"/>
  <c r="BI1021" s="1"/>
  <c r="BI1026" s="1"/>
  <c r="BI1027" s="1"/>
  <c r="BI1028" s="1"/>
  <c r="L1020"/>
  <c r="L1021" s="1"/>
  <c r="L1026" s="1"/>
  <c r="L1027" s="1"/>
  <c r="T1020"/>
  <c r="T1021" s="1"/>
  <c r="T1026" s="1"/>
  <c r="T1027" s="1"/>
  <c r="AB1020"/>
  <c r="AB1021" s="1"/>
  <c r="AB1026" s="1"/>
  <c r="AB1027" s="1"/>
  <c r="AB1028" s="1"/>
  <c r="AJ1020"/>
  <c r="AJ1021" s="1"/>
  <c r="AJ1026" s="1"/>
  <c r="AJ1027" s="1"/>
  <c r="AJ1028" s="1"/>
  <c r="AR1020"/>
  <c r="AR1021" s="1"/>
  <c r="AR1026" s="1"/>
  <c r="AR1027" s="1"/>
  <c r="AR1028" s="1"/>
  <c r="AZ1020"/>
  <c r="AZ1021" s="1"/>
  <c r="AZ1026" s="1"/>
  <c r="AZ1027" s="1"/>
  <c r="AZ1028" s="1"/>
  <c r="BH1020"/>
  <c r="BH1021" s="1"/>
  <c r="BH1026" s="1"/>
  <c r="BH1027" s="1"/>
  <c r="BH1028" s="1"/>
  <c r="M1020"/>
  <c r="M1021" s="1"/>
  <c r="M1026" s="1"/>
  <c r="M1027" s="1"/>
  <c r="U1020"/>
  <c r="U1021" s="1"/>
  <c r="U1026" s="1"/>
  <c r="U1027" s="1"/>
  <c r="AC1020"/>
  <c r="AC1021" s="1"/>
  <c r="AC1026" s="1"/>
  <c r="AC1027" s="1"/>
  <c r="AC1028" s="1"/>
  <c r="AK1020"/>
  <c r="AK1021" s="1"/>
  <c r="AK1026" s="1"/>
  <c r="AK1027" s="1"/>
  <c r="AK1028" s="1"/>
  <c r="AS1020"/>
  <c r="AS1021" s="1"/>
  <c r="AS1026" s="1"/>
  <c r="AS1027" s="1"/>
  <c r="AS1028" s="1"/>
  <c r="BA1020"/>
  <c r="BA1021" s="1"/>
  <c r="BA1026" s="1"/>
  <c r="BA1027" s="1"/>
  <c r="BA1028" s="1"/>
  <c r="J1020"/>
  <c r="J1021" s="1"/>
  <c r="J1026" s="1"/>
  <c r="J1027" s="1"/>
  <c r="R1020"/>
  <c r="R1021" s="1"/>
  <c r="R1026" s="1"/>
  <c r="R1027" s="1"/>
  <c r="Z1020"/>
  <c r="Z1021" s="1"/>
  <c r="Z1026" s="1"/>
  <c r="Z1027" s="1"/>
  <c r="Z1028" s="1"/>
  <c r="AH1020"/>
  <c r="AH1021" s="1"/>
  <c r="AH1026" s="1"/>
  <c r="AH1027" s="1"/>
  <c r="AH1028" s="1"/>
  <c r="AP1020"/>
  <c r="AP1021" s="1"/>
  <c r="AP1026" s="1"/>
  <c r="AP1027" s="1"/>
  <c r="AP1028" s="1"/>
  <c r="AX1020"/>
  <c r="AX1021" s="1"/>
  <c r="AX1026" s="1"/>
  <c r="AX1027" s="1"/>
  <c r="AX1028" s="1"/>
  <c r="BF1020"/>
  <c r="BF1021" s="1"/>
  <c r="BF1026" s="1"/>
  <c r="BF1027" s="1"/>
  <c r="BF1028" s="1"/>
  <c r="C1050"/>
  <c r="B1041"/>
  <c r="J3" s="1"/>
  <c r="O1077"/>
  <c r="O1078" s="1"/>
  <c r="O1083" s="1"/>
  <c r="O1084" s="1"/>
  <c r="W1077"/>
  <c r="W1078" s="1"/>
  <c r="W1083" s="1"/>
  <c r="W1084" s="1"/>
  <c r="W1085" s="1"/>
  <c r="W1223" s="1"/>
  <c r="W1242" s="1"/>
  <c r="AE1077"/>
  <c r="AE1078" s="1"/>
  <c r="AE1083" s="1"/>
  <c r="AE1084" s="1"/>
  <c r="AE1085" s="1"/>
  <c r="AE1223" s="1"/>
  <c r="AE1242" s="1"/>
  <c r="AM1077"/>
  <c r="AM1078" s="1"/>
  <c r="AM1083" s="1"/>
  <c r="AM1084" s="1"/>
  <c r="AM1085" s="1"/>
  <c r="AM1223" s="1"/>
  <c r="AM1242" s="1"/>
  <c r="AU1077"/>
  <c r="AU1078" s="1"/>
  <c r="AU1083" s="1"/>
  <c r="AU1084" s="1"/>
  <c r="AU1085" s="1"/>
  <c r="AU1223" s="1"/>
  <c r="AU1242" s="1"/>
  <c r="BC1077"/>
  <c r="BC1078" s="1"/>
  <c r="BC1083" s="1"/>
  <c r="BC1084" s="1"/>
  <c r="BC1085" s="1"/>
  <c r="BC1223" s="1"/>
  <c r="BC1242" s="1"/>
  <c r="D1077"/>
  <c r="D1078" s="1"/>
  <c r="D1083" s="1"/>
  <c r="D1084" s="1"/>
  <c r="F1077"/>
  <c r="F1078" s="1"/>
  <c r="F1083" s="1"/>
  <c r="F1084" s="1"/>
  <c r="W1064"/>
  <c r="X1007"/>
  <c r="AA369"/>
  <c r="AB312"/>
  <c r="AB827"/>
  <c r="AB824" s="1"/>
  <c r="AC770"/>
  <c r="W136"/>
  <c r="X79"/>
  <c r="W84"/>
  <c r="E36"/>
  <c r="B491"/>
  <c r="E33" s="1"/>
  <c r="BC324"/>
  <c r="BC325" s="1"/>
  <c r="BC330" s="1"/>
  <c r="BC331" s="1"/>
  <c r="BC332" s="1"/>
  <c r="AU324"/>
  <c r="AU325" s="1"/>
  <c r="AU330" s="1"/>
  <c r="AU331" s="1"/>
  <c r="AU332" s="1"/>
  <c r="AM324"/>
  <c r="AM325" s="1"/>
  <c r="AM330" s="1"/>
  <c r="AM331" s="1"/>
  <c r="AM332" s="1"/>
  <c r="AE324"/>
  <c r="AE325" s="1"/>
  <c r="AE330" s="1"/>
  <c r="AE331" s="1"/>
  <c r="AE332" s="1"/>
  <c r="W324"/>
  <c r="W325" s="1"/>
  <c r="W330" s="1"/>
  <c r="W331" s="1"/>
  <c r="O324"/>
  <c r="O325" s="1"/>
  <c r="O330" s="1"/>
  <c r="O331" s="1"/>
  <c r="B297"/>
  <c r="C323"/>
  <c r="BE324"/>
  <c r="BE325" s="1"/>
  <c r="BE330" s="1"/>
  <c r="BE331" s="1"/>
  <c r="BE332" s="1"/>
  <c r="AW324"/>
  <c r="AW325" s="1"/>
  <c r="AW330" s="1"/>
  <c r="AW331" s="1"/>
  <c r="AW332" s="1"/>
  <c r="AO324"/>
  <c r="AO325" s="1"/>
  <c r="AO330" s="1"/>
  <c r="AO331" s="1"/>
  <c r="AO332" s="1"/>
  <c r="AG324"/>
  <c r="AG325" s="1"/>
  <c r="AG330" s="1"/>
  <c r="AG331" s="1"/>
  <c r="AG332" s="1"/>
  <c r="Y324"/>
  <c r="Y325" s="1"/>
  <c r="Y330" s="1"/>
  <c r="Y331" s="1"/>
  <c r="Y332" s="1"/>
  <c r="Q324"/>
  <c r="Q325" s="1"/>
  <c r="Q330" s="1"/>
  <c r="Q331" s="1"/>
  <c r="I324"/>
  <c r="I325" s="1"/>
  <c r="I330" s="1"/>
  <c r="I331" s="1"/>
  <c r="BJ381"/>
  <c r="BJ382" s="1"/>
  <c r="BJ387" s="1"/>
  <c r="BJ388" s="1"/>
  <c r="BJ389" s="1"/>
  <c r="BJ1217" s="1"/>
  <c r="N381"/>
  <c r="N382" s="1"/>
  <c r="N387" s="1"/>
  <c r="N388" s="1"/>
  <c r="V381"/>
  <c r="V382" s="1"/>
  <c r="V387" s="1"/>
  <c r="V388" s="1"/>
  <c r="AD381"/>
  <c r="AD382" s="1"/>
  <c r="AD387" s="1"/>
  <c r="AD388" s="1"/>
  <c r="AD389" s="1"/>
  <c r="AD1217" s="1"/>
  <c r="AL381"/>
  <c r="AL382" s="1"/>
  <c r="AL387" s="1"/>
  <c r="AL388" s="1"/>
  <c r="AL389" s="1"/>
  <c r="AL1217" s="1"/>
  <c r="AT381"/>
  <c r="AT382" s="1"/>
  <c r="AT387" s="1"/>
  <c r="AT388" s="1"/>
  <c r="AT389" s="1"/>
  <c r="AT1217" s="1"/>
  <c r="BB381"/>
  <c r="BB382" s="1"/>
  <c r="BB387" s="1"/>
  <c r="BB388" s="1"/>
  <c r="BB389" s="1"/>
  <c r="BB1217" s="1"/>
  <c r="L381"/>
  <c r="L382" s="1"/>
  <c r="L387" s="1"/>
  <c r="L388" s="1"/>
  <c r="AB381"/>
  <c r="AB382" s="1"/>
  <c r="AB387" s="1"/>
  <c r="AB388" s="1"/>
  <c r="AB389" s="1"/>
  <c r="AB1217" s="1"/>
  <c r="AR381"/>
  <c r="AR382" s="1"/>
  <c r="AR387" s="1"/>
  <c r="AR388" s="1"/>
  <c r="AR389" s="1"/>
  <c r="AR1217" s="1"/>
  <c r="BH381"/>
  <c r="BH382" s="1"/>
  <c r="BH387" s="1"/>
  <c r="BH388" s="1"/>
  <c r="BH389" s="1"/>
  <c r="BH1217" s="1"/>
  <c r="P381"/>
  <c r="P382" s="1"/>
  <c r="P387" s="1"/>
  <c r="P388" s="1"/>
  <c r="AF381"/>
  <c r="AF382" s="1"/>
  <c r="AF387" s="1"/>
  <c r="AF388" s="1"/>
  <c r="AF389" s="1"/>
  <c r="AF1217" s="1"/>
  <c r="AV381"/>
  <c r="AV382" s="1"/>
  <c r="AV387" s="1"/>
  <c r="AV388" s="1"/>
  <c r="AV389" s="1"/>
  <c r="AV1217" s="1"/>
  <c r="D381"/>
  <c r="D382" s="1"/>
  <c r="D387" s="1"/>
  <c r="D388" s="1"/>
  <c r="F381"/>
  <c r="F382" s="1"/>
  <c r="F387" s="1"/>
  <c r="F388" s="1"/>
  <c r="AA137"/>
  <c r="AB80"/>
  <c r="AC363"/>
  <c r="AC360" s="1"/>
  <c r="AD306"/>
  <c r="AB190"/>
  <c r="AA247"/>
  <c r="AA244" s="1"/>
  <c r="AA187"/>
  <c r="C845"/>
  <c r="B845" s="1"/>
  <c r="H39" s="1"/>
  <c r="B844"/>
  <c r="H38" s="1"/>
  <c r="C846"/>
  <c r="Z482"/>
  <c r="AA425"/>
  <c r="AA135"/>
  <c r="AB78"/>
  <c r="AC883"/>
  <c r="B153" l="1"/>
  <c r="B43" s="1"/>
  <c r="W161"/>
  <c r="B161" s="1"/>
  <c r="B162" s="1"/>
  <c r="B49" s="1"/>
  <c r="Y77"/>
  <c r="X134"/>
  <c r="X82"/>
  <c r="X139" s="1"/>
  <c r="B139" s="1"/>
  <c r="B29" s="1"/>
  <c r="B96"/>
  <c r="X104"/>
  <c r="B104" s="1"/>
  <c r="B105" s="1"/>
  <c r="X512"/>
  <c r="B512" s="1"/>
  <c r="B513" s="1"/>
  <c r="E48" s="1"/>
  <c r="B34"/>
  <c r="B143"/>
  <c r="B33" s="1"/>
  <c r="AB72"/>
  <c r="AA129"/>
  <c r="AA128" s="1"/>
  <c r="AA71"/>
  <c r="X107"/>
  <c r="B107" s="1"/>
  <c r="B108" s="1"/>
  <c r="B82"/>
  <c r="AE1238"/>
  <c r="AE1231"/>
  <c r="AU1238"/>
  <c r="AU1231"/>
  <c r="AG1229"/>
  <c r="AG1236"/>
  <c r="AW1236"/>
  <c r="AW1229"/>
  <c r="AE1236"/>
  <c r="AE1229"/>
  <c r="AU1236"/>
  <c r="AU1229"/>
  <c r="AK1238"/>
  <c r="AK1231"/>
  <c r="BA1238"/>
  <c r="BA1231"/>
  <c r="AA1238"/>
  <c r="AA1231"/>
  <c r="AQ1238"/>
  <c r="AQ1231"/>
  <c r="BG1238"/>
  <c r="BG1231"/>
  <c r="AI1236"/>
  <c r="AI1229"/>
  <c r="AY1236"/>
  <c r="AY1229"/>
  <c r="AJ1238"/>
  <c r="AJ1231"/>
  <c r="BD1238"/>
  <c r="BD1231"/>
  <c r="X1238"/>
  <c r="X1231"/>
  <c r="BB1238"/>
  <c r="BB1231"/>
  <c r="AL1238"/>
  <c r="AL1231"/>
  <c r="BJ1238"/>
  <c r="BJ1231"/>
  <c r="AW1238"/>
  <c r="AW1231"/>
  <c r="AM1238"/>
  <c r="AM1231"/>
  <c r="BC1238"/>
  <c r="BC1231"/>
  <c r="Y1229"/>
  <c r="Y1236"/>
  <c r="AO1236"/>
  <c r="AO1229"/>
  <c r="BE1236"/>
  <c r="BE1229"/>
  <c r="AM1236"/>
  <c r="AM1229"/>
  <c r="BC1236"/>
  <c r="BC1229"/>
  <c r="AC1238"/>
  <c r="AC1231"/>
  <c r="AS1238"/>
  <c r="AS1231"/>
  <c r="BI1238"/>
  <c r="BI1231"/>
  <c r="AI1238"/>
  <c r="AI1231"/>
  <c r="AY1238"/>
  <c r="AY1231"/>
  <c r="AA1236"/>
  <c r="AA1229"/>
  <c r="AQ1236"/>
  <c r="AQ1229"/>
  <c r="BG1236"/>
  <c r="BG1229"/>
  <c r="AZ1238"/>
  <c r="AZ1231"/>
  <c r="AN1238"/>
  <c r="AN1231"/>
  <c r="AT1238"/>
  <c r="AT1231"/>
  <c r="AD1238"/>
  <c r="AD1231"/>
  <c r="AO1238"/>
  <c r="AO1231"/>
  <c r="BE1238"/>
  <c r="BE1231"/>
  <c r="AF1236"/>
  <c r="AF1229"/>
  <c r="BH1236"/>
  <c r="BH1229"/>
  <c r="AB1236"/>
  <c r="AB1229"/>
  <c r="BB1236"/>
  <c r="BB1229"/>
  <c r="AL1236"/>
  <c r="AL1229"/>
  <c r="BJ1236"/>
  <c r="BJ1229"/>
  <c r="W141"/>
  <c r="W138" s="1"/>
  <c r="W81"/>
  <c r="D266"/>
  <c r="D271" s="1"/>
  <c r="D272" s="1"/>
  <c r="D265"/>
  <c r="V266"/>
  <c r="V271" s="1"/>
  <c r="V272" s="1"/>
  <c r="V265"/>
  <c r="AD266"/>
  <c r="AD271" s="1"/>
  <c r="AD272" s="1"/>
  <c r="AD273" s="1"/>
  <c r="AD1216" s="1"/>
  <c r="AD265"/>
  <c r="AT266"/>
  <c r="AT271" s="1"/>
  <c r="AT272" s="1"/>
  <c r="AT273" s="1"/>
  <c r="AT1216" s="1"/>
  <c r="AT265"/>
  <c r="BJ266"/>
  <c r="BJ271" s="1"/>
  <c r="BJ272" s="1"/>
  <c r="BJ273" s="1"/>
  <c r="BJ1216" s="1"/>
  <c r="BJ265"/>
  <c r="AF266"/>
  <c r="AF271" s="1"/>
  <c r="AF272" s="1"/>
  <c r="AF273" s="1"/>
  <c r="AF1216" s="1"/>
  <c r="AF265"/>
  <c r="C207"/>
  <c r="B181"/>
  <c r="AC209"/>
  <c r="AC214" s="1"/>
  <c r="AC215" s="1"/>
  <c r="AC216" s="1"/>
  <c r="AC208"/>
  <c r="AB135"/>
  <c r="AC78"/>
  <c r="AA482"/>
  <c r="AB425"/>
  <c r="B846"/>
  <c r="H40" s="1"/>
  <c r="C851"/>
  <c r="AE306"/>
  <c r="AD363"/>
  <c r="AD360" s="1"/>
  <c r="AD303"/>
  <c r="AB137"/>
  <c r="AC80"/>
  <c r="X136"/>
  <c r="Y79"/>
  <c r="X84"/>
  <c r="AD770"/>
  <c r="AC827"/>
  <c r="AC824" s="1"/>
  <c r="AC767"/>
  <c r="AB369"/>
  <c r="AC312"/>
  <c r="X1064"/>
  <c r="Y1007"/>
  <c r="AA833"/>
  <c r="AB776"/>
  <c r="AD595"/>
  <c r="AD592" s="1"/>
  <c r="AE538"/>
  <c r="AD535"/>
  <c r="AC660"/>
  <c r="AB717"/>
  <c r="AB947"/>
  <c r="AC890"/>
  <c r="AA253"/>
  <c r="AB196"/>
  <c r="E208"/>
  <c r="E209" s="1"/>
  <c r="E214" s="1"/>
  <c r="E215" s="1"/>
  <c r="D208"/>
  <c r="D209"/>
  <c r="D214" s="1"/>
  <c r="D215" s="1"/>
  <c r="N208"/>
  <c r="N209"/>
  <c r="N214" s="1"/>
  <c r="N215" s="1"/>
  <c r="V208"/>
  <c r="V209"/>
  <c r="V214" s="1"/>
  <c r="V215" s="1"/>
  <c r="AD208"/>
  <c r="AD209"/>
  <c r="AD214" s="1"/>
  <c r="AD215" s="1"/>
  <c r="AD216" s="1"/>
  <c r="AL208"/>
  <c r="AL209"/>
  <c r="AL214" s="1"/>
  <c r="AL215" s="1"/>
  <c r="AL216" s="1"/>
  <c r="AT208"/>
  <c r="AT209"/>
  <c r="AT214" s="1"/>
  <c r="AT215" s="1"/>
  <c r="AT216" s="1"/>
  <c r="BB208"/>
  <c r="BB209"/>
  <c r="BB214" s="1"/>
  <c r="BB215" s="1"/>
  <c r="BB216" s="1"/>
  <c r="BJ208"/>
  <c r="BJ209"/>
  <c r="BJ214" s="1"/>
  <c r="BJ215" s="1"/>
  <c r="BJ216" s="1"/>
  <c r="P208"/>
  <c r="P209"/>
  <c r="P214" s="1"/>
  <c r="P215" s="1"/>
  <c r="AF208"/>
  <c r="AF209"/>
  <c r="AF214" s="1"/>
  <c r="AF215" s="1"/>
  <c r="AF216" s="1"/>
  <c r="AV208"/>
  <c r="AV209"/>
  <c r="AV214" s="1"/>
  <c r="AV215" s="1"/>
  <c r="AV216" s="1"/>
  <c r="B229"/>
  <c r="C3" s="1"/>
  <c r="C238"/>
  <c r="O265"/>
  <c r="O266"/>
  <c r="O271" s="1"/>
  <c r="O272" s="1"/>
  <c r="W265"/>
  <c r="W266"/>
  <c r="W271" s="1"/>
  <c r="W272" s="1"/>
  <c r="W273" s="1"/>
  <c r="W1216" s="1"/>
  <c r="AE265"/>
  <c r="AE266"/>
  <c r="AE271" s="1"/>
  <c r="AE272" s="1"/>
  <c r="AE273" s="1"/>
  <c r="AE1216" s="1"/>
  <c r="AM265"/>
  <c r="AM266"/>
  <c r="AM271" s="1"/>
  <c r="AM272" s="1"/>
  <c r="AM273" s="1"/>
  <c r="AM1216" s="1"/>
  <c r="AU265"/>
  <c r="AU266"/>
  <c r="AU271" s="1"/>
  <c r="AU272" s="1"/>
  <c r="AU273" s="1"/>
  <c r="AU1216" s="1"/>
  <c r="BC265"/>
  <c r="BC266"/>
  <c r="BC271" s="1"/>
  <c r="BC272" s="1"/>
  <c r="BC273" s="1"/>
  <c r="BC1216" s="1"/>
  <c r="L265"/>
  <c r="L266" s="1"/>
  <c r="L271" s="1"/>
  <c r="L272" s="1"/>
  <c r="AB265"/>
  <c r="AB266" s="1"/>
  <c r="AB271" s="1"/>
  <c r="AB272" s="1"/>
  <c r="AB273" s="1"/>
  <c r="AB1216" s="1"/>
  <c r="AR265"/>
  <c r="AR266" s="1"/>
  <c r="AR271" s="1"/>
  <c r="AR272" s="1"/>
  <c r="AR273" s="1"/>
  <c r="AR1216" s="1"/>
  <c r="BH265"/>
  <c r="BH266" s="1"/>
  <c r="BH271" s="1"/>
  <c r="BH272" s="1"/>
  <c r="BH273" s="1"/>
  <c r="BH1216" s="1"/>
  <c r="M265"/>
  <c r="M266"/>
  <c r="M271" s="1"/>
  <c r="M272" s="1"/>
  <c r="U265"/>
  <c r="U266"/>
  <c r="U271" s="1"/>
  <c r="U272" s="1"/>
  <c r="AC265"/>
  <c r="AC266"/>
  <c r="AC271" s="1"/>
  <c r="AC272" s="1"/>
  <c r="AC273" s="1"/>
  <c r="AC1216" s="1"/>
  <c r="AK265"/>
  <c r="AK266"/>
  <c r="AK271" s="1"/>
  <c r="AK272" s="1"/>
  <c r="AK273" s="1"/>
  <c r="AK1216" s="1"/>
  <c r="AS265"/>
  <c r="AS266"/>
  <c r="AS271" s="1"/>
  <c r="AS272" s="1"/>
  <c r="AS273" s="1"/>
  <c r="AS1216" s="1"/>
  <c r="BA265"/>
  <c r="BA266"/>
  <c r="BA271" s="1"/>
  <c r="BA272" s="1"/>
  <c r="BA273" s="1"/>
  <c r="BA1216" s="1"/>
  <c r="F265"/>
  <c r="F266" s="1"/>
  <c r="F271" s="1"/>
  <c r="F272" s="1"/>
  <c r="AF73"/>
  <c r="AE130"/>
  <c r="AA946"/>
  <c r="AB889"/>
  <c r="AB1062"/>
  <c r="AC1005"/>
  <c r="AE594"/>
  <c r="AF537"/>
  <c r="AB601"/>
  <c r="AC544"/>
  <c r="W948"/>
  <c r="X891"/>
  <c r="X1180"/>
  <c r="Y1123"/>
  <c r="AE189"/>
  <c r="AD246"/>
  <c r="AF593"/>
  <c r="AG536"/>
  <c r="B911"/>
  <c r="C912"/>
  <c r="D912" s="1"/>
  <c r="E912" s="1"/>
  <c r="F912" s="1"/>
  <c r="G912" s="1"/>
  <c r="H912" s="1"/>
  <c r="I912" s="1"/>
  <c r="J912" s="1"/>
  <c r="K912" s="1"/>
  <c r="L912" s="1"/>
  <c r="M912" s="1"/>
  <c r="N912" s="1"/>
  <c r="O912" s="1"/>
  <c r="P912" s="1"/>
  <c r="Q912" s="1"/>
  <c r="R912" s="1"/>
  <c r="BE1136"/>
  <c r="BE1137" s="1"/>
  <c r="BE1142" s="1"/>
  <c r="BE1143" s="1"/>
  <c r="BE1144" s="1"/>
  <c r="AW1136"/>
  <c r="AW1137" s="1"/>
  <c r="AW1142" s="1"/>
  <c r="AW1143" s="1"/>
  <c r="AW1144" s="1"/>
  <c r="AO1136"/>
  <c r="AO1137" s="1"/>
  <c r="AO1142" s="1"/>
  <c r="AO1143" s="1"/>
  <c r="AO1144" s="1"/>
  <c r="AG1136"/>
  <c r="AG1137" s="1"/>
  <c r="AG1142" s="1"/>
  <c r="AG1143" s="1"/>
  <c r="AG1144" s="1"/>
  <c r="Y1136"/>
  <c r="Y1137" s="1"/>
  <c r="Y1142" s="1"/>
  <c r="Y1143" s="1"/>
  <c r="Y1144" s="1"/>
  <c r="Q1136"/>
  <c r="Q1137" s="1"/>
  <c r="Q1142" s="1"/>
  <c r="Q1143" s="1"/>
  <c r="I1136"/>
  <c r="I1137" s="1"/>
  <c r="I1142" s="1"/>
  <c r="I1143" s="1"/>
  <c r="BC1193"/>
  <c r="BC1194"/>
  <c r="BC1199" s="1"/>
  <c r="BC1200" s="1"/>
  <c r="BC1201" s="1"/>
  <c r="BC1224" s="1"/>
  <c r="BC1243" s="1"/>
  <c r="AU1193"/>
  <c r="AU1194"/>
  <c r="AU1199" s="1"/>
  <c r="AU1200" s="1"/>
  <c r="AU1201" s="1"/>
  <c r="AU1224" s="1"/>
  <c r="AU1243" s="1"/>
  <c r="AM1193"/>
  <c r="AM1194"/>
  <c r="AM1199" s="1"/>
  <c r="AM1200" s="1"/>
  <c r="AM1201" s="1"/>
  <c r="AM1224" s="1"/>
  <c r="AM1243" s="1"/>
  <c r="AE1193"/>
  <c r="AE1194"/>
  <c r="AE1199" s="1"/>
  <c r="AE1200" s="1"/>
  <c r="AE1201" s="1"/>
  <c r="AE1224" s="1"/>
  <c r="AE1243" s="1"/>
  <c r="W1193"/>
  <c r="W1194"/>
  <c r="W1199" s="1"/>
  <c r="W1200" s="1"/>
  <c r="O1193"/>
  <c r="O1194"/>
  <c r="O1199" s="1"/>
  <c r="O1200" s="1"/>
  <c r="B1109"/>
  <c r="C1135"/>
  <c r="BJ1193"/>
  <c r="BJ1194" s="1"/>
  <c r="BJ1199" s="1"/>
  <c r="BJ1200" s="1"/>
  <c r="BJ1201" s="1"/>
  <c r="BJ1224" s="1"/>
  <c r="BJ1243" s="1"/>
  <c r="N1193"/>
  <c r="N1194" s="1"/>
  <c r="N1199" s="1"/>
  <c r="N1200" s="1"/>
  <c r="V1193"/>
  <c r="V1194" s="1"/>
  <c r="V1199" s="1"/>
  <c r="V1200" s="1"/>
  <c r="AD1193"/>
  <c r="AD1194" s="1"/>
  <c r="AD1199" s="1"/>
  <c r="AD1200" s="1"/>
  <c r="AD1201" s="1"/>
  <c r="AD1224" s="1"/>
  <c r="AD1243" s="1"/>
  <c r="AL1193"/>
  <c r="AL1194" s="1"/>
  <c r="AL1199" s="1"/>
  <c r="AL1200" s="1"/>
  <c r="AL1201" s="1"/>
  <c r="AL1224" s="1"/>
  <c r="AL1243" s="1"/>
  <c r="AT1193"/>
  <c r="AT1194" s="1"/>
  <c r="AT1199" s="1"/>
  <c r="AT1200" s="1"/>
  <c r="AT1201" s="1"/>
  <c r="AT1224" s="1"/>
  <c r="AT1243" s="1"/>
  <c r="BB1193"/>
  <c r="BB1194" s="1"/>
  <c r="BB1199" s="1"/>
  <c r="BB1200" s="1"/>
  <c r="BB1201" s="1"/>
  <c r="BB1224" s="1"/>
  <c r="BB1243" s="1"/>
  <c r="H1193"/>
  <c r="H1194" s="1"/>
  <c r="H1199" s="1"/>
  <c r="H1200" s="1"/>
  <c r="P1193"/>
  <c r="P1194" s="1"/>
  <c r="P1199" s="1"/>
  <c r="P1200" s="1"/>
  <c r="X1193"/>
  <c r="X1194" s="1"/>
  <c r="X1199" s="1"/>
  <c r="X1200" s="1"/>
  <c r="X1201" s="1"/>
  <c r="X1224" s="1"/>
  <c r="X1243" s="1"/>
  <c r="AF1193"/>
  <c r="AF1194" s="1"/>
  <c r="AF1199" s="1"/>
  <c r="AF1200" s="1"/>
  <c r="AF1201" s="1"/>
  <c r="AF1224" s="1"/>
  <c r="AF1243" s="1"/>
  <c r="AN1193"/>
  <c r="AN1194" s="1"/>
  <c r="AN1199" s="1"/>
  <c r="AN1200" s="1"/>
  <c r="AN1201" s="1"/>
  <c r="AN1224" s="1"/>
  <c r="AN1243" s="1"/>
  <c r="AV1193"/>
  <c r="AV1194" s="1"/>
  <c r="AV1199" s="1"/>
  <c r="AV1200" s="1"/>
  <c r="AV1201" s="1"/>
  <c r="AV1224" s="1"/>
  <c r="AV1243" s="1"/>
  <c r="BD1193"/>
  <c r="BD1194" s="1"/>
  <c r="BD1199" s="1"/>
  <c r="BD1200" s="1"/>
  <c r="BD1201" s="1"/>
  <c r="BD1224" s="1"/>
  <c r="BD1243" s="1"/>
  <c r="D1193"/>
  <c r="D1194" s="1"/>
  <c r="D1199" s="1"/>
  <c r="D1200" s="1"/>
  <c r="F1193"/>
  <c r="F1194" s="1"/>
  <c r="F1199" s="1"/>
  <c r="F1200" s="1"/>
  <c r="AE478"/>
  <c r="AF421"/>
  <c r="AF364"/>
  <c r="AG307"/>
  <c r="X600"/>
  <c r="Y543"/>
  <c r="AG655"/>
  <c r="AF712"/>
  <c r="C380"/>
  <c r="B354"/>
  <c r="D12" s="1"/>
  <c r="B1069"/>
  <c r="V1066"/>
  <c r="C1020"/>
  <c r="B1020" s="1"/>
  <c r="B1019"/>
  <c r="V489"/>
  <c r="V486" s="1"/>
  <c r="V429"/>
  <c r="W484"/>
  <c r="X427"/>
  <c r="W432"/>
  <c r="BI265"/>
  <c r="BI266" s="1"/>
  <c r="BI271" s="1"/>
  <c r="BI272" s="1"/>
  <c r="BI273" s="1"/>
  <c r="BI1216" s="1"/>
  <c r="J265"/>
  <c r="J266" s="1"/>
  <c r="J271" s="1"/>
  <c r="J272" s="1"/>
  <c r="R265"/>
  <c r="R266" s="1"/>
  <c r="R271" s="1"/>
  <c r="R272" s="1"/>
  <c r="Z265"/>
  <c r="Z266" s="1"/>
  <c r="Z271" s="1"/>
  <c r="Z272" s="1"/>
  <c r="Z273" s="1"/>
  <c r="Z1216" s="1"/>
  <c r="AH265"/>
  <c r="AH266" s="1"/>
  <c r="AH271" s="1"/>
  <c r="AH272" s="1"/>
  <c r="AH273" s="1"/>
  <c r="AH1216" s="1"/>
  <c r="AP265"/>
  <c r="AP266" s="1"/>
  <c r="AP271" s="1"/>
  <c r="AP272" s="1"/>
  <c r="AP273" s="1"/>
  <c r="AP1216" s="1"/>
  <c r="AX265"/>
  <c r="AX266" s="1"/>
  <c r="AX271" s="1"/>
  <c r="AX272" s="1"/>
  <c r="AX273" s="1"/>
  <c r="AX1216" s="1"/>
  <c r="BF265"/>
  <c r="BF266" s="1"/>
  <c r="BF271" s="1"/>
  <c r="BF272" s="1"/>
  <c r="BF273" s="1"/>
  <c r="BF1216" s="1"/>
  <c r="H265"/>
  <c r="H266" s="1"/>
  <c r="H271" s="1"/>
  <c r="H272" s="1"/>
  <c r="X265"/>
  <c r="X266" s="1"/>
  <c r="X271" s="1"/>
  <c r="X272" s="1"/>
  <c r="X273" s="1"/>
  <c r="X1216" s="1"/>
  <c r="AN265"/>
  <c r="AN266" s="1"/>
  <c r="AN271" s="1"/>
  <c r="AN272" s="1"/>
  <c r="AN273" s="1"/>
  <c r="AN1216" s="1"/>
  <c r="BD265"/>
  <c r="BD266" s="1"/>
  <c r="BD271" s="1"/>
  <c r="BD272" s="1"/>
  <c r="BD273" s="1"/>
  <c r="BD1216" s="1"/>
  <c r="K265"/>
  <c r="K266" s="1"/>
  <c r="K271" s="1"/>
  <c r="K272" s="1"/>
  <c r="S265"/>
  <c r="S266" s="1"/>
  <c r="S271" s="1"/>
  <c r="S272" s="1"/>
  <c r="AA265"/>
  <c r="AA266" s="1"/>
  <c r="AA271" s="1"/>
  <c r="AA272" s="1"/>
  <c r="AA273" s="1"/>
  <c r="AA1216" s="1"/>
  <c r="AI265"/>
  <c r="AI266" s="1"/>
  <c r="AI271" s="1"/>
  <c r="AI272" s="1"/>
  <c r="AI273" s="1"/>
  <c r="AI1216" s="1"/>
  <c r="AQ265"/>
  <c r="AQ266" s="1"/>
  <c r="AQ271" s="1"/>
  <c r="AQ272" s="1"/>
  <c r="AQ273" s="1"/>
  <c r="AQ1216" s="1"/>
  <c r="AY265"/>
  <c r="AY266" s="1"/>
  <c r="AY271" s="1"/>
  <c r="AY272" s="1"/>
  <c r="AY273" s="1"/>
  <c r="AY1216" s="1"/>
  <c r="BG265"/>
  <c r="BG266" s="1"/>
  <c r="BG271" s="1"/>
  <c r="BG272" s="1"/>
  <c r="BG273" s="1"/>
  <c r="BG1216" s="1"/>
  <c r="T265"/>
  <c r="T266" s="1"/>
  <c r="T271" s="1"/>
  <c r="T272" s="1"/>
  <c r="AJ265"/>
  <c r="AJ266" s="1"/>
  <c r="AJ271" s="1"/>
  <c r="AJ272" s="1"/>
  <c r="AJ273" s="1"/>
  <c r="AJ1216" s="1"/>
  <c r="AZ265"/>
  <c r="AZ266" s="1"/>
  <c r="AZ271" s="1"/>
  <c r="AZ272" s="1"/>
  <c r="AZ273" s="1"/>
  <c r="AZ1216" s="1"/>
  <c r="I265"/>
  <c r="I266" s="1"/>
  <c r="I271" s="1"/>
  <c r="I272" s="1"/>
  <c r="Q265"/>
  <c r="Q266" s="1"/>
  <c r="Q271" s="1"/>
  <c r="Q272" s="1"/>
  <c r="Y265"/>
  <c r="Y266" s="1"/>
  <c r="Y271" s="1"/>
  <c r="Y272" s="1"/>
  <c r="Y273" s="1"/>
  <c r="Y1216" s="1"/>
  <c r="AG265"/>
  <c r="AG266" s="1"/>
  <c r="AG271" s="1"/>
  <c r="AG272" s="1"/>
  <c r="AG273" s="1"/>
  <c r="AG1216" s="1"/>
  <c r="AO265"/>
  <c r="AO266" s="1"/>
  <c r="AO271" s="1"/>
  <c r="AO272" s="1"/>
  <c r="AO273" s="1"/>
  <c r="AO1216" s="1"/>
  <c r="AW265"/>
  <c r="AW266" s="1"/>
  <c r="AW271" s="1"/>
  <c r="AW272" s="1"/>
  <c r="AW273" s="1"/>
  <c r="AW1216" s="1"/>
  <c r="BE265"/>
  <c r="BE266" s="1"/>
  <c r="BE271" s="1"/>
  <c r="BE272" s="1"/>
  <c r="BE273" s="1"/>
  <c r="BE1216" s="1"/>
  <c r="G265"/>
  <c r="G266" s="1"/>
  <c r="G271" s="1"/>
  <c r="G272" s="1"/>
  <c r="V721"/>
  <c r="B664"/>
  <c r="B661" s="1"/>
  <c r="V661"/>
  <c r="W716"/>
  <c r="X659"/>
  <c r="AC943"/>
  <c r="AC940" s="1"/>
  <c r="AD886"/>
  <c r="AF645"/>
  <c r="AF671" s="1"/>
  <c r="AF693"/>
  <c r="AF702" s="1"/>
  <c r="AF728" s="1"/>
  <c r="K693"/>
  <c r="K702" s="1"/>
  <c r="K728" s="1"/>
  <c r="K645"/>
  <c r="K671" s="1"/>
  <c r="AA693"/>
  <c r="AA702" s="1"/>
  <c r="AA728" s="1"/>
  <c r="AA645"/>
  <c r="AA671" s="1"/>
  <c r="AQ693"/>
  <c r="AQ702" s="1"/>
  <c r="AQ728" s="1"/>
  <c r="AQ645"/>
  <c r="AQ671" s="1"/>
  <c r="BG693"/>
  <c r="BG702" s="1"/>
  <c r="BG728" s="1"/>
  <c r="BG645"/>
  <c r="BG671" s="1"/>
  <c r="AP693"/>
  <c r="AP702" s="1"/>
  <c r="AP728" s="1"/>
  <c r="AP645"/>
  <c r="AP671" s="1"/>
  <c r="J693"/>
  <c r="J702" s="1"/>
  <c r="J728" s="1"/>
  <c r="J645"/>
  <c r="J671" s="1"/>
  <c r="AN645"/>
  <c r="AN671" s="1"/>
  <c r="AN693"/>
  <c r="AN702" s="1"/>
  <c r="AN728" s="1"/>
  <c r="H645"/>
  <c r="H671" s="1"/>
  <c r="H693"/>
  <c r="H702" s="1"/>
  <c r="H728" s="1"/>
  <c r="O693"/>
  <c r="O702" s="1"/>
  <c r="O728" s="1"/>
  <c r="O645"/>
  <c r="O671" s="1"/>
  <c r="AE693"/>
  <c r="AE702" s="1"/>
  <c r="AE728" s="1"/>
  <c r="AE645"/>
  <c r="AE671" s="1"/>
  <c r="AU693"/>
  <c r="AU702" s="1"/>
  <c r="AU728" s="1"/>
  <c r="AU645"/>
  <c r="AU671" s="1"/>
  <c r="AX693"/>
  <c r="AX702" s="1"/>
  <c r="AX728" s="1"/>
  <c r="AX645"/>
  <c r="AX671" s="1"/>
  <c r="R693"/>
  <c r="R702" s="1"/>
  <c r="R728" s="1"/>
  <c r="R645"/>
  <c r="R671" s="1"/>
  <c r="AZ645"/>
  <c r="AZ671" s="1"/>
  <c r="AZ693"/>
  <c r="AZ702" s="1"/>
  <c r="AZ728" s="1"/>
  <c r="AJ645"/>
  <c r="AJ671" s="1"/>
  <c r="AJ693"/>
  <c r="AJ702" s="1"/>
  <c r="AJ728" s="1"/>
  <c r="T645"/>
  <c r="T671" s="1"/>
  <c r="T693"/>
  <c r="T702" s="1"/>
  <c r="T728" s="1"/>
  <c r="D645"/>
  <c r="D671" s="1"/>
  <c r="D693"/>
  <c r="D702" s="1"/>
  <c r="D728" s="1"/>
  <c r="I693"/>
  <c r="I702" s="1"/>
  <c r="I728" s="1"/>
  <c r="I645"/>
  <c r="I671" s="1"/>
  <c r="Q693"/>
  <c r="Q702" s="1"/>
  <c r="Q728" s="1"/>
  <c r="Q645"/>
  <c r="Q671" s="1"/>
  <c r="Y693"/>
  <c r="Y702" s="1"/>
  <c r="Y728" s="1"/>
  <c r="Y645"/>
  <c r="Y671" s="1"/>
  <c r="AG693"/>
  <c r="AG702" s="1"/>
  <c r="AG728" s="1"/>
  <c r="AG645"/>
  <c r="AG671" s="1"/>
  <c r="AO693"/>
  <c r="AO702" s="1"/>
  <c r="AO728" s="1"/>
  <c r="AO645"/>
  <c r="AO671" s="1"/>
  <c r="AW693"/>
  <c r="AW702" s="1"/>
  <c r="AW728" s="1"/>
  <c r="AW645"/>
  <c r="AW671" s="1"/>
  <c r="BE693"/>
  <c r="BE702" s="1"/>
  <c r="BE728" s="1"/>
  <c r="BE645"/>
  <c r="BE671" s="1"/>
  <c r="BB693"/>
  <c r="BB702" s="1"/>
  <c r="BB728" s="1"/>
  <c r="BB645"/>
  <c r="BB671" s="1"/>
  <c r="AL693"/>
  <c r="AL702" s="1"/>
  <c r="AL728" s="1"/>
  <c r="AL645"/>
  <c r="AL671" s="1"/>
  <c r="V693"/>
  <c r="V702" s="1"/>
  <c r="V728" s="1"/>
  <c r="V645"/>
  <c r="V671" s="1"/>
  <c r="F693"/>
  <c r="F702" s="1"/>
  <c r="F728" s="1"/>
  <c r="F645"/>
  <c r="F671" s="1"/>
  <c r="BJ693"/>
  <c r="BJ702" s="1"/>
  <c r="BJ728" s="1"/>
  <c r="BJ645"/>
  <c r="BJ671" s="1"/>
  <c r="B837"/>
  <c r="U834"/>
  <c r="AF944"/>
  <c r="AG887"/>
  <c r="BI1193"/>
  <c r="BI1194" s="1"/>
  <c r="BI1199" s="1"/>
  <c r="BI1200" s="1"/>
  <c r="BI1201" s="1"/>
  <c r="BI1224" s="1"/>
  <c r="BI1243" s="1"/>
  <c r="BA1193"/>
  <c r="BA1194" s="1"/>
  <c r="BA1199" s="1"/>
  <c r="BA1200" s="1"/>
  <c r="BA1201" s="1"/>
  <c r="BA1224" s="1"/>
  <c r="BA1243" s="1"/>
  <c r="AS1193"/>
  <c r="AS1194" s="1"/>
  <c r="AS1199" s="1"/>
  <c r="AS1200" s="1"/>
  <c r="AS1201" s="1"/>
  <c r="AS1224" s="1"/>
  <c r="AS1243" s="1"/>
  <c r="AK1193"/>
  <c r="AK1194" s="1"/>
  <c r="AK1199" s="1"/>
  <c r="AK1200" s="1"/>
  <c r="AK1201" s="1"/>
  <c r="AK1224" s="1"/>
  <c r="AK1243" s="1"/>
  <c r="AC1193"/>
  <c r="AC1194" s="1"/>
  <c r="AC1199" s="1"/>
  <c r="AC1200" s="1"/>
  <c r="AC1201" s="1"/>
  <c r="AC1224" s="1"/>
  <c r="AC1243" s="1"/>
  <c r="U1193"/>
  <c r="U1194" s="1"/>
  <c r="U1199" s="1"/>
  <c r="U1200" s="1"/>
  <c r="M1193"/>
  <c r="M1194" s="1"/>
  <c r="M1199" s="1"/>
  <c r="M1200" s="1"/>
  <c r="BG1193"/>
  <c r="BG1194" s="1"/>
  <c r="BG1199" s="1"/>
  <c r="BG1200" s="1"/>
  <c r="BG1201" s="1"/>
  <c r="BG1224" s="1"/>
  <c r="BG1243" s="1"/>
  <c r="AY1193"/>
  <c r="AY1194" s="1"/>
  <c r="AY1199" s="1"/>
  <c r="AY1200" s="1"/>
  <c r="AY1201" s="1"/>
  <c r="AY1224" s="1"/>
  <c r="AY1243" s="1"/>
  <c r="AQ1193"/>
  <c r="AQ1194" s="1"/>
  <c r="AQ1199" s="1"/>
  <c r="AQ1200" s="1"/>
  <c r="AQ1201" s="1"/>
  <c r="AQ1224" s="1"/>
  <c r="AQ1243" s="1"/>
  <c r="AI1193"/>
  <c r="AI1194" s="1"/>
  <c r="AI1199" s="1"/>
  <c r="AI1200" s="1"/>
  <c r="AI1201" s="1"/>
  <c r="AI1224" s="1"/>
  <c r="AI1243" s="1"/>
  <c r="AA1193"/>
  <c r="AA1194" s="1"/>
  <c r="AA1199" s="1"/>
  <c r="AA1200" s="1"/>
  <c r="AA1201" s="1"/>
  <c r="AA1224" s="1"/>
  <c r="AA1243" s="1"/>
  <c r="S1193"/>
  <c r="S1194" s="1"/>
  <c r="S1199" s="1"/>
  <c r="S1200" s="1"/>
  <c r="K1193"/>
  <c r="K1194" s="1"/>
  <c r="K1199" s="1"/>
  <c r="K1200" s="1"/>
  <c r="J1193"/>
  <c r="J1194" s="1"/>
  <c r="J1199" s="1"/>
  <c r="J1200" s="1"/>
  <c r="R1193"/>
  <c r="R1194" s="1"/>
  <c r="R1199" s="1"/>
  <c r="R1200" s="1"/>
  <c r="Z1193"/>
  <c r="Z1194" s="1"/>
  <c r="Z1199" s="1"/>
  <c r="Z1200" s="1"/>
  <c r="Z1201" s="1"/>
  <c r="Z1224" s="1"/>
  <c r="Z1243" s="1"/>
  <c r="AH1193"/>
  <c r="AH1194" s="1"/>
  <c r="AH1199" s="1"/>
  <c r="AH1200" s="1"/>
  <c r="AH1201" s="1"/>
  <c r="AH1224" s="1"/>
  <c r="AH1243" s="1"/>
  <c r="AP1193"/>
  <c r="AP1194" s="1"/>
  <c r="AP1199" s="1"/>
  <c r="AP1200" s="1"/>
  <c r="AP1201" s="1"/>
  <c r="AP1224" s="1"/>
  <c r="AP1243" s="1"/>
  <c r="AX1193"/>
  <c r="AX1194" s="1"/>
  <c r="AX1199" s="1"/>
  <c r="AX1200" s="1"/>
  <c r="AX1201" s="1"/>
  <c r="AX1224" s="1"/>
  <c r="AX1243" s="1"/>
  <c r="BF1193"/>
  <c r="BF1194" s="1"/>
  <c r="BF1199" s="1"/>
  <c r="BF1200" s="1"/>
  <c r="BF1201" s="1"/>
  <c r="BF1224" s="1"/>
  <c r="BF1243" s="1"/>
  <c r="L1193"/>
  <c r="L1194" s="1"/>
  <c r="L1199" s="1"/>
  <c r="L1200" s="1"/>
  <c r="T1193"/>
  <c r="T1194" s="1"/>
  <c r="T1199" s="1"/>
  <c r="T1200" s="1"/>
  <c r="AB1193"/>
  <c r="AB1194" s="1"/>
  <c r="AB1199" s="1"/>
  <c r="AB1200" s="1"/>
  <c r="AB1201" s="1"/>
  <c r="AB1224" s="1"/>
  <c r="AB1243" s="1"/>
  <c r="AJ1193"/>
  <c r="AJ1194" s="1"/>
  <c r="AJ1199" s="1"/>
  <c r="AJ1200" s="1"/>
  <c r="AJ1201" s="1"/>
  <c r="AJ1224" s="1"/>
  <c r="AJ1243" s="1"/>
  <c r="AR1193"/>
  <c r="AR1194" s="1"/>
  <c r="AR1199" s="1"/>
  <c r="AR1200" s="1"/>
  <c r="AR1201" s="1"/>
  <c r="AR1224" s="1"/>
  <c r="AR1243" s="1"/>
  <c r="AZ1193"/>
  <c r="AZ1194" s="1"/>
  <c r="AZ1199" s="1"/>
  <c r="AZ1200" s="1"/>
  <c r="AZ1201" s="1"/>
  <c r="AZ1224" s="1"/>
  <c r="AZ1243" s="1"/>
  <c r="BH1193"/>
  <c r="BH1194" s="1"/>
  <c r="BH1199" s="1"/>
  <c r="BH1200" s="1"/>
  <c r="BH1201" s="1"/>
  <c r="BH1224" s="1"/>
  <c r="BH1243" s="1"/>
  <c r="E1193"/>
  <c r="E1194" s="1"/>
  <c r="E1199" s="1"/>
  <c r="E1200" s="1"/>
  <c r="G1136"/>
  <c r="G1137" s="1"/>
  <c r="G1142" s="1"/>
  <c r="G1143" s="1"/>
  <c r="AF1174"/>
  <c r="AG1117"/>
  <c r="AA485"/>
  <c r="AB428"/>
  <c r="AB598"/>
  <c r="AC541"/>
  <c r="C795"/>
  <c r="B794"/>
  <c r="AB366"/>
  <c r="AC309"/>
  <c r="AB831"/>
  <c r="AC774"/>
  <c r="AB479"/>
  <c r="AB476" s="1"/>
  <c r="AC422"/>
  <c r="AB419"/>
  <c r="C968"/>
  <c r="B967"/>
  <c r="I45" s="1"/>
  <c r="AF596"/>
  <c r="AG539"/>
  <c r="AC658"/>
  <c r="AB715"/>
  <c r="AF1058"/>
  <c r="AG1001"/>
  <c r="X509"/>
  <c r="B509" s="1"/>
  <c r="B510" s="1"/>
  <c r="AB247"/>
  <c r="AB244" s="1"/>
  <c r="AC190"/>
  <c r="AB187"/>
  <c r="AV1236"/>
  <c r="AV1229"/>
  <c r="AR1236"/>
  <c r="AR1229"/>
  <c r="AT1236"/>
  <c r="AT1229"/>
  <c r="AD1236"/>
  <c r="AD1229"/>
  <c r="C324"/>
  <c r="B324" s="1"/>
  <c r="B323"/>
  <c r="C325"/>
  <c r="C1076"/>
  <c r="B1050"/>
  <c r="J12" s="1"/>
  <c r="E265"/>
  <c r="E266" s="1"/>
  <c r="E271" s="1"/>
  <c r="E272" s="1"/>
  <c r="N265"/>
  <c r="N266" s="1"/>
  <c r="N271" s="1"/>
  <c r="N272" s="1"/>
  <c r="AL265"/>
  <c r="AL266" s="1"/>
  <c r="AL271" s="1"/>
  <c r="AL272" s="1"/>
  <c r="AL273" s="1"/>
  <c r="AL1216" s="1"/>
  <c r="BB265"/>
  <c r="BB266" s="1"/>
  <c r="BB271" s="1"/>
  <c r="BB272" s="1"/>
  <c r="BB273" s="1"/>
  <c r="BB1216" s="1"/>
  <c r="P265"/>
  <c r="P266" s="1"/>
  <c r="P271" s="1"/>
  <c r="P272" s="1"/>
  <c r="AV265"/>
  <c r="AV266" s="1"/>
  <c r="AV271" s="1"/>
  <c r="AV272" s="1"/>
  <c r="AV273" s="1"/>
  <c r="AV1216" s="1"/>
  <c r="O208"/>
  <c r="O209" s="1"/>
  <c r="O214" s="1"/>
  <c r="O215" s="1"/>
  <c r="W208"/>
  <c r="W209" s="1"/>
  <c r="W214" s="1"/>
  <c r="W215" s="1"/>
  <c r="W216" s="1"/>
  <c r="AE208"/>
  <c r="AE209" s="1"/>
  <c r="AE214" s="1"/>
  <c r="AE215" s="1"/>
  <c r="AE216" s="1"/>
  <c r="AM208"/>
  <c r="AM209" s="1"/>
  <c r="AM214" s="1"/>
  <c r="AM215" s="1"/>
  <c r="AM216" s="1"/>
  <c r="AU208"/>
  <c r="AU209" s="1"/>
  <c r="AU214" s="1"/>
  <c r="AU215" s="1"/>
  <c r="AU216" s="1"/>
  <c r="BC208"/>
  <c r="BC209" s="1"/>
  <c r="BC214" s="1"/>
  <c r="BC215" s="1"/>
  <c r="BC216" s="1"/>
  <c r="L208"/>
  <c r="L209" s="1"/>
  <c r="L214" s="1"/>
  <c r="L215" s="1"/>
  <c r="AB208"/>
  <c r="AB209" s="1"/>
  <c r="AB214" s="1"/>
  <c r="AB215" s="1"/>
  <c r="AB216" s="1"/>
  <c r="AR208"/>
  <c r="AR209" s="1"/>
  <c r="AR214" s="1"/>
  <c r="AR215" s="1"/>
  <c r="AR216" s="1"/>
  <c r="BH208"/>
  <c r="BH209" s="1"/>
  <c r="BH214" s="1"/>
  <c r="BH215" s="1"/>
  <c r="BH216" s="1"/>
  <c r="M208"/>
  <c r="M209" s="1"/>
  <c r="M214" s="1"/>
  <c r="M215" s="1"/>
  <c r="U208"/>
  <c r="U209" s="1"/>
  <c r="U214" s="1"/>
  <c r="U215" s="1"/>
  <c r="AK208"/>
  <c r="AK209" s="1"/>
  <c r="AK214" s="1"/>
  <c r="AK215" s="1"/>
  <c r="AK216" s="1"/>
  <c r="AS208"/>
  <c r="AS209" s="1"/>
  <c r="AS214" s="1"/>
  <c r="AS215" s="1"/>
  <c r="AS216" s="1"/>
  <c r="BA208"/>
  <c r="BA209" s="1"/>
  <c r="BA214" s="1"/>
  <c r="BA215" s="1"/>
  <c r="BA216" s="1"/>
  <c r="F208"/>
  <c r="F209" s="1"/>
  <c r="F214" s="1"/>
  <c r="F215" s="1"/>
  <c r="AC1175"/>
  <c r="AC1172" s="1"/>
  <c r="AD1118"/>
  <c r="AC1115"/>
  <c r="W1185"/>
  <c r="B1128"/>
  <c r="B1125" s="1"/>
  <c r="W1125"/>
  <c r="E29"/>
  <c r="W832"/>
  <c r="X775"/>
  <c r="AG771"/>
  <c r="AF828"/>
  <c r="B257"/>
  <c r="V254"/>
  <c r="AD942"/>
  <c r="AE885"/>
  <c r="AF132"/>
  <c r="AG75"/>
  <c r="AC1229"/>
  <c r="AC1236"/>
  <c r="AK1229"/>
  <c r="AK1236"/>
  <c r="AS1236"/>
  <c r="AS1229"/>
  <c r="BA1236"/>
  <c r="BA1229"/>
  <c r="BI1236"/>
  <c r="BI1229"/>
  <c r="BE1193"/>
  <c r="BE1194" s="1"/>
  <c r="BE1199" s="1"/>
  <c r="BE1200" s="1"/>
  <c r="BE1201" s="1"/>
  <c r="BE1224" s="1"/>
  <c r="BE1243" s="1"/>
  <c r="AW1193"/>
  <c r="AW1194" s="1"/>
  <c r="AW1199" s="1"/>
  <c r="AW1200" s="1"/>
  <c r="AW1201" s="1"/>
  <c r="AW1224" s="1"/>
  <c r="AW1243" s="1"/>
  <c r="AO1193"/>
  <c r="AO1194" s="1"/>
  <c r="AO1199" s="1"/>
  <c r="AO1200" s="1"/>
  <c r="AO1201" s="1"/>
  <c r="AO1224" s="1"/>
  <c r="AO1243" s="1"/>
  <c r="AG1193"/>
  <c r="AG1194" s="1"/>
  <c r="AG1199" s="1"/>
  <c r="AG1200" s="1"/>
  <c r="AG1201" s="1"/>
  <c r="AG1224" s="1"/>
  <c r="AG1243" s="1"/>
  <c r="Y1193"/>
  <c r="Y1194" s="1"/>
  <c r="Y1199" s="1"/>
  <c r="Y1200" s="1"/>
  <c r="Y1201" s="1"/>
  <c r="Y1224" s="1"/>
  <c r="Y1243" s="1"/>
  <c r="Q1193"/>
  <c r="Q1194" s="1"/>
  <c r="Q1199" s="1"/>
  <c r="Q1200" s="1"/>
  <c r="I1193"/>
  <c r="I1194" s="1"/>
  <c r="I1199" s="1"/>
  <c r="I1200" s="1"/>
  <c r="BC1136"/>
  <c r="BC1137" s="1"/>
  <c r="BC1142" s="1"/>
  <c r="BC1143" s="1"/>
  <c r="BC1144" s="1"/>
  <c r="AU1136"/>
  <c r="AU1137" s="1"/>
  <c r="AU1142" s="1"/>
  <c r="AU1143" s="1"/>
  <c r="AU1144" s="1"/>
  <c r="AM1136"/>
  <c r="AM1137" s="1"/>
  <c r="AM1142" s="1"/>
  <c r="AM1143" s="1"/>
  <c r="AM1144" s="1"/>
  <c r="AE1136"/>
  <c r="AE1137" s="1"/>
  <c r="AE1142" s="1"/>
  <c r="AE1143" s="1"/>
  <c r="AE1144" s="1"/>
  <c r="W1136"/>
  <c r="W1137" s="1"/>
  <c r="W1142" s="1"/>
  <c r="W1143" s="1"/>
  <c r="O1136"/>
  <c r="O1137" s="1"/>
  <c r="O1142" s="1"/>
  <c r="O1143" s="1"/>
  <c r="C1166"/>
  <c r="B1157"/>
  <c r="K3" s="1"/>
  <c r="BJ1136"/>
  <c r="BJ1137" s="1"/>
  <c r="BJ1142" s="1"/>
  <c r="BJ1143" s="1"/>
  <c r="BJ1144" s="1"/>
  <c r="N1136"/>
  <c r="N1137" s="1"/>
  <c r="N1142" s="1"/>
  <c r="N1143" s="1"/>
  <c r="V1136"/>
  <c r="V1137" s="1"/>
  <c r="V1142" s="1"/>
  <c r="V1143" s="1"/>
  <c r="AD1136"/>
  <c r="AD1137" s="1"/>
  <c r="AD1142" s="1"/>
  <c r="AD1143" s="1"/>
  <c r="AD1144" s="1"/>
  <c r="AL1136"/>
  <c r="AL1137" s="1"/>
  <c r="AL1142" s="1"/>
  <c r="AL1143" s="1"/>
  <c r="AL1144" s="1"/>
  <c r="AT1136"/>
  <c r="AT1137" s="1"/>
  <c r="AT1142" s="1"/>
  <c r="AT1143" s="1"/>
  <c r="AT1144" s="1"/>
  <c r="BB1136"/>
  <c r="BB1137" s="1"/>
  <c r="BB1142" s="1"/>
  <c r="BB1143" s="1"/>
  <c r="BB1144" s="1"/>
  <c r="H1136"/>
  <c r="H1137" s="1"/>
  <c r="H1142" s="1"/>
  <c r="H1143" s="1"/>
  <c r="P1136"/>
  <c r="P1137" s="1"/>
  <c r="P1142" s="1"/>
  <c r="P1143" s="1"/>
  <c r="X1136"/>
  <c r="X1137" s="1"/>
  <c r="X1142" s="1"/>
  <c r="X1143" s="1"/>
  <c r="X1144" s="1"/>
  <c r="AF1136"/>
  <c r="AF1137" s="1"/>
  <c r="AF1142" s="1"/>
  <c r="AF1143" s="1"/>
  <c r="AF1144" s="1"/>
  <c r="AN1136"/>
  <c r="AN1137" s="1"/>
  <c r="AN1142" s="1"/>
  <c r="AN1143" s="1"/>
  <c r="AN1144" s="1"/>
  <c r="AV1136"/>
  <c r="AV1137" s="1"/>
  <c r="AV1142" s="1"/>
  <c r="AV1143" s="1"/>
  <c r="AV1144" s="1"/>
  <c r="BD1136"/>
  <c r="BD1137" s="1"/>
  <c r="BD1142" s="1"/>
  <c r="BD1143" s="1"/>
  <c r="BD1144" s="1"/>
  <c r="D1136"/>
  <c r="D1137" s="1"/>
  <c r="D1142" s="1"/>
  <c r="D1143" s="1"/>
  <c r="F1136"/>
  <c r="F1137" s="1"/>
  <c r="F1142" s="1"/>
  <c r="F1143" s="1"/>
  <c r="AB714"/>
  <c r="AC657"/>
  <c r="AB250"/>
  <c r="AC193"/>
  <c r="AC1063"/>
  <c r="AD1006"/>
  <c r="AD709"/>
  <c r="AE652"/>
  <c r="AE245"/>
  <c r="AF188"/>
  <c r="W605"/>
  <c r="B548"/>
  <c r="B545" s="1"/>
  <c r="W545"/>
  <c r="AE710"/>
  <c r="AF653"/>
  <c r="AF1057"/>
  <c r="AG1000"/>
  <c r="AC1179"/>
  <c r="AD1122"/>
  <c r="AF305"/>
  <c r="AE362"/>
  <c r="AG423"/>
  <c r="AF480"/>
  <c r="AA1065"/>
  <c r="AB1008"/>
  <c r="AA830"/>
  <c r="AB773"/>
  <c r="AB1178"/>
  <c r="AC1121"/>
  <c r="AG1116"/>
  <c r="AF1173"/>
  <c r="AG1003"/>
  <c r="AF1060"/>
  <c r="AE941"/>
  <c r="AF884"/>
  <c r="AE769"/>
  <c r="AD826"/>
  <c r="BH1238"/>
  <c r="BH1231"/>
  <c r="AR1238"/>
  <c r="AR1231"/>
  <c r="AB1238"/>
  <c r="AB1231"/>
  <c r="AV1238"/>
  <c r="AV1231"/>
  <c r="AF1238"/>
  <c r="AF1231"/>
  <c r="BF1238"/>
  <c r="BF1231"/>
  <c r="AX1238"/>
  <c r="AX1231"/>
  <c r="AP1238"/>
  <c r="AP1231"/>
  <c r="AH1238"/>
  <c r="AH1231"/>
  <c r="Z1238"/>
  <c r="Z1231"/>
  <c r="AG304"/>
  <c r="AF361"/>
  <c r="BI208"/>
  <c r="BI209" s="1"/>
  <c r="BI214" s="1"/>
  <c r="BI215" s="1"/>
  <c r="BI216" s="1"/>
  <c r="J208"/>
  <c r="J209" s="1"/>
  <c r="J214" s="1"/>
  <c r="J215" s="1"/>
  <c r="R208"/>
  <c r="R209" s="1"/>
  <c r="R214" s="1"/>
  <c r="R215" s="1"/>
  <c r="Z208"/>
  <c r="Z209" s="1"/>
  <c r="Z214" s="1"/>
  <c r="Z215" s="1"/>
  <c r="Z216" s="1"/>
  <c r="AH208"/>
  <c r="AH209" s="1"/>
  <c r="AH214" s="1"/>
  <c r="AH215" s="1"/>
  <c r="AH216" s="1"/>
  <c r="AP208"/>
  <c r="AP209" s="1"/>
  <c r="AP214" s="1"/>
  <c r="AP215" s="1"/>
  <c r="AP216" s="1"/>
  <c r="AX208"/>
  <c r="AX209" s="1"/>
  <c r="AX214" s="1"/>
  <c r="AX215" s="1"/>
  <c r="AX216" s="1"/>
  <c r="BF208"/>
  <c r="BF209" s="1"/>
  <c r="BF214" s="1"/>
  <c r="BF215" s="1"/>
  <c r="BF216" s="1"/>
  <c r="H208"/>
  <c r="H209" s="1"/>
  <c r="H214" s="1"/>
  <c r="H215" s="1"/>
  <c r="X208"/>
  <c r="X209" s="1"/>
  <c r="X214" s="1"/>
  <c r="X215" s="1"/>
  <c r="X216" s="1"/>
  <c r="AN208"/>
  <c r="AN209" s="1"/>
  <c r="AN214" s="1"/>
  <c r="AN215" s="1"/>
  <c r="AN216" s="1"/>
  <c r="BD208"/>
  <c r="BD209" s="1"/>
  <c r="BD214" s="1"/>
  <c r="BD215" s="1"/>
  <c r="BD216" s="1"/>
  <c r="K208"/>
  <c r="K209" s="1"/>
  <c r="K214" s="1"/>
  <c r="K215" s="1"/>
  <c r="S208"/>
  <c r="S209" s="1"/>
  <c r="S214" s="1"/>
  <c r="S215" s="1"/>
  <c r="AA208"/>
  <c r="AA209" s="1"/>
  <c r="AA214" s="1"/>
  <c r="AA215" s="1"/>
  <c r="AA216" s="1"/>
  <c r="AI208"/>
  <c r="AI209" s="1"/>
  <c r="AI214" s="1"/>
  <c r="AI215" s="1"/>
  <c r="AI216" s="1"/>
  <c r="AQ208"/>
  <c r="AQ209" s="1"/>
  <c r="AQ214" s="1"/>
  <c r="AQ215" s="1"/>
  <c r="AQ216" s="1"/>
  <c r="AY208"/>
  <c r="AY209" s="1"/>
  <c r="AY214" s="1"/>
  <c r="AY215" s="1"/>
  <c r="AY216" s="1"/>
  <c r="BG208"/>
  <c r="BG209" s="1"/>
  <c r="BG214" s="1"/>
  <c r="BG215" s="1"/>
  <c r="BG216" s="1"/>
  <c r="T208"/>
  <c r="T209" s="1"/>
  <c r="T214" s="1"/>
  <c r="T215" s="1"/>
  <c r="AJ208"/>
  <c r="AJ209" s="1"/>
  <c r="AJ214" s="1"/>
  <c r="AJ215" s="1"/>
  <c r="AJ216" s="1"/>
  <c r="AZ208"/>
  <c r="AZ209" s="1"/>
  <c r="AZ214" s="1"/>
  <c r="AZ215" s="1"/>
  <c r="AZ216" s="1"/>
  <c r="I208"/>
  <c r="I209" s="1"/>
  <c r="I214" s="1"/>
  <c r="I215" s="1"/>
  <c r="Q208"/>
  <c r="Q209" s="1"/>
  <c r="Q214" s="1"/>
  <c r="Q215" s="1"/>
  <c r="Y208"/>
  <c r="Y209" s="1"/>
  <c r="Y214" s="1"/>
  <c r="Y215" s="1"/>
  <c r="Y216" s="1"/>
  <c r="AG208"/>
  <c r="AG209" s="1"/>
  <c r="AG214" s="1"/>
  <c r="AG215" s="1"/>
  <c r="AG216" s="1"/>
  <c r="AO208"/>
  <c r="AO209" s="1"/>
  <c r="AO214" s="1"/>
  <c r="AO215" s="1"/>
  <c r="AO216" s="1"/>
  <c r="AW208"/>
  <c r="AW209" s="1"/>
  <c r="AW214" s="1"/>
  <c r="AW215" s="1"/>
  <c r="AW216" s="1"/>
  <c r="BE208"/>
  <c r="BE209" s="1"/>
  <c r="BE214" s="1"/>
  <c r="BE215" s="1"/>
  <c r="BE216" s="1"/>
  <c r="G208"/>
  <c r="G209" s="1"/>
  <c r="G214" s="1"/>
  <c r="G215" s="1"/>
  <c r="AG1176"/>
  <c r="B1176" s="1"/>
  <c r="K22" s="1"/>
  <c r="B1119"/>
  <c r="AC599"/>
  <c r="AD542"/>
  <c r="AA949"/>
  <c r="AB892"/>
  <c r="AC131"/>
  <c r="AD74"/>
  <c r="AG191"/>
  <c r="AF248"/>
  <c r="AD310"/>
  <c r="AC367"/>
  <c r="AV645"/>
  <c r="AV671" s="1"/>
  <c r="AV693"/>
  <c r="AV702" s="1"/>
  <c r="AV728" s="1"/>
  <c r="P645"/>
  <c r="P671" s="1"/>
  <c r="P693"/>
  <c r="P702" s="1"/>
  <c r="P728" s="1"/>
  <c r="S693"/>
  <c r="S702" s="1"/>
  <c r="S728" s="1"/>
  <c r="S645"/>
  <c r="S671" s="1"/>
  <c r="AI693"/>
  <c r="AI702" s="1"/>
  <c r="AI728" s="1"/>
  <c r="AI645"/>
  <c r="AI671" s="1"/>
  <c r="AY693"/>
  <c r="AY702" s="1"/>
  <c r="AY728" s="1"/>
  <c r="AY645"/>
  <c r="AY671" s="1"/>
  <c r="BF693"/>
  <c r="BF702" s="1"/>
  <c r="BF728" s="1"/>
  <c r="BF645"/>
  <c r="BF671" s="1"/>
  <c r="Z693"/>
  <c r="Z702" s="1"/>
  <c r="Z728" s="1"/>
  <c r="Z645"/>
  <c r="Z671" s="1"/>
  <c r="BD645"/>
  <c r="BD671" s="1"/>
  <c r="BD693"/>
  <c r="BD702" s="1"/>
  <c r="BD728" s="1"/>
  <c r="X645"/>
  <c r="X671" s="1"/>
  <c r="X693"/>
  <c r="X702" s="1"/>
  <c r="X728" s="1"/>
  <c r="C693"/>
  <c r="C645"/>
  <c r="B636"/>
  <c r="W693"/>
  <c r="W702" s="1"/>
  <c r="W728" s="1"/>
  <c r="W645"/>
  <c r="W671" s="1"/>
  <c r="AM693"/>
  <c r="AM702" s="1"/>
  <c r="AM728" s="1"/>
  <c r="AM645"/>
  <c r="AM671" s="1"/>
  <c r="BC693"/>
  <c r="BC702" s="1"/>
  <c r="BC728" s="1"/>
  <c r="BC645"/>
  <c r="BC671" s="1"/>
  <c r="AH693"/>
  <c r="AH702" s="1"/>
  <c r="AH728" s="1"/>
  <c r="AH645"/>
  <c r="AH671" s="1"/>
  <c r="BH645"/>
  <c r="BH671" s="1"/>
  <c r="BH693"/>
  <c r="BH702" s="1"/>
  <c r="BH728" s="1"/>
  <c r="AR645"/>
  <c r="AR671" s="1"/>
  <c r="AR693"/>
  <c r="AR702" s="1"/>
  <c r="AR728" s="1"/>
  <c r="AB645"/>
  <c r="AB671" s="1"/>
  <c r="AB693"/>
  <c r="AB702" s="1"/>
  <c r="AB728" s="1"/>
  <c r="L645"/>
  <c r="L671" s="1"/>
  <c r="L693"/>
  <c r="L702" s="1"/>
  <c r="L728" s="1"/>
  <c r="G693"/>
  <c r="G702" s="1"/>
  <c r="G728" s="1"/>
  <c r="G645"/>
  <c r="G671" s="1"/>
  <c r="M693"/>
  <c r="M702" s="1"/>
  <c r="M728" s="1"/>
  <c r="M645"/>
  <c r="M671" s="1"/>
  <c r="U693"/>
  <c r="U702" s="1"/>
  <c r="U728" s="1"/>
  <c r="U645"/>
  <c r="U671" s="1"/>
  <c r="AC693"/>
  <c r="AC702" s="1"/>
  <c r="AC728" s="1"/>
  <c r="AC645"/>
  <c r="AC671" s="1"/>
  <c r="AK693"/>
  <c r="AK702" s="1"/>
  <c r="AK728" s="1"/>
  <c r="AK645"/>
  <c r="AK671" s="1"/>
  <c r="AS693"/>
  <c r="AS702" s="1"/>
  <c r="AS728" s="1"/>
  <c r="AS645"/>
  <c r="AS671" s="1"/>
  <c r="BA693"/>
  <c r="BA702" s="1"/>
  <c r="BA728" s="1"/>
  <c r="BA645"/>
  <c r="BA671" s="1"/>
  <c r="BI693"/>
  <c r="BI702" s="1"/>
  <c r="BI728" s="1"/>
  <c r="BI645"/>
  <c r="BI671" s="1"/>
  <c r="AT693"/>
  <c r="AT702" s="1"/>
  <c r="AT728" s="1"/>
  <c r="AT645"/>
  <c r="AT671" s="1"/>
  <c r="AD693"/>
  <c r="AD702" s="1"/>
  <c r="AD728" s="1"/>
  <c r="AD645"/>
  <c r="AD671" s="1"/>
  <c r="N693"/>
  <c r="N702" s="1"/>
  <c r="N728" s="1"/>
  <c r="N645"/>
  <c r="N671" s="1"/>
  <c r="E693"/>
  <c r="E702" s="1"/>
  <c r="E728" s="1"/>
  <c r="E645"/>
  <c r="E671" s="1"/>
  <c r="X252"/>
  <c r="Y195"/>
  <c r="BD1236"/>
  <c r="BD1229"/>
  <c r="AN1236"/>
  <c r="AN1229"/>
  <c r="X1236"/>
  <c r="X1229"/>
  <c r="AZ1236"/>
  <c r="AZ1229"/>
  <c r="AJ1236"/>
  <c r="AJ1229"/>
  <c r="BF1236"/>
  <c r="BF1229"/>
  <c r="AX1236"/>
  <c r="AX1229"/>
  <c r="AP1236"/>
  <c r="AP1229"/>
  <c r="AH1236"/>
  <c r="AH1229"/>
  <c r="Z1236"/>
  <c r="Z1229"/>
  <c r="BI1136"/>
  <c r="BI1137"/>
  <c r="BI1142" s="1"/>
  <c r="BI1143" s="1"/>
  <c r="BI1144" s="1"/>
  <c r="BA1136"/>
  <c r="BA1137"/>
  <c r="BA1142" s="1"/>
  <c r="BA1143" s="1"/>
  <c r="BA1144" s="1"/>
  <c r="AS1136"/>
  <c r="AS1137"/>
  <c r="AS1142" s="1"/>
  <c r="AS1143" s="1"/>
  <c r="AS1144" s="1"/>
  <c r="AK1136"/>
  <c r="AK1137"/>
  <c r="AK1142" s="1"/>
  <c r="AK1143" s="1"/>
  <c r="AK1144" s="1"/>
  <c r="AC1136"/>
  <c r="AC1137"/>
  <c r="AC1142" s="1"/>
  <c r="AC1143" s="1"/>
  <c r="AC1144" s="1"/>
  <c r="U1136"/>
  <c r="U1137"/>
  <c r="U1142" s="1"/>
  <c r="U1143" s="1"/>
  <c r="M1136"/>
  <c r="M1137" s="1"/>
  <c r="M1142" s="1"/>
  <c r="M1143" s="1"/>
  <c r="BG1136"/>
  <c r="BG1137" s="1"/>
  <c r="BG1142" s="1"/>
  <c r="BG1143" s="1"/>
  <c r="BG1144" s="1"/>
  <c r="AY1136"/>
  <c r="AY1137" s="1"/>
  <c r="AY1142" s="1"/>
  <c r="AY1143" s="1"/>
  <c r="AY1144" s="1"/>
  <c r="AQ1136"/>
  <c r="AQ1137" s="1"/>
  <c r="AQ1142" s="1"/>
  <c r="AQ1143" s="1"/>
  <c r="AQ1144" s="1"/>
  <c r="AI1136"/>
  <c r="AI1137" s="1"/>
  <c r="AI1142" s="1"/>
  <c r="AI1143" s="1"/>
  <c r="AI1144" s="1"/>
  <c r="AA1136"/>
  <c r="AA1137" s="1"/>
  <c r="AA1142" s="1"/>
  <c r="AA1143" s="1"/>
  <c r="AA1144" s="1"/>
  <c r="S1136"/>
  <c r="S1137" s="1"/>
  <c r="S1142" s="1"/>
  <c r="S1143" s="1"/>
  <c r="K1136"/>
  <c r="K1137" s="1"/>
  <c r="K1142" s="1"/>
  <c r="K1143" s="1"/>
  <c r="J1136"/>
  <c r="J1137" s="1"/>
  <c r="J1142" s="1"/>
  <c r="J1143" s="1"/>
  <c r="R1136"/>
  <c r="R1137" s="1"/>
  <c r="R1142" s="1"/>
  <c r="R1143" s="1"/>
  <c r="Z1136"/>
  <c r="Z1137" s="1"/>
  <c r="Z1142" s="1"/>
  <c r="Z1143" s="1"/>
  <c r="Z1144" s="1"/>
  <c r="AH1136"/>
  <c r="AH1137" s="1"/>
  <c r="AH1142" s="1"/>
  <c r="AH1143" s="1"/>
  <c r="AH1144" s="1"/>
  <c r="AP1136"/>
  <c r="AP1137" s="1"/>
  <c r="AP1142" s="1"/>
  <c r="AP1143" s="1"/>
  <c r="AP1144" s="1"/>
  <c r="AX1136"/>
  <c r="AX1137" s="1"/>
  <c r="AX1142" s="1"/>
  <c r="AX1143" s="1"/>
  <c r="AX1144" s="1"/>
  <c r="BF1136"/>
  <c r="BF1137" s="1"/>
  <c r="BF1142" s="1"/>
  <c r="BF1143" s="1"/>
  <c r="BF1144" s="1"/>
  <c r="L1136"/>
  <c r="L1137" s="1"/>
  <c r="L1142" s="1"/>
  <c r="L1143" s="1"/>
  <c r="T1136"/>
  <c r="T1137" s="1"/>
  <c r="T1142" s="1"/>
  <c r="T1143" s="1"/>
  <c r="AB1136"/>
  <c r="AB1137" s="1"/>
  <c r="AB1142" s="1"/>
  <c r="AB1143" s="1"/>
  <c r="AB1144" s="1"/>
  <c r="AJ1136"/>
  <c r="AJ1137" s="1"/>
  <c r="AJ1142" s="1"/>
  <c r="AJ1143" s="1"/>
  <c r="AJ1144" s="1"/>
  <c r="AR1136"/>
  <c r="AR1137" s="1"/>
  <c r="AR1142" s="1"/>
  <c r="AR1143" s="1"/>
  <c r="AR1144" s="1"/>
  <c r="AZ1136"/>
  <c r="AZ1137" s="1"/>
  <c r="AZ1142" s="1"/>
  <c r="AZ1143" s="1"/>
  <c r="AZ1144" s="1"/>
  <c r="BH1136"/>
  <c r="BH1137" s="1"/>
  <c r="BH1142" s="1"/>
  <c r="BH1143" s="1"/>
  <c r="BH1144" s="1"/>
  <c r="E1136"/>
  <c r="E1137" s="1"/>
  <c r="E1142" s="1"/>
  <c r="E1143" s="1"/>
  <c r="G1193"/>
  <c r="G1194" s="1"/>
  <c r="G1199" s="1"/>
  <c r="G1200" s="1"/>
  <c r="AB711"/>
  <c r="AB708" s="1"/>
  <c r="AC654"/>
  <c r="AB651"/>
  <c r="AC483"/>
  <c r="AD426"/>
  <c r="Y1238"/>
  <c r="Y1231"/>
  <c r="AG1238"/>
  <c r="AG1231"/>
  <c r="C612"/>
  <c r="B586"/>
  <c r="F12" s="1"/>
  <c r="C556"/>
  <c r="B556" s="1"/>
  <c r="B555"/>
  <c r="C557"/>
  <c r="AD1059"/>
  <c r="AD1056" s="1"/>
  <c r="AE1002"/>
  <c r="AD999"/>
  <c r="W373"/>
  <c r="B316"/>
  <c r="B313" s="1"/>
  <c r="W313"/>
  <c r="X368"/>
  <c r="Y311"/>
  <c r="AB1181"/>
  <c r="AC1124"/>
  <c r="AD477"/>
  <c r="AE420"/>
  <c r="AF768"/>
  <c r="AE825"/>
  <c r="AC251"/>
  <c r="AD194"/>
  <c r="AC72" l="1"/>
  <c r="AB129"/>
  <c r="AB128" s="1"/>
  <c r="AB71"/>
  <c r="BG56"/>
  <c r="BC56"/>
  <c r="AY56"/>
  <c r="AU56"/>
  <c r="AQ56"/>
  <c r="AM56"/>
  <c r="AI56"/>
  <c r="AE56"/>
  <c r="AA56"/>
  <c r="W56"/>
  <c r="S56"/>
  <c r="O56"/>
  <c r="K56"/>
  <c r="C56"/>
  <c r="H56"/>
  <c r="P56"/>
  <c r="X56"/>
  <c r="AF56"/>
  <c r="AN56"/>
  <c r="AV56"/>
  <c r="BD56"/>
  <c r="D56"/>
  <c r="R56"/>
  <c r="AH56"/>
  <c r="AX56"/>
  <c r="N56"/>
  <c r="AD56"/>
  <c r="AT56"/>
  <c r="E56"/>
  <c r="G56"/>
  <c r="BI56"/>
  <c r="BE56"/>
  <c r="BA56"/>
  <c r="AW56"/>
  <c r="AS56"/>
  <c r="AO56"/>
  <c r="AK56"/>
  <c r="AG56"/>
  <c r="AC56"/>
  <c r="Y56"/>
  <c r="U56"/>
  <c r="Q56"/>
  <c r="M56"/>
  <c r="I56"/>
  <c r="BJ56"/>
  <c r="L56"/>
  <c r="T56"/>
  <c r="AB56"/>
  <c r="AJ56"/>
  <c r="AR56"/>
  <c r="AZ56"/>
  <c r="BH56"/>
  <c r="J56"/>
  <c r="Z56"/>
  <c r="AP56"/>
  <c r="BF56"/>
  <c r="V56"/>
  <c r="AL56"/>
  <c r="BB56"/>
  <c r="F56"/>
  <c r="Z77"/>
  <c r="Y134"/>
  <c r="AL1235"/>
  <c r="AL1228"/>
  <c r="AJ1235"/>
  <c r="AJ1228"/>
  <c r="BD1235"/>
  <c r="BD1228"/>
  <c r="X1235"/>
  <c r="X1228"/>
  <c r="BF1235"/>
  <c r="BF1228"/>
  <c r="AP1235"/>
  <c r="AP1228"/>
  <c r="Z1235"/>
  <c r="Z1228"/>
  <c r="BH1235"/>
  <c r="BH1228"/>
  <c r="AB1235"/>
  <c r="AB1228"/>
  <c r="AV1235"/>
  <c r="AV1228"/>
  <c r="BB1235"/>
  <c r="BB1228"/>
  <c r="AZ1235"/>
  <c r="AZ1228"/>
  <c r="AN1235"/>
  <c r="AN1228"/>
  <c r="AX1235"/>
  <c r="AX1228"/>
  <c r="AH1235"/>
  <c r="AH1228"/>
  <c r="AR1235"/>
  <c r="AR1228"/>
  <c r="E672"/>
  <c r="E673" s="1"/>
  <c r="E678" s="1"/>
  <c r="E679" s="1"/>
  <c r="AD672"/>
  <c r="AD673" s="1"/>
  <c r="AD678" s="1"/>
  <c r="AD679" s="1"/>
  <c r="AD680" s="1"/>
  <c r="BI672"/>
  <c r="BI673" s="1"/>
  <c r="BI678" s="1"/>
  <c r="BI679" s="1"/>
  <c r="BI680" s="1"/>
  <c r="AS672"/>
  <c r="AS673" s="1"/>
  <c r="AS678" s="1"/>
  <c r="AS679" s="1"/>
  <c r="AS680" s="1"/>
  <c r="AC672"/>
  <c r="AC673" s="1"/>
  <c r="AC678" s="1"/>
  <c r="AC679" s="1"/>
  <c r="AC680" s="1"/>
  <c r="M672"/>
  <c r="M673" s="1"/>
  <c r="M678" s="1"/>
  <c r="M679" s="1"/>
  <c r="L729"/>
  <c r="L730" s="1"/>
  <c r="L735" s="1"/>
  <c r="L736" s="1"/>
  <c r="AR729"/>
  <c r="AR730" s="1"/>
  <c r="AR735" s="1"/>
  <c r="AR736" s="1"/>
  <c r="AR737" s="1"/>
  <c r="AR1220" s="1"/>
  <c r="AR1239" s="1"/>
  <c r="AH672"/>
  <c r="AH673" s="1"/>
  <c r="AH678" s="1"/>
  <c r="AH679" s="1"/>
  <c r="AH680" s="1"/>
  <c r="AM672"/>
  <c r="AM673" s="1"/>
  <c r="AM678" s="1"/>
  <c r="AM679" s="1"/>
  <c r="AM680" s="1"/>
  <c r="X672"/>
  <c r="X673" s="1"/>
  <c r="X678" s="1"/>
  <c r="X679" s="1"/>
  <c r="X680" s="1"/>
  <c r="BD672"/>
  <c r="BD673" s="1"/>
  <c r="BD678" s="1"/>
  <c r="BD679" s="1"/>
  <c r="BD680" s="1"/>
  <c r="BF729"/>
  <c r="BF730" s="1"/>
  <c r="BF735" s="1"/>
  <c r="BF736" s="1"/>
  <c r="BF737" s="1"/>
  <c r="BF1220" s="1"/>
  <c r="BF1239" s="1"/>
  <c r="AI729"/>
  <c r="AI730" s="1"/>
  <c r="AI735" s="1"/>
  <c r="AI736" s="1"/>
  <c r="AI737" s="1"/>
  <c r="AI1220" s="1"/>
  <c r="AI1239" s="1"/>
  <c r="P672"/>
  <c r="P673" s="1"/>
  <c r="P678" s="1"/>
  <c r="P679" s="1"/>
  <c r="AV672"/>
  <c r="AV673" s="1"/>
  <c r="AV678" s="1"/>
  <c r="AV679" s="1"/>
  <c r="AV680" s="1"/>
  <c r="AD367"/>
  <c r="AE310"/>
  <c r="AG248"/>
  <c r="B248" s="1"/>
  <c r="C22" s="1"/>
  <c r="B191"/>
  <c r="AE74"/>
  <c r="AD131"/>
  <c r="AF420"/>
  <c r="AE477"/>
  <c r="AD483"/>
  <c r="AE426"/>
  <c r="E729"/>
  <c r="E730" s="1"/>
  <c r="E735" s="1"/>
  <c r="E736" s="1"/>
  <c r="N729"/>
  <c r="N730" s="1"/>
  <c r="N735" s="1"/>
  <c r="N736" s="1"/>
  <c r="AD729"/>
  <c r="AD730" s="1"/>
  <c r="AD735" s="1"/>
  <c r="AD736" s="1"/>
  <c r="AD737" s="1"/>
  <c r="AD1220" s="1"/>
  <c r="AD1239" s="1"/>
  <c r="AT729"/>
  <c r="AT730" s="1"/>
  <c r="AT735" s="1"/>
  <c r="AT736" s="1"/>
  <c r="AT737" s="1"/>
  <c r="AT1220" s="1"/>
  <c r="AT1239" s="1"/>
  <c r="BI729"/>
  <c r="BI730" s="1"/>
  <c r="BI735" s="1"/>
  <c r="BI736" s="1"/>
  <c r="BI737" s="1"/>
  <c r="BI1220" s="1"/>
  <c r="BI1239" s="1"/>
  <c r="BA729"/>
  <c r="BA730" s="1"/>
  <c r="BA735" s="1"/>
  <c r="BA736" s="1"/>
  <c r="BA737" s="1"/>
  <c r="BA1220" s="1"/>
  <c r="BA1239" s="1"/>
  <c r="AS729"/>
  <c r="AS730" s="1"/>
  <c r="AS735" s="1"/>
  <c r="AS736" s="1"/>
  <c r="AS737" s="1"/>
  <c r="AS1220" s="1"/>
  <c r="AS1239" s="1"/>
  <c r="AK729"/>
  <c r="AK730" s="1"/>
  <c r="AK735" s="1"/>
  <c r="AK736" s="1"/>
  <c r="AK737" s="1"/>
  <c r="AK1220" s="1"/>
  <c r="AK1239" s="1"/>
  <c r="AC729"/>
  <c r="AC730" s="1"/>
  <c r="AC735" s="1"/>
  <c r="AC736" s="1"/>
  <c r="AC737" s="1"/>
  <c r="AC1220" s="1"/>
  <c r="AC1239" s="1"/>
  <c r="U729"/>
  <c r="U730" s="1"/>
  <c r="U735" s="1"/>
  <c r="U736" s="1"/>
  <c r="M729"/>
  <c r="M730" s="1"/>
  <c r="M735" s="1"/>
  <c r="M736" s="1"/>
  <c r="G729"/>
  <c r="G730" s="1"/>
  <c r="G735" s="1"/>
  <c r="G736" s="1"/>
  <c r="L672"/>
  <c r="L673" s="1"/>
  <c r="L678" s="1"/>
  <c r="L679" s="1"/>
  <c r="AB672"/>
  <c r="AB673" s="1"/>
  <c r="AB678" s="1"/>
  <c r="AB679" s="1"/>
  <c r="AB680" s="1"/>
  <c r="AR672"/>
  <c r="AR673" s="1"/>
  <c r="AR678" s="1"/>
  <c r="AR679" s="1"/>
  <c r="AR680" s="1"/>
  <c r="BH672"/>
  <c r="BH673" s="1"/>
  <c r="BH678" s="1"/>
  <c r="BH679" s="1"/>
  <c r="BH680" s="1"/>
  <c r="AH729"/>
  <c r="AH730" s="1"/>
  <c r="AH735" s="1"/>
  <c r="AH736" s="1"/>
  <c r="AH737" s="1"/>
  <c r="AH1220" s="1"/>
  <c r="AH1239" s="1"/>
  <c r="BC729"/>
  <c r="BC730" s="1"/>
  <c r="BC735" s="1"/>
  <c r="BC736" s="1"/>
  <c r="BC737" s="1"/>
  <c r="BC1220" s="1"/>
  <c r="BC1239" s="1"/>
  <c r="AM729"/>
  <c r="AM730" s="1"/>
  <c r="AM735" s="1"/>
  <c r="AM736" s="1"/>
  <c r="AM737" s="1"/>
  <c r="AM1220" s="1"/>
  <c r="AM1239" s="1"/>
  <c r="W729"/>
  <c r="W730" s="1"/>
  <c r="W735" s="1"/>
  <c r="W736" s="1"/>
  <c r="W737" s="1"/>
  <c r="W1220" s="1"/>
  <c r="W1239" s="1"/>
  <c r="C671"/>
  <c r="B645"/>
  <c r="X729"/>
  <c r="X730" s="1"/>
  <c r="X735" s="1"/>
  <c r="X736" s="1"/>
  <c r="X737" s="1"/>
  <c r="X1220" s="1"/>
  <c r="X1239" s="1"/>
  <c r="BD729"/>
  <c r="BD730" s="1"/>
  <c r="BD735" s="1"/>
  <c r="BD736" s="1"/>
  <c r="BD737" s="1"/>
  <c r="BD1220" s="1"/>
  <c r="BD1239" s="1"/>
  <c r="Z672"/>
  <c r="Z673" s="1"/>
  <c r="Z678" s="1"/>
  <c r="Z679" s="1"/>
  <c r="Z680" s="1"/>
  <c r="BF672"/>
  <c r="BF673" s="1"/>
  <c r="BF678" s="1"/>
  <c r="BF679" s="1"/>
  <c r="BF680" s="1"/>
  <c r="AY672"/>
  <c r="AY673" s="1"/>
  <c r="AY678" s="1"/>
  <c r="AY679" s="1"/>
  <c r="AY680" s="1"/>
  <c r="AI672"/>
  <c r="AI673" s="1"/>
  <c r="AI678" s="1"/>
  <c r="AI679" s="1"/>
  <c r="AI680" s="1"/>
  <c r="S672"/>
  <c r="S673" s="1"/>
  <c r="S678" s="1"/>
  <c r="S679" s="1"/>
  <c r="P729"/>
  <c r="P730" s="1"/>
  <c r="P735" s="1"/>
  <c r="P736" s="1"/>
  <c r="AV729"/>
  <c r="AV730" s="1"/>
  <c r="AV735" s="1"/>
  <c r="AV736" s="1"/>
  <c r="AV737" s="1"/>
  <c r="AV1220" s="1"/>
  <c r="AV1239" s="1"/>
  <c r="AG1060"/>
  <c r="B1060" s="1"/>
  <c r="J22" s="1"/>
  <c r="B1003"/>
  <c r="AC1178"/>
  <c r="AD1121"/>
  <c r="AB830"/>
  <c r="AC773"/>
  <c r="AB1065"/>
  <c r="AC1008"/>
  <c r="AD1179"/>
  <c r="AE1122"/>
  <c r="AD1063"/>
  <c r="AE1006"/>
  <c r="AC250"/>
  <c r="AD193"/>
  <c r="AC714"/>
  <c r="AD657"/>
  <c r="AG132"/>
  <c r="B132" s="1"/>
  <c r="B22" s="1"/>
  <c r="B75"/>
  <c r="AF885"/>
  <c r="AE942"/>
  <c r="X832"/>
  <c r="Y775"/>
  <c r="C1077"/>
  <c r="B1077" s="1"/>
  <c r="J39" s="1"/>
  <c r="B1076"/>
  <c r="J38" s="1"/>
  <c r="C1078"/>
  <c r="AC715"/>
  <c r="AD658"/>
  <c r="B968"/>
  <c r="I46" s="1"/>
  <c r="C969"/>
  <c r="AD422"/>
  <c r="AC479"/>
  <c r="AC476" s="1"/>
  <c r="AC419"/>
  <c r="AC831"/>
  <c r="AD774"/>
  <c r="AC366"/>
  <c r="AD309"/>
  <c r="AC598"/>
  <c r="AD541"/>
  <c r="AC428"/>
  <c r="AB485"/>
  <c r="AH1117"/>
  <c r="AG1174"/>
  <c r="AG944"/>
  <c r="B944" s="1"/>
  <c r="I22" s="1"/>
  <c r="B887"/>
  <c r="BJ672"/>
  <c r="BJ673" s="1"/>
  <c r="BJ678" s="1"/>
  <c r="BJ679" s="1"/>
  <c r="BJ680" s="1"/>
  <c r="F672"/>
  <c r="F673" s="1"/>
  <c r="F678" s="1"/>
  <c r="F679" s="1"/>
  <c r="V672"/>
  <c r="V673" s="1"/>
  <c r="V678" s="1"/>
  <c r="V679" s="1"/>
  <c r="AL672"/>
  <c r="AL673" s="1"/>
  <c r="AL678" s="1"/>
  <c r="AL679" s="1"/>
  <c r="AL680" s="1"/>
  <c r="BB672"/>
  <c r="BB673" s="1"/>
  <c r="BB678" s="1"/>
  <c r="BB679" s="1"/>
  <c r="BB680" s="1"/>
  <c r="BE672"/>
  <c r="BE673" s="1"/>
  <c r="BE678" s="1"/>
  <c r="BE679" s="1"/>
  <c r="BE680" s="1"/>
  <c r="AW672"/>
  <c r="AW673" s="1"/>
  <c r="AW678" s="1"/>
  <c r="AW679" s="1"/>
  <c r="AW680" s="1"/>
  <c r="AO672"/>
  <c r="AO673" s="1"/>
  <c r="AO678" s="1"/>
  <c r="AO679" s="1"/>
  <c r="AO680" s="1"/>
  <c r="AG672"/>
  <c r="AG673" s="1"/>
  <c r="AG678" s="1"/>
  <c r="AG679" s="1"/>
  <c r="AG680" s="1"/>
  <c r="Y672"/>
  <c r="Y673" s="1"/>
  <c r="Y678" s="1"/>
  <c r="Y679" s="1"/>
  <c r="Y680" s="1"/>
  <c r="Q672"/>
  <c r="Q673" s="1"/>
  <c r="Q678" s="1"/>
  <c r="Q679" s="1"/>
  <c r="I672"/>
  <c r="I673" s="1"/>
  <c r="I678" s="1"/>
  <c r="I679" s="1"/>
  <c r="D729"/>
  <c r="D730" s="1"/>
  <c r="D735" s="1"/>
  <c r="D736" s="1"/>
  <c r="T729"/>
  <c r="T730" s="1"/>
  <c r="T735" s="1"/>
  <c r="T736" s="1"/>
  <c r="AJ729"/>
  <c r="AJ730" s="1"/>
  <c r="AJ735" s="1"/>
  <c r="AJ736" s="1"/>
  <c r="AJ737" s="1"/>
  <c r="AJ1220" s="1"/>
  <c r="AJ1239" s="1"/>
  <c r="AZ729"/>
  <c r="AZ730" s="1"/>
  <c r="AZ735" s="1"/>
  <c r="AZ736" s="1"/>
  <c r="AZ737" s="1"/>
  <c r="AZ1220" s="1"/>
  <c r="AZ1239" s="1"/>
  <c r="R672"/>
  <c r="R673" s="1"/>
  <c r="R678" s="1"/>
  <c r="R679" s="1"/>
  <c r="AX672"/>
  <c r="AX673" s="1"/>
  <c r="AX678" s="1"/>
  <c r="AX679" s="1"/>
  <c r="AX680" s="1"/>
  <c r="AU672"/>
  <c r="AU673" s="1"/>
  <c r="AU678" s="1"/>
  <c r="AU679" s="1"/>
  <c r="AU680" s="1"/>
  <c r="AE672"/>
  <c r="AE673" s="1"/>
  <c r="AE678" s="1"/>
  <c r="AE679" s="1"/>
  <c r="AE680" s="1"/>
  <c r="O672"/>
  <c r="O673" s="1"/>
  <c r="O678" s="1"/>
  <c r="O679" s="1"/>
  <c r="H729"/>
  <c r="H730" s="1"/>
  <c r="H735" s="1"/>
  <c r="H736" s="1"/>
  <c r="AN729"/>
  <c r="AN730" s="1"/>
  <c r="AN735" s="1"/>
  <c r="AN736" s="1"/>
  <c r="AN737" s="1"/>
  <c r="AN1220" s="1"/>
  <c r="AN1239" s="1"/>
  <c r="J672"/>
  <c r="J673" s="1"/>
  <c r="J678" s="1"/>
  <c r="J679" s="1"/>
  <c r="AP672"/>
  <c r="AP673" s="1"/>
  <c r="AP678" s="1"/>
  <c r="AP679" s="1"/>
  <c r="AP680" s="1"/>
  <c r="BG672"/>
  <c r="BG673" s="1"/>
  <c r="BG678" s="1"/>
  <c r="BG679" s="1"/>
  <c r="BG680" s="1"/>
  <c r="AQ672"/>
  <c r="AQ673" s="1"/>
  <c r="AQ678" s="1"/>
  <c r="AQ679" s="1"/>
  <c r="AQ680" s="1"/>
  <c r="AA672"/>
  <c r="AA673" s="1"/>
  <c r="AA678" s="1"/>
  <c r="AA679" s="1"/>
  <c r="AA680" s="1"/>
  <c r="K672"/>
  <c r="K673" s="1"/>
  <c r="K678" s="1"/>
  <c r="K679" s="1"/>
  <c r="AF729"/>
  <c r="AF730" s="1"/>
  <c r="AF735" s="1"/>
  <c r="AF736" s="1"/>
  <c r="AF737" s="1"/>
  <c r="AF1220" s="1"/>
  <c r="AF1239" s="1"/>
  <c r="AE886"/>
  <c r="AD943"/>
  <c r="AD940" s="1"/>
  <c r="X716"/>
  <c r="Y659"/>
  <c r="B721"/>
  <c r="V718"/>
  <c r="X484"/>
  <c r="Y427"/>
  <c r="X432"/>
  <c r="J31"/>
  <c r="B1066"/>
  <c r="J28" s="1"/>
  <c r="B380"/>
  <c r="D38" s="1"/>
  <c r="C381"/>
  <c r="B381" s="1"/>
  <c r="D39" s="1"/>
  <c r="AG712"/>
  <c r="B712" s="1"/>
  <c r="G22" s="1"/>
  <c r="B655"/>
  <c r="AG593"/>
  <c r="AH536"/>
  <c r="Y1180"/>
  <c r="Z1123"/>
  <c r="X948"/>
  <c r="Y891"/>
  <c r="AC601"/>
  <c r="AD544"/>
  <c r="AF594"/>
  <c r="AG537"/>
  <c r="AC1062"/>
  <c r="AD1005"/>
  <c r="AB946"/>
  <c r="AC889"/>
  <c r="AF130"/>
  <c r="AG73"/>
  <c r="AC717"/>
  <c r="AD660"/>
  <c r="AE595"/>
  <c r="AE592" s="1"/>
  <c r="AF538"/>
  <c r="AE535"/>
  <c r="AB833"/>
  <c r="AC776"/>
  <c r="Y1064"/>
  <c r="Z1007"/>
  <c r="AD312"/>
  <c r="AC369"/>
  <c r="AD827"/>
  <c r="AD824" s="1"/>
  <c r="AE770"/>
  <c r="Y136"/>
  <c r="Z79"/>
  <c r="C852"/>
  <c r="B851"/>
  <c r="H45" s="1"/>
  <c r="AB482"/>
  <c r="AC425"/>
  <c r="AC135"/>
  <c r="AD78"/>
  <c r="C1021"/>
  <c r="AD767"/>
  <c r="AD251"/>
  <c r="AE194"/>
  <c r="AF825"/>
  <c r="AG768"/>
  <c r="AC1181"/>
  <c r="AD1124"/>
  <c r="Y368"/>
  <c r="Z311"/>
  <c r="B373"/>
  <c r="W370"/>
  <c r="AE1059"/>
  <c r="AE1056" s="1"/>
  <c r="AF1002"/>
  <c r="AE999"/>
  <c r="C562"/>
  <c r="B557"/>
  <c r="B612"/>
  <c r="F38" s="1"/>
  <c r="C613"/>
  <c r="B613" s="1"/>
  <c r="F39" s="1"/>
  <c r="AD654"/>
  <c r="AC711"/>
  <c r="AC708" s="1"/>
  <c r="AC651"/>
  <c r="Y252"/>
  <c r="Z195"/>
  <c r="N672"/>
  <c r="N673" s="1"/>
  <c r="N678" s="1"/>
  <c r="N679" s="1"/>
  <c r="AT672"/>
  <c r="AT673" s="1"/>
  <c r="AT678" s="1"/>
  <c r="AT679" s="1"/>
  <c r="AT680" s="1"/>
  <c r="BA672"/>
  <c r="BA673" s="1"/>
  <c r="BA678" s="1"/>
  <c r="BA679" s="1"/>
  <c r="BA680" s="1"/>
  <c r="AK672"/>
  <c r="AK673" s="1"/>
  <c r="AK678" s="1"/>
  <c r="AK679" s="1"/>
  <c r="AK680" s="1"/>
  <c r="U672"/>
  <c r="U673" s="1"/>
  <c r="U678" s="1"/>
  <c r="U679" s="1"/>
  <c r="G672"/>
  <c r="G673" s="1"/>
  <c r="G678" s="1"/>
  <c r="G679" s="1"/>
  <c r="AB729"/>
  <c r="AB730" s="1"/>
  <c r="AB735" s="1"/>
  <c r="AB736" s="1"/>
  <c r="AB737" s="1"/>
  <c r="AB1220" s="1"/>
  <c r="AB1239" s="1"/>
  <c r="BH729"/>
  <c r="BH730" s="1"/>
  <c r="BH735" s="1"/>
  <c r="BH736" s="1"/>
  <c r="BH737" s="1"/>
  <c r="BH1220" s="1"/>
  <c r="BH1239" s="1"/>
  <c r="BC672"/>
  <c r="BC673" s="1"/>
  <c r="BC678" s="1"/>
  <c r="BC679" s="1"/>
  <c r="BC680" s="1"/>
  <c r="W672"/>
  <c r="W673" s="1"/>
  <c r="W678" s="1"/>
  <c r="W679" s="1"/>
  <c r="W680" s="1"/>
  <c r="B693"/>
  <c r="G3" s="1"/>
  <c r="C702"/>
  <c r="Z729"/>
  <c r="Z730" s="1"/>
  <c r="Z735" s="1"/>
  <c r="Z736" s="1"/>
  <c r="Z737" s="1"/>
  <c r="Z1220" s="1"/>
  <c r="Z1239" s="1"/>
  <c r="AY729"/>
  <c r="AY730" s="1"/>
  <c r="AY735" s="1"/>
  <c r="AY736" s="1"/>
  <c r="AY737" s="1"/>
  <c r="AY1220" s="1"/>
  <c r="AY1239" s="1"/>
  <c r="S729"/>
  <c r="S730" s="1"/>
  <c r="S735" s="1"/>
  <c r="S736" s="1"/>
  <c r="AB949"/>
  <c r="AC892"/>
  <c r="AD599"/>
  <c r="AE542"/>
  <c r="AG361"/>
  <c r="AH304"/>
  <c r="AE826"/>
  <c r="AF769"/>
  <c r="AG884"/>
  <c r="AF941"/>
  <c r="AG1173"/>
  <c r="AG1172" s="1"/>
  <c r="AG1115"/>
  <c r="AH1116"/>
  <c r="AG480"/>
  <c r="B480" s="1"/>
  <c r="E22" s="1"/>
  <c r="B423"/>
  <c r="AF362"/>
  <c r="AG305"/>
  <c r="AH1000"/>
  <c r="AG999"/>
  <c r="AG1057"/>
  <c r="AG653"/>
  <c r="AF710"/>
  <c r="B605"/>
  <c r="W602"/>
  <c r="AF245"/>
  <c r="AG188"/>
  <c r="AF652"/>
  <c r="AE709"/>
  <c r="C1192"/>
  <c r="B1166"/>
  <c r="K12" s="1"/>
  <c r="C31"/>
  <c r="B254"/>
  <c r="C28" s="1"/>
  <c r="AG828"/>
  <c r="B828" s="1"/>
  <c r="H22" s="1"/>
  <c r="B771"/>
  <c r="B1185"/>
  <c r="W1182"/>
  <c r="AE1118"/>
  <c r="AD1175"/>
  <c r="AD1172" s="1"/>
  <c r="AD1115"/>
  <c r="C330"/>
  <c r="B325"/>
  <c r="AC247"/>
  <c r="AC244" s="1"/>
  <c r="AD190"/>
  <c r="AC187"/>
  <c r="E49"/>
  <c r="BJ404"/>
  <c r="BF404"/>
  <c r="BB404"/>
  <c r="AX404"/>
  <c r="AT404"/>
  <c r="AP404"/>
  <c r="AL404"/>
  <c r="AH404"/>
  <c r="AD404"/>
  <c r="Z404"/>
  <c r="V404"/>
  <c r="R404"/>
  <c r="N404"/>
  <c r="J404"/>
  <c r="BI404"/>
  <c r="BE404"/>
  <c r="BA404"/>
  <c r="AW404"/>
  <c r="AS404"/>
  <c r="AO404"/>
  <c r="AK404"/>
  <c r="AG404"/>
  <c r="AC404"/>
  <c r="Y404"/>
  <c r="U404"/>
  <c r="Q404"/>
  <c r="M404"/>
  <c r="I404"/>
  <c r="BG404"/>
  <c r="AY404"/>
  <c r="AQ404"/>
  <c r="AI404"/>
  <c r="AA404"/>
  <c r="S404"/>
  <c r="K404"/>
  <c r="D404"/>
  <c r="L404"/>
  <c r="T404"/>
  <c r="AB404"/>
  <c r="AJ404"/>
  <c r="AR404"/>
  <c r="AZ404"/>
  <c r="BH404"/>
  <c r="E404"/>
  <c r="BC404"/>
  <c r="AU404"/>
  <c r="AM404"/>
  <c r="AE404"/>
  <c r="W404"/>
  <c r="O404"/>
  <c r="C404"/>
  <c r="P404"/>
  <c r="AF404"/>
  <c r="AV404"/>
  <c r="H404"/>
  <c r="X404"/>
  <c r="AN404"/>
  <c r="BD404"/>
  <c r="F404"/>
  <c r="G404"/>
  <c r="AG1058"/>
  <c r="AH1001"/>
  <c r="AG596"/>
  <c r="B596" s="1"/>
  <c r="F22" s="1"/>
  <c r="B539"/>
  <c r="C796"/>
  <c r="D796" s="1"/>
  <c r="E796" s="1"/>
  <c r="F796" s="1"/>
  <c r="G796" s="1"/>
  <c r="H796" s="1"/>
  <c r="I796" s="1"/>
  <c r="J796" s="1"/>
  <c r="K796" s="1"/>
  <c r="L796" s="1"/>
  <c r="M796" s="1"/>
  <c r="N796" s="1"/>
  <c r="O796" s="1"/>
  <c r="P796" s="1"/>
  <c r="Q796" s="1"/>
  <c r="R796" s="1"/>
  <c r="S796" s="1"/>
  <c r="T796" s="1"/>
  <c r="U796" s="1"/>
  <c r="B795"/>
  <c r="H31"/>
  <c r="B834"/>
  <c r="H28" s="1"/>
  <c r="BJ729"/>
  <c r="BJ730" s="1"/>
  <c r="BJ735" s="1"/>
  <c r="BJ736" s="1"/>
  <c r="BJ737" s="1"/>
  <c r="BJ1220" s="1"/>
  <c r="BJ1239" s="1"/>
  <c r="F729"/>
  <c r="F730" s="1"/>
  <c r="F735" s="1"/>
  <c r="F736" s="1"/>
  <c r="V729"/>
  <c r="V730" s="1"/>
  <c r="V735" s="1"/>
  <c r="V736" s="1"/>
  <c r="AL729"/>
  <c r="AL730" s="1"/>
  <c r="AL735" s="1"/>
  <c r="AL736" s="1"/>
  <c r="AL737" s="1"/>
  <c r="AL1220" s="1"/>
  <c r="AL1239" s="1"/>
  <c r="BB729"/>
  <c r="BB730" s="1"/>
  <c r="BB735" s="1"/>
  <c r="BB736" s="1"/>
  <c r="BB737" s="1"/>
  <c r="BB1220" s="1"/>
  <c r="BB1239" s="1"/>
  <c r="BE729"/>
  <c r="BE730" s="1"/>
  <c r="BE735" s="1"/>
  <c r="BE736" s="1"/>
  <c r="BE737" s="1"/>
  <c r="BE1220" s="1"/>
  <c r="BE1239" s="1"/>
  <c r="AW729"/>
  <c r="AW730" s="1"/>
  <c r="AW735" s="1"/>
  <c r="AW736" s="1"/>
  <c r="AW737" s="1"/>
  <c r="AW1220" s="1"/>
  <c r="AW1239" s="1"/>
  <c r="AO729"/>
  <c r="AO730" s="1"/>
  <c r="AO735" s="1"/>
  <c r="AO736" s="1"/>
  <c r="AO737" s="1"/>
  <c r="AO1220" s="1"/>
  <c r="AO1239" s="1"/>
  <c r="AG729"/>
  <c r="AG730" s="1"/>
  <c r="AG735" s="1"/>
  <c r="AG736" s="1"/>
  <c r="AG737" s="1"/>
  <c r="AG1220" s="1"/>
  <c r="AG1239" s="1"/>
  <c r="Y729"/>
  <c r="Y730" s="1"/>
  <c r="Y735" s="1"/>
  <c r="Y736" s="1"/>
  <c r="Y737" s="1"/>
  <c r="Y1220" s="1"/>
  <c r="Y1239" s="1"/>
  <c r="Q729"/>
  <c r="Q730" s="1"/>
  <c r="Q735" s="1"/>
  <c r="Q736" s="1"/>
  <c r="I729"/>
  <c r="I730" s="1"/>
  <c r="I735" s="1"/>
  <c r="I736" s="1"/>
  <c r="D672"/>
  <c r="D673" s="1"/>
  <c r="D678" s="1"/>
  <c r="D679" s="1"/>
  <c r="T672"/>
  <c r="T673" s="1"/>
  <c r="T678" s="1"/>
  <c r="T679" s="1"/>
  <c r="AJ672"/>
  <c r="AJ673" s="1"/>
  <c r="AJ678" s="1"/>
  <c r="AJ679" s="1"/>
  <c r="AJ680" s="1"/>
  <c r="AZ672"/>
  <c r="AZ673" s="1"/>
  <c r="AZ678" s="1"/>
  <c r="AZ679" s="1"/>
  <c r="AZ680" s="1"/>
  <c r="R729"/>
  <c r="R730" s="1"/>
  <c r="R735" s="1"/>
  <c r="R736" s="1"/>
  <c r="AX729"/>
  <c r="AX730" s="1"/>
  <c r="AX735" s="1"/>
  <c r="AX736" s="1"/>
  <c r="AX737" s="1"/>
  <c r="AX1220" s="1"/>
  <c r="AX1239" s="1"/>
  <c r="AU729"/>
  <c r="AU730" s="1"/>
  <c r="AU735" s="1"/>
  <c r="AU736" s="1"/>
  <c r="AU737" s="1"/>
  <c r="AU1220" s="1"/>
  <c r="AU1239" s="1"/>
  <c r="AE729"/>
  <c r="AE730" s="1"/>
  <c r="AE735" s="1"/>
  <c r="AE736" s="1"/>
  <c r="AE737" s="1"/>
  <c r="AE1220" s="1"/>
  <c r="AE1239" s="1"/>
  <c r="O729"/>
  <c r="O730" s="1"/>
  <c r="O735" s="1"/>
  <c r="O736" s="1"/>
  <c r="H672"/>
  <c r="H673" s="1"/>
  <c r="H678" s="1"/>
  <c r="H679" s="1"/>
  <c r="AN672"/>
  <c r="AN673" s="1"/>
  <c r="AN678" s="1"/>
  <c r="AN679" s="1"/>
  <c r="AN680" s="1"/>
  <c r="J729"/>
  <c r="J730" s="1"/>
  <c r="J735" s="1"/>
  <c r="J736" s="1"/>
  <c r="AP729"/>
  <c r="AP730" s="1"/>
  <c r="AP735" s="1"/>
  <c r="AP736" s="1"/>
  <c r="AP737" s="1"/>
  <c r="AP1220" s="1"/>
  <c r="AP1239" s="1"/>
  <c r="BG729"/>
  <c r="BG730" s="1"/>
  <c r="BG735" s="1"/>
  <c r="BG736" s="1"/>
  <c r="BG737" s="1"/>
  <c r="BG1220" s="1"/>
  <c r="BG1239" s="1"/>
  <c r="AQ729"/>
  <c r="AQ730" s="1"/>
  <c r="AQ735" s="1"/>
  <c r="AQ736" s="1"/>
  <c r="AQ737" s="1"/>
  <c r="AQ1220" s="1"/>
  <c r="AQ1239" s="1"/>
  <c r="AA729"/>
  <c r="AA730" s="1"/>
  <c r="AA735" s="1"/>
  <c r="AA736" s="1"/>
  <c r="AA737" s="1"/>
  <c r="AA1220" s="1"/>
  <c r="AA1239" s="1"/>
  <c r="K729"/>
  <c r="K730" s="1"/>
  <c r="K735" s="1"/>
  <c r="K736" s="1"/>
  <c r="AF672"/>
  <c r="AF673" s="1"/>
  <c r="AF678" s="1"/>
  <c r="AF679" s="1"/>
  <c r="AF680" s="1"/>
  <c r="BE1235"/>
  <c r="BE1228"/>
  <c r="AW1235"/>
  <c r="AW1228"/>
  <c r="AO1235"/>
  <c r="AO1228"/>
  <c r="AG1235"/>
  <c r="AG1228"/>
  <c r="Y1235"/>
  <c r="Y1228"/>
  <c r="BG1235"/>
  <c r="BG1228"/>
  <c r="AY1235"/>
  <c r="AY1228"/>
  <c r="AQ1235"/>
  <c r="AQ1228"/>
  <c r="AI1235"/>
  <c r="AI1228"/>
  <c r="AA1235"/>
  <c r="AA1228"/>
  <c r="BI1235"/>
  <c r="BI1228"/>
  <c r="W489"/>
  <c r="W486" s="1"/>
  <c r="W429"/>
  <c r="Y600"/>
  <c r="Z543"/>
  <c r="AG364"/>
  <c r="B364" s="1"/>
  <c r="D22" s="1"/>
  <c r="B307"/>
  <c r="AG421"/>
  <c r="AF478"/>
  <c r="C1136"/>
  <c r="B1136" s="1"/>
  <c r="B1135"/>
  <c r="C1137"/>
  <c r="AE246"/>
  <c r="AF189"/>
  <c r="BA1235"/>
  <c r="BA1228"/>
  <c r="AS1235"/>
  <c r="AS1228"/>
  <c r="AK1235"/>
  <c r="AK1228"/>
  <c r="AC1235"/>
  <c r="AC1228"/>
  <c r="BC1235"/>
  <c r="BC1228"/>
  <c r="AU1235"/>
  <c r="AU1228"/>
  <c r="AM1235"/>
  <c r="AM1228"/>
  <c r="AE1235"/>
  <c r="AE1228"/>
  <c r="W1235"/>
  <c r="W1228"/>
  <c r="B238"/>
  <c r="C12" s="1"/>
  <c r="C264"/>
  <c r="AB253"/>
  <c r="AC196"/>
  <c r="AC947"/>
  <c r="AD890"/>
  <c r="X141"/>
  <c r="B84"/>
  <c r="B81" s="1"/>
  <c r="X81"/>
  <c r="AC137"/>
  <c r="AD80"/>
  <c r="AE363"/>
  <c r="AE360" s="1"/>
  <c r="AF306"/>
  <c r="C208"/>
  <c r="B208" s="1"/>
  <c r="B207"/>
  <c r="AF1235"/>
  <c r="AF1228"/>
  <c r="BJ1235"/>
  <c r="BJ1228"/>
  <c r="AT1235"/>
  <c r="AT1228"/>
  <c r="AD1235"/>
  <c r="AD1228"/>
  <c r="AE303"/>
  <c r="AD883"/>
  <c r="F65" l="1"/>
  <c r="F91" s="1"/>
  <c r="F92" s="1"/>
  <c r="F93" s="1"/>
  <c r="F98" s="1"/>
  <c r="F99" s="1"/>
  <c r="F113"/>
  <c r="F122" s="1"/>
  <c r="F148" s="1"/>
  <c r="F149" s="1"/>
  <c r="F150" s="1"/>
  <c r="F155" s="1"/>
  <c r="F156" s="1"/>
  <c r="AL65"/>
  <c r="AL91" s="1"/>
  <c r="AL92" s="1"/>
  <c r="AL93" s="1"/>
  <c r="AL98" s="1"/>
  <c r="AL99" s="1"/>
  <c r="AL100" s="1"/>
  <c r="AL113"/>
  <c r="AL122" s="1"/>
  <c r="AL148" s="1"/>
  <c r="AL149" s="1"/>
  <c r="AL150" s="1"/>
  <c r="AL155" s="1"/>
  <c r="AL156" s="1"/>
  <c r="AL157" s="1"/>
  <c r="AL1215" s="1"/>
  <c r="BF65"/>
  <c r="BF91" s="1"/>
  <c r="BF92" s="1"/>
  <c r="BF93" s="1"/>
  <c r="BF98" s="1"/>
  <c r="BF99" s="1"/>
  <c r="BF100" s="1"/>
  <c r="BF113"/>
  <c r="BF122" s="1"/>
  <c r="BF148" s="1"/>
  <c r="BF149" s="1"/>
  <c r="BF150" s="1"/>
  <c r="BF155" s="1"/>
  <c r="BF156" s="1"/>
  <c r="BF157" s="1"/>
  <c r="BF1215" s="1"/>
  <c r="Z65"/>
  <c r="Z91" s="1"/>
  <c r="Z92" s="1"/>
  <c r="Z93" s="1"/>
  <c r="Z98" s="1"/>
  <c r="Z99" s="1"/>
  <c r="Z100" s="1"/>
  <c r="Z113"/>
  <c r="Z122" s="1"/>
  <c r="Z148" s="1"/>
  <c r="Z149" s="1"/>
  <c r="Z150" s="1"/>
  <c r="Z155" s="1"/>
  <c r="Z156" s="1"/>
  <c r="Z157" s="1"/>
  <c r="Z1215" s="1"/>
  <c r="BH65"/>
  <c r="BH91" s="1"/>
  <c r="BH92" s="1"/>
  <c r="BH93" s="1"/>
  <c r="BH98" s="1"/>
  <c r="BH99" s="1"/>
  <c r="BH100" s="1"/>
  <c r="BH113"/>
  <c r="BH122" s="1"/>
  <c r="BH148" s="1"/>
  <c r="BH149" s="1"/>
  <c r="BH150" s="1"/>
  <c r="BH155" s="1"/>
  <c r="BH156" s="1"/>
  <c r="BH157" s="1"/>
  <c r="BH1215" s="1"/>
  <c r="AR65"/>
  <c r="AR91" s="1"/>
  <c r="AR92" s="1"/>
  <c r="AR93" s="1"/>
  <c r="AR98" s="1"/>
  <c r="AR99" s="1"/>
  <c r="AR100" s="1"/>
  <c r="AR113"/>
  <c r="AR122" s="1"/>
  <c r="AR148" s="1"/>
  <c r="AR149" s="1"/>
  <c r="AR150" s="1"/>
  <c r="AR155" s="1"/>
  <c r="AR156" s="1"/>
  <c r="AR157" s="1"/>
  <c r="AR1215" s="1"/>
  <c r="AB65"/>
  <c r="AB91" s="1"/>
  <c r="AB92" s="1"/>
  <c r="AB93" s="1"/>
  <c r="AB98" s="1"/>
  <c r="AB99" s="1"/>
  <c r="AB100" s="1"/>
  <c r="AB113"/>
  <c r="AB122" s="1"/>
  <c r="AB148" s="1"/>
  <c r="AB149" s="1"/>
  <c r="AB150" s="1"/>
  <c r="AB155" s="1"/>
  <c r="AB156" s="1"/>
  <c r="AB157" s="1"/>
  <c r="AB1215" s="1"/>
  <c r="L65"/>
  <c r="L91" s="1"/>
  <c r="L92" s="1"/>
  <c r="L93" s="1"/>
  <c r="L98" s="1"/>
  <c r="L99" s="1"/>
  <c r="L113"/>
  <c r="L122" s="1"/>
  <c r="L148" s="1"/>
  <c r="L149" s="1"/>
  <c r="L150" s="1"/>
  <c r="L155" s="1"/>
  <c r="L156" s="1"/>
  <c r="I65"/>
  <c r="I91" s="1"/>
  <c r="I113"/>
  <c r="I122" s="1"/>
  <c r="I148" s="1"/>
  <c r="Q65"/>
  <c r="Q91" s="1"/>
  <c r="Q113"/>
  <c r="Q122" s="1"/>
  <c r="Q148" s="1"/>
  <c r="Y65"/>
  <c r="Y91" s="1"/>
  <c r="Y113"/>
  <c r="Y122" s="1"/>
  <c r="Y148" s="1"/>
  <c r="AG65"/>
  <c r="AG91" s="1"/>
  <c r="AG113"/>
  <c r="AG122" s="1"/>
  <c r="AG148" s="1"/>
  <c r="AO65"/>
  <c r="AO91" s="1"/>
  <c r="AO113"/>
  <c r="AO122" s="1"/>
  <c r="AO148" s="1"/>
  <c r="AW65"/>
  <c r="AW91" s="1"/>
  <c r="AW113"/>
  <c r="AW122" s="1"/>
  <c r="AW148" s="1"/>
  <c r="BE65"/>
  <c r="BE91" s="1"/>
  <c r="BE113"/>
  <c r="BE122" s="1"/>
  <c r="BE148" s="1"/>
  <c r="G113"/>
  <c r="G122" s="1"/>
  <c r="G148" s="1"/>
  <c r="G65"/>
  <c r="G91" s="1"/>
  <c r="AT113"/>
  <c r="AT122" s="1"/>
  <c r="AT148" s="1"/>
  <c r="AT149" s="1"/>
  <c r="AT150" s="1"/>
  <c r="AT155" s="1"/>
  <c r="AT156" s="1"/>
  <c r="AT157" s="1"/>
  <c r="AT1215" s="1"/>
  <c r="AT65"/>
  <c r="AT91" s="1"/>
  <c r="AT92" s="1"/>
  <c r="AT93" s="1"/>
  <c r="AT98" s="1"/>
  <c r="AT99" s="1"/>
  <c r="AT100" s="1"/>
  <c r="N113"/>
  <c r="N122" s="1"/>
  <c r="N148" s="1"/>
  <c r="N149" s="1"/>
  <c r="N150" s="1"/>
  <c r="N155" s="1"/>
  <c r="N156" s="1"/>
  <c r="N65"/>
  <c r="N91" s="1"/>
  <c r="N92" s="1"/>
  <c r="N93" s="1"/>
  <c r="N98" s="1"/>
  <c r="N99" s="1"/>
  <c r="AH113"/>
  <c r="AH122" s="1"/>
  <c r="AH148" s="1"/>
  <c r="AH149" s="1"/>
  <c r="AH150" s="1"/>
  <c r="AH155" s="1"/>
  <c r="AH156" s="1"/>
  <c r="AH157" s="1"/>
  <c r="AH1215" s="1"/>
  <c r="AH65"/>
  <c r="AH91" s="1"/>
  <c r="AH92" s="1"/>
  <c r="AH93" s="1"/>
  <c r="AH98" s="1"/>
  <c r="AH99" s="1"/>
  <c r="AH100" s="1"/>
  <c r="D113"/>
  <c r="D122" s="1"/>
  <c r="D148" s="1"/>
  <c r="D149" s="1"/>
  <c r="D150" s="1"/>
  <c r="D155" s="1"/>
  <c r="D156" s="1"/>
  <c r="D65"/>
  <c r="D91" s="1"/>
  <c r="D92" s="1"/>
  <c r="D93" s="1"/>
  <c r="D98" s="1"/>
  <c r="D99" s="1"/>
  <c r="AV113"/>
  <c r="AV122" s="1"/>
  <c r="AV148" s="1"/>
  <c r="AV149" s="1"/>
  <c r="AV150" s="1"/>
  <c r="AV155" s="1"/>
  <c r="AV156" s="1"/>
  <c r="AV157" s="1"/>
  <c r="AV1215" s="1"/>
  <c r="AV65"/>
  <c r="AV91" s="1"/>
  <c r="AV92" s="1"/>
  <c r="AV93" s="1"/>
  <c r="AV98" s="1"/>
  <c r="AV99" s="1"/>
  <c r="AV100" s="1"/>
  <c r="AF113"/>
  <c r="AF122" s="1"/>
  <c r="AF148" s="1"/>
  <c r="AF149" s="1"/>
  <c r="AF150" s="1"/>
  <c r="AF155" s="1"/>
  <c r="AF156" s="1"/>
  <c r="AF157" s="1"/>
  <c r="AF1215" s="1"/>
  <c r="AF65"/>
  <c r="AF91" s="1"/>
  <c r="AF92" s="1"/>
  <c r="AF93" s="1"/>
  <c r="AF98" s="1"/>
  <c r="AF99" s="1"/>
  <c r="AF100" s="1"/>
  <c r="P113"/>
  <c r="P122" s="1"/>
  <c r="P148" s="1"/>
  <c r="P149" s="1"/>
  <c r="P150" s="1"/>
  <c r="P155" s="1"/>
  <c r="P156" s="1"/>
  <c r="P65"/>
  <c r="P91" s="1"/>
  <c r="P92" s="1"/>
  <c r="P93" s="1"/>
  <c r="P98" s="1"/>
  <c r="P99" s="1"/>
  <c r="B56"/>
  <c r="C65"/>
  <c r="C113"/>
  <c r="O65"/>
  <c r="O91" s="1"/>
  <c r="O92" s="1"/>
  <c r="O93" s="1"/>
  <c r="O98" s="1"/>
  <c r="O99" s="1"/>
  <c r="O113"/>
  <c r="O122" s="1"/>
  <c r="O148" s="1"/>
  <c r="O149" s="1"/>
  <c r="O150" s="1"/>
  <c r="O155" s="1"/>
  <c r="O156" s="1"/>
  <c r="W65"/>
  <c r="W91" s="1"/>
  <c r="W92" s="1"/>
  <c r="W93" s="1"/>
  <c r="W98" s="1"/>
  <c r="W99" s="1"/>
  <c r="W113"/>
  <c r="W122" s="1"/>
  <c r="W148" s="1"/>
  <c r="W149" s="1"/>
  <c r="W150" s="1"/>
  <c r="W155" s="1"/>
  <c r="W156" s="1"/>
  <c r="AE65"/>
  <c r="AE91" s="1"/>
  <c r="AE92" s="1"/>
  <c r="AE93" s="1"/>
  <c r="AE98" s="1"/>
  <c r="AE99" s="1"/>
  <c r="AE100" s="1"/>
  <c r="AE113"/>
  <c r="AE122" s="1"/>
  <c r="AE148" s="1"/>
  <c r="AE149" s="1"/>
  <c r="AE150" s="1"/>
  <c r="AE155" s="1"/>
  <c r="AE156" s="1"/>
  <c r="AE157" s="1"/>
  <c r="AE1215" s="1"/>
  <c r="AM65"/>
  <c r="AM91" s="1"/>
  <c r="AM92" s="1"/>
  <c r="AM93" s="1"/>
  <c r="AM98" s="1"/>
  <c r="AM99" s="1"/>
  <c r="AM100" s="1"/>
  <c r="AM113"/>
  <c r="AM122" s="1"/>
  <c r="AM148" s="1"/>
  <c r="AM149" s="1"/>
  <c r="AM150" s="1"/>
  <c r="AM155" s="1"/>
  <c r="AM156" s="1"/>
  <c r="AM157" s="1"/>
  <c r="AM1215" s="1"/>
  <c r="AU65"/>
  <c r="AU91" s="1"/>
  <c r="AU92" s="1"/>
  <c r="AU93" s="1"/>
  <c r="AU98" s="1"/>
  <c r="AU99" s="1"/>
  <c r="AU100" s="1"/>
  <c r="AU113"/>
  <c r="AU122" s="1"/>
  <c r="AU148" s="1"/>
  <c r="AU149" s="1"/>
  <c r="AU150" s="1"/>
  <c r="AU155" s="1"/>
  <c r="AU156" s="1"/>
  <c r="AU157" s="1"/>
  <c r="AU1215" s="1"/>
  <c r="BC65"/>
  <c r="BC91" s="1"/>
  <c r="BC92" s="1"/>
  <c r="BC93" s="1"/>
  <c r="BC98" s="1"/>
  <c r="BC99" s="1"/>
  <c r="BC100" s="1"/>
  <c r="BC113"/>
  <c r="BC122" s="1"/>
  <c r="BC148" s="1"/>
  <c r="BC149" s="1"/>
  <c r="BC150" s="1"/>
  <c r="BC155" s="1"/>
  <c r="BC156" s="1"/>
  <c r="BC157" s="1"/>
  <c r="BC1215" s="1"/>
  <c r="AD72"/>
  <c r="AC129"/>
  <c r="AC128" s="1"/>
  <c r="AC71"/>
  <c r="Z134"/>
  <c r="AA77"/>
  <c r="BB65"/>
  <c r="BB91" s="1"/>
  <c r="BB92" s="1"/>
  <c r="BB93" s="1"/>
  <c r="BB98" s="1"/>
  <c r="BB99" s="1"/>
  <c r="BB100" s="1"/>
  <c r="BB113"/>
  <c r="BB122" s="1"/>
  <c r="BB148" s="1"/>
  <c r="BB149" s="1"/>
  <c r="BB150" s="1"/>
  <c r="BB155" s="1"/>
  <c r="BB156" s="1"/>
  <c r="BB157" s="1"/>
  <c r="BB1215" s="1"/>
  <c r="V65"/>
  <c r="V91" s="1"/>
  <c r="V92" s="1"/>
  <c r="V93" s="1"/>
  <c r="V98" s="1"/>
  <c r="V99" s="1"/>
  <c r="V113"/>
  <c r="V122" s="1"/>
  <c r="V148" s="1"/>
  <c r="V149" s="1"/>
  <c r="V150" s="1"/>
  <c r="V155" s="1"/>
  <c r="V156" s="1"/>
  <c r="AP65"/>
  <c r="AP91" s="1"/>
  <c r="AP92" s="1"/>
  <c r="AP93" s="1"/>
  <c r="AP98" s="1"/>
  <c r="AP99" s="1"/>
  <c r="AP100" s="1"/>
  <c r="AP113"/>
  <c r="AP122" s="1"/>
  <c r="AP148" s="1"/>
  <c r="AP149" s="1"/>
  <c r="AP150" s="1"/>
  <c r="AP155" s="1"/>
  <c r="AP156" s="1"/>
  <c r="AP157" s="1"/>
  <c r="AP1215" s="1"/>
  <c r="J65"/>
  <c r="J91" s="1"/>
  <c r="J92" s="1"/>
  <c r="J93" s="1"/>
  <c r="J98" s="1"/>
  <c r="J99" s="1"/>
  <c r="J113"/>
  <c r="J122" s="1"/>
  <c r="J148" s="1"/>
  <c r="J149" s="1"/>
  <c r="J150" s="1"/>
  <c r="J155" s="1"/>
  <c r="J156" s="1"/>
  <c r="AZ65"/>
  <c r="AZ91" s="1"/>
  <c r="AZ92" s="1"/>
  <c r="AZ93" s="1"/>
  <c r="AZ98" s="1"/>
  <c r="AZ99" s="1"/>
  <c r="AZ100" s="1"/>
  <c r="AZ113"/>
  <c r="AZ122" s="1"/>
  <c r="AZ148" s="1"/>
  <c r="AZ149" s="1"/>
  <c r="AZ150" s="1"/>
  <c r="AZ155" s="1"/>
  <c r="AZ156" s="1"/>
  <c r="AZ157" s="1"/>
  <c r="AZ1215" s="1"/>
  <c r="AJ65"/>
  <c r="AJ91" s="1"/>
  <c r="AJ92" s="1"/>
  <c r="AJ93" s="1"/>
  <c r="AJ98" s="1"/>
  <c r="AJ99" s="1"/>
  <c r="AJ100" s="1"/>
  <c r="AJ113"/>
  <c r="AJ122" s="1"/>
  <c r="AJ148" s="1"/>
  <c r="AJ149" s="1"/>
  <c r="AJ150" s="1"/>
  <c r="AJ155" s="1"/>
  <c r="AJ156" s="1"/>
  <c r="AJ157" s="1"/>
  <c r="AJ1215" s="1"/>
  <c r="T65"/>
  <c r="T91" s="1"/>
  <c r="T92" s="1"/>
  <c r="T93" s="1"/>
  <c r="T98" s="1"/>
  <c r="T99" s="1"/>
  <c r="T113"/>
  <c r="T122" s="1"/>
  <c r="T148" s="1"/>
  <c r="T149" s="1"/>
  <c r="T150" s="1"/>
  <c r="T155" s="1"/>
  <c r="T156" s="1"/>
  <c r="BJ65"/>
  <c r="BJ91" s="1"/>
  <c r="BJ92" s="1"/>
  <c r="BJ93" s="1"/>
  <c r="BJ98" s="1"/>
  <c r="BJ99" s="1"/>
  <c r="BJ100" s="1"/>
  <c r="BJ113"/>
  <c r="BJ122" s="1"/>
  <c r="BJ148" s="1"/>
  <c r="BJ149" s="1"/>
  <c r="BJ150" s="1"/>
  <c r="BJ155" s="1"/>
  <c r="BJ156" s="1"/>
  <c r="BJ157" s="1"/>
  <c r="BJ1215" s="1"/>
  <c r="M65"/>
  <c r="M91" s="1"/>
  <c r="M113"/>
  <c r="M122" s="1"/>
  <c r="M148" s="1"/>
  <c r="U65"/>
  <c r="U91" s="1"/>
  <c r="U113"/>
  <c r="U122" s="1"/>
  <c r="U148" s="1"/>
  <c r="AC65"/>
  <c r="AC91" s="1"/>
  <c r="AC113"/>
  <c r="AC122" s="1"/>
  <c r="AC148" s="1"/>
  <c r="AK65"/>
  <c r="AK91" s="1"/>
  <c r="AK113"/>
  <c r="AK122" s="1"/>
  <c r="AK148" s="1"/>
  <c r="AS65"/>
  <c r="AS91" s="1"/>
  <c r="AS113"/>
  <c r="AS122" s="1"/>
  <c r="AS148" s="1"/>
  <c r="BA65"/>
  <c r="BA91" s="1"/>
  <c r="BA113"/>
  <c r="BA122" s="1"/>
  <c r="BA148" s="1"/>
  <c r="BI65"/>
  <c r="BI91" s="1"/>
  <c r="BI113"/>
  <c r="BI122" s="1"/>
  <c r="BI148" s="1"/>
  <c r="E113"/>
  <c r="E122" s="1"/>
  <c r="E148" s="1"/>
  <c r="E65"/>
  <c r="E91" s="1"/>
  <c r="AD113"/>
  <c r="AD122" s="1"/>
  <c r="AD148" s="1"/>
  <c r="AD149" s="1"/>
  <c r="AD150" s="1"/>
  <c r="AD155" s="1"/>
  <c r="AD156" s="1"/>
  <c r="AD157" s="1"/>
  <c r="AD1215" s="1"/>
  <c r="AD65"/>
  <c r="AD91" s="1"/>
  <c r="AD92" s="1"/>
  <c r="AD93" s="1"/>
  <c r="AD98" s="1"/>
  <c r="AD99" s="1"/>
  <c r="AD100" s="1"/>
  <c r="AX113"/>
  <c r="AX122" s="1"/>
  <c r="AX148" s="1"/>
  <c r="AX149" s="1"/>
  <c r="AX150" s="1"/>
  <c r="AX155" s="1"/>
  <c r="AX156" s="1"/>
  <c r="AX157" s="1"/>
  <c r="AX1215" s="1"/>
  <c r="AX65"/>
  <c r="AX91" s="1"/>
  <c r="AX92" s="1"/>
  <c r="AX93" s="1"/>
  <c r="AX98" s="1"/>
  <c r="AX99" s="1"/>
  <c r="AX100" s="1"/>
  <c r="R113"/>
  <c r="R122" s="1"/>
  <c r="R148" s="1"/>
  <c r="R149" s="1"/>
  <c r="R150" s="1"/>
  <c r="R155" s="1"/>
  <c r="R156" s="1"/>
  <c r="R65"/>
  <c r="R91" s="1"/>
  <c r="R92" s="1"/>
  <c r="R93" s="1"/>
  <c r="R98" s="1"/>
  <c r="R99" s="1"/>
  <c r="BD113"/>
  <c r="BD122" s="1"/>
  <c r="BD148" s="1"/>
  <c r="BD149" s="1"/>
  <c r="BD150" s="1"/>
  <c r="BD155" s="1"/>
  <c r="BD156" s="1"/>
  <c r="BD157" s="1"/>
  <c r="BD1215" s="1"/>
  <c r="BD65"/>
  <c r="BD91" s="1"/>
  <c r="BD92" s="1"/>
  <c r="BD93" s="1"/>
  <c r="BD98" s="1"/>
  <c r="BD99" s="1"/>
  <c r="BD100" s="1"/>
  <c r="AN113"/>
  <c r="AN122" s="1"/>
  <c r="AN148" s="1"/>
  <c r="AN149" s="1"/>
  <c r="AN150" s="1"/>
  <c r="AN155" s="1"/>
  <c r="AN156" s="1"/>
  <c r="AN157" s="1"/>
  <c r="AN1215" s="1"/>
  <c r="AN65"/>
  <c r="AN91" s="1"/>
  <c r="AN92" s="1"/>
  <c r="AN93" s="1"/>
  <c r="AN98" s="1"/>
  <c r="AN99" s="1"/>
  <c r="AN100" s="1"/>
  <c r="X113"/>
  <c r="X122" s="1"/>
  <c r="X148" s="1"/>
  <c r="X149" s="1"/>
  <c r="X150" s="1"/>
  <c r="X155" s="1"/>
  <c r="X156" s="1"/>
  <c r="X65"/>
  <c r="X91" s="1"/>
  <c r="X92" s="1"/>
  <c r="X93" s="1"/>
  <c r="X98" s="1"/>
  <c r="X99" s="1"/>
  <c r="H113"/>
  <c r="H122" s="1"/>
  <c r="H148" s="1"/>
  <c r="H149" s="1"/>
  <c r="H150" s="1"/>
  <c r="H155" s="1"/>
  <c r="H156" s="1"/>
  <c r="H65"/>
  <c r="H91" s="1"/>
  <c r="H92" s="1"/>
  <c r="H93" s="1"/>
  <c r="H98" s="1"/>
  <c r="H99" s="1"/>
  <c r="K65"/>
  <c r="K91" s="1"/>
  <c r="K92" s="1"/>
  <c r="K93" s="1"/>
  <c r="K98" s="1"/>
  <c r="K99" s="1"/>
  <c r="K113"/>
  <c r="K122" s="1"/>
  <c r="K148" s="1"/>
  <c r="K149" s="1"/>
  <c r="K150" s="1"/>
  <c r="K155" s="1"/>
  <c r="K156" s="1"/>
  <c r="S65"/>
  <c r="S91" s="1"/>
  <c r="S92" s="1"/>
  <c r="S93" s="1"/>
  <c r="S98" s="1"/>
  <c r="S99" s="1"/>
  <c r="S113"/>
  <c r="S122" s="1"/>
  <c r="S148" s="1"/>
  <c r="S149" s="1"/>
  <c r="S150" s="1"/>
  <c r="S155" s="1"/>
  <c r="S156" s="1"/>
  <c r="AA65"/>
  <c r="AA91" s="1"/>
  <c r="AA92" s="1"/>
  <c r="AA93" s="1"/>
  <c r="AA98" s="1"/>
  <c r="AA99" s="1"/>
  <c r="AA100" s="1"/>
  <c r="AA113"/>
  <c r="AA122" s="1"/>
  <c r="AA148" s="1"/>
  <c r="AA149" s="1"/>
  <c r="AA150" s="1"/>
  <c r="AA155" s="1"/>
  <c r="AA156" s="1"/>
  <c r="AA157" s="1"/>
  <c r="AA1215" s="1"/>
  <c r="AA1234" s="1"/>
  <c r="AI65"/>
  <c r="AI91" s="1"/>
  <c r="AI92" s="1"/>
  <c r="AI93" s="1"/>
  <c r="AI98" s="1"/>
  <c r="AI99" s="1"/>
  <c r="AI100" s="1"/>
  <c r="AI113"/>
  <c r="AI122" s="1"/>
  <c r="AI148" s="1"/>
  <c r="AI149" s="1"/>
  <c r="AI150" s="1"/>
  <c r="AI155" s="1"/>
  <c r="AI156" s="1"/>
  <c r="AI157" s="1"/>
  <c r="AI1215" s="1"/>
  <c r="AI1234" s="1"/>
  <c r="AQ65"/>
  <c r="AQ91" s="1"/>
  <c r="AQ92" s="1"/>
  <c r="AQ93" s="1"/>
  <c r="AQ98" s="1"/>
  <c r="AQ99" s="1"/>
  <c r="AQ100" s="1"/>
  <c r="AQ113"/>
  <c r="AQ122" s="1"/>
  <c r="AQ148" s="1"/>
  <c r="AQ149" s="1"/>
  <c r="AQ150" s="1"/>
  <c r="AQ155" s="1"/>
  <c r="AQ156" s="1"/>
  <c r="AQ157" s="1"/>
  <c r="AQ1215" s="1"/>
  <c r="AQ1234" s="1"/>
  <c r="AY65"/>
  <c r="AY91" s="1"/>
  <c r="AY92" s="1"/>
  <c r="AY93" s="1"/>
  <c r="AY98" s="1"/>
  <c r="AY99" s="1"/>
  <c r="AY100" s="1"/>
  <c r="AY113"/>
  <c r="AY122" s="1"/>
  <c r="AY148" s="1"/>
  <c r="AY149" s="1"/>
  <c r="AY150" s="1"/>
  <c r="AY155" s="1"/>
  <c r="AY156" s="1"/>
  <c r="AY157" s="1"/>
  <c r="AY1215" s="1"/>
  <c r="AY1234" s="1"/>
  <c r="BG65"/>
  <c r="BG91" s="1"/>
  <c r="BG92" s="1"/>
  <c r="BG93" s="1"/>
  <c r="BG98" s="1"/>
  <c r="BG99" s="1"/>
  <c r="BG100" s="1"/>
  <c r="BG113"/>
  <c r="BG122" s="1"/>
  <c r="BG148" s="1"/>
  <c r="BG149" s="1"/>
  <c r="BG150" s="1"/>
  <c r="BG155" s="1"/>
  <c r="BG156" s="1"/>
  <c r="BG157" s="1"/>
  <c r="BG1215" s="1"/>
  <c r="BG1234" s="1"/>
  <c r="AE1234"/>
  <c r="AE1227"/>
  <c r="AM1234"/>
  <c r="AM1227"/>
  <c r="AU1234"/>
  <c r="AU1227"/>
  <c r="BC1234"/>
  <c r="BC1227"/>
  <c r="AL1234"/>
  <c r="AL1227"/>
  <c r="BF1234"/>
  <c r="BF1227"/>
  <c r="Z1234"/>
  <c r="Z1227"/>
  <c r="BH1234"/>
  <c r="BH1227"/>
  <c r="AR1234"/>
  <c r="AR1227"/>
  <c r="AB1234"/>
  <c r="AB1227"/>
  <c r="AT1234"/>
  <c r="AT1227"/>
  <c r="AH1234"/>
  <c r="AH1227"/>
  <c r="AV1234"/>
  <c r="AV1227"/>
  <c r="AF1234"/>
  <c r="AF1227"/>
  <c r="BB1234"/>
  <c r="BB1227"/>
  <c r="AP1234"/>
  <c r="AP1227"/>
  <c r="AZ1234"/>
  <c r="AZ1227"/>
  <c r="AJ1234"/>
  <c r="AJ1227"/>
  <c r="BJ1234"/>
  <c r="BJ1227"/>
  <c r="AD1234"/>
  <c r="AD1227"/>
  <c r="AX1234"/>
  <c r="AX1227"/>
  <c r="BD1234"/>
  <c r="BD1227"/>
  <c r="AN1234"/>
  <c r="AN1227"/>
  <c r="AF363"/>
  <c r="B306"/>
  <c r="AD947"/>
  <c r="AE890"/>
  <c r="AF246"/>
  <c r="AG189"/>
  <c r="C1142"/>
  <c r="B1137"/>
  <c r="AG478"/>
  <c r="AH421"/>
  <c r="F461"/>
  <c r="F470" s="1"/>
  <c r="F496" s="1"/>
  <c r="F413"/>
  <c r="F439" s="1"/>
  <c r="AN413"/>
  <c r="AN439" s="1"/>
  <c r="AN461"/>
  <c r="AN470" s="1"/>
  <c r="AN496" s="1"/>
  <c r="H413"/>
  <c r="H439" s="1"/>
  <c r="H461"/>
  <c r="H470" s="1"/>
  <c r="H496" s="1"/>
  <c r="AF413"/>
  <c r="AF439" s="1"/>
  <c r="AF461"/>
  <c r="AF470" s="1"/>
  <c r="AF496" s="1"/>
  <c r="C461"/>
  <c r="C413"/>
  <c r="B404"/>
  <c r="W461"/>
  <c r="W470" s="1"/>
  <c r="W496" s="1"/>
  <c r="W413"/>
  <c r="W439" s="1"/>
  <c r="AM461"/>
  <c r="AM470" s="1"/>
  <c r="AM496" s="1"/>
  <c r="AM413"/>
  <c r="AM439" s="1"/>
  <c r="BC461"/>
  <c r="BC470" s="1"/>
  <c r="BC496" s="1"/>
  <c r="BC413"/>
  <c r="BC439" s="1"/>
  <c r="BH413"/>
  <c r="BH439" s="1"/>
  <c r="BH461"/>
  <c r="BH470" s="1"/>
  <c r="BH496" s="1"/>
  <c r="AR413"/>
  <c r="AR439" s="1"/>
  <c r="AR461"/>
  <c r="AR470" s="1"/>
  <c r="AR496" s="1"/>
  <c r="AB413"/>
  <c r="AB439" s="1"/>
  <c r="AB461"/>
  <c r="AB470" s="1"/>
  <c r="AB496" s="1"/>
  <c r="K461"/>
  <c r="K470" s="1"/>
  <c r="K496" s="1"/>
  <c r="K413"/>
  <c r="K439" s="1"/>
  <c r="AA461"/>
  <c r="AA470" s="1"/>
  <c r="AA496" s="1"/>
  <c r="AA413"/>
  <c r="AA439" s="1"/>
  <c r="AQ461"/>
  <c r="AQ470" s="1"/>
  <c r="AQ496" s="1"/>
  <c r="AQ413"/>
  <c r="AQ439" s="1"/>
  <c r="BG461"/>
  <c r="BG470" s="1"/>
  <c r="BG496" s="1"/>
  <c r="BG413"/>
  <c r="BG439" s="1"/>
  <c r="M461"/>
  <c r="M470" s="1"/>
  <c r="M496" s="1"/>
  <c r="M413"/>
  <c r="M439" s="1"/>
  <c r="U461"/>
  <c r="U470" s="1"/>
  <c r="U496" s="1"/>
  <c r="U413"/>
  <c r="U439" s="1"/>
  <c r="AC461"/>
  <c r="AC470" s="1"/>
  <c r="AC496" s="1"/>
  <c r="AC413"/>
  <c r="AC439" s="1"/>
  <c r="AK461"/>
  <c r="AK470" s="1"/>
  <c r="AK496" s="1"/>
  <c r="AK413"/>
  <c r="AK439" s="1"/>
  <c r="AS461"/>
  <c r="AS470" s="1"/>
  <c r="AS496" s="1"/>
  <c r="AS413"/>
  <c r="AS439" s="1"/>
  <c r="BA461"/>
  <c r="BA470" s="1"/>
  <c r="BA496" s="1"/>
  <c r="BA413"/>
  <c r="BA439" s="1"/>
  <c r="BI461"/>
  <c r="BI470" s="1"/>
  <c r="BI496" s="1"/>
  <c r="BI413"/>
  <c r="BI439" s="1"/>
  <c r="N461"/>
  <c r="N470" s="1"/>
  <c r="N496" s="1"/>
  <c r="N413"/>
  <c r="N439" s="1"/>
  <c r="V461"/>
  <c r="V470" s="1"/>
  <c r="V496" s="1"/>
  <c r="V413"/>
  <c r="V439" s="1"/>
  <c r="AD461"/>
  <c r="AD470" s="1"/>
  <c r="AD496" s="1"/>
  <c r="AD413"/>
  <c r="AD439" s="1"/>
  <c r="AL461"/>
  <c r="AL470" s="1"/>
  <c r="AL496" s="1"/>
  <c r="AL413"/>
  <c r="AL439" s="1"/>
  <c r="AT461"/>
  <c r="AT470" s="1"/>
  <c r="AT496" s="1"/>
  <c r="AT413"/>
  <c r="AT439" s="1"/>
  <c r="BB461"/>
  <c r="BB470" s="1"/>
  <c r="BB496" s="1"/>
  <c r="BB413"/>
  <c r="BB439" s="1"/>
  <c r="BJ461"/>
  <c r="BJ470" s="1"/>
  <c r="BJ496" s="1"/>
  <c r="BJ413"/>
  <c r="BJ439" s="1"/>
  <c r="C331"/>
  <c r="B330"/>
  <c r="AF709"/>
  <c r="AG652"/>
  <c r="AH188"/>
  <c r="AG187"/>
  <c r="AG245"/>
  <c r="AH1057"/>
  <c r="AH999"/>
  <c r="B1000"/>
  <c r="AG941"/>
  <c r="AH884"/>
  <c r="AH361"/>
  <c r="B304"/>
  <c r="AE599"/>
  <c r="AF542"/>
  <c r="AC949"/>
  <c r="AD892"/>
  <c r="B702"/>
  <c r="G12" s="1"/>
  <c r="C728"/>
  <c r="Z252"/>
  <c r="AA195"/>
  <c r="AD711"/>
  <c r="AD708" s="1"/>
  <c r="AE654"/>
  <c r="AD651"/>
  <c r="D31"/>
  <c r="B370"/>
  <c r="D28" s="1"/>
  <c r="AH768"/>
  <c r="AG825"/>
  <c r="AE251"/>
  <c r="AF194"/>
  <c r="C1026"/>
  <c r="B1021"/>
  <c r="AD135"/>
  <c r="AE78"/>
  <c r="AC482"/>
  <c r="AD425"/>
  <c r="Z136"/>
  <c r="AA79"/>
  <c r="AF770"/>
  <c r="AE827"/>
  <c r="AE824" s="1"/>
  <c r="Z1064"/>
  <c r="AA1007"/>
  <c r="AC833"/>
  <c r="AD776"/>
  <c r="AH73"/>
  <c r="AG130"/>
  <c r="AC946"/>
  <c r="AD889"/>
  <c r="AD1062"/>
  <c r="AE1005"/>
  <c r="AG594"/>
  <c r="AH537"/>
  <c r="AD601"/>
  <c r="AE544"/>
  <c r="Y948"/>
  <c r="Z891"/>
  <c r="Z1180"/>
  <c r="AA1123"/>
  <c r="X489"/>
  <c r="B432"/>
  <c r="B429" s="1"/>
  <c r="X429"/>
  <c r="G31"/>
  <c r="B718"/>
  <c r="G28" s="1"/>
  <c r="AE943"/>
  <c r="AE940" s="1"/>
  <c r="AF886"/>
  <c r="AE883"/>
  <c r="AH1174"/>
  <c r="B1174" s="1"/>
  <c r="K20" s="1"/>
  <c r="B1117"/>
  <c r="AC485"/>
  <c r="AD428"/>
  <c r="C1222"/>
  <c r="C1241" s="1"/>
  <c r="D969"/>
  <c r="AD715"/>
  <c r="AE658"/>
  <c r="B1078"/>
  <c r="J40" s="1"/>
  <c r="C1083"/>
  <c r="AF942"/>
  <c r="AG885"/>
  <c r="C672"/>
  <c r="B672" s="1"/>
  <c r="B671"/>
  <c r="AE131"/>
  <c r="AF74"/>
  <c r="AG1056"/>
  <c r="AG535"/>
  <c r="AG592"/>
  <c r="AF303"/>
  <c r="AD137"/>
  <c r="AE80"/>
  <c r="AC253"/>
  <c r="AD196"/>
  <c r="C265"/>
  <c r="B265" s="1"/>
  <c r="C39" s="1"/>
  <c r="B264"/>
  <c r="C38" s="1"/>
  <c r="C266"/>
  <c r="L413"/>
  <c r="L439" s="1"/>
  <c r="L461"/>
  <c r="L470" s="1"/>
  <c r="L496" s="1"/>
  <c r="B141"/>
  <c r="X138"/>
  <c r="Z600"/>
  <c r="AA543"/>
  <c r="AH1058"/>
  <c r="B1058" s="1"/>
  <c r="J20" s="1"/>
  <c r="B1001"/>
  <c r="G461"/>
  <c r="G470" s="1"/>
  <c r="G496" s="1"/>
  <c r="G413"/>
  <c r="G439" s="1"/>
  <c r="BD413"/>
  <c r="BD439" s="1"/>
  <c r="BD461"/>
  <c r="BD470" s="1"/>
  <c r="BD496" s="1"/>
  <c r="X413"/>
  <c r="X439" s="1"/>
  <c r="X461"/>
  <c r="X470" s="1"/>
  <c r="X496" s="1"/>
  <c r="AV413"/>
  <c r="AV439" s="1"/>
  <c r="AV461"/>
  <c r="AV470" s="1"/>
  <c r="AV496" s="1"/>
  <c r="P413"/>
  <c r="P439" s="1"/>
  <c r="P461"/>
  <c r="P470" s="1"/>
  <c r="P496" s="1"/>
  <c r="O461"/>
  <c r="O470" s="1"/>
  <c r="O496" s="1"/>
  <c r="O413"/>
  <c r="O439" s="1"/>
  <c r="AE461"/>
  <c r="AE470" s="1"/>
  <c r="AE496" s="1"/>
  <c r="AE413"/>
  <c r="AE439" s="1"/>
  <c r="AU461"/>
  <c r="AU470" s="1"/>
  <c r="AU496" s="1"/>
  <c r="AU413"/>
  <c r="AU439" s="1"/>
  <c r="E461"/>
  <c r="E470" s="1"/>
  <c r="E496" s="1"/>
  <c r="E413"/>
  <c r="E439" s="1"/>
  <c r="AZ413"/>
  <c r="AZ439" s="1"/>
  <c r="AZ461"/>
  <c r="AZ470" s="1"/>
  <c r="AZ496" s="1"/>
  <c r="AJ413"/>
  <c r="AJ439" s="1"/>
  <c r="AJ461"/>
  <c r="AJ470" s="1"/>
  <c r="AJ496" s="1"/>
  <c r="T413"/>
  <c r="T439" s="1"/>
  <c r="T461"/>
  <c r="T470" s="1"/>
  <c r="T496" s="1"/>
  <c r="D413"/>
  <c r="D439" s="1"/>
  <c r="D461"/>
  <c r="D470" s="1"/>
  <c r="D496" s="1"/>
  <c r="S461"/>
  <c r="S470" s="1"/>
  <c r="S496" s="1"/>
  <c r="S413"/>
  <c r="S439" s="1"/>
  <c r="AI461"/>
  <c r="AI470" s="1"/>
  <c r="AI496" s="1"/>
  <c r="AI413"/>
  <c r="AI439" s="1"/>
  <c r="AY461"/>
  <c r="AY470" s="1"/>
  <c r="AY496" s="1"/>
  <c r="AY413"/>
  <c r="AY439" s="1"/>
  <c r="I461"/>
  <c r="I470" s="1"/>
  <c r="I496" s="1"/>
  <c r="I413"/>
  <c r="I439" s="1"/>
  <c r="Q461"/>
  <c r="Q470" s="1"/>
  <c r="Q496" s="1"/>
  <c r="Q413"/>
  <c r="Q439" s="1"/>
  <c r="Y461"/>
  <c r="Y470" s="1"/>
  <c r="Y496" s="1"/>
  <c r="Y413"/>
  <c r="Y439" s="1"/>
  <c r="AG461"/>
  <c r="AG470" s="1"/>
  <c r="AG496" s="1"/>
  <c r="AG413"/>
  <c r="AG439" s="1"/>
  <c r="AO461"/>
  <c r="AO470" s="1"/>
  <c r="AO496" s="1"/>
  <c r="AO413"/>
  <c r="AO439" s="1"/>
  <c r="AW461"/>
  <c r="AW470" s="1"/>
  <c r="AW496" s="1"/>
  <c r="AW413"/>
  <c r="AW439" s="1"/>
  <c r="BE461"/>
  <c r="BE470" s="1"/>
  <c r="BE496" s="1"/>
  <c r="BE413"/>
  <c r="BE439" s="1"/>
  <c r="J461"/>
  <c r="J470" s="1"/>
  <c r="J496" s="1"/>
  <c r="J413"/>
  <c r="J439" s="1"/>
  <c r="R461"/>
  <c r="R470" s="1"/>
  <c r="R496" s="1"/>
  <c r="R413"/>
  <c r="R439" s="1"/>
  <c r="Z461"/>
  <c r="Z470" s="1"/>
  <c r="Z496" s="1"/>
  <c r="Z413"/>
  <c r="Z439" s="1"/>
  <c r="AH461"/>
  <c r="AH470" s="1"/>
  <c r="AH496" s="1"/>
  <c r="AH413"/>
  <c r="AH439" s="1"/>
  <c r="AP461"/>
  <c r="AP470" s="1"/>
  <c r="AP496" s="1"/>
  <c r="AP413"/>
  <c r="AP439" s="1"/>
  <c r="AX461"/>
  <c r="AX470" s="1"/>
  <c r="AX496" s="1"/>
  <c r="AX413"/>
  <c r="AX439" s="1"/>
  <c r="BF461"/>
  <c r="BF470" s="1"/>
  <c r="BF496" s="1"/>
  <c r="BF413"/>
  <c r="BF439" s="1"/>
  <c r="AD247"/>
  <c r="AD244" s="1"/>
  <c r="AE190"/>
  <c r="AD187"/>
  <c r="AE1175"/>
  <c r="AE1172" s="1"/>
  <c r="AF1118"/>
  <c r="AE1115"/>
  <c r="K31"/>
  <c r="B1182"/>
  <c r="K28" s="1"/>
  <c r="C1193"/>
  <c r="B1193" s="1"/>
  <c r="K39" s="1"/>
  <c r="B1192"/>
  <c r="K38" s="1"/>
  <c r="F31"/>
  <c r="B602"/>
  <c r="F28" s="1"/>
  <c r="AG710"/>
  <c r="AH653"/>
  <c r="AH305"/>
  <c r="AG362"/>
  <c r="AH1173"/>
  <c r="AH1115"/>
  <c r="B1116"/>
  <c r="AG769"/>
  <c r="AF826"/>
  <c r="B562"/>
  <c r="C563"/>
  <c r="AF1059"/>
  <c r="B1002"/>
  <c r="AF999"/>
  <c r="Z368"/>
  <c r="AA311"/>
  <c r="AD1181"/>
  <c r="AE1124"/>
  <c r="C853"/>
  <c r="B852"/>
  <c r="H46" s="1"/>
  <c r="AD369"/>
  <c r="AE312"/>
  <c r="AF595"/>
  <c r="B538"/>
  <c r="AF535"/>
  <c r="AD717"/>
  <c r="AE660"/>
  <c r="AH593"/>
  <c r="AH535"/>
  <c r="B536"/>
  <c r="Y484"/>
  <c r="Z427"/>
  <c r="Y716"/>
  <c r="Z659"/>
  <c r="AD598"/>
  <c r="AE541"/>
  <c r="AD366"/>
  <c r="AE309"/>
  <c r="AD831"/>
  <c r="AE774"/>
  <c r="AD479"/>
  <c r="AD476" s="1"/>
  <c r="AE422"/>
  <c r="AD419"/>
  <c r="Y832"/>
  <c r="Z775"/>
  <c r="AD714"/>
  <c r="AE657"/>
  <c r="AD250"/>
  <c r="AE193"/>
  <c r="AE1063"/>
  <c r="AF1006"/>
  <c r="AF1122"/>
  <c r="AE1179"/>
  <c r="AC1065"/>
  <c r="AD1008"/>
  <c r="AC830"/>
  <c r="AD773"/>
  <c r="AD1178"/>
  <c r="AE1121"/>
  <c r="AE483"/>
  <c r="AF426"/>
  <c r="AF477"/>
  <c r="AG420"/>
  <c r="AE367"/>
  <c r="AF310"/>
  <c r="C209"/>
  <c r="AG303"/>
  <c r="AG360"/>
  <c r="C614"/>
  <c r="AF767"/>
  <c r="C382"/>
  <c r="AE767"/>
  <c r="AI1227" l="1"/>
  <c r="AA1227"/>
  <c r="AY1227"/>
  <c r="BG1227"/>
  <c r="AQ1227"/>
  <c r="C1194"/>
  <c r="C673"/>
  <c r="C678" s="1"/>
  <c r="E92"/>
  <c r="E93" s="1"/>
  <c r="E98" s="1"/>
  <c r="E99" s="1"/>
  <c r="BI149"/>
  <c r="BI150" s="1"/>
  <c r="BI155" s="1"/>
  <c r="BI156" s="1"/>
  <c r="BI157" s="1"/>
  <c r="BI1215" s="1"/>
  <c r="BA149"/>
  <c r="BA150" s="1"/>
  <c r="BA155" s="1"/>
  <c r="BA156" s="1"/>
  <c r="BA157" s="1"/>
  <c r="BA1215" s="1"/>
  <c r="AS149"/>
  <c r="AS150" s="1"/>
  <c r="AS155" s="1"/>
  <c r="AS156" s="1"/>
  <c r="AS157" s="1"/>
  <c r="AS1215" s="1"/>
  <c r="AK149"/>
  <c r="AK150" s="1"/>
  <c r="AK155" s="1"/>
  <c r="AK156" s="1"/>
  <c r="AK157" s="1"/>
  <c r="AK1215" s="1"/>
  <c r="AC149"/>
  <c r="AC150" s="1"/>
  <c r="AC155" s="1"/>
  <c r="AC156" s="1"/>
  <c r="AC157" s="1"/>
  <c r="AC1215" s="1"/>
  <c r="U149"/>
  <c r="U150" s="1"/>
  <c r="U155" s="1"/>
  <c r="U156" s="1"/>
  <c r="M149"/>
  <c r="M150" s="1"/>
  <c r="M155" s="1"/>
  <c r="M156" s="1"/>
  <c r="AA134"/>
  <c r="AB77"/>
  <c r="B113"/>
  <c r="B3" s="1"/>
  <c r="C122"/>
  <c r="G149"/>
  <c r="G150" s="1"/>
  <c r="G155" s="1"/>
  <c r="G156" s="1"/>
  <c r="BE92"/>
  <c r="BE93" s="1"/>
  <c r="BE98" s="1"/>
  <c r="BE99" s="1"/>
  <c r="BE100" s="1"/>
  <c r="AW92"/>
  <c r="AW93" s="1"/>
  <c r="AW98" s="1"/>
  <c r="AW99" s="1"/>
  <c r="AW100" s="1"/>
  <c r="AO92"/>
  <c r="AO93" s="1"/>
  <c r="AO98" s="1"/>
  <c r="AO99" s="1"/>
  <c r="AO100" s="1"/>
  <c r="AG92"/>
  <c r="AG93" s="1"/>
  <c r="AG98" s="1"/>
  <c r="AG99" s="1"/>
  <c r="AG100" s="1"/>
  <c r="Y92"/>
  <c r="Y93" s="1"/>
  <c r="Y98" s="1"/>
  <c r="Y99" s="1"/>
  <c r="Y100" s="1"/>
  <c r="Q92"/>
  <c r="Q93" s="1"/>
  <c r="Q98" s="1"/>
  <c r="Q99" s="1"/>
  <c r="I92"/>
  <c r="I93" s="1"/>
  <c r="I98" s="1"/>
  <c r="I99" s="1"/>
  <c r="E149"/>
  <c r="E150" s="1"/>
  <c r="E155" s="1"/>
  <c r="E156" s="1"/>
  <c r="BI92"/>
  <c r="BI93" s="1"/>
  <c r="BI98" s="1"/>
  <c r="BI99" s="1"/>
  <c r="BI100" s="1"/>
  <c r="BA92"/>
  <c r="BA93" s="1"/>
  <c r="BA98" s="1"/>
  <c r="BA99" s="1"/>
  <c r="BA100" s="1"/>
  <c r="AS92"/>
  <c r="AS93" s="1"/>
  <c r="AS98" s="1"/>
  <c r="AS99" s="1"/>
  <c r="AS100" s="1"/>
  <c r="AK92"/>
  <c r="AK93" s="1"/>
  <c r="AK98" s="1"/>
  <c r="AK99" s="1"/>
  <c r="AK100" s="1"/>
  <c r="AC92"/>
  <c r="AC93" s="1"/>
  <c r="AC98" s="1"/>
  <c r="AC99" s="1"/>
  <c r="AC100" s="1"/>
  <c r="U92"/>
  <c r="U93" s="1"/>
  <c r="U98" s="1"/>
  <c r="U99" s="1"/>
  <c r="M92"/>
  <c r="M93" s="1"/>
  <c r="M98" s="1"/>
  <c r="M99" s="1"/>
  <c r="AD129"/>
  <c r="AE72"/>
  <c r="AD71"/>
  <c r="B65"/>
  <c r="C91"/>
  <c r="G92"/>
  <c r="G93" s="1"/>
  <c r="G98" s="1"/>
  <c r="G99" s="1"/>
  <c r="BE149"/>
  <c r="BE150" s="1"/>
  <c r="BE155" s="1"/>
  <c r="BE156" s="1"/>
  <c r="BE157" s="1"/>
  <c r="BE1215" s="1"/>
  <c r="AW149"/>
  <c r="AW150" s="1"/>
  <c r="AW155" s="1"/>
  <c r="AW156" s="1"/>
  <c r="AW157" s="1"/>
  <c r="AW1215" s="1"/>
  <c r="AO149"/>
  <c r="AO150" s="1"/>
  <c r="AO155" s="1"/>
  <c r="AO156" s="1"/>
  <c r="AO157" s="1"/>
  <c r="AO1215" s="1"/>
  <c r="AG149"/>
  <c r="AG150" s="1"/>
  <c r="AG155" s="1"/>
  <c r="AG156" s="1"/>
  <c r="AG157" s="1"/>
  <c r="AG1215" s="1"/>
  <c r="Y149"/>
  <c r="Y150" s="1"/>
  <c r="Y155" s="1"/>
  <c r="Y156" s="1"/>
  <c r="Y157" s="1"/>
  <c r="Y1215" s="1"/>
  <c r="Q149"/>
  <c r="Q150" s="1"/>
  <c r="Q155" s="1"/>
  <c r="Q156" s="1"/>
  <c r="I149"/>
  <c r="I150" s="1"/>
  <c r="I155" s="1"/>
  <c r="I156" s="1"/>
  <c r="C214"/>
  <c r="B209"/>
  <c r="AF367"/>
  <c r="AG310"/>
  <c r="AF1179"/>
  <c r="AG1122"/>
  <c r="AE717"/>
  <c r="AF660"/>
  <c r="B595"/>
  <c r="F21" s="1"/>
  <c r="AF592"/>
  <c r="C1221"/>
  <c r="C1240" s="1"/>
  <c r="D853"/>
  <c r="B563"/>
  <c r="C564"/>
  <c r="D564" s="1"/>
  <c r="E564" s="1"/>
  <c r="F564" s="1"/>
  <c r="G564" s="1"/>
  <c r="H564" s="1"/>
  <c r="I564" s="1"/>
  <c r="J564" s="1"/>
  <c r="K564" s="1"/>
  <c r="L564" s="1"/>
  <c r="M564" s="1"/>
  <c r="N564" s="1"/>
  <c r="O564" s="1"/>
  <c r="P564" s="1"/>
  <c r="Q564" s="1"/>
  <c r="R564" s="1"/>
  <c r="S564" s="1"/>
  <c r="T564" s="1"/>
  <c r="U564" s="1"/>
  <c r="V564" s="1"/>
  <c r="W564" s="1"/>
  <c r="AH1172"/>
  <c r="B1173"/>
  <c r="AH362"/>
  <c r="B362" s="1"/>
  <c r="D20" s="1"/>
  <c r="B305"/>
  <c r="AF190"/>
  <c r="AE247"/>
  <c r="AE244" s="1"/>
  <c r="AE187"/>
  <c r="BF440"/>
  <c r="BF441" s="1"/>
  <c r="BF446" s="1"/>
  <c r="BF447" s="1"/>
  <c r="BF448" s="1"/>
  <c r="AX440"/>
  <c r="AX441" s="1"/>
  <c r="AX446" s="1"/>
  <c r="AX447" s="1"/>
  <c r="AX448" s="1"/>
  <c r="AP440"/>
  <c r="AP441" s="1"/>
  <c r="AP446" s="1"/>
  <c r="AP447" s="1"/>
  <c r="AP448" s="1"/>
  <c r="AH440"/>
  <c r="AH441" s="1"/>
  <c r="AH446" s="1"/>
  <c r="AH447" s="1"/>
  <c r="AH448" s="1"/>
  <c r="Z440"/>
  <c r="Z441" s="1"/>
  <c r="Z446" s="1"/>
  <c r="Z447" s="1"/>
  <c r="Z448" s="1"/>
  <c r="R440"/>
  <c r="R441" s="1"/>
  <c r="R446" s="1"/>
  <c r="R447" s="1"/>
  <c r="J440"/>
  <c r="J441" s="1"/>
  <c r="J446" s="1"/>
  <c r="J447" s="1"/>
  <c r="BE440"/>
  <c r="BE441" s="1"/>
  <c r="BE446" s="1"/>
  <c r="BE447" s="1"/>
  <c r="BE448" s="1"/>
  <c r="AW440"/>
  <c r="AW441" s="1"/>
  <c r="AW446" s="1"/>
  <c r="AW447" s="1"/>
  <c r="AW448" s="1"/>
  <c r="AO440"/>
  <c r="AO441" s="1"/>
  <c r="AO446" s="1"/>
  <c r="AO447" s="1"/>
  <c r="AO448" s="1"/>
  <c r="AG440"/>
  <c r="AG441" s="1"/>
  <c r="AG446" s="1"/>
  <c r="AG447" s="1"/>
  <c r="AG448" s="1"/>
  <c r="Y440"/>
  <c r="Y441" s="1"/>
  <c r="Y446" s="1"/>
  <c r="Y447" s="1"/>
  <c r="Y448" s="1"/>
  <c r="Q440"/>
  <c r="Q441" s="1"/>
  <c r="Q446" s="1"/>
  <c r="Q447" s="1"/>
  <c r="I440"/>
  <c r="I441" s="1"/>
  <c r="I446" s="1"/>
  <c r="I447" s="1"/>
  <c r="AY440"/>
  <c r="AY441" s="1"/>
  <c r="AY446" s="1"/>
  <c r="AY447" s="1"/>
  <c r="AY448" s="1"/>
  <c r="AI440"/>
  <c r="AI441" s="1"/>
  <c r="AI446" s="1"/>
  <c r="AI447" s="1"/>
  <c r="AI448" s="1"/>
  <c r="S440"/>
  <c r="S441" s="1"/>
  <c r="S446" s="1"/>
  <c r="S447" s="1"/>
  <c r="D497"/>
  <c r="D498" s="1"/>
  <c r="D503" s="1"/>
  <c r="D504" s="1"/>
  <c r="T497"/>
  <c r="T498" s="1"/>
  <c r="T503" s="1"/>
  <c r="T504" s="1"/>
  <c r="AJ497"/>
  <c r="AJ498" s="1"/>
  <c r="AJ503" s="1"/>
  <c r="AJ504" s="1"/>
  <c r="AJ505" s="1"/>
  <c r="AJ1218" s="1"/>
  <c r="AZ497"/>
  <c r="AZ498" s="1"/>
  <c r="AZ503" s="1"/>
  <c r="AZ504" s="1"/>
  <c r="AZ505" s="1"/>
  <c r="AZ1218" s="1"/>
  <c r="E440"/>
  <c r="E441" s="1"/>
  <c r="E446" s="1"/>
  <c r="E447" s="1"/>
  <c r="AU440"/>
  <c r="AU441" s="1"/>
  <c r="AU446" s="1"/>
  <c r="AU447" s="1"/>
  <c r="AU448" s="1"/>
  <c r="AE440"/>
  <c r="AE441" s="1"/>
  <c r="AE446" s="1"/>
  <c r="AE447" s="1"/>
  <c r="AE448" s="1"/>
  <c r="O440"/>
  <c r="O441" s="1"/>
  <c r="O446" s="1"/>
  <c r="O447" s="1"/>
  <c r="P497"/>
  <c r="P498" s="1"/>
  <c r="P503" s="1"/>
  <c r="P504" s="1"/>
  <c r="AV497"/>
  <c r="AV498" s="1"/>
  <c r="AV503" s="1"/>
  <c r="AV504" s="1"/>
  <c r="AV505" s="1"/>
  <c r="AV1218" s="1"/>
  <c r="X497"/>
  <c r="X498" s="1"/>
  <c r="X503" s="1"/>
  <c r="X504" s="1"/>
  <c r="BD497"/>
  <c r="BD498" s="1"/>
  <c r="BD503" s="1"/>
  <c r="BD504" s="1"/>
  <c r="BD505" s="1"/>
  <c r="BD1218" s="1"/>
  <c r="G440"/>
  <c r="G441" s="1"/>
  <c r="G446" s="1"/>
  <c r="G447" s="1"/>
  <c r="AA600"/>
  <c r="AB543"/>
  <c r="L497"/>
  <c r="L498" s="1"/>
  <c r="L503" s="1"/>
  <c r="L504" s="1"/>
  <c r="B266"/>
  <c r="C40" s="1"/>
  <c r="C271"/>
  <c r="AH885"/>
  <c r="AG942"/>
  <c r="C1084"/>
  <c r="B1083"/>
  <c r="J45" s="1"/>
  <c r="AE715"/>
  <c r="AF658"/>
  <c r="D1222"/>
  <c r="D1241" s="1"/>
  <c r="E969"/>
  <c r="AF943"/>
  <c r="B886"/>
  <c r="AF883"/>
  <c r="B489"/>
  <c r="X486"/>
  <c r="AD833"/>
  <c r="AE776"/>
  <c r="AA1064"/>
  <c r="AB1007"/>
  <c r="AA136"/>
  <c r="AB79"/>
  <c r="AD482"/>
  <c r="AE425"/>
  <c r="AE135"/>
  <c r="AF78"/>
  <c r="AF251"/>
  <c r="AG194"/>
  <c r="AH825"/>
  <c r="B768"/>
  <c r="AF654"/>
  <c r="AE711"/>
  <c r="AE708" s="1"/>
  <c r="AE651"/>
  <c r="AA252"/>
  <c r="AB195"/>
  <c r="C729"/>
  <c r="B729" s="1"/>
  <c r="G39" s="1"/>
  <c r="B728"/>
  <c r="G38" s="1"/>
  <c r="C730"/>
  <c r="AD949"/>
  <c r="AE892"/>
  <c r="AF599"/>
  <c r="AG542"/>
  <c r="AH883"/>
  <c r="AH941"/>
  <c r="B884"/>
  <c r="AH1056"/>
  <c r="B1057"/>
  <c r="B331"/>
  <c r="C332"/>
  <c r="D332" s="1"/>
  <c r="E332" s="1"/>
  <c r="F332" s="1"/>
  <c r="G332" s="1"/>
  <c r="H332" s="1"/>
  <c r="I332" s="1"/>
  <c r="J332" s="1"/>
  <c r="K332" s="1"/>
  <c r="L332" s="1"/>
  <c r="M332" s="1"/>
  <c r="N332" s="1"/>
  <c r="O332" s="1"/>
  <c r="P332" s="1"/>
  <c r="Q332" s="1"/>
  <c r="R332" s="1"/>
  <c r="S332" s="1"/>
  <c r="T332" s="1"/>
  <c r="U332" s="1"/>
  <c r="V332" s="1"/>
  <c r="W332" s="1"/>
  <c r="BJ497"/>
  <c r="BJ498" s="1"/>
  <c r="BJ503" s="1"/>
  <c r="BJ504" s="1"/>
  <c r="BJ505" s="1"/>
  <c r="BJ1218" s="1"/>
  <c r="BB497"/>
  <c r="BB498" s="1"/>
  <c r="BB503" s="1"/>
  <c r="BB504" s="1"/>
  <c r="BB505" s="1"/>
  <c r="BB1218" s="1"/>
  <c r="AT497"/>
  <c r="AT498" s="1"/>
  <c r="AT503" s="1"/>
  <c r="AT504" s="1"/>
  <c r="AT505" s="1"/>
  <c r="AT1218" s="1"/>
  <c r="AL497"/>
  <c r="AL498" s="1"/>
  <c r="AL503" s="1"/>
  <c r="AL504" s="1"/>
  <c r="AL505" s="1"/>
  <c r="AL1218" s="1"/>
  <c r="AD497"/>
  <c r="AD498" s="1"/>
  <c r="AD503" s="1"/>
  <c r="AD504" s="1"/>
  <c r="AD505" s="1"/>
  <c r="AD1218" s="1"/>
  <c r="V497"/>
  <c r="V498" s="1"/>
  <c r="V503" s="1"/>
  <c r="V504" s="1"/>
  <c r="N497"/>
  <c r="N498" s="1"/>
  <c r="N503" s="1"/>
  <c r="N504" s="1"/>
  <c r="BI497"/>
  <c r="BI498" s="1"/>
  <c r="BI503" s="1"/>
  <c r="BI504" s="1"/>
  <c r="BI505" s="1"/>
  <c r="BI1218" s="1"/>
  <c r="BA497"/>
  <c r="BA498" s="1"/>
  <c r="BA503" s="1"/>
  <c r="BA504" s="1"/>
  <c r="BA505" s="1"/>
  <c r="BA1218" s="1"/>
  <c r="AS497"/>
  <c r="AS498" s="1"/>
  <c r="AS503" s="1"/>
  <c r="AS504" s="1"/>
  <c r="AS505" s="1"/>
  <c r="AS1218" s="1"/>
  <c r="AK497"/>
  <c r="AK498" s="1"/>
  <c r="AK503" s="1"/>
  <c r="AK504" s="1"/>
  <c r="AK505" s="1"/>
  <c r="AK1218" s="1"/>
  <c r="AC497"/>
  <c r="AC498" s="1"/>
  <c r="AC503" s="1"/>
  <c r="AC504" s="1"/>
  <c r="AC505" s="1"/>
  <c r="AC1218" s="1"/>
  <c r="U497"/>
  <c r="U498" s="1"/>
  <c r="U503" s="1"/>
  <c r="U504" s="1"/>
  <c r="M497"/>
  <c r="M498" s="1"/>
  <c r="M503" s="1"/>
  <c r="M504" s="1"/>
  <c r="BG497"/>
  <c r="BG498" s="1"/>
  <c r="BG503" s="1"/>
  <c r="BG504" s="1"/>
  <c r="BG505" s="1"/>
  <c r="BG1218" s="1"/>
  <c r="AQ497"/>
  <c r="AQ498" s="1"/>
  <c r="AQ503" s="1"/>
  <c r="AQ504" s="1"/>
  <c r="AQ505" s="1"/>
  <c r="AQ1218" s="1"/>
  <c r="AA497"/>
  <c r="AA498" s="1"/>
  <c r="AA503" s="1"/>
  <c r="AA504" s="1"/>
  <c r="AA505" s="1"/>
  <c r="AA1218" s="1"/>
  <c r="K497"/>
  <c r="K498" s="1"/>
  <c r="K503" s="1"/>
  <c r="K504" s="1"/>
  <c r="AB440"/>
  <c r="AB441" s="1"/>
  <c r="AB446" s="1"/>
  <c r="AB447" s="1"/>
  <c r="AB448" s="1"/>
  <c r="AR440"/>
  <c r="AR441" s="1"/>
  <c r="AR446" s="1"/>
  <c r="AR447" s="1"/>
  <c r="AR448" s="1"/>
  <c r="BH440"/>
  <c r="BH441" s="1"/>
  <c r="BH446" s="1"/>
  <c r="BH447" s="1"/>
  <c r="BH448" s="1"/>
  <c r="BC497"/>
  <c r="BC498" s="1"/>
  <c r="BC503" s="1"/>
  <c r="BC504" s="1"/>
  <c r="BC505" s="1"/>
  <c r="BC1218" s="1"/>
  <c r="AM497"/>
  <c r="AM498" s="1"/>
  <c r="AM503" s="1"/>
  <c r="AM504" s="1"/>
  <c r="AM505" s="1"/>
  <c r="AM1218" s="1"/>
  <c r="W497"/>
  <c r="W498" s="1"/>
  <c r="W503" s="1"/>
  <c r="W504" s="1"/>
  <c r="C439"/>
  <c r="B413"/>
  <c r="AF497"/>
  <c r="AF498" s="1"/>
  <c r="AF503" s="1"/>
  <c r="AF504" s="1"/>
  <c r="AF505" s="1"/>
  <c r="AF1218" s="1"/>
  <c r="H497"/>
  <c r="H498" s="1"/>
  <c r="H503" s="1"/>
  <c r="H504" s="1"/>
  <c r="AN497"/>
  <c r="AN498" s="1"/>
  <c r="AN503" s="1"/>
  <c r="AN504" s="1"/>
  <c r="AN505" s="1"/>
  <c r="AN1218" s="1"/>
  <c r="F440"/>
  <c r="F441" s="1"/>
  <c r="F446" s="1"/>
  <c r="F447" s="1"/>
  <c r="AH478"/>
  <c r="B478" s="1"/>
  <c r="E20" s="1"/>
  <c r="B421"/>
  <c r="AG246"/>
  <c r="AH189"/>
  <c r="AE947"/>
  <c r="AF890"/>
  <c r="AG824"/>
  <c r="B303"/>
  <c r="AH303"/>
  <c r="B999"/>
  <c r="C387"/>
  <c r="B382"/>
  <c r="D40" s="1"/>
  <c r="C619"/>
  <c r="B614"/>
  <c r="F40" s="1"/>
  <c r="AH420"/>
  <c r="AG419"/>
  <c r="AG477"/>
  <c r="AG476" s="1"/>
  <c r="AG426"/>
  <c r="AF483"/>
  <c r="AE1178"/>
  <c r="AF1121"/>
  <c r="AD830"/>
  <c r="AE773"/>
  <c r="AD1065"/>
  <c r="AE1008"/>
  <c r="AF1063"/>
  <c r="AG1006"/>
  <c r="AE250"/>
  <c r="AF193"/>
  <c r="AE714"/>
  <c r="AF657"/>
  <c r="Z832"/>
  <c r="AA775"/>
  <c r="AF422"/>
  <c r="AE479"/>
  <c r="AE476" s="1"/>
  <c r="AE419"/>
  <c r="AE831"/>
  <c r="AF774"/>
  <c r="AE366"/>
  <c r="AF309"/>
  <c r="AE598"/>
  <c r="AF541"/>
  <c r="AA659"/>
  <c r="Z716"/>
  <c r="AA427"/>
  <c r="Z484"/>
  <c r="B593"/>
  <c r="AE369"/>
  <c r="AF312"/>
  <c r="AE1181"/>
  <c r="AF1124"/>
  <c r="AB311"/>
  <c r="AA368"/>
  <c r="B1059"/>
  <c r="J21" s="1"/>
  <c r="AF1056"/>
  <c r="AG826"/>
  <c r="AH769"/>
  <c r="AH710"/>
  <c r="B710" s="1"/>
  <c r="G20" s="1"/>
  <c r="B653"/>
  <c r="B1194"/>
  <c r="K40" s="1"/>
  <c r="C1199"/>
  <c r="AF1175"/>
  <c r="B1118"/>
  <c r="B1115" s="1"/>
  <c r="AF1115"/>
  <c r="BF497"/>
  <c r="BF498" s="1"/>
  <c r="BF503" s="1"/>
  <c r="BF504" s="1"/>
  <c r="BF505" s="1"/>
  <c r="BF1218" s="1"/>
  <c r="AX497"/>
  <c r="AX498" s="1"/>
  <c r="AX503" s="1"/>
  <c r="AX504" s="1"/>
  <c r="AX505" s="1"/>
  <c r="AX1218" s="1"/>
  <c r="AP497"/>
  <c r="AP498" s="1"/>
  <c r="AP503" s="1"/>
  <c r="AP504" s="1"/>
  <c r="AP505" s="1"/>
  <c r="AP1218" s="1"/>
  <c r="AH497"/>
  <c r="AH498" s="1"/>
  <c r="AH503" s="1"/>
  <c r="AH504" s="1"/>
  <c r="AH505" s="1"/>
  <c r="AH1218" s="1"/>
  <c r="Z497"/>
  <c r="Z498" s="1"/>
  <c r="Z503" s="1"/>
  <c r="Z504" s="1"/>
  <c r="Z505" s="1"/>
  <c r="Z1218" s="1"/>
  <c r="R497"/>
  <c r="R498" s="1"/>
  <c r="R503" s="1"/>
  <c r="R504" s="1"/>
  <c r="J497"/>
  <c r="J498" s="1"/>
  <c r="J503" s="1"/>
  <c r="J504" s="1"/>
  <c r="BE497"/>
  <c r="BE498" s="1"/>
  <c r="BE503" s="1"/>
  <c r="BE504" s="1"/>
  <c r="BE505" s="1"/>
  <c r="BE1218" s="1"/>
  <c r="AW497"/>
  <c r="AW498" s="1"/>
  <c r="AW503" s="1"/>
  <c r="AW504" s="1"/>
  <c r="AW505" s="1"/>
  <c r="AW1218" s="1"/>
  <c r="AO497"/>
  <c r="AO498" s="1"/>
  <c r="AO503" s="1"/>
  <c r="AO504" s="1"/>
  <c r="AO505" s="1"/>
  <c r="AO1218" s="1"/>
  <c r="AG497"/>
  <c r="AG498" s="1"/>
  <c r="AG503" s="1"/>
  <c r="AG504" s="1"/>
  <c r="AG505" s="1"/>
  <c r="AG1218" s="1"/>
  <c r="Y497"/>
  <c r="Y498" s="1"/>
  <c r="Y503" s="1"/>
  <c r="Y504" s="1"/>
  <c r="Y505" s="1"/>
  <c r="Y1218" s="1"/>
  <c r="Q497"/>
  <c r="Q498" s="1"/>
  <c r="Q503" s="1"/>
  <c r="Q504" s="1"/>
  <c r="I497"/>
  <c r="I498" s="1"/>
  <c r="I503" s="1"/>
  <c r="I504" s="1"/>
  <c r="AY497"/>
  <c r="AY498" s="1"/>
  <c r="AY503" s="1"/>
  <c r="AY504" s="1"/>
  <c r="AY505" s="1"/>
  <c r="AY1218" s="1"/>
  <c r="AI497"/>
  <c r="AI498" s="1"/>
  <c r="AI503" s="1"/>
  <c r="AI504" s="1"/>
  <c r="AI505" s="1"/>
  <c r="AI1218" s="1"/>
  <c r="S497"/>
  <c r="S498" s="1"/>
  <c r="S503" s="1"/>
  <c r="S504" s="1"/>
  <c r="D440"/>
  <c r="D441" s="1"/>
  <c r="D446" s="1"/>
  <c r="D447" s="1"/>
  <c r="T440"/>
  <c r="T441" s="1"/>
  <c r="T446" s="1"/>
  <c r="T447" s="1"/>
  <c r="AJ440"/>
  <c r="AJ441" s="1"/>
  <c r="AJ446" s="1"/>
  <c r="AJ447" s="1"/>
  <c r="AJ448" s="1"/>
  <c r="AZ440"/>
  <c r="AZ441" s="1"/>
  <c r="AZ446" s="1"/>
  <c r="AZ447" s="1"/>
  <c r="AZ448" s="1"/>
  <c r="E497"/>
  <c r="E498" s="1"/>
  <c r="E503" s="1"/>
  <c r="E504" s="1"/>
  <c r="AU497"/>
  <c r="AU498" s="1"/>
  <c r="AU503" s="1"/>
  <c r="AU504" s="1"/>
  <c r="AU505" s="1"/>
  <c r="AU1218" s="1"/>
  <c r="AE497"/>
  <c r="AE498" s="1"/>
  <c r="AE503" s="1"/>
  <c r="AE504" s="1"/>
  <c r="AE505" s="1"/>
  <c r="AE1218" s="1"/>
  <c r="O497"/>
  <c r="O498" s="1"/>
  <c r="O503" s="1"/>
  <c r="O504" s="1"/>
  <c r="P440"/>
  <c r="P441" s="1"/>
  <c r="P446" s="1"/>
  <c r="P447" s="1"/>
  <c r="AV440"/>
  <c r="AV441" s="1"/>
  <c r="AV446" s="1"/>
  <c r="AV447" s="1"/>
  <c r="AV448" s="1"/>
  <c r="X440"/>
  <c r="X441" s="1"/>
  <c r="X446" s="1"/>
  <c r="X447" s="1"/>
  <c r="BD440"/>
  <c r="BD441" s="1"/>
  <c r="BD446" s="1"/>
  <c r="BD447" s="1"/>
  <c r="BD448" s="1"/>
  <c r="G497"/>
  <c r="G498" s="1"/>
  <c r="G503" s="1"/>
  <c r="G504" s="1"/>
  <c r="B31"/>
  <c r="B138"/>
  <c r="B28" s="1"/>
  <c r="L440"/>
  <c r="L441" s="1"/>
  <c r="L446" s="1"/>
  <c r="L447" s="1"/>
  <c r="AD253"/>
  <c r="AE196"/>
  <c r="AE137"/>
  <c r="AF80"/>
  <c r="AF131"/>
  <c r="B74"/>
  <c r="B673"/>
  <c r="AD485"/>
  <c r="AE428"/>
  <c r="AA1180"/>
  <c r="AB1123"/>
  <c r="Z948"/>
  <c r="AA891"/>
  <c r="AE601"/>
  <c r="AF544"/>
  <c r="AH594"/>
  <c r="B594" s="1"/>
  <c r="F20" s="1"/>
  <c r="B537"/>
  <c r="AE1062"/>
  <c r="AF1005"/>
  <c r="AD946"/>
  <c r="AE889"/>
  <c r="AH130"/>
  <c r="B73"/>
  <c r="AF827"/>
  <c r="B770"/>
  <c r="C1027"/>
  <c r="B1026"/>
  <c r="AH360"/>
  <c r="B361"/>
  <c r="AH245"/>
  <c r="AH187"/>
  <c r="B188"/>
  <c r="AH652"/>
  <c r="AG651"/>
  <c r="AG709"/>
  <c r="AG708" s="1"/>
  <c r="BJ440"/>
  <c r="BJ441" s="1"/>
  <c r="BJ446" s="1"/>
  <c r="BJ447" s="1"/>
  <c r="BJ448" s="1"/>
  <c r="BB440"/>
  <c r="BB441" s="1"/>
  <c r="BB446" s="1"/>
  <c r="BB447" s="1"/>
  <c r="BB448" s="1"/>
  <c r="AT440"/>
  <c r="AT441" s="1"/>
  <c r="AT446" s="1"/>
  <c r="AT447" s="1"/>
  <c r="AT448" s="1"/>
  <c r="AL440"/>
  <c r="AL441" s="1"/>
  <c r="AL446" s="1"/>
  <c r="AL447" s="1"/>
  <c r="AL448" s="1"/>
  <c r="AD440"/>
  <c r="AD441" s="1"/>
  <c r="AD446" s="1"/>
  <c r="AD447" s="1"/>
  <c r="AD448" s="1"/>
  <c r="V440"/>
  <c r="V441" s="1"/>
  <c r="V446" s="1"/>
  <c r="V447" s="1"/>
  <c r="N440"/>
  <c r="N441" s="1"/>
  <c r="N446" s="1"/>
  <c r="N447" s="1"/>
  <c r="BI440"/>
  <c r="BI441" s="1"/>
  <c r="BI446" s="1"/>
  <c r="BI447" s="1"/>
  <c r="BI448" s="1"/>
  <c r="BA440"/>
  <c r="BA441" s="1"/>
  <c r="BA446" s="1"/>
  <c r="BA447" s="1"/>
  <c r="BA448" s="1"/>
  <c r="AS440"/>
  <c r="AS441" s="1"/>
  <c r="AS446" s="1"/>
  <c r="AS447" s="1"/>
  <c r="AS448" s="1"/>
  <c r="AK440"/>
  <c r="AK441" s="1"/>
  <c r="AK446" s="1"/>
  <c r="AK447" s="1"/>
  <c r="AK448" s="1"/>
  <c r="AC440"/>
  <c r="AC441" s="1"/>
  <c r="AC446" s="1"/>
  <c r="AC447" s="1"/>
  <c r="AC448" s="1"/>
  <c r="U440"/>
  <c r="U441" s="1"/>
  <c r="U446" s="1"/>
  <c r="U447" s="1"/>
  <c r="M440"/>
  <c r="M441" s="1"/>
  <c r="M446" s="1"/>
  <c r="M447" s="1"/>
  <c r="BG440"/>
  <c r="BG441" s="1"/>
  <c r="BG446" s="1"/>
  <c r="BG447" s="1"/>
  <c r="BG448" s="1"/>
  <c r="AQ440"/>
  <c r="AQ441" s="1"/>
  <c r="AQ446" s="1"/>
  <c r="AQ447" s="1"/>
  <c r="AQ448" s="1"/>
  <c r="AA440"/>
  <c r="AA441" s="1"/>
  <c r="AA446" s="1"/>
  <c r="AA447" s="1"/>
  <c r="AA448" s="1"/>
  <c r="K440"/>
  <c r="K441" s="1"/>
  <c r="K446" s="1"/>
  <c r="K447" s="1"/>
  <c r="AB497"/>
  <c r="AB498" s="1"/>
  <c r="AB503" s="1"/>
  <c r="AB504" s="1"/>
  <c r="AB505" s="1"/>
  <c r="AB1218" s="1"/>
  <c r="AR497"/>
  <c r="AR498" s="1"/>
  <c r="AR503" s="1"/>
  <c r="AR504" s="1"/>
  <c r="AR505" s="1"/>
  <c r="AR1218" s="1"/>
  <c r="BH497"/>
  <c r="BH498" s="1"/>
  <c r="BH503" s="1"/>
  <c r="BH504" s="1"/>
  <c r="BH505" s="1"/>
  <c r="BH1218" s="1"/>
  <c r="BC440"/>
  <c r="BC441" s="1"/>
  <c r="BC446" s="1"/>
  <c r="BC447" s="1"/>
  <c r="BC448" s="1"/>
  <c r="AM440"/>
  <c r="AM441" s="1"/>
  <c r="AM446" s="1"/>
  <c r="AM447" s="1"/>
  <c r="AM448" s="1"/>
  <c r="W440"/>
  <c r="W441" s="1"/>
  <c r="W446" s="1"/>
  <c r="W447" s="1"/>
  <c r="B461"/>
  <c r="E3" s="1"/>
  <c r="C470"/>
  <c r="AF440"/>
  <c r="AF441" s="1"/>
  <c r="AF446" s="1"/>
  <c r="AF447" s="1"/>
  <c r="AF448" s="1"/>
  <c r="H440"/>
  <c r="H441" s="1"/>
  <c r="H446" s="1"/>
  <c r="H447" s="1"/>
  <c r="AN440"/>
  <c r="AN441" s="1"/>
  <c r="AN446" s="1"/>
  <c r="AN447" s="1"/>
  <c r="AN448" s="1"/>
  <c r="F497"/>
  <c r="F498" s="1"/>
  <c r="F503" s="1"/>
  <c r="F504" s="1"/>
  <c r="B1142"/>
  <c r="C1143"/>
  <c r="B363"/>
  <c r="D21" s="1"/>
  <c r="AF360"/>
  <c r="B535"/>
  <c r="AG767"/>
  <c r="AG883"/>
  <c r="AG940"/>
  <c r="AG244"/>
  <c r="AK1227" l="1"/>
  <c r="AK1234"/>
  <c r="BA1227"/>
  <c r="BA1234"/>
  <c r="AC1227"/>
  <c r="AC1234"/>
  <c r="AS1227"/>
  <c r="AS1234"/>
  <c r="BI1227"/>
  <c r="BI1234"/>
  <c r="B91"/>
  <c r="C92"/>
  <c r="B92" s="1"/>
  <c r="AF72"/>
  <c r="AE129"/>
  <c r="AE128" s="1"/>
  <c r="AE71"/>
  <c r="Y1227"/>
  <c r="Y1234"/>
  <c r="AG1227"/>
  <c r="AG1234"/>
  <c r="AO1227"/>
  <c r="AO1234"/>
  <c r="AW1227"/>
  <c r="AW1234"/>
  <c r="BE1227"/>
  <c r="BE1234"/>
  <c r="AD128"/>
  <c r="B122"/>
  <c r="B12" s="1"/>
  <c r="C148"/>
  <c r="AC77"/>
  <c r="AB134"/>
  <c r="AR1237"/>
  <c r="AR1230"/>
  <c r="AH1237"/>
  <c r="AH1230"/>
  <c r="AX1237"/>
  <c r="AX1230"/>
  <c r="AN1237"/>
  <c r="AN1230"/>
  <c r="AF1237"/>
  <c r="AF1230"/>
  <c r="AL1237"/>
  <c r="AL1230"/>
  <c r="BB1237"/>
  <c r="BB1230"/>
  <c r="BH1237"/>
  <c r="BH1230"/>
  <c r="AB1237"/>
  <c r="AB1230"/>
  <c r="Z1237"/>
  <c r="Z1230"/>
  <c r="AP1237"/>
  <c r="AP1230"/>
  <c r="BF1237"/>
  <c r="BF1230"/>
  <c r="AD1237"/>
  <c r="AD1230"/>
  <c r="AT1237"/>
  <c r="AT1230"/>
  <c r="BJ1237"/>
  <c r="BJ1230"/>
  <c r="B1143"/>
  <c r="C1144"/>
  <c r="D1144" s="1"/>
  <c r="E1144" s="1"/>
  <c r="F1144" s="1"/>
  <c r="G1144" s="1"/>
  <c r="H1144" s="1"/>
  <c r="I1144" s="1"/>
  <c r="J1144" s="1"/>
  <c r="K1144" s="1"/>
  <c r="L1144" s="1"/>
  <c r="M1144" s="1"/>
  <c r="N1144" s="1"/>
  <c r="O1144" s="1"/>
  <c r="P1144" s="1"/>
  <c r="Q1144" s="1"/>
  <c r="R1144" s="1"/>
  <c r="S1144" s="1"/>
  <c r="T1144" s="1"/>
  <c r="U1144" s="1"/>
  <c r="V1144" s="1"/>
  <c r="W1144" s="1"/>
  <c r="B470"/>
  <c r="E12" s="1"/>
  <c r="C496"/>
  <c r="AH709"/>
  <c r="AH651"/>
  <c r="B652"/>
  <c r="AF137"/>
  <c r="AG80"/>
  <c r="AE253"/>
  <c r="AF196"/>
  <c r="AE1237"/>
  <c r="AE1230"/>
  <c r="AI1237"/>
  <c r="AI1230"/>
  <c r="Y1237"/>
  <c r="Y1230"/>
  <c r="AG1237"/>
  <c r="AG1230"/>
  <c r="AO1237"/>
  <c r="AO1230"/>
  <c r="BE1237"/>
  <c r="BE1230"/>
  <c r="B1175"/>
  <c r="K21" s="1"/>
  <c r="AF1172"/>
  <c r="C1200"/>
  <c r="B1199"/>
  <c r="K45" s="1"/>
  <c r="AH826"/>
  <c r="B826" s="1"/>
  <c r="H20" s="1"/>
  <c r="B769"/>
  <c r="AF1181"/>
  <c r="AG1124"/>
  <c r="AF369"/>
  <c r="AG312"/>
  <c r="B592"/>
  <c r="F18" s="1"/>
  <c r="F19"/>
  <c r="AF598"/>
  <c r="AG541"/>
  <c r="AF366"/>
  <c r="AG309"/>
  <c r="AF831"/>
  <c r="AG774"/>
  <c r="AF479"/>
  <c r="B422"/>
  <c r="AF419"/>
  <c r="AG483"/>
  <c r="AH426"/>
  <c r="AF947"/>
  <c r="AG890"/>
  <c r="AH246"/>
  <c r="B246" s="1"/>
  <c r="C20" s="1"/>
  <c r="B189"/>
  <c r="AM1237"/>
  <c r="AM1230"/>
  <c r="BC1237"/>
  <c r="BC1230"/>
  <c r="AA1237"/>
  <c r="AA1230"/>
  <c r="AQ1237"/>
  <c r="AQ1230"/>
  <c r="BG1237"/>
  <c r="BG1230"/>
  <c r="AC1237"/>
  <c r="AC1230"/>
  <c r="AK1237"/>
  <c r="AK1230"/>
  <c r="AS1237"/>
  <c r="AS1230"/>
  <c r="BA1237"/>
  <c r="BA1230"/>
  <c r="BI1237"/>
  <c r="BI1230"/>
  <c r="B1056"/>
  <c r="J18" s="1"/>
  <c r="J19"/>
  <c r="AB252"/>
  <c r="AC195"/>
  <c r="AF711"/>
  <c r="B654"/>
  <c r="AF651"/>
  <c r="AG251"/>
  <c r="AH194"/>
  <c r="AF135"/>
  <c r="AG78"/>
  <c r="AE482"/>
  <c r="AF425"/>
  <c r="AB136"/>
  <c r="AC79"/>
  <c r="AB1064"/>
  <c r="AC1007"/>
  <c r="AE833"/>
  <c r="AF776"/>
  <c r="B943"/>
  <c r="I21" s="1"/>
  <c r="AF940"/>
  <c r="C1085"/>
  <c r="B1084"/>
  <c r="J46" s="1"/>
  <c r="AH942"/>
  <c r="B942" s="1"/>
  <c r="I20" s="1"/>
  <c r="B885"/>
  <c r="BD1237"/>
  <c r="BD1230"/>
  <c r="AV1237"/>
  <c r="AV1230"/>
  <c r="AZ1237"/>
  <c r="AZ1230"/>
  <c r="AJ1237"/>
  <c r="AJ1230"/>
  <c r="B1172"/>
  <c r="K18" s="1"/>
  <c r="K19"/>
  <c r="D1221"/>
  <c r="D1240" s="1"/>
  <c r="E853"/>
  <c r="C215"/>
  <c r="B214"/>
  <c r="B883"/>
  <c r="AH767"/>
  <c r="B360"/>
  <c r="D18" s="1"/>
  <c r="D19"/>
  <c r="B130"/>
  <c r="C679"/>
  <c r="B678"/>
  <c r="AU1237"/>
  <c r="AU1230"/>
  <c r="AY1237"/>
  <c r="AY1230"/>
  <c r="AW1237"/>
  <c r="AW1230"/>
  <c r="AH244"/>
  <c r="B245"/>
  <c r="C1028"/>
  <c r="D1028" s="1"/>
  <c r="E1028" s="1"/>
  <c r="F1028" s="1"/>
  <c r="G1028" s="1"/>
  <c r="H1028" s="1"/>
  <c r="I1028" s="1"/>
  <c r="J1028" s="1"/>
  <c r="K1028" s="1"/>
  <c r="L1028" s="1"/>
  <c r="M1028" s="1"/>
  <c r="N1028" s="1"/>
  <c r="O1028" s="1"/>
  <c r="P1028" s="1"/>
  <c r="Q1028" s="1"/>
  <c r="R1028" s="1"/>
  <c r="S1028" s="1"/>
  <c r="T1028" s="1"/>
  <c r="U1028" s="1"/>
  <c r="V1028" s="1"/>
  <c r="B1027"/>
  <c r="B827"/>
  <c r="H21" s="1"/>
  <c r="AF824"/>
  <c r="AE946"/>
  <c r="AF889"/>
  <c r="AF1062"/>
  <c r="AG1005"/>
  <c r="AF601"/>
  <c r="AG544"/>
  <c r="AA948"/>
  <c r="AB891"/>
  <c r="AB1180"/>
  <c r="AC1123"/>
  <c r="AE485"/>
  <c r="AF428"/>
  <c r="B131"/>
  <c r="B21" s="1"/>
  <c r="AB368"/>
  <c r="AC311"/>
  <c r="AA484"/>
  <c r="AB427"/>
  <c r="AA716"/>
  <c r="AB659"/>
  <c r="AA832"/>
  <c r="AB775"/>
  <c r="AF714"/>
  <c r="AG657"/>
  <c r="AF250"/>
  <c r="AG193"/>
  <c r="AG1063"/>
  <c r="AH1006"/>
  <c r="AE1065"/>
  <c r="AF1008"/>
  <c r="AE830"/>
  <c r="AF773"/>
  <c r="AF1178"/>
  <c r="AG1121"/>
  <c r="AH477"/>
  <c r="AH419"/>
  <c r="B420"/>
  <c r="B419" s="1"/>
  <c r="B619"/>
  <c r="F45" s="1"/>
  <c r="C620"/>
  <c r="B387"/>
  <c r="D45" s="1"/>
  <c r="C388"/>
  <c r="C440"/>
  <c r="B440" s="1"/>
  <c r="B439"/>
  <c r="AH940"/>
  <c r="B941"/>
  <c r="AG599"/>
  <c r="AH542"/>
  <c r="AE949"/>
  <c r="AF892"/>
  <c r="B730"/>
  <c r="G40" s="1"/>
  <c r="C735"/>
  <c r="AH824"/>
  <c r="B825"/>
  <c r="E31"/>
  <c r="B486"/>
  <c r="E28" s="1"/>
  <c r="E1222"/>
  <c r="E1241" s="1"/>
  <c r="F969"/>
  <c r="AG658"/>
  <c r="AF715"/>
  <c r="C272"/>
  <c r="B271"/>
  <c r="C45" s="1"/>
  <c r="AB600"/>
  <c r="AC543"/>
  <c r="AF247"/>
  <c r="B190"/>
  <c r="B187" s="1"/>
  <c r="AF187"/>
  <c r="AG660"/>
  <c r="AF717"/>
  <c r="AG1179"/>
  <c r="AH1122"/>
  <c r="AH310"/>
  <c r="AG367"/>
  <c r="AH592"/>
  <c r="B767"/>
  <c r="C93" l="1"/>
  <c r="AC134"/>
  <c r="AD77"/>
  <c r="B93"/>
  <c r="C98"/>
  <c r="B148"/>
  <c r="B38" s="1"/>
  <c r="C149"/>
  <c r="AG72"/>
  <c r="AF129"/>
  <c r="AF71"/>
  <c r="AH367"/>
  <c r="AI310"/>
  <c r="AG717"/>
  <c r="AH660"/>
  <c r="AC600"/>
  <c r="AD543"/>
  <c r="B388"/>
  <c r="D46" s="1"/>
  <c r="C389"/>
  <c r="B620"/>
  <c r="F46" s="1"/>
  <c r="C621"/>
  <c r="AH476"/>
  <c r="B477"/>
  <c r="C680"/>
  <c r="D680" s="1"/>
  <c r="E680" s="1"/>
  <c r="F680" s="1"/>
  <c r="G680" s="1"/>
  <c r="H680" s="1"/>
  <c r="I680" s="1"/>
  <c r="J680" s="1"/>
  <c r="K680" s="1"/>
  <c r="L680" s="1"/>
  <c r="M680" s="1"/>
  <c r="N680" s="1"/>
  <c r="O680" s="1"/>
  <c r="P680" s="1"/>
  <c r="Q680" s="1"/>
  <c r="R680" s="1"/>
  <c r="S680" s="1"/>
  <c r="T680" s="1"/>
  <c r="U680" s="1"/>
  <c r="V680" s="1"/>
  <c r="B679"/>
  <c r="B20"/>
  <c r="C216"/>
  <c r="D216" s="1"/>
  <c r="E216" s="1"/>
  <c r="F216" s="1"/>
  <c r="G216" s="1"/>
  <c r="H216" s="1"/>
  <c r="I216" s="1"/>
  <c r="J216" s="1"/>
  <c r="K216" s="1"/>
  <c r="L216" s="1"/>
  <c r="M216" s="1"/>
  <c r="N216" s="1"/>
  <c r="O216" s="1"/>
  <c r="P216" s="1"/>
  <c r="Q216" s="1"/>
  <c r="R216" s="1"/>
  <c r="S216" s="1"/>
  <c r="T216" s="1"/>
  <c r="U216" s="1"/>
  <c r="V216" s="1"/>
  <c r="B215"/>
  <c r="C1223"/>
  <c r="C1242" s="1"/>
  <c r="D1085"/>
  <c r="AC252"/>
  <c r="AD195"/>
  <c r="AG947"/>
  <c r="AH890"/>
  <c r="AH483"/>
  <c r="AI426"/>
  <c r="B479"/>
  <c r="E21" s="1"/>
  <c r="AF476"/>
  <c r="C1201"/>
  <c r="B1200"/>
  <c r="K46" s="1"/>
  <c r="C497"/>
  <c r="B497" s="1"/>
  <c r="E39" s="1"/>
  <c r="B496"/>
  <c r="E38" s="1"/>
  <c r="C498"/>
  <c r="AH1179"/>
  <c r="AI1122"/>
  <c r="B247"/>
  <c r="C21" s="1"/>
  <c r="AF244"/>
  <c r="C273"/>
  <c r="B272"/>
  <c r="C46" s="1"/>
  <c r="AG715"/>
  <c r="AH658"/>
  <c r="F1222"/>
  <c r="F1241" s="1"/>
  <c r="G969"/>
  <c r="B824"/>
  <c r="H18" s="1"/>
  <c r="H19"/>
  <c r="C736"/>
  <c r="B735"/>
  <c r="G45" s="1"/>
  <c r="AF949"/>
  <c r="AG892"/>
  <c r="AH599"/>
  <c r="AI542"/>
  <c r="B940"/>
  <c r="I18" s="1"/>
  <c r="I19"/>
  <c r="AG1178"/>
  <c r="AH1121"/>
  <c r="AF830"/>
  <c r="AG773"/>
  <c r="AF1065"/>
  <c r="AG1008"/>
  <c r="AH1063"/>
  <c r="AI1006"/>
  <c r="AG250"/>
  <c r="AH193"/>
  <c r="AG714"/>
  <c r="AH657"/>
  <c r="AB832"/>
  <c r="AC775"/>
  <c r="AB716"/>
  <c r="AC659"/>
  <c r="AB484"/>
  <c r="AC427"/>
  <c r="AC368"/>
  <c r="AD311"/>
  <c r="AG428"/>
  <c r="AF485"/>
  <c r="AD1123"/>
  <c r="AC1180"/>
  <c r="AB948"/>
  <c r="AC891"/>
  <c r="AG601"/>
  <c r="AH544"/>
  <c r="AG1062"/>
  <c r="AH1005"/>
  <c r="AF946"/>
  <c r="AG889"/>
  <c r="B244"/>
  <c r="C18" s="1"/>
  <c r="C19"/>
  <c r="E1221"/>
  <c r="E1240" s="1"/>
  <c r="F853"/>
  <c r="AF833"/>
  <c r="AG776"/>
  <c r="AC1064"/>
  <c r="AD1007"/>
  <c r="AC136"/>
  <c r="AD79"/>
  <c r="AF482"/>
  <c r="AG425"/>
  <c r="AG135"/>
  <c r="AH78"/>
  <c r="AH251"/>
  <c r="AI194"/>
  <c r="B711"/>
  <c r="G21" s="1"/>
  <c r="AF708"/>
  <c r="AG831"/>
  <c r="AH774"/>
  <c r="AG366"/>
  <c r="AH309"/>
  <c r="AG598"/>
  <c r="AH541"/>
  <c r="AH312"/>
  <c r="AG369"/>
  <c r="AG1181"/>
  <c r="AH1124"/>
  <c r="AF253"/>
  <c r="AG196"/>
  <c r="AG137"/>
  <c r="AH80"/>
  <c r="AH708"/>
  <c r="B709"/>
  <c r="C441"/>
  <c r="B651"/>
  <c r="AG129" l="1"/>
  <c r="AG128" s="1"/>
  <c r="AH72"/>
  <c r="AG71"/>
  <c r="AF128"/>
  <c r="B149"/>
  <c r="B39" s="1"/>
  <c r="C150"/>
  <c r="B98"/>
  <c r="C99"/>
  <c r="AD134"/>
  <c r="AE77"/>
  <c r="C446"/>
  <c r="B441"/>
  <c r="AH369"/>
  <c r="AI312"/>
  <c r="AD1180"/>
  <c r="AE1123"/>
  <c r="AG485"/>
  <c r="AH428"/>
  <c r="C737"/>
  <c r="B736"/>
  <c r="G46" s="1"/>
  <c r="C1216"/>
  <c r="D273"/>
  <c r="AI483"/>
  <c r="AJ426"/>
  <c r="AJ483" s="1"/>
  <c r="AH947"/>
  <c r="AI890"/>
  <c r="AD252"/>
  <c r="AE195"/>
  <c r="D1223"/>
  <c r="D1242" s="1"/>
  <c r="E1085"/>
  <c r="B708"/>
  <c r="G18" s="1"/>
  <c r="G19"/>
  <c r="AH137"/>
  <c r="AI80"/>
  <c r="AG253"/>
  <c r="AH196"/>
  <c r="AH1181"/>
  <c r="AI1124"/>
  <c r="AH598"/>
  <c r="AI541"/>
  <c r="AH366"/>
  <c r="AI309"/>
  <c r="AH831"/>
  <c r="AI774"/>
  <c r="AI251"/>
  <c r="AJ194"/>
  <c r="AJ251" s="1"/>
  <c r="AH135"/>
  <c r="AI78"/>
  <c r="AG482"/>
  <c r="AH425"/>
  <c r="AD136"/>
  <c r="AE79"/>
  <c r="AD1064"/>
  <c r="AE1007"/>
  <c r="AG833"/>
  <c r="AH776"/>
  <c r="F1221"/>
  <c r="F1240" s="1"/>
  <c r="G853"/>
  <c r="AG946"/>
  <c r="AH889"/>
  <c r="AH1062"/>
  <c r="AI1005"/>
  <c r="AH601"/>
  <c r="AI544"/>
  <c r="AC948"/>
  <c r="AD891"/>
  <c r="AD368"/>
  <c r="AE311"/>
  <c r="AC484"/>
  <c r="AD427"/>
  <c r="AC716"/>
  <c r="AD659"/>
  <c r="AC832"/>
  <c r="AD775"/>
  <c r="AH714"/>
  <c r="AI657"/>
  <c r="AH250"/>
  <c r="AI193"/>
  <c r="AI1063"/>
  <c r="AJ1006"/>
  <c r="AJ1063" s="1"/>
  <c r="AG1065"/>
  <c r="AH1008"/>
  <c r="AG830"/>
  <c r="AH773"/>
  <c r="AH1178"/>
  <c r="AI1121"/>
  <c r="AI599"/>
  <c r="AJ542"/>
  <c r="AJ599" s="1"/>
  <c r="AG949"/>
  <c r="AH892"/>
  <c r="G1222"/>
  <c r="G1241" s="1"/>
  <c r="H969"/>
  <c r="AH715"/>
  <c r="AI658"/>
  <c r="AI1179"/>
  <c r="AJ1122"/>
  <c r="AJ1179" s="1"/>
  <c r="B498"/>
  <c r="E40" s="1"/>
  <c r="C503"/>
  <c r="C1224"/>
  <c r="C1243" s="1"/>
  <c r="D1201"/>
  <c r="B476"/>
  <c r="E18" s="1"/>
  <c r="E19"/>
  <c r="C1219"/>
  <c r="D621"/>
  <c r="C1217"/>
  <c r="D389"/>
  <c r="AD600"/>
  <c r="AE543"/>
  <c r="AH717"/>
  <c r="AI660"/>
  <c r="AI367"/>
  <c r="AJ310"/>
  <c r="AJ367" s="1"/>
  <c r="AE134" l="1"/>
  <c r="AF77"/>
  <c r="B99"/>
  <c r="C100"/>
  <c r="D100" s="1"/>
  <c r="E100" s="1"/>
  <c r="F100" s="1"/>
  <c r="G100" s="1"/>
  <c r="H100" s="1"/>
  <c r="I100" s="1"/>
  <c r="J100" s="1"/>
  <c r="K100" s="1"/>
  <c r="L100" s="1"/>
  <c r="M100" s="1"/>
  <c r="N100" s="1"/>
  <c r="O100" s="1"/>
  <c r="P100" s="1"/>
  <c r="Q100" s="1"/>
  <c r="R100" s="1"/>
  <c r="S100" s="1"/>
  <c r="T100" s="1"/>
  <c r="U100" s="1"/>
  <c r="V100" s="1"/>
  <c r="W100" s="1"/>
  <c r="X100" s="1"/>
  <c r="C155"/>
  <c r="B150"/>
  <c r="B40" s="1"/>
  <c r="AH129"/>
  <c r="AH71"/>
  <c r="X97" s="1"/>
  <c r="B97" s="1"/>
  <c r="B94" s="1"/>
  <c r="B72"/>
  <c r="B71" s="1"/>
  <c r="AI717"/>
  <c r="AJ660"/>
  <c r="AJ717" s="1"/>
  <c r="AE600"/>
  <c r="AF543"/>
  <c r="D1217"/>
  <c r="E389"/>
  <c r="C1236"/>
  <c r="C1229"/>
  <c r="D1224"/>
  <c r="D1243" s="1"/>
  <c r="E1201"/>
  <c r="H1222"/>
  <c r="H1241" s="1"/>
  <c r="I969"/>
  <c r="AH949"/>
  <c r="AI892"/>
  <c r="AI1178"/>
  <c r="AJ1121"/>
  <c r="AJ1178" s="1"/>
  <c r="AH830"/>
  <c r="AI773"/>
  <c r="AH1065"/>
  <c r="AI1008"/>
  <c r="AI250"/>
  <c r="AJ193"/>
  <c r="AJ250" s="1"/>
  <c r="AI714"/>
  <c r="AJ657"/>
  <c r="AJ714" s="1"/>
  <c r="AD832"/>
  <c r="AE775"/>
  <c r="AE659"/>
  <c r="AD716"/>
  <c r="AE427"/>
  <c r="AD484"/>
  <c r="AF311"/>
  <c r="AE368"/>
  <c r="AD948"/>
  <c r="AE891"/>
  <c r="AI601"/>
  <c r="AJ544"/>
  <c r="AJ601" s="1"/>
  <c r="AI1062"/>
  <c r="AJ1005"/>
  <c r="AJ1062" s="1"/>
  <c r="AH946"/>
  <c r="AI889"/>
  <c r="AJ1124"/>
  <c r="AJ1181" s="1"/>
  <c r="AI1181"/>
  <c r="AH253"/>
  <c r="AI196"/>
  <c r="AI137"/>
  <c r="AJ80"/>
  <c r="AJ137" s="1"/>
  <c r="E1223"/>
  <c r="E1242" s="1"/>
  <c r="F1085"/>
  <c r="AE252"/>
  <c r="AF195"/>
  <c r="AI947"/>
  <c r="AJ890"/>
  <c r="AJ947" s="1"/>
  <c r="D1216"/>
  <c r="E273"/>
  <c r="C1235"/>
  <c r="C1228"/>
  <c r="C1220"/>
  <c r="C1239" s="1"/>
  <c r="D737"/>
  <c r="C447"/>
  <c r="B446"/>
  <c r="D1219"/>
  <c r="E621"/>
  <c r="C1238"/>
  <c r="C1231"/>
  <c r="C504"/>
  <c r="B503"/>
  <c r="E45" s="1"/>
  <c r="AI715"/>
  <c r="AJ658"/>
  <c r="AJ715" s="1"/>
  <c r="G1221"/>
  <c r="G1240" s="1"/>
  <c r="H853"/>
  <c r="AH833"/>
  <c r="AI776"/>
  <c r="AE1064"/>
  <c r="AF1007"/>
  <c r="AE136"/>
  <c r="AF79"/>
  <c r="AH482"/>
  <c r="AI425"/>
  <c r="AI135"/>
  <c r="AJ78"/>
  <c r="AJ135" s="1"/>
  <c r="AI831"/>
  <c r="AJ774"/>
  <c r="AJ831" s="1"/>
  <c r="AI366"/>
  <c r="AJ309"/>
  <c r="AJ366" s="1"/>
  <c r="AI598"/>
  <c r="AJ541"/>
  <c r="AJ598" s="1"/>
  <c r="AH485"/>
  <c r="AI428"/>
  <c r="AE1180"/>
  <c r="AF1123"/>
  <c r="AI369"/>
  <c r="AJ312"/>
  <c r="AJ369" s="1"/>
  <c r="AH128" l="1"/>
  <c r="B129"/>
  <c r="C156"/>
  <c r="B155"/>
  <c r="B45" s="1"/>
  <c r="AF134"/>
  <c r="AG77"/>
  <c r="C505"/>
  <c r="B504"/>
  <c r="E46" s="1"/>
  <c r="D1238"/>
  <c r="D1231"/>
  <c r="D1220"/>
  <c r="D1239" s="1"/>
  <c r="E737"/>
  <c r="D1235"/>
  <c r="D1228"/>
  <c r="AI946"/>
  <c r="AJ889"/>
  <c r="AJ946" s="1"/>
  <c r="AE948"/>
  <c r="AF891"/>
  <c r="AE832"/>
  <c r="AF775"/>
  <c r="AI1065"/>
  <c r="AJ1008"/>
  <c r="AJ1065" s="1"/>
  <c r="AI830"/>
  <c r="AJ773"/>
  <c r="AJ830" s="1"/>
  <c r="AI949"/>
  <c r="AJ892"/>
  <c r="AJ949" s="1"/>
  <c r="I1222"/>
  <c r="I1241" s="1"/>
  <c r="J969"/>
  <c r="E1224"/>
  <c r="E1243" s="1"/>
  <c r="F1201"/>
  <c r="E1217"/>
  <c r="F389"/>
  <c r="AF600"/>
  <c r="AG543"/>
  <c r="AF1180"/>
  <c r="AG1123"/>
  <c r="AI485"/>
  <c r="AJ428"/>
  <c r="AJ485" s="1"/>
  <c r="AI482"/>
  <c r="AJ425"/>
  <c r="AJ482" s="1"/>
  <c r="AF136"/>
  <c r="AG79"/>
  <c r="AF1064"/>
  <c r="AG1007"/>
  <c r="AI833"/>
  <c r="AJ776"/>
  <c r="AJ833" s="1"/>
  <c r="H1221"/>
  <c r="H1240" s="1"/>
  <c r="I853"/>
  <c r="E1219"/>
  <c r="F621"/>
  <c r="C448"/>
  <c r="D448" s="1"/>
  <c r="E448" s="1"/>
  <c r="F448" s="1"/>
  <c r="G448" s="1"/>
  <c r="H448" s="1"/>
  <c r="I448" s="1"/>
  <c r="J448" s="1"/>
  <c r="K448" s="1"/>
  <c r="L448" s="1"/>
  <c r="M448" s="1"/>
  <c r="N448" s="1"/>
  <c r="O448" s="1"/>
  <c r="P448" s="1"/>
  <c r="Q448" s="1"/>
  <c r="R448" s="1"/>
  <c r="S448" s="1"/>
  <c r="T448" s="1"/>
  <c r="U448" s="1"/>
  <c r="V448" s="1"/>
  <c r="W448" s="1"/>
  <c r="X448" s="1"/>
  <c r="B447"/>
  <c r="E1216"/>
  <c r="F273"/>
  <c r="AF252"/>
  <c r="AG195"/>
  <c r="F1223"/>
  <c r="F1242" s="1"/>
  <c r="G1085"/>
  <c r="AI253"/>
  <c r="AJ196"/>
  <c r="AJ253" s="1"/>
  <c r="AF368"/>
  <c r="AG311"/>
  <c r="AE484"/>
  <c r="AF427"/>
  <c r="AE716"/>
  <c r="AF659"/>
  <c r="D1236"/>
  <c r="D1229"/>
  <c r="C157" l="1"/>
  <c r="B156"/>
  <c r="B46" s="1"/>
  <c r="AG134"/>
  <c r="AH77"/>
  <c r="B19"/>
  <c r="B128"/>
  <c r="B18" s="1"/>
  <c r="AF716"/>
  <c r="AG659"/>
  <c r="AF484"/>
  <c r="AG427"/>
  <c r="AG368"/>
  <c r="AH311"/>
  <c r="F1216"/>
  <c r="G273"/>
  <c r="F1219"/>
  <c r="G621"/>
  <c r="I1221"/>
  <c r="I1240" s="1"/>
  <c r="J853"/>
  <c r="AG1064"/>
  <c r="AH1007"/>
  <c r="AG136"/>
  <c r="AH79"/>
  <c r="F1217"/>
  <c r="G389"/>
  <c r="J1222"/>
  <c r="J1241" s="1"/>
  <c r="K969"/>
  <c r="AF832"/>
  <c r="AG775"/>
  <c r="AF948"/>
  <c r="AG891"/>
  <c r="E1220"/>
  <c r="E1239" s="1"/>
  <c r="F737"/>
  <c r="G1223"/>
  <c r="G1242" s="1"/>
  <c r="H1085"/>
  <c r="AG252"/>
  <c r="AH195"/>
  <c r="E1235"/>
  <c r="E1228"/>
  <c r="E1238"/>
  <c r="E1231"/>
  <c r="AG1180"/>
  <c r="AH1123"/>
  <c r="AG600"/>
  <c r="AH543"/>
  <c r="E1236"/>
  <c r="E1229"/>
  <c r="F1224"/>
  <c r="F1243" s="1"/>
  <c r="G1201"/>
  <c r="C1218"/>
  <c r="D505"/>
  <c r="D157" l="1"/>
  <c r="C1215"/>
  <c r="AH134"/>
  <c r="AI77"/>
  <c r="C1237"/>
  <c r="C1230"/>
  <c r="F1236"/>
  <c r="F1229"/>
  <c r="F1238"/>
  <c r="F1231"/>
  <c r="F1235"/>
  <c r="F1228"/>
  <c r="D1218"/>
  <c r="E505"/>
  <c r="G1224"/>
  <c r="G1243" s="1"/>
  <c r="H1201"/>
  <c r="AH600"/>
  <c r="AI543"/>
  <c r="AH1180"/>
  <c r="AI1123"/>
  <c r="AH252"/>
  <c r="AI195"/>
  <c r="H1223"/>
  <c r="H1242" s="1"/>
  <c r="I1085"/>
  <c r="F1220"/>
  <c r="F1239" s="1"/>
  <c r="G737"/>
  <c r="AG948"/>
  <c r="AH891"/>
  <c r="AG832"/>
  <c r="AH775"/>
  <c r="K1222"/>
  <c r="K1241" s="1"/>
  <c r="L969"/>
  <c r="G1217"/>
  <c r="H389"/>
  <c r="AH136"/>
  <c r="AI79"/>
  <c r="AH1064"/>
  <c r="AI1007"/>
  <c r="J1221"/>
  <c r="J1240" s="1"/>
  <c r="K853"/>
  <c r="G1219"/>
  <c r="H621"/>
  <c r="G1216"/>
  <c r="H273"/>
  <c r="AH368"/>
  <c r="AI311"/>
  <c r="AG484"/>
  <c r="AH427"/>
  <c r="AG716"/>
  <c r="AH659"/>
  <c r="E157" l="1"/>
  <c r="D1215"/>
  <c r="AI134"/>
  <c r="AJ77"/>
  <c r="AJ134" s="1"/>
  <c r="C1227"/>
  <c r="C1234"/>
  <c r="AI659"/>
  <c r="AH716"/>
  <c r="AI427"/>
  <c r="AH484"/>
  <c r="AJ311"/>
  <c r="AJ368" s="1"/>
  <c r="AI368"/>
  <c r="G1235"/>
  <c r="G1228"/>
  <c r="G1238"/>
  <c r="G1231"/>
  <c r="AI136"/>
  <c r="AJ79"/>
  <c r="H1217"/>
  <c r="I389"/>
  <c r="L1222"/>
  <c r="L1241" s="1"/>
  <c r="M969"/>
  <c r="AH832"/>
  <c r="AI775"/>
  <c r="AH948"/>
  <c r="AI891"/>
  <c r="I1223"/>
  <c r="I1242" s="1"/>
  <c r="J1085"/>
  <c r="AI252"/>
  <c r="AJ195"/>
  <c r="AJ252" s="1"/>
  <c r="AI1180"/>
  <c r="AJ1123"/>
  <c r="AJ1180" s="1"/>
  <c r="AI600"/>
  <c r="AJ543"/>
  <c r="AJ600" s="1"/>
  <c r="D1237"/>
  <c r="D1230"/>
  <c r="H1216"/>
  <c r="I273"/>
  <c r="H1219"/>
  <c r="I621"/>
  <c r="K1221"/>
  <c r="K1240" s="1"/>
  <c r="L853"/>
  <c r="AI1064"/>
  <c r="AJ1007"/>
  <c r="AJ1064" s="1"/>
  <c r="G1236"/>
  <c r="G1229"/>
  <c r="G1220"/>
  <c r="G1239" s="1"/>
  <c r="H737"/>
  <c r="H1224"/>
  <c r="H1243" s="1"/>
  <c r="I1201"/>
  <c r="E1218"/>
  <c r="F505"/>
  <c r="F157" l="1"/>
  <c r="E1215"/>
  <c r="D1227"/>
  <c r="D1234"/>
  <c r="AI484"/>
  <c r="AJ427"/>
  <c r="AJ484" s="1"/>
  <c r="AI716"/>
  <c r="AJ659"/>
  <c r="AJ716" s="1"/>
  <c r="F1218"/>
  <c r="G505"/>
  <c r="I1224"/>
  <c r="I1243" s="1"/>
  <c r="J1201"/>
  <c r="H1220"/>
  <c r="H1239" s="1"/>
  <c r="I737"/>
  <c r="L1221"/>
  <c r="L1240" s="1"/>
  <c r="M853"/>
  <c r="I1219"/>
  <c r="J621"/>
  <c r="I1216"/>
  <c r="J273"/>
  <c r="J1223"/>
  <c r="J1242" s="1"/>
  <c r="K1085"/>
  <c r="AI948"/>
  <c r="AJ891"/>
  <c r="AJ948" s="1"/>
  <c r="AI832"/>
  <c r="AJ775"/>
  <c r="AJ832" s="1"/>
  <c r="M1222"/>
  <c r="M1241" s="1"/>
  <c r="N969"/>
  <c r="H1236"/>
  <c r="H1229"/>
  <c r="E1237"/>
  <c r="E1230"/>
  <c r="H1238"/>
  <c r="H1231"/>
  <c r="H1235"/>
  <c r="H1228"/>
  <c r="I1217"/>
  <c r="J389"/>
  <c r="AJ136"/>
  <c r="X154"/>
  <c r="B154" s="1"/>
  <c r="B44" s="1"/>
  <c r="G157" l="1"/>
  <c r="F1215"/>
  <c r="E1227"/>
  <c r="E1234"/>
  <c r="J1217"/>
  <c r="K389"/>
  <c r="N1222"/>
  <c r="N1241" s="1"/>
  <c r="O969"/>
  <c r="J1216"/>
  <c r="K273"/>
  <c r="J1219"/>
  <c r="K621"/>
  <c r="M1221"/>
  <c r="M1240" s="1"/>
  <c r="N853"/>
  <c r="J1224"/>
  <c r="J1243" s="1"/>
  <c r="K1201"/>
  <c r="F1237"/>
  <c r="F1230"/>
  <c r="I1236"/>
  <c r="I1229"/>
  <c r="K1223"/>
  <c r="K1242" s="1"/>
  <c r="L1085"/>
  <c r="I1235"/>
  <c r="I1228"/>
  <c r="I1238"/>
  <c r="I1231"/>
  <c r="I1220"/>
  <c r="I1239" s="1"/>
  <c r="J737"/>
  <c r="G1218"/>
  <c r="H505"/>
  <c r="H157" l="1"/>
  <c r="G1215"/>
  <c r="F1227"/>
  <c r="F1234"/>
  <c r="H1218"/>
  <c r="I505"/>
  <c r="J1220"/>
  <c r="J1239" s="1"/>
  <c r="K737"/>
  <c r="L1223"/>
  <c r="L1242" s="1"/>
  <c r="M1085"/>
  <c r="J1238"/>
  <c r="J1231"/>
  <c r="J1235"/>
  <c r="J1228"/>
  <c r="K1217"/>
  <c r="L389"/>
  <c r="G1237"/>
  <c r="G1230"/>
  <c r="K1224"/>
  <c r="K1243" s="1"/>
  <c r="L1201"/>
  <c r="N1221"/>
  <c r="N1240" s="1"/>
  <c r="O853"/>
  <c r="K1219"/>
  <c r="L621"/>
  <c r="K1216"/>
  <c r="L273"/>
  <c r="O1222"/>
  <c r="O1241" s="1"/>
  <c r="P969"/>
  <c r="J1236"/>
  <c r="J1229"/>
  <c r="I157" l="1"/>
  <c r="H1215"/>
  <c r="G1227"/>
  <c r="G1234"/>
  <c r="L1216"/>
  <c r="M273"/>
  <c r="L1219"/>
  <c r="M621"/>
  <c r="O1221"/>
  <c r="O1240" s="1"/>
  <c r="P853"/>
  <c r="K1236"/>
  <c r="K1229"/>
  <c r="K1220"/>
  <c r="K1239" s="1"/>
  <c r="L737"/>
  <c r="H1237"/>
  <c r="H1230"/>
  <c r="P1222"/>
  <c r="P1241" s="1"/>
  <c r="Q969"/>
  <c r="K1235"/>
  <c r="K1228"/>
  <c r="K1238"/>
  <c r="K1231"/>
  <c r="L1224"/>
  <c r="L1243" s="1"/>
  <c r="M1201"/>
  <c r="L1217"/>
  <c r="M389"/>
  <c r="M1223"/>
  <c r="M1242" s="1"/>
  <c r="N1085"/>
  <c r="I1218"/>
  <c r="J505"/>
  <c r="J157" l="1"/>
  <c r="I1215"/>
  <c r="H1227"/>
  <c r="H1234"/>
  <c r="I1237"/>
  <c r="I1230"/>
  <c r="L1236"/>
  <c r="L1229"/>
  <c r="L1238"/>
  <c r="L1231"/>
  <c r="L1235"/>
  <c r="L1228"/>
  <c r="J1218"/>
  <c r="K505"/>
  <c r="N1223"/>
  <c r="N1242" s="1"/>
  <c r="O1085"/>
  <c r="M1217"/>
  <c r="N389"/>
  <c r="M1224"/>
  <c r="M1243" s="1"/>
  <c r="N1201"/>
  <c r="Q1222"/>
  <c r="Q1241" s="1"/>
  <c r="R969"/>
  <c r="L1220"/>
  <c r="L1239" s="1"/>
  <c r="M737"/>
  <c r="P1221"/>
  <c r="P1240" s="1"/>
  <c r="Q853"/>
  <c r="M1219"/>
  <c r="N621"/>
  <c r="M1216"/>
  <c r="N273"/>
  <c r="K157" l="1"/>
  <c r="J1215"/>
  <c r="I1227"/>
  <c r="I1234"/>
  <c r="N1219"/>
  <c r="O621"/>
  <c r="M1220"/>
  <c r="M1239" s="1"/>
  <c r="N737"/>
  <c r="R1222"/>
  <c r="R1241" s="1"/>
  <c r="I50"/>
  <c r="N1224"/>
  <c r="N1243" s="1"/>
  <c r="O1201"/>
  <c r="N1217"/>
  <c r="O389"/>
  <c r="O1223"/>
  <c r="O1242" s="1"/>
  <c r="P1085"/>
  <c r="J1237"/>
  <c r="J1230"/>
  <c r="N1216"/>
  <c r="O273"/>
  <c r="Q1221"/>
  <c r="Q1240" s="1"/>
  <c r="R853"/>
  <c r="M1235"/>
  <c r="M1228"/>
  <c r="M1238"/>
  <c r="M1231"/>
  <c r="M1236"/>
  <c r="M1229"/>
  <c r="K1218"/>
  <c r="L505"/>
  <c r="L157" l="1"/>
  <c r="K1215"/>
  <c r="J1227"/>
  <c r="J1234"/>
  <c r="L1218"/>
  <c r="M505"/>
  <c r="R1221"/>
  <c r="R1240" s="1"/>
  <c r="S853"/>
  <c r="P1223"/>
  <c r="P1242" s="1"/>
  <c r="Q1085"/>
  <c r="O1217"/>
  <c r="P389"/>
  <c r="O1224"/>
  <c r="O1243" s="1"/>
  <c r="P1201"/>
  <c r="K1237"/>
  <c r="K1230"/>
  <c r="N1235"/>
  <c r="N1228"/>
  <c r="N1236"/>
  <c r="N1229"/>
  <c r="N1238"/>
  <c r="N1231"/>
  <c r="O1216"/>
  <c r="P273"/>
  <c r="N1220"/>
  <c r="N1239" s="1"/>
  <c r="O737"/>
  <c r="O1219"/>
  <c r="P621"/>
  <c r="M157" l="1"/>
  <c r="L1215"/>
  <c r="K1227"/>
  <c r="K1234"/>
  <c r="O1238"/>
  <c r="O1231"/>
  <c r="O1235"/>
  <c r="O1228"/>
  <c r="O1236"/>
  <c r="O1229"/>
  <c r="L1237"/>
  <c r="L1230"/>
  <c r="P1219"/>
  <c r="Q621"/>
  <c r="O1220"/>
  <c r="O1239" s="1"/>
  <c r="P737"/>
  <c r="P1216"/>
  <c r="Q273"/>
  <c r="P1224"/>
  <c r="P1243" s="1"/>
  <c r="Q1201"/>
  <c r="P1217"/>
  <c r="Q389"/>
  <c r="Q1223"/>
  <c r="Q1242" s="1"/>
  <c r="R1085"/>
  <c r="S1221"/>
  <c r="S1240" s="1"/>
  <c r="T853"/>
  <c r="M1218"/>
  <c r="N505"/>
  <c r="N157" l="1"/>
  <c r="M1215"/>
  <c r="L1227"/>
  <c r="L1234"/>
  <c r="M1237"/>
  <c r="M1230"/>
  <c r="P1236"/>
  <c r="P1229"/>
  <c r="P1235"/>
  <c r="P1228"/>
  <c r="P1238"/>
  <c r="P1231"/>
  <c r="N1218"/>
  <c r="O505"/>
  <c r="T1221"/>
  <c r="T1240" s="1"/>
  <c r="U853"/>
  <c r="R1223"/>
  <c r="R1242" s="1"/>
  <c r="S1085"/>
  <c r="Q1217"/>
  <c r="R389"/>
  <c r="Q1224"/>
  <c r="Q1243" s="1"/>
  <c r="R1201"/>
  <c r="Q1216"/>
  <c r="R273"/>
  <c r="P1220"/>
  <c r="P1239" s="1"/>
  <c r="Q737"/>
  <c r="Q1219"/>
  <c r="R621"/>
  <c r="O157" l="1"/>
  <c r="N1215"/>
  <c r="M1227"/>
  <c r="M1234"/>
  <c r="Q1238"/>
  <c r="Q1231"/>
  <c r="Q1235"/>
  <c r="Q1228"/>
  <c r="Q1236"/>
  <c r="Q1229"/>
  <c r="N1237"/>
  <c r="N1230"/>
  <c r="R1219"/>
  <c r="S621"/>
  <c r="Q1220"/>
  <c r="Q1239" s="1"/>
  <c r="R737"/>
  <c r="R1216"/>
  <c r="S273"/>
  <c r="R1224"/>
  <c r="R1243" s="1"/>
  <c r="S1201"/>
  <c r="R1217"/>
  <c r="S389"/>
  <c r="S1223"/>
  <c r="S1242" s="1"/>
  <c r="T1085"/>
  <c r="U1221"/>
  <c r="U1240" s="1"/>
  <c r="H50"/>
  <c r="O1218"/>
  <c r="P505"/>
  <c r="P157" l="1"/>
  <c r="O1215"/>
  <c r="N1227"/>
  <c r="N1234"/>
  <c r="R1236"/>
  <c r="R1229"/>
  <c r="R1235"/>
  <c r="R1228"/>
  <c r="R1238"/>
  <c r="R1231"/>
  <c r="P1218"/>
  <c r="Q505"/>
  <c r="O1237"/>
  <c r="O1230"/>
  <c r="T1223"/>
  <c r="T1242" s="1"/>
  <c r="U1085"/>
  <c r="S1217"/>
  <c r="T389"/>
  <c r="S1224"/>
  <c r="S1243" s="1"/>
  <c r="T1201"/>
  <c r="S1216"/>
  <c r="T273"/>
  <c r="R1220"/>
  <c r="R1239" s="1"/>
  <c r="S737"/>
  <c r="S1219"/>
  <c r="T621"/>
  <c r="Q157" l="1"/>
  <c r="P1215"/>
  <c r="O1227"/>
  <c r="O1234"/>
  <c r="S1238"/>
  <c r="S1231"/>
  <c r="S1235"/>
  <c r="S1228"/>
  <c r="S1236"/>
  <c r="S1229"/>
  <c r="P1237"/>
  <c r="P1230"/>
  <c r="T1219"/>
  <c r="U621"/>
  <c r="S1220"/>
  <c r="S1239" s="1"/>
  <c r="T737"/>
  <c r="T1216"/>
  <c r="U273"/>
  <c r="T1224"/>
  <c r="T1243" s="1"/>
  <c r="U1201"/>
  <c r="T1217"/>
  <c r="U389"/>
  <c r="U1223"/>
  <c r="U1242" s="1"/>
  <c r="V1085"/>
  <c r="Q1218"/>
  <c r="R505"/>
  <c r="R157" l="1"/>
  <c r="Q1215"/>
  <c r="P1227"/>
  <c r="P1234"/>
  <c r="R1218"/>
  <c r="S505"/>
  <c r="V1223"/>
  <c r="V1242" s="1"/>
  <c r="J50"/>
  <c r="U1217"/>
  <c r="V389"/>
  <c r="U1224"/>
  <c r="U1243" s="1"/>
  <c r="V1201"/>
  <c r="U1216"/>
  <c r="V273"/>
  <c r="T1238"/>
  <c r="T1231"/>
  <c r="Q1237"/>
  <c r="Q1230"/>
  <c r="T1236"/>
  <c r="T1229"/>
  <c r="T1235"/>
  <c r="T1228"/>
  <c r="T1220"/>
  <c r="T1239" s="1"/>
  <c r="U737"/>
  <c r="U1219"/>
  <c r="V621"/>
  <c r="S157" l="1"/>
  <c r="R1215"/>
  <c r="Q1227"/>
  <c r="Q1234"/>
  <c r="U1220"/>
  <c r="U1239" s="1"/>
  <c r="V737"/>
  <c r="U1238"/>
  <c r="U1231"/>
  <c r="U1235"/>
  <c r="U1228"/>
  <c r="U1229"/>
  <c r="U1236"/>
  <c r="R1237"/>
  <c r="R1230"/>
  <c r="V1219"/>
  <c r="W621"/>
  <c r="V1216"/>
  <c r="C50"/>
  <c r="V1224"/>
  <c r="V1243" s="1"/>
  <c r="W1201"/>
  <c r="V1217"/>
  <c r="W389"/>
  <c r="S1218"/>
  <c r="T505"/>
  <c r="T157" l="1"/>
  <c r="S1215"/>
  <c r="R1227"/>
  <c r="R1234"/>
  <c r="T1218"/>
  <c r="U505"/>
  <c r="W1217"/>
  <c r="D50"/>
  <c r="W1224"/>
  <c r="W1243" s="1"/>
  <c r="K50"/>
  <c r="W1219"/>
  <c r="F50"/>
  <c r="S1237"/>
  <c r="S1230"/>
  <c r="V1236"/>
  <c r="V1229"/>
  <c r="V1235"/>
  <c r="V1228"/>
  <c r="V1238"/>
  <c r="V1231"/>
  <c r="V1220"/>
  <c r="V1239" s="1"/>
  <c r="G50"/>
  <c r="U157" l="1"/>
  <c r="T1215"/>
  <c r="S1227"/>
  <c r="S1234"/>
  <c r="W1238"/>
  <c r="W1231"/>
  <c r="W1236"/>
  <c r="W1229"/>
  <c r="T1237"/>
  <c r="T1230"/>
  <c r="U1218"/>
  <c r="V505"/>
  <c r="V157" l="1"/>
  <c r="U1215"/>
  <c r="T1227"/>
  <c r="T1234"/>
  <c r="U1237"/>
  <c r="U1230"/>
  <c r="V1218"/>
  <c r="W505"/>
  <c r="W157" l="1"/>
  <c r="V1215"/>
  <c r="U1227"/>
  <c r="U1234"/>
  <c r="V1237"/>
  <c r="V1230"/>
  <c r="W1218"/>
  <c r="X505"/>
  <c r="X157" l="1"/>
  <c r="W1215"/>
  <c r="W329"/>
  <c r="B329" s="1"/>
  <c r="B326" s="1"/>
  <c r="V1227"/>
  <c r="V1234"/>
  <c r="X1218"/>
  <c r="E50"/>
  <c r="W1237"/>
  <c r="W1230"/>
  <c r="W386" l="1"/>
  <c r="V213"/>
  <c r="X1215"/>
  <c r="X445"/>
  <c r="B50"/>
  <c r="W1227"/>
  <c r="W1234"/>
  <c r="X1237"/>
  <c r="X1230"/>
  <c r="X1227" l="1"/>
  <c r="X1234"/>
  <c r="B386"/>
  <c r="D44" s="1"/>
  <c r="X502"/>
  <c r="B445"/>
  <c r="B442" s="1"/>
  <c r="V270"/>
  <c r="B270" s="1"/>
  <c r="C44" s="1"/>
  <c r="B213"/>
  <c r="B210" s="1"/>
  <c r="B502" l="1"/>
  <c r="E44" s="1"/>
  <c r="W618"/>
  <c r="B618" s="1"/>
  <c r="F44" s="1"/>
  <c r="W561"/>
  <c r="W1141"/>
  <c r="B1141" s="1"/>
  <c r="B1138" s="1"/>
  <c r="W1198"/>
  <c r="B1198" s="1"/>
  <c r="K44" s="1"/>
  <c r="B561" l="1"/>
  <c r="B558" s="1"/>
  <c r="V677"/>
  <c r="B677" l="1"/>
  <c r="B674" s="1"/>
  <c r="V734"/>
  <c r="V1025" l="1"/>
  <c r="B734"/>
  <c r="G44" s="1"/>
  <c r="U793"/>
  <c r="V1082" l="1"/>
  <c r="B1082" s="1"/>
  <c r="J44" s="1"/>
  <c r="B1025"/>
  <c r="B1022" s="1"/>
  <c r="B793"/>
  <c r="B790" s="1"/>
  <c r="U850"/>
  <c r="B850" l="1"/>
  <c r="H44" s="1"/>
  <c r="R909"/>
  <c r="R966" l="1"/>
  <c r="B966" s="1"/>
  <c r="I44" s="1"/>
  <c r="B909"/>
  <c r="B906" s="1"/>
</calcChain>
</file>

<file path=xl/comments1.xml><?xml version="1.0" encoding="utf-8"?>
<comments xmlns="http://schemas.openxmlformats.org/spreadsheetml/2006/main">
  <authors>
    <author>Johanna Ceisel</author>
  </authors>
  <commentList>
    <comment ref="A11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56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64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113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121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172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180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229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237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288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296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345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353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404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412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461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469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520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528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577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585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636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644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693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701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752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760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809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817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868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876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925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933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984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992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1041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1049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1100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1108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  <comment ref="B1157" authorId="0">
      <text>
        <r>
          <rPr>
            <b/>
            <sz val="12"/>
            <color indexed="81"/>
            <rFont val="Tahoma"/>
            <family val="2"/>
          </rPr>
          <t>Johanna Ceisel:</t>
        </r>
        <r>
          <rPr>
            <sz val="12"/>
            <color indexed="81"/>
            <rFont val="Tahoma"/>
            <family val="2"/>
          </rPr>
          <t xml:space="preserve">
The .26 represents support investment that was added on to the acquisition price.  The following factors were used taken from MALCCA for a fighter: 
Ground Support - .065
Eng Support - .045
Initial Spares - .085
Training Equip - .04
Site Activation - .025</t>
        </r>
      </text>
    </comment>
    <comment ref="A1165" authorId="0">
      <text>
        <r>
          <rPr>
            <b/>
            <sz val="9"/>
            <color indexed="81"/>
            <rFont val="Tahoma"/>
            <family val="2"/>
          </rPr>
          <t>Johanna Ceisel:</t>
        </r>
        <r>
          <rPr>
            <sz val="9"/>
            <color indexed="81"/>
            <rFont val="Tahoma"/>
            <family val="2"/>
          </rPr>
          <t xml:space="preserve">
From MALCCA but divided by 13 to create cost.  So, RDTE Cost without profit fee is shown here</t>
        </r>
      </text>
    </comment>
  </commentList>
</comments>
</file>

<file path=xl/sharedStrings.xml><?xml version="1.0" encoding="utf-8"?>
<sst xmlns="http://schemas.openxmlformats.org/spreadsheetml/2006/main" count="1921" uniqueCount="298">
  <si>
    <t>Mobility</t>
  </si>
  <si>
    <t>Survivability</t>
  </si>
  <si>
    <t>Manufacturability</t>
  </si>
  <si>
    <t>Complexity</t>
  </si>
  <si>
    <t>M E T A  D A S H B O A R D</t>
  </si>
  <si>
    <t>Evaluation Criteria Weightings</t>
  </si>
  <si>
    <t>Hull</t>
  </si>
  <si>
    <t>Steel/Welded</t>
  </si>
  <si>
    <t>Composite/Bonded</t>
  </si>
  <si>
    <t>Engine</t>
  </si>
  <si>
    <t>Diesel</t>
  </si>
  <si>
    <t>Turbo Diesel</t>
  </si>
  <si>
    <t>Gas Turbine</t>
  </si>
  <si>
    <t>Transmission</t>
  </si>
  <si>
    <t>Battery</t>
  </si>
  <si>
    <t>Lead Acid</t>
  </si>
  <si>
    <t>Lithium Ion</t>
  </si>
  <si>
    <t>Allison DDA</t>
  </si>
  <si>
    <t>Suspension</t>
  </si>
  <si>
    <t>Torsion bar</t>
  </si>
  <si>
    <t>Hydropneumatic</t>
  </si>
  <si>
    <t>Tracked</t>
  </si>
  <si>
    <t>Wheeled</t>
  </si>
  <si>
    <t>Vehicle Propulsion</t>
  </si>
  <si>
    <t>Anti-Tank</t>
  </si>
  <si>
    <t>Machine Gun</t>
  </si>
  <si>
    <t>Cannon</t>
  </si>
  <si>
    <t>Armor Material</t>
  </si>
  <si>
    <t>Steel</t>
  </si>
  <si>
    <t>Composite</t>
  </si>
  <si>
    <t>Powertrain</t>
  </si>
  <si>
    <t>Armament</t>
  </si>
  <si>
    <t>None</t>
  </si>
  <si>
    <t>Payload</t>
  </si>
  <si>
    <t>Suspension Type</t>
  </si>
  <si>
    <t>Turret Type</t>
  </si>
  <si>
    <t>No. of Crew</t>
  </si>
  <si>
    <t>Platform Configuration</t>
  </si>
  <si>
    <t>No. of Passengers</t>
  </si>
  <si>
    <t>Concept 1</t>
  </si>
  <si>
    <t>Concept 2</t>
  </si>
  <si>
    <t>Concept 3</t>
  </si>
  <si>
    <t>Concept 4</t>
  </si>
  <si>
    <t>Concept 5</t>
  </si>
  <si>
    <t>Relative Importance</t>
  </si>
  <si>
    <t>Weighted Percent</t>
  </si>
  <si>
    <t>Benefit</t>
  </si>
  <si>
    <t>Cost</t>
  </si>
  <si>
    <t>Total</t>
  </si>
  <si>
    <t>Scores</t>
  </si>
  <si>
    <t>RSS/Max</t>
  </si>
  <si>
    <t>Seperation from Ideal</t>
  </si>
  <si>
    <t>Si+</t>
  </si>
  <si>
    <t>Si-</t>
  </si>
  <si>
    <t>Closeness to Ideal</t>
  </si>
  <si>
    <t>Rank</t>
  </si>
  <si>
    <t>Best Score</t>
  </si>
  <si>
    <t>Best Concept</t>
  </si>
  <si>
    <t>Engineering TOPSIS</t>
  </si>
  <si>
    <t>Concept</t>
  </si>
  <si>
    <t>Baseline- Sheet Metal</t>
  </si>
  <si>
    <t>Baseline - Machine</t>
  </si>
  <si>
    <t>Baseline - Hand Layup</t>
  </si>
  <si>
    <t>Baseline - Hybrid</t>
  </si>
  <si>
    <t>Outsource- Hand Layup</t>
  </si>
  <si>
    <t>Bubble Chart</t>
  </si>
  <si>
    <t>Weight</t>
  </si>
  <si>
    <t>Range</t>
  </si>
  <si>
    <t>Top Speed</t>
  </si>
  <si>
    <t>Acceleration</t>
  </si>
  <si>
    <t>Fuel Eff</t>
  </si>
  <si>
    <t>Avg. Unit Cost</t>
  </si>
  <si>
    <t>Assembly</t>
  </si>
  <si>
    <t>Fabrication</t>
  </si>
  <si>
    <t xml:space="preserve">Material </t>
  </si>
  <si>
    <t>Tooling</t>
  </si>
  <si>
    <t>Manhours</t>
  </si>
  <si>
    <t>Transportability</t>
  </si>
  <si>
    <t>min</t>
  </si>
  <si>
    <t>(non-dimen) Weight</t>
  </si>
  <si>
    <t>(non-dimen) Range</t>
  </si>
  <si>
    <t>(non-dimen) Top Speed</t>
  </si>
  <si>
    <t>(non-dimen) Acceleration</t>
  </si>
  <si>
    <t>(non-dimen) Fuel Eff</t>
  </si>
  <si>
    <t>(non-dimen) Survivability</t>
  </si>
  <si>
    <t>(non-dimen) Avg. Unit Cost</t>
  </si>
  <si>
    <t>(non-dimen) Assembly</t>
  </si>
  <si>
    <t>(non-dimen) Fabrication</t>
  </si>
  <si>
    <t xml:space="preserve">(non-dimen) Material </t>
  </si>
  <si>
    <t>(non-dimen) Tooling</t>
  </si>
  <si>
    <t>(non-dimen) Manhours</t>
  </si>
  <si>
    <t>(non-dimen) Complexity</t>
  </si>
  <si>
    <t>(non-dimen) Transportability</t>
  </si>
  <si>
    <t>(weighted) Weight</t>
  </si>
  <si>
    <t>(weighted)  Range</t>
  </si>
  <si>
    <t>(weighted) Top Speed</t>
  </si>
  <si>
    <t>(weighted)  Acceleration</t>
  </si>
  <si>
    <t>(weighted)  Fuel Eff</t>
  </si>
  <si>
    <t>(weighted)  Survivability</t>
  </si>
  <si>
    <t>(weighted) Avg. Unit Cost</t>
  </si>
  <si>
    <t>(weighted)  Assembly</t>
  </si>
  <si>
    <t>(weighted)  Fabrication</t>
  </si>
  <si>
    <t xml:space="preserve">(weighted) Material </t>
  </si>
  <si>
    <t>(weighted) Tooling</t>
  </si>
  <si>
    <t>(weighted) Manhours</t>
  </si>
  <si>
    <t>(weighted) Complexity</t>
  </si>
  <si>
    <t>(weighted) Transportability</t>
  </si>
  <si>
    <t>Attributes</t>
  </si>
  <si>
    <t>Metrics</t>
  </si>
  <si>
    <t>Acceleration (0-30mph)</t>
  </si>
  <si>
    <t>Requirement</t>
  </si>
  <si>
    <t>Attribute</t>
  </si>
  <si>
    <t>`</t>
  </si>
  <si>
    <t>Metric</t>
  </si>
  <si>
    <t>Cash Flow Summary Table</t>
  </si>
  <si>
    <t>REVENUE</t>
  </si>
  <si>
    <t>COST</t>
  </si>
  <si>
    <t>Material Cost</t>
  </si>
  <si>
    <t>Labor Cost</t>
  </si>
  <si>
    <t>Setup</t>
  </si>
  <si>
    <t>Direct Cost</t>
  </si>
  <si>
    <t>Inspection</t>
  </si>
  <si>
    <t>Rework</t>
  </si>
  <si>
    <t xml:space="preserve">RDT&amp;E Labor Cost (w/o fee) </t>
  </si>
  <si>
    <t>EBITDA</t>
  </si>
  <si>
    <t>Capital Investment Cost</t>
  </si>
  <si>
    <t>Prod Tooling Cost</t>
  </si>
  <si>
    <t>Prod Capital Equip Cost</t>
  </si>
  <si>
    <t>Prod Facility Costs (Wing)</t>
  </si>
  <si>
    <t>RDT&amp;E Facility Costs</t>
  </si>
  <si>
    <t>Loan Principle Payments</t>
  </si>
  <si>
    <t>Loan Principle Balance</t>
  </si>
  <si>
    <t>Interest</t>
  </si>
  <si>
    <t>Depreciation</t>
  </si>
  <si>
    <t>EBIT</t>
  </si>
  <si>
    <t>TAXES</t>
  </si>
  <si>
    <t>NET INCOME</t>
  </si>
  <si>
    <t>ADJUSTMENTS</t>
  </si>
  <si>
    <t>Loan Principal Cash Flow (-)</t>
  </si>
  <si>
    <t>Depreciation (+)</t>
  </si>
  <si>
    <t>Investment (-)</t>
  </si>
  <si>
    <t>NET CASH FLOW</t>
  </si>
  <si>
    <t>NET PRESENT VALUE (using WACC)</t>
  </si>
  <si>
    <t>CUMULATIVE CASH FLOW</t>
  </si>
  <si>
    <t>WING COST</t>
  </si>
  <si>
    <t>WING PRICE</t>
  </si>
  <si>
    <t>BREAK-EVEN YEAR</t>
  </si>
  <si>
    <t>WACC Rate:</t>
  </si>
  <si>
    <t>RDTE Profit Fee:</t>
  </si>
  <si>
    <t>Inflation Rate:</t>
  </si>
  <si>
    <t>Capital Interest:</t>
  </si>
  <si>
    <t>Tax Rate:</t>
  </si>
  <si>
    <t>Sust Inv Profit Fee:</t>
  </si>
  <si>
    <t>Life of Loan:</t>
  </si>
  <si>
    <t>YEAR</t>
  </si>
  <si>
    <t>TOTALS</t>
  </si>
  <si>
    <t>UNITS</t>
  </si>
  <si>
    <t>WING PRICE BASED ON WACC</t>
  </si>
  <si>
    <t>Revenue Co-Efficient</t>
  </si>
  <si>
    <t>Cost Co-Efficient</t>
  </si>
  <si>
    <t>Wing Price</t>
  </si>
  <si>
    <t>Wing Cost</t>
  </si>
  <si>
    <t>CASH FLOW ANALYSIS</t>
  </si>
  <si>
    <t>INFLATED WING PRICE BASED ON WACC</t>
  </si>
  <si>
    <t>Break Even Year</t>
  </si>
  <si>
    <t>Cumulative Cash Flow Table</t>
  </si>
  <si>
    <t>Year</t>
  </si>
  <si>
    <t>Cash Flow Schedule - Mfg Tab</t>
  </si>
  <si>
    <t>Cash Flow Schedule - Exec Tab</t>
  </si>
  <si>
    <t>Normal Cost</t>
  </si>
  <si>
    <t>Cost per Unit</t>
  </si>
  <si>
    <t>Cost per Unit per Pound</t>
  </si>
  <si>
    <t>Total Cost by  Concept</t>
  </si>
  <si>
    <t>Cost Category</t>
  </si>
  <si>
    <t>RDTE Cost</t>
  </si>
  <si>
    <t>Facility Cost</t>
  </si>
  <si>
    <t>Capital Cost</t>
  </si>
  <si>
    <t>Cost by Concept - Exec Tab</t>
  </si>
  <si>
    <t>Baseline- Manual</t>
  </si>
  <si>
    <t>Production Metrics</t>
  </si>
  <si>
    <t>Production Constraint</t>
  </si>
  <si>
    <t>Number of Wings</t>
  </si>
  <si>
    <t>Minimum Aircraft per Year</t>
  </si>
  <si>
    <t>Time per Wing</t>
  </si>
  <si>
    <t>Minimum Wings per Year</t>
  </si>
  <si>
    <t>Total Production Years</t>
  </si>
  <si>
    <t>Minimum Wings per Line Per Shift</t>
  </si>
  <si>
    <t>Max Production Rate</t>
  </si>
  <si>
    <t>Normal Operations</t>
  </si>
  <si>
    <t>Number of Shifts</t>
  </si>
  <si>
    <t># of Lines</t>
  </si>
  <si>
    <t>Number of Lines</t>
  </si>
  <si>
    <t># Shifts per Line for Normal Operations</t>
  </si>
  <si>
    <t>Number of Max Production Years</t>
  </si>
  <si>
    <t>Average Man Hours per Year (5 Weeks Off)</t>
  </si>
  <si>
    <t>Number of Ramp Units</t>
  </si>
  <si>
    <t>People Per Shift</t>
  </si>
  <si>
    <t>Concept 1 Shifts &amp; Lines</t>
  </si>
  <si>
    <t>Hrs Per Wing</t>
  </si>
  <si>
    <t>Number of Total Manhours</t>
  </si>
  <si>
    <t>Total Wings per Year</t>
  </si>
  <si>
    <t>New Num Shifts</t>
  </si>
  <si>
    <t>Shifts</t>
  </si>
  <si>
    <t>Lines</t>
  </si>
  <si>
    <t>Concept 2 Shifts &amp; Lines</t>
  </si>
  <si>
    <t>Concept 3 Shifts &amp; Lines</t>
  </si>
  <si>
    <t>Concept 4 Shifts &amp; Lines</t>
  </si>
  <si>
    <t>Concept 5 Shifts &amp; Lines</t>
  </si>
  <si>
    <t>Concept 6 Shifts &amp; Lines</t>
  </si>
  <si>
    <t>Concept 7 Shifts &amp; Lines</t>
  </si>
  <si>
    <t>Concept 8 Shifts &amp; Lines</t>
  </si>
  <si>
    <t>Concept 9 Shifts &amp; Lines</t>
  </si>
  <si>
    <t>Concept 10 Shifts &amp; Lines</t>
  </si>
  <si>
    <t>Production Schedule</t>
  </si>
  <si>
    <t>Annual</t>
  </si>
  <si>
    <t>Cummulative</t>
  </si>
  <si>
    <t>Production Schedule - Exec Tab</t>
  </si>
  <si>
    <t>Unit</t>
  </si>
  <si>
    <t>Design</t>
  </si>
  <si>
    <t>$M</t>
  </si>
  <si>
    <t>Baseline-Manual</t>
  </si>
  <si>
    <t>Baseline-Machine</t>
  </si>
  <si>
    <t>In-House-Manual</t>
  </si>
  <si>
    <t>In-House-Machine</t>
  </si>
  <si>
    <t>Outsource-Manual</t>
  </si>
  <si>
    <t>Outsource-Machine</t>
  </si>
  <si>
    <t>High Prod. Qty-Manual</t>
  </si>
  <si>
    <t>High Prod. Qty-Machine</t>
  </si>
  <si>
    <t>Low Prod. Qty-Manual</t>
  </si>
  <si>
    <t>Low Prod. Qty-Machine</t>
  </si>
  <si>
    <t>ID</t>
  </si>
  <si>
    <t>Target</t>
  </si>
  <si>
    <t>Objective</t>
  </si>
  <si>
    <t>Filter</t>
  </si>
  <si>
    <t>max</t>
  </si>
  <si>
    <t>man</t>
  </si>
  <si>
    <t>-</t>
  </si>
  <si>
    <t>Max off-road speed</t>
  </si>
  <si>
    <t>Max on-road speed</t>
  </si>
  <si>
    <t>Max obstacle height</t>
  </si>
  <si>
    <t>Min turn radius/tractive effort</t>
  </si>
  <si>
    <t>Fuel efficiency</t>
  </si>
  <si>
    <t>Ground pressure</t>
  </si>
  <si>
    <t>C-17 Transportable</t>
  </si>
  <si>
    <t>Rail Transportable</t>
  </si>
  <si>
    <t>Ship Transportable</t>
  </si>
  <si>
    <t>Tracked vs. wheeled</t>
  </si>
  <si>
    <t>mph</t>
  </si>
  <si>
    <t>sec</t>
  </si>
  <si>
    <t>m</t>
  </si>
  <si>
    <t>in</t>
  </si>
  <si>
    <t>nmi</t>
  </si>
  <si>
    <t>psi</t>
  </si>
  <si>
    <t>ton</t>
  </si>
  <si>
    <t>mpg</t>
  </si>
  <si>
    <t>Yes</t>
  </si>
  <si>
    <t>match</t>
  </si>
  <si>
    <t>Requirement Weighting</t>
  </si>
  <si>
    <t>Design Attribute Summary</t>
  </si>
  <si>
    <t>Design Vehicle Three-View</t>
  </si>
  <si>
    <t>Weight limits</t>
  </si>
  <si>
    <t>Technology readiness level</t>
  </si>
  <si>
    <t>Vehicle soldier carrying capacity</t>
  </si>
  <si>
    <t>Max weight</t>
  </si>
  <si>
    <t>Soliders - warfighters</t>
  </si>
  <si>
    <t>Soldiers - crew</t>
  </si>
  <si>
    <t>Max width</t>
  </si>
  <si>
    <t>8.1.1</t>
  </si>
  <si>
    <t>8.1.2</t>
  </si>
  <si>
    <t>8.2.1</t>
  </si>
  <si>
    <t>8.2.2</t>
  </si>
  <si>
    <t>8.3.1</t>
  </si>
  <si>
    <t>8.3.2</t>
  </si>
  <si>
    <t>Average unit cost</t>
  </si>
  <si>
    <t>Man hours</t>
  </si>
  <si>
    <t>hr</t>
  </si>
  <si>
    <t>Armor weight</t>
  </si>
  <si>
    <t>Gross Weight</t>
  </si>
  <si>
    <t>No</t>
  </si>
  <si>
    <t>Turret</t>
  </si>
  <si>
    <t>Armor</t>
  </si>
  <si>
    <t>Design 1</t>
  </si>
  <si>
    <t>Design 2</t>
  </si>
  <si>
    <t>Design 3</t>
  </si>
  <si>
    <t>Design 4</t>
  </si>
  <si>
    <t>Design 5</t>
  </si>
  <si>
    <t>Design 6</t>
  </si>
  <si>
    <t>Design 7</t>
  </si>
  <si>
    <t>Design 8</t>
  </si>
  <si>
    <t>Design 9</t>
  </si>
  <si>
    <t>Design 10</t>
  </si>
  <si>
    <t>Tier 2 Weightings</t>
  </si>
  <si>
    <t>Vehicle Design Metric Summary</t>
  </si>
  <si>
    <t xml:space="preserve"> Design 1</t>
  </si>
  <si>
    <t>Max Width</t>
  </si>
  <si>
    <t>Max Height</t>
  </si>
  <si>
    <t>Max Length</t>
  </si>
  <si>
    <t>Survivability (Add-on package)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</si>
</sst>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&quot;$&quot;#,##0.00"/>
    <numFmt numFmtId="169" formatCode="0.0"/>
  </numFmts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0"/>
      <name val="Stencil"/>
      <family val="5"/>
    </font>
    <font>
      <sz val="82"/>
      <color rgb="FFF9CE6D"/>
      <name val="Stencil"/>
      <family val="5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23743"/>
        <bgColor indexed="64"/>
      </patternFill>
    </fill>
    <fill>
      <patternFill patternType="solid">
        <fgColor rgb="FFF9E2B0"/>
        <bgColor indexed="64"/>
      </patternFill>
    </fill>
    <fill>
      <patternFill patternType="solid">
        <fgColor rgb="FFE6A717"/>
        <bgColor indexed="64"/>
      </patternFill>
    </fill>
    <fill>
      <patternFill patternType="solid">
        <fgColor rgb="FFF9CE6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203B9C"/>
      </left>
      <right style="thin">
        <color rgb="FF203B9C"/>
      </right>
      <top style="thin">
        <color rgb="FF203B9C"/>
      </top>
      <bottom style="thin">
        <color rgb="FF203B9C"/>
      </bottom>
      <diagonal/>
    </border>
    <border>
      <left style="medium">
        <color rgb="FF203B9C"/>
      </left>
      <right/>
      <top style="medium">
        <color rgb="FF203B9C"/>
      </top>
      <bottom/>
      <diagonal/>
    </border>
    <border>
      <left/>
      <right/>
      <top style="medium">
        <color rgb="FF203B9C"/>
      </top>
      <bottom/>
      <diagonal/>
    </border>
    <border>
      <left/>
      <right style="medium">
        <color rgb="FF203B9C"/>
      </right>
      <top style="medium">
        <color rgb="FF203B9C"/>
      </top>
      <bottom/>
      <diagonal/>
    </border>
    <border>
      <left style="medium">
        <color rgb="FF203B9C"/>
      </left>
      <right/>
      <top style="thin">
        <color indexed="64"/>
      </top>
      <bottom style="thin">
        <color indexed="64"/>
      </bottom>
      <diagonal/>
    </border>
    <border>
      <left style="medium">
        <color rgb="FF203B9C"/>
      </left>
      <right/>
      <top/>
      <bottom/>
      <diagonal/>
    </border>
    <border>
      <left/>
      <right style="medium">
        <color rgb="FF203B9C"/>
      </right>
      <top/>
      <bottom/>
      <diagonal/>
    </border>
    <border>
      <left style="medium">
        <color rgb="FF203B9C"/>
      </left>
      <right/>
      <top/>
      <bottom style="medium">
        <color rgb="FF203B9C"/>
      </bottom>
      <diagonal/>
    </border>
    <border>
      <left/>
      <right/>
      <top/>
      <bottom style="medium">
        <color rgb="FF203B9C"/>
      </bottom>
      <diagonal/>
    </border>
    <border>
      <left/>
      <right style="medium">
        <color rgb="FF203B9C"/>
      </right>
      <top/>
      <bottom style="medium">
        <color rgb="FF203B9C"/>
      </bottom>
      <diagonal/>
    </border>
    <border>
      <left style="medium">
        <color rgb="FF203B9C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203B9C"/>
      </right>
      <top style="thin">
        <color indexed="64"/>
      </top>
      <bottom style="thin">
        <color indexed="64"/>
      </bottom>
      <diagonal/>
    </border>
    <border>
      <left style="medium">
        <color rgb="FF203B9C"/>
      </left>
      <right style="thin">
        <color indexed="64"/>
      </right>
      <top/>
      <bottom style="thin">
        <color indexed="64"/>
      </bottom>
      <diagonal/>
    </border>
    <border>
      <left style="medium">
        <color rgb="FF203B9C"/>
      </left>
      <right/>
      <top style="medium">
        <color rgb="FF203B9C"/>
      </top>
      <bottom style="thin">
        <color indexed="64"/>
      </bottom>
      <diagonal/>
    </border>
    <border>
      <left/>
      <right/>
      <top style="medium">
        <color rgb="FF203B9C"/>
      </top>
      <bottom style="thin">
        <color indexed="64"/>
      </bottom>
      <diagonal/>
    </border>
    <border>
      <left style="medium">
        <color rgb="FF203B9C"/>
      </left>
      <right style="thin">
        <color indexed="64"/>
      </right>
      <top/>
      <bottom/>
      <diagonal/>
    </border>
    <border>
      <left/>
      <right style="medium">
        <color rgb="FF203B9C"/>
      </right>
      <top style="medium">
        <color rgb="FF203B9C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rgb="FF203B9C"/>
      </right>
      <top style="thin">
        <color indexed="64"/>
      </top>
      <bottom/>
      <diagonal/>
    </border>
    <border>
      <left style="thin">
        <color rgb="FF203B9C"/>
      </left>
      <right style="thin">
        <color rgb="FF203B9C"/>
      </right>
      <top style="thin">
        <color rgb="FF203B9C"/>
      </top>
      <bottom/>
      <diagonal/>
    </border>
    <border>
      <left style="thin">
        <color rgb="FF203B9C"/>
      </left>
      <right style="thin">
        <color rgb="FF203B9C"/>
      </right>
      <top/>
      <bottom/>
      <diagonal/>
    </border>
  </borders>
  <cellStyleXfs count="8">
    <xf numFmtId="0" fontId="0" fillId="0" borderId="0"/>
    <xf numFmtId="0" fontId="6" fillId="0" borderId="0"/>
    <xf numFmtId="0" fontId="27" fillId="0" borderId="0"/>
    <xf numFmtId="0" fontId="6" fillId="0" borderId="0"/>
    <xf numFmtId="0" fontId="6" fillId="0" borderId="0"/>
    <xf numFmtId="9" fontId="27" fillId="0" borderId="0" applyFont="0" applyFill="0" applyBorder="0" applyAlignment="0" applyProtection="0"/>
    <xf numFmtId="0" fontId="28" fillId="0" borderId="0">
      <alignment vertical="center"/>
    </xf>
    <xf numFmtId="0" fontId="27" fillId="0" borderId="0"/>
  </cellStyleXfs>
  <cellXfs count="381">
    <xf numFmtId="0" fontId="0" fillId="0" borderId="0" xfId="0"/>
    <xf numFmtId="0" fontId="0" fillId="3" borderId="0" xfId="0" applyFill="1"/>
    <xf numFmtId="0" fontId="2" fillId="3" borderId="0" xfId="0" applyFont="1" applyFill="1"/>
    <xf numFmtId="0" fontId="3" fillId="3" borderId="0" xfId="0" applyFont="1" applyFill="1"/>
    <xf numFmtId="0" fontId="0" fillId="3" borderId="0" xfId="0" applyFill="1" applyAlignment="1">
      <alignment horizontal="left" indent="1"/>
    </xf>
    <xf numFmtId="0" fontId="0" fillId="4" borderId="0" xfId="0" applyFill="1" applyBorder="1"/>
    <xf numFmtId="0" fontId="7" fillId="0" borderId="0" xfId="0" applyFont="1"/>
    <xf numFmtId="0" fontId="1" fillId="0" borderId="0" xfId="0" applyFont="1"/>
    <xf numFmtId="1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7" borderId="0" xfId="0" applyNumberFormat="1" applyFill="1"/>
    <xf numFmtId="0" fontId="0" fillId="7" borderId="0" xfId="0" applyFill="1"/>
    <xf numFmtId="164" fontId="0" fillId="0" borderId="0" xfId="0" applyNumberFormat="1" applyFill="1"/>
    <xf numFmtId="0" fontId="7" fillId="8" borderId="0" xfId="0" applyFont="1" applyFill="1"/>
    <xf numFmtId="0" fontId="0" fillId="2" borderId="0" xfId="0" applyFill="1" applyAlignment="1">
      <alignment horizontal="right"/>
    </xf>
    <xf numFmtId="0" fontId="0" fillId="2" borderId="0" xfId="0" applyFill="1"/>
    <xf numFmtId="164" fontId="0" fillId="9" borderId="0" xfId="0" applyNumberFormat="1" applyFill="1"/>
    <xf numFmtId="164" fontId="10" fillId="0" borderId="0" xfId="0" applyNumberFormat="1" applyFont="1"/>
    <xf numFmtId="0" fontId="0" fillId="4" borderId="0" xfId="0" applyFill="1" applyBorder="1" applyAlignment="1">
      <alignment horizontal="left" indent="2"/>
    </xf>
    <xf numFmtId="0" fontId="0" fillId="3" borderId="0" xfId="0" applyFill="1" applyBorder="1"/>
    <xf numFmtId="0" fontId="0" fillId="6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left"/>
    </xf>
    <xf numFmtId="0" fontId="0" fillId="2" borderId="1" xfId="0" applyFill="1" applyBorder="1"/>
    <xf numFmtId="0" fontId="1" fillId="6" borderId="18" xfId="0" applyFont="1" applyFill="1" applyBorder="1" applyAlignment="1">
      <alignment horizontal="left"/>
    </xf>
    <xf numFmtId="0" fontId="0" fillId="4" borderId="18" xfId="0" applyFill="1" applyBorder="1" applyAlignment="1">
      <alignment horizontal="left" indent="2"/>
    </xf>
    <xf numFmtId="0" fontId="0" fillId="4" borderId="19" xfId="0" applyFont="1" applyFill="1" applyBorder="1" applyAlignment="1">
      <alignment horizontal="left" vertical="center" indent="1"/>
    </xf>
    <xf numFmtId="0" fontId="0" fillId="4" borderId="21" xfId="0" applyFont="1" applyFill="1" applyBorder="1" applyAlignment="1">
      <alignment horizontal="left" vertical="center" indent="1"/>
    </xf>
    <xf numFmtId="0" fontId="0" fillId="4" borderId="22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6" borderId="25" xfId="0" applyFont="1" applyFill="1" applyBorder="1" applyAlignment="1">
      <alignment horizontal="center"/>
    </xf>
    <xf numFmtId="0" fontId="0" fillId="4" borderId="19" xfId="0" applyFill="1" applyBorder="1" applyAlignment="1">
      <alignment horizontal="left" indent="2"/>
    </xf>
    <xf numFmtId="0" fontId="0" fillId="4" borderId="20" xfId="0" applyFill="1" applyBorder="1" applyAlignment="1">
      <alignment horizontal="left" indent="2"/>
    </xf>
    <xf numFmtId="0" fontId="0" fillId="4" borderId="21" xfId="0" applyFill="1" applyBorder="1" applyAlignment="1">
      <alignment horizontal="left" indent="2"/>
    </xf>
    <xf numFmtId="0" fontId="0" fillId="4" borderId="22" xfId="0" applyFill="1" applyBorder="1" applyAlignment="1">
      <alignment horizontal="left" indent="2"/>
    </xf>
    <xf numFmtId="0" fontId="0" fillId="4" borderId="23" xfId="0" applyFill="1" applyBorder="1" applyAlignment="1">
      <alignment horizontal="left" indent="2"/>
    </xf>
    <xf numFmtId="0" fontId="12" fillId="10" borderId="1" xfId="0" applyFont="1" applyFill="1" applyBorder="1" applyAlignment="1">
      <alignment horizontal="center"/>
    </xf>
    <xf numFmtId="165" fontId="7" fillId="2" borderId="0" xfId="0" applyNumberFormat="1" applyFont="1" applyFill="1"/>
    <xf numFmtId="0" fontId="7" fillId="2" borderId="0" xfId="0" applyFont="1" applyFill="1"/>
    <xf numFmtId="0" fontId="13" fillId="10" borderId="1" xfId="0" applyFont="1" applyFill="1" applyBorder="1" applyAlignment="1">
      <alignment horizontal="left"/>
    </xf>
    <xf numFmtId="0" fontId="13" fillId="10" borderId="4" xfId="0" applyFont="1" applyFill="1" applyBorder="1" applyAlignment="1">
      <alignment horizontal="center"/>
    </xf>
    <xf numFmtId="0" fontId="13" fillId="10" borderId="31" xfId="0" applyFont="1" applyFill="1" applyBorder="1" applyAlignment="1">
      <alignment horizontal="center"/>
    </xf>
    <xf numFmtId="0" fontId="13" fillId="10" borderId="5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13" fillId="2" borderId="3" xfId="0" applyFont="1" applyFill="1" applyBorder="1" applyAlignment="1">
      <alignment horizontal="left"/>
    </xf>
    <xf numFmtId="165" fontId="7" fillId="2" borderId="4" xfId="0" applyNumberFormat="1" applyFont="1" applyFill="1" applyBorder="1" applyAlignment="1">
      <alignment horizontal="left"/>
    </xf>
    <xf numFmtId="165" fontId="7" fillId="2" borderId="13" xfId="0" applyNumberFormat="1" applyFont="1" applyFill="1" applyBorder="1" applyAlignment="1">
      <alignment horizontal="left"/>
    </xf>
    <xf numFmtId="0" fontId="13" fillId="2" borderId="0" xfId="0" applyFont="1" applyFill="1" applyAlignment="1">
      <alignment horizontal="left"/>
    </xf>
    <xf numFmtId="0" fontId="14" fillId="2" borderId="3" xfId="0" applyFont="1" applyFill="1" applyBorder="1" applyAlignment="1" applyProtection="1">
      <alignment horizontal="left"/>
      <protection locked="0"/>
    </xf>
    <xf numFmtId="0" fontId="14" fillId="2" borderId="6" xfId="0" applyFont="1" applyFill="1" applyBorder="1" applyAlignment="1">
      <alignment horizontal="left" indent="2"/>
    </xf>
    <xf numFmtId="0" fontId="13" fillId="2" borderId="0" xfId="0" applyFont="1" applyFill="1" applyAlignment="1">
      <alignment horizontal="left" indent="2"/>
    </xf>
    <xf numFmtId="0" fontId="15" fillId="2" borderId="6" xfId="0" applyFont="1" applyFill="1" applyBorder="1" applyAlignment="1">
      <alignment horizontal="left" indent="5"/>
    </xf>
    <xf numFmtId="0" fontId="7" fillId="2" borderId="0" xfId="0" applyFont="1" applyFill="1" applyAlignment="1">
      <alignment horizontal="left" indent="5"/>
    </xf>
    <xf numFmtId="49" fontId="14" fillId="2" borderId="8" xfId="0" applyNumberFormat="1" applyFont="1" applyFill="1" applyBorder="1" applyAlignment="1" applyProtection="1">
      <alignment horizontal="left" indent="2"/>
      <protection locked="0"/>
    </xf>
    <xf numFmtId="0" fontId="14" fillId="2" borderId="3" xfId="0" applyFont="1" applyFill="1" applyBorder="1" applyAlignment="1">
      <alignment horizontal="left"/>
    </xf>
    <xf numFmtId="165" fontId="13" fillId="2" borderId="0" xfId="0" applyNumberFormat="1" applyFont="1" applyFill="1" applyBorder="1" applyAlignment="1">
      <alignment horizontal="left"/>
    </xf>
    <xf numFmtId="0" fontId="14" fillId="2" borderId="6" xfId="0" applyFont="1" applyFill="1" applyBorder="1" applyAlignment="1" applyProtection="1">
      <alignment horizontal="left" indent="2"/>
      <protection locked="0"/>
    </xf>
    <xf numFmtId="0" fontId="15" fillId="2" borderId="6" xfId="0" applyFont="1" applyFill="1" applyBorder="1" applyAlignment="1">
      <alignment horizontal="left" indent="7"/>
    </xf>
    <xf numFmtId="165" fontId="7" fillId="2" borderId="0" xfId="0" applyNumberFormat="1" applyFont="1" applyFill="1" applyBorder="1" applyAlignment="1">
      <alignment horizontal="left" indent="7"/>
    </xf>
    <xf numFmtId="0" fontId="7" fillId="2" borderId="0" xfId="0" applyFont="1" applyFill="1" applyAlignment="1">
      <alignment horizontal="left" indent="7"/>
    </xf>
    <xf numFmtId="165" fontId="13" fillId="2" borderId="0" xfId="0" applyNumberFormat="1" applyFont="1" applyFill="1" applyBorder="1" applyAlignment="1">
      <alignment horizontal="left" indent="2"/>
    </xf>
    <xf numFmtId="165" fontId="7" fillId="2" borderId="0" xfId="0" applyNumberFormat="1" applyFont="1" applyFill="1" applyBorder="1" applyAlignment="1">
      <alignment horizontal="left" indent="2"/>
    </xf>
    <xf numFmtId="0" fontId="7" fillId="2" borderId="0" xfId="0" applyFont="1" applyFill="1" applyAlignment="1">
      <alignment horizontal="left" indent="2"/>
    </xf>
    <xf numFmtId="165" fontId="13" fillId="2" borderId="0" xfId="0" applyNumberFormat="1" applyFont="1" applyFill="1" applyBorder="1"/>
    <xf numFmtId="0" fontId="13" fillId="2" borderId="0" xfId="0" applyFont="1" applyFill="1"/>
    <xf numFmtId="0" fontId="14" fillId="2" borderId="8" xfId="0" applyFont="1" applyFill="1" applyBorder="1" applyAlignment="1">
      <alignment horizontal="left"/>
    </xf>
    <xf numFmtId="49" fontId="14" fillId="2" borderId="8" xfId="0" applyNumberFormat="1" applyFont="1" applyFill="1" applyBorder="1" applyAlignment="1" applyProtection="1">
      <alignment horizontal="left"/>
      <protection locked="0"/>
    </xf>
    <xf numFmtId="165" fontId="7" fillId="2" borderId="0" xfId="0" applyNumberFormat="1" applyFont="1" applyFill="1" applyBorder="1"/>
    <xf numFmtId="49" fontId="14" fillId="2" borderId="3" xfId="0" applyNumberFormat="1" applyFont="1" applyFill="1" applyBorder="1" applyAlignment="1" applyProtection="1">
      <alignment horizontal="left"/>
      <protection locked="0"/>
    </xf>
    <xf numFmtId="0" fontId="14" fillId="2" borderId="0" xfId="0" applyFont="1" applyFill="1"/>
    <xf numFmtId="0" fontId="14" fillId="2" borderId="1" xfId="0" applyFont="1" applyFill="1" applyBorder="1"/>
    <xf numFmtId="165" fontId="15" fillId="2" borderId="1" xfId="0" applyNumberFormat="1" applyFont="1" applyFill="1" applyBorder="1" applyAlignment="1">
      <alignment horizontal="left"/>
    </xf>
    <xf numFmtId="3" fontId="15" fillId="2" borderId="1" xfId="0" applyNumberFormat="1" applyFont="1" applyFill="1" applyBorder="1" applyAlignment="1">
      <alignment horizontal="left"/>
    </xf>
    <xf numFmtId="0" fontId="16" fillId="2" borderId="6" xfId="0" applyFont="1" applyFill="1" applyBorder="1"/>
    <xf numFmtId="165" fontId="16" fillId="2" borderId="0" xfId="0" applyNumberFormat="1" applyFont="1" applyFill="1" applyBorder="1"/>
    <xf numFmtId="0" fontId="16" fillId="2" borderId="0" xfId="0" applyFont="1" applyFill="1"/>
    <xf numFmtId="0" fontId="17" fillId="2" borderId="0" xfId="0" applyFont="1" applyFill="1" applyBorder="1"/>
    <xf numFmtId="165" fontId="17" fillId="2" borderId="0" xfId="0" applyNumberFormat="1" applyFont="1" applyFill="1" applyBorder="1"/>
    <xf numFmtId="0" fontId="17" fillId="2" borderId="0" xfId="0" applyFont="1" applyFill="1"/>
    <xf numFmtId="0" fontId="18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10" fontId="4" fillId="11" borderId="1" xfId="0" applyNumberFormat="1" applyFont="1" applyFill="1" applyBorder="1" applyAlignment="1">
      <alignment horizontal="left"/>
    </xf>
    <xf numFmtId="10" fontId="4" fillId="2" borderId="1" xfId="0" applyNumberFormat="1" applyFont="1" applyFill="1" applyBorder="1" applyAlignment="1">
      <alignment horizontal="left"/>
    </xf>
    <xf numFmtId="2" fontId="4" fillId="2" borderId="1" xfId="0" applyNumberFormat="1" applyFont="1" applyFill="1" applyBorder="1" applyAlignment="1">
      <alignment horizontal="left"/>
    </xf>
    <xf numFmtId="0" fontId="11" fillId="2" borderId="0" xfId="0" applyFont="1" applyFill="1"/>
    <xf numFmtId="0" fontId="4" fillId="10" borderId="1" xfId="0" applyFont="1" applyFill="1" applyBorder="1" applyAlignment="1">
      <alignment horizontal="left"/>
    </xf>
    <xf numFmtId="0" fontId="4" fillId="10" borderId="4" xfId="0" applyFont="1" applyFill="1" applyBorder="1" applyAlignment="1">
      <alignment horizontal="center"/>
    </xf>
    <xf numFmtId="0" fontId="4" fillId="10" borderId="31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" fontId="4" fillId="10" borderId="3" xfId="0" applyNumberFormat="1" applyFont="1" applyFill="1" applyBorder="1" applyAlignment="1">
      <alignment horizontal="left"/>
    </xf>
    <xf numFmtId="2" fontId="4" fillId="10" borderId="4" xfId="0" applyNumberFormat="1" applyFont="1" applyFill="1" applyBorder="1" applyAlignment="1">
      <alignment horizontal="center"/>
    </xf>
    <xf numFmtId="2" fontId="4" fillId="10" borderId="3" xfId="0" applyNumberFormat="1" applyFont="1" applyFill="1" applyBorder="1" applyAlignment="1">
      <alignment horizontal="center"/>
    </xf>
    <xf numFmtId="2" fontId="4" fillId="10" borderId="11" xfId="0" applyNumberFormat="1" applyFont="1" applyFill="1" applyBorder="1" applyAlignment="1">
      <alignment horizontal="center"/>
    </xf>
    <xf numFmtId="2" fontId="4" fillId="10" borderId="10" xfId="0" applyNumberFormat="1" applyFont="1" applyFill="1" applyBorder="1" applyAlignment="1">
      <alignment horizontal="center"/>
    </xf>
    <xf numFmtId="2" fontId="4" fillId="2" borderId="0" xfId="0" applyNumberFormat="1" applyFont="1" applyFill="1" applyAlignment="1">
      <alignment horizontal="center"/>
    </xf>
    <xf numFmtId="0" fontId="4" fillId="2" borderId="3" xfId="0" applyFont="1" applyFill="1" applyBorder="1" applyAlignment="1">
      <alignment horizontal="left"/>
    </xf>
    <xf numFmtId="165" fontId="4" fillId="2" borderId="3" xfId="0" applyNumberFormat="1" applyFont="1" applyFill="1" applyBorder="1" applyAlignment="1">
      <alignment horizontal="left"/>
    </xf>
    <xf numFmtId="165" fontId="4" fillId="2" borderId="11" xfId="0" applyNumberFormat="1" applyFont="1" applyFill="1" applyBorder="1" applyAlignment="1">
      <alignment horizontal="left"/>
    </xf>
    <xf numFmtId="165" fontId="4" fillId="2" borderId="10" xfId="0" applyNumberFormat="1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16" fillId="2" borderId="3" xfId="0" applyFont="1" applyFill="1" applyBorder="1" applyAlignment="1" applyProtection="1">
      <alignment horizontal="left"/>
      <protection locked="0"/>
    </xf>
    <xf numFmtId="165" fontId="16" fillId="2" borderId="1" xfId="0" applyNumberFormat="1" applyFont="1" applyFill="1" applyBorder="1" applyAlignment="1" applyProtection="1">
      <alignment horizontal="left"/>
      <protection locked="0"/>
    </xf>
    <xf numFmtId="165" fontId="4" fillId="2" borderId="6" xfId="0" applyNumberFormat="1" applyFont="1" applyFill="1" applyBorder="1" applyAlignment="1">
      <alignment horizontal="left"/>
    </xf>
    <xf numFmtId="165" fontId="4" fillId="2" borderId="0" xfId="0" applyNumberFormat="1" applyFont="1" applyFill="1" applyBorder="1" applyAlignment="1">
      <alignment horizontal="left"/>
    </xf>
    <xf numFmtId="165" fontId="4" fillId="2" borderId="7" xfId="0" applyNumberFormat="1" applyFont="1" applyFill="1" applyBorder="1" applyAlignment="1">
      <alignment horizontal="left"/>
    </xf>
    <xf numFmtId="0" fontId="16" fillId="2" borderId="6" xfId="0" applyFont="1" applyFill="1" applyBorder="1" applyAlignment="1">
      <alignment horizontal="left" indent="2"/>
    </xf>
    <xf numFmtId="165" fontId="16" fillId="2" borderId="32" xfId="0" applyNumberFormat="1" applyFont="1" applyFill="1" applyBorder="1" applyAlignment="1">
      <alignment horizontal="left" indent="2"/>
    </xf>
    <xf numFmtId="165" fontId="4" fillId="2" borderId="4" xfId="0" applyNumberFormat="1" applyFont="1" applyFill="1" applyBorder="1" applyAlignment="1">
      <alignment horizontal="left" indent="2"/>
    </xf>
    <xf numFmtId="165" fontId="4" fillId="2" borderId="31" xfId="0" applyNumberFormat="1" applyFont="1" applyFill="1" applyBorder="1" applyAlignment="1">
      <alignment horizontal="left" indent="2"/>
    </xf>
    <xf numFmtId="165" fontId="4" fillId="2" borderId="5" xfId="0" applyNumberFormat="1" applyFont="1" applyFill="1" applyBorder="1" applyAlignment="1">
      <alignment horizontal="left" indent="2"/>
    </xf>
    <xf numFmtId="0" fontId="4" fillId="2" borderId="0" xfId="0" applyFont="1" applyFill="1" applyAlignment="1">
      <alignment horizontal="left" indent="2"/>
    </xf>
    <xf numFmtId="165" fontId="4" fillId="2" borderId="6" xfId="0" applyNumberFormat="1" applyFont="1" applyFill="1" applyBorder="1" applyAlignment="1">
      <alignment horizontal="left" indent="2"/>
    </xf>
    <xf numFmtId="165" fontId="4" fillId="2" borderId="0" xfId="0" applyNumberFormat="1" applyFont="1" applyFill="1" applyBorder="1" applyAlignment="1">
      <alignment horizontal="left" indent="2"/>
    </xf>
    <xf numFmtId="165" fontId="4" fillId="2" borderId="7" xfId="0" applyNumberFormat="1" applyFont="1" applyFill="1" applyBorder="1" applyAlignment="1">
      <alignment horizontal="left" indent="2"/>
    </xf>
    <xf numFmtId="0" fontId="19" fillId="2" borderId="6" xfId="0" applyFont="1" applyFill="1" applyBorder="1" applyAlignment="1">
      <alignment horizontal="left" indent="5"/>
    </xf>
    <xf numFmtId="165" fontId="19" fillId="2" borderId="32" xfId="0" applyNumberFormat="1" applyFont="1" applyFill="1" applyBorder="1" applyAlignment="1">
      <alignment horizontal="left" indent="5"/>
    </xf>
    <xf numFmtId="165" fontId="20" fillId="2" borderId="6" xfId="0" applyNumberFormat="1" applyFont="1" applyFill="1" applyBorder="1" applyAlignment="1">
      <alignment horizontal="left" indent="5"/>
    </xf>
    <xf numFmtId="165" fontId="20" fillId="2" borderId="0" xfId="0" applyNumberFormat="1" applyFont="1" applyFill="1" applyBorder="1" applyAlignment="1">
      <alignment horizontal="left" indent="5"/>
    </xf>
    <xf numFmtId="165" fontId="20" fillId="2" borderId="7" xfId="0" applyNumberFormat="1" applyFont="1" applyFill="1" applyBorder="1" applyAlignment="1">
      <alignment horizontal="left" indent="5"/>
    </xf>
    <xf numFmtId="0" fontId="20" fillId="2" borderId="0" xfId="0" applyFont="1" applyFill="1" applyAlignment="1">
      <alignment horizontal="left" indent="5"/>
    </xf>
    <xf numFmtId="0" fontId="20" fillId="2" borderId="0" xfId="0" applyFont="1" applyFill="1" applyBorder="1" applyAlignment="1">
      <alignment horizontal="left" indent="5"/>
    </xf>
    <xf numFmtId="49" fontId="16" fillId="2" borderId="6" xfId="0" applyNumberFormat="1" applyFont="1" applyFill="1" applyBorder="1" applyAlignment="1" applyProtection="1">
      <alignment horizontal="left" indent="2"/>
      <protection locked="0"/>
    </xf>
    <xf numFmtId="165" fontId="4" fillId="2" borderId="8" xfId="0" applyNumberFormat="1" applyFont="1" applyFill="1" applyBorder="1" applyAlignment="1">
      <alignment horizontal="left" indent="2"/>
    </xf>
    <xf numFmtId="165" fontId="4" fillId="2" borderId="12" xfId="0" applyNumberFormat="1" applyFont="1" applyFill="1" applyBorder="1" applyAlignment="1">
      <alignment horizontal="left" indent="2"/>
    </xf>
    <xf numFmtId="165" fontId="4" fillId="2" borderId="9" xfId="0" applyNumberFormat="1" applyFont="1" applyFill="1" applyBorder="1" applyAlignment="1">
      <alignment horizontal="left" indent="2"/>
    </xf>
    <xf numFmtId="0" fontId="16" fillId="2" borderId="3" xfId="0" applyFont="1" applyFill="1" applyBorder="1" applyAlignment="1">
      <alignment horizontal="left"/>
    </xf>
    <xf numFmtId="165" fontId="16" fillId="2" borderId="1" xfId="0" applyNumberFormat="1" applyFont="1" applyFill="1" applyBorder="1" applyAlignment="1">
      <alignment horizontal="left"/>
    </xf>
    <xf numFmtId="165" fontId="4" fillId="2" borderId="8" xfId="0" applyNumberFormat="1" applyFont="1" applyFill="1" applyBorder="1" applyAlignment="1">
      <alignment horizontal="left"/>
    </xf>
    <xf numFmtId="165" fontId="4" fillId="2" borderId="12" xfId="0" applyNumberFormat="1" applyFont="1" applyFill="1" applyBorder="1" applyAlignment="1">
      <alignment horizontal="left"/>
    </xf>
    <xf numFmtId="165" fontId="4" fillId="2" borderId="9" xfId="0" applyNumberFormat="1" applyFont="1" applyFill="1" applyBorder="1" applyAlignment="1">
      <alignment horizontal="left"/>
    </xf>
    <xf numFmtId="0" fontId="16" fillId="2" borderId="6" xfId="0" applyFont="1" applyFill="1" applyBorder="1" applyAlignment="1" applyProtection="1">
      <alignment horizontal="left" indent="2"/>
      <protection locked="0"/>
    </xf>
    <xf numFmtId="165" fontId="16" fillId="2" borderId="6" xfId="0" applyNumberFormat="1" applyFont="1" applyFill="1" applyBorder="1" applyAlignment="1">
      <alignment horizontal="left" indent="4"/>
    </xf>
    <xf numFmtId="0" fontId="19" fillId="2" borderId="6" xfId="0" applyFont="1" applyFill="1" applyBorder="1" applyAlignment="1">
      <alignment horizontal="left" indent="7"/>
    </xf>
    <xf numFmtId="165" fontId="19" fillId="2" borderId="6" xfId="0" applyNumberFormat="1" applyFont="1" applyFill="1" applyBorder="1" applyAlignment="1">
      <alignment horizontal="left" indent="7"/>
    </xf>
    <xf numFmtId="165" fontId="20" fillId="2" borderId="6" xfId="0" applyNumberFormat="1" applyFont="1" applyFill="1" applyBorder="1" applyAlignment="1">
      <alignment horizontal="left" indent="7"/>
    </xf>
    <xf numFmtId="165" fontId="20" fillId="2" borderId="0" xfId="0" applyNumberFormat="1" applyFont="1" applyFill="1" applyBorder="1" applyAlignment="1">
      <alignment horizontal="left" indent="7"/>
    </xf>
    <xf numFmtId="165" fontId="20" fillId="2" borderId="7" xfId="0" applyNumberFormat="1" applyFont="1" applyFill="1" applyBorder="1" applyAlignment="1">
      <alignment horizontal="left" indent="7"/>
    </xf>
    <xf numFmtId="0" fontId="20" fillId="2" borderId="0" xfId="0" applyFont="1" applyFill="1" applyAlignment="1">
      <alignment horizontal="left" indent="7"/>
    </xf>
    <xf numFmtId="165" fontId="19" fillId="2" borderId="6" xfId="0" applyNumberFormat="1" applyFont="1" applyFill="1" applyBorder="1" applyAlignment="1">
      <alignment horizontal="left" indent="4"/>
    </xf>
    <xf numFmtId="165" fontId="11" fillId="2" borderId="6" xfId="0" applyNumberFormat="1" applyFont="1" applyFill="1" applyBorder="1" applyAlignment="1">
      <alignment horizontal="left" indent="2"/>
    </xf>
    <xf numFmtId="165" fontId="11" fillId="2" borderId="0" xfId="0" applyNumberFormat="1" applyFont="1" applyFill="1" applyBorder="1" applyAlignment="1">
      <alignment horizontal="left" indent="2"/>
    </xf>
    <xf numFmtId="165" fontId="11" fillId="2" borderId="7" xfId="0" applyNumberFormat="1" applyFont="1" applyFill="1" applyBorder="1" applyAlignment="1">
      <alignment horizontal="left" indent="2"/>
    </xf>
    <xf numFmtId="0" fontId="11" fillId="2" borderId="0" xfId="0" applyFont="1" applyFill="1" applyAlignment="1">
      <alignment horizontal="left" indent="2"/>
    </xf>
    <xf numFmtId="0" fontId="20" fillId="2" borderId="6" xfId="0" applyFont="1" applyFill="1" applyBorder="1" applyAlignment="1">
      <alignment horizontal="left" indent="2"/>
    </xf>
    <xf numFmtId="0" fontId="20" fillId="2" borderId="0" xfId="0" applyFont="1" applyFill="1" applyBorder="1" applyAlignment="1">
      <alignment horizontal="left" indent="2"/>
    </xf>
    <xf numFmtId="165" fontId="20" fillId="2" borderId="0" xfId="0" applyNumberFormat="1" applyFont="1" applyFill="1" applyBorder="1" applyAlignment="1">
      <alignment horizontal="left" indent="2"/>
    </xf>
    <xf numFmtId="165" fontId="20" fillId="2" borderId="7" xfId="0" applyNumberFormat="1" applyFont="1" applyFill="1" applyBorder="1" applyAlignment="1">
      <alignment horizontal="left" indent="2"/>
    </xf>
    <xf numFmtId="0" fontId="20" fillId="2" borderId="0" xfId="0" applyFont="1" applyFill="1" applyAlignment="1">
      <alignment horizontal="left" indent="2"/>
    </xf>
    <xf numFmtId="165" fontId="20" fillId="2" borderId="6" xfId="0" applyNumberFormat="1" applyFont="1" applyFill="1" applyBorder="1" applyAlignment="1">
      <alignment horizontal="left" indent="2"/>
    </xf>
    <xf numFmtId="165" fontId="16" fillId="2" borderId="6" xfId="0" applyNumberFormat="1" applyFont="1" applyFill="1" applyBorder="1" applyAlignment="1">
      <alignment horizontal="left" indent="2"/>
    </xf>
    <xf numFmtId="165" fontId="16" fillId="2" borderId="3" xfId="0" applyNumberFormat="1" applyFont="1" applyFill="1" applyBorder="1" applyAlignment="1">
      <alignment horizontal="left"/>
    </xf>
    <xf numFmtId="165" fontId="16" fillId="2" borderId="11" xfId="0" applyNumberFormat="1" applyFont="1" applyFill="1" applyBorder="1" applyAlignment="1">
      <alignment horizontal="left"/>
    </xf>
    <xf numFmtId="165" fontId="16" fillId="2" borderId="10" xfId="0" applyNumberFormat="1" applyFont="1" applyFill="1" applyBorder="1" applyAlignment="1">
      <alignment horizontal="left"/>
    </xf>
    <xf numFmtId="165" fontId="4" fillId="2" borderId="0" xfId="0" applyNumberFormat="1" applyFont="1" applyFill="1" applyBorder="1"/>
    <xf numFmtId="0" fontId="4" fillId="2" borderId="0" xfId="0" applyFont="1" applyFill="1"/>
    <xf numFmtId="165" fontId="16" fillId="2" borderId="8" xfId="0" applyNumberFormat="1" applyFont="1" applyFill="1" applyBorder="1" applyAlignment="1">
      <alignment horizontal="left"/>
    </xf>
    <xf numFmtId="165" fontId="16" fillId="2" borderId="12" xfId="0" applyNumberFormat="1" applyFont="1" applyFill="1" applyBorder="1" applyAlignment="1">
      <alignment horizontal="left"/>
    </xf>
    <xf numFmtId="165" fontId="16" fillId="2" borderId="9" xfId="0" applyNumberFormat="1" applyFont="1" applyFill="1" applyBorder="1" applyAlignment="1">
      <alignment horizontal="left"/>
    </xf>
    <xf numFmtId="0" fontId="16" fillId="2" borderId="8" xfId="0" applyFont="1" applyFill="1" applyBorder="1" applyAlignment="1">
      <alignment horizontal="left"/>
    </xf>
    <xf numFmtId="49" fontId="16" fillId="2" borderId="8" xfId="0" applyNumberFormat="1" applyFont="1" applyFill="1" applyBorder="1" applyAlignment="1" applyProtection="1">
      <alignment horizontal="left"/>
      <protection locked="0"/>
    </xf>
    <xf numFmtId="165" fontId="11" fillId="2" borderId="8" xfId="0" applyNumberFormat="1" applyFont="1" applyFill="1" applyBorder="1"/>
    <xf numFmtId="165" fontId="11" fillId="2" borderId="12" xfId="0" applyNumberFormat="1" applyFont="1" applyFill="1" applyBorder="1"/>
    <xf numFmtId="0" fontId="11" fillId="2" borderId="12" xfId="0" applyFont="1" applyFill="1" applyBorder="1"/>
    <xf numFmtId="0" fontId="11" fillId="2" borderId="9" xfId="0" applyFont="1" applyFill="1" applyBorder="1"/>
    <xf numFmtId="165" fontId="19" fillId="2" borderId="6" xfId="0" applyNumberFormat="1" applyFont="1" applyFill="1" applyBorder="1" applyAlignment="1">
      <alignment horizontal="left"/>
    </xf>
    <xf numFmtId="165" fontId="20" fillId="2" borderId="6" xfId="0" applyNumberFormat="1" applyFont="1" applyFill="1" applyBorder="1"/>
    <xf numFmtId="165" fontId="20" fillId="2" borderId="0" xfId="0" applyNumberFormat="1" applyFont="1" applyFill="1" applyBorder="1"/>
    <xf numFmtId="165" fontId="20" fillId="2" borderId="7" xfId="0" applyNumberFormat="1" applyFont="1" applyFill="1" applyBorder="1"/>
    <xf numFmtId="0" fontId="20" fillId="2" borderId="0" xfId="0" applyFont="1" applyFill="1"/>
    <xf numFmtId="165" fontId="19" fillId="2" borderId="0" xfId="0" applyNumberFormat="1" applyFont="1" applyFill="1" applyBorder="1"/>
    <xf numFmtId="49" fontId="16" fillId="2" borderId="3" xfId="0" applyNumberFormat="1" applyFont="1" applyFill="1" applyBorder="1" applyAlignment="1" applyProtection="1">
      <alignment horizontal="left"/>
      <protection locked="0"/>
    </xf>
    <xf numFmtId="165" fontId="16" fillId="2" borderId="3" xfId="0" applyNumberFormat="1" applyFont="1" applyFill="1" applyBorder="1" applyAlignment="1">
      <alignment horizontal="left" indent="2"/>
    </xf>
    <xf numFmtId="165" fontId="4" fillId="2" borderId="3" xfId="0" applyNumberFormat="1" applyFont="1" applyFill="1" applyBorder="1"/>
    <xf numFmtId="165" fontId="4" fillId="2" borderId="11" xfId="0" applyNumberFormat="1" applyFont="1" applyFill="1" applyBorder="1"/>
    <xf numFmtId="165" fontId="4" fillId="2" borderId="10" xfId="0" applyNumberFormat="1" applyFont="1" applyFill="1" applyBorder="1"/>
    <xf numFmtId="165" fontId="16" fillId="2" borderId="3" xfId="0" applyNumberFormat="1" applyFont="1" applyFill="1" applyBorder="1"/>
    <xf numFmtId="165" fontId="16" fillId="2" borderId="11" xfId="0" applyNumberFormat="1" applyFont="1" applyFill="1" applyBorder="1"/>
    <xf numFmtId="165" fontId="16" fillId="2" borderId="10" xfId="0" applyNumberFormat="1" applyFont="1" applyFill="1" applyBorder="1"/>
    <xf numFmtId="0" fontId="16" fillId="2" borderId="1" xfId="0" applyFont="1" applyFill="1" applyBorder="1"/>
    <xf numFmtId="0" fontId="21" fillId="10" borderId="3" xfId="0" applyFont="1" applyFill="1" applyBorder="1"/>
    <xf numFmtId="165" fontId="11" fillId="2" borderId="0" xfId="0" applyNumberFormat="1" applyFont="1" applyFill="1" applyBorder="1"/>
    <xf numFmtId="49" fontId="16" fillId="2" borderId="13" xfId="0" applyNumberFormat="1" applyFont="1" applyFill="1" applyBorder="1" applyAlignment="1" applyProtection="1">
      <alignment horizontal="right"/>
      <protection locked="0"/>
    </xf>
    <xf numFmtId="165" fontId="17" fillId="2" borderId="4" xfId="0" applyNumberFormat="1" applyFont="1" applyFill="1" applyBorder="1" applyAlignment="1">
      <alignment horizontal="left" indent="2"/>
    </xf>
    <xf numFmtId="165" fontId="11" fillId="2" borderId="4" xfId="0" applyNumberFormat="1" applyFont="1" applyFill="1" applyBorder="1"/>
    <xf numFmtId="165" fontId="11" fillId="2" borderId="31" xfId="0" applyNumberFormat="1" applyFont="1" applyFill="1" applyBorder="1"/>
    <xf numFmtId="165" fontId="11" fillId="2" borderId="5" xfId="0" applyNumberFormat="1" applyFont="1" applyFill="1" applyBorder="1"/>
    <xf numFmtId="49" fontId="16" fillId="2" borderId="32" xfId="0" applyNumberFormat="1" applyFont="1" applyFill="1" applyBorder="1" applyAlignment="1" applyProtection="1">
      <alignment horizontal="right"/>
      <protection locked="0"/>
    </xf>
    <xf numFmtId="165" fontId="17" fillId="2" borderId="6" xfId="0" applyNumberFormat="1" applyFont="1" applyFill="1" applyBorder="1" applyAlignment="1">
      <alignment horizontal="left" indent="2"/>
    </xf>
    <xf numFmtId="165" fontId="11" fillId="2" borderId="6" xfId="0" applyNumberFormat="1" applyFont="1" applyFill="1" applyBorder="1"/>
    <xf numFmtId="165" fontId="11" fillId="2" borderId="7" xfId="0" applyNumberFormat="1" applyFont="1" applyFill="1" applyBorder="1"/>
    <xf numFmtId="49" fontId="16" fillId="2" borderId="2" xfId="0" applyNumberFormat="1" applyFont="1" applyFill="1" applyBorder="1" applyAlignment="1" applyProtection="1">
      <alignment horizontal="right"/>
      <protection locked="0"/>
    </xf>
    <xf numFmtId="165" fontId="16" fillId="2" borderId="8" xfId="0" applyNumberFormat="1" applyFont="1" applyFill="1" applyBorder="1" applyAlignment="1">
      <alignment horizontal="left" indent="2"/>
    </xf>
    <xf numFmtId="165" fontId="11" fillId="2" borderId="9" xfId="0" applyNumberFormat="1" applyFont="1" applyFill="1" applyBorder="1"/>
    <xf numFmtId="0" fontId="22" fillId="2" borderId="0" xfId="0" applyFont="1" applyFill="1" applyBorder="1"/>
    <xf numFmtId="0" fontId="23" fillId="2" borderId="0" xfId="0" applyFont="1" applyFill="1" applyBorder="1"/>
    <xf numFmtId="0" fontId="11" fillId="2" borderId="0" xfId="0" applyFont="1" applyFill="1" applyBorder="1"/>
    <xf numFmtId="10" fontId="11" fillId="2" borderId="0" xfId="0" applyNumberFormat="1" applyFont="1" applyFill="1" applyBorder="1"/>
    <xf numFmtId="0" fontId="21" fillId="10" borderId="1" xfId="0" applyFont="1" applyFill="1" applyBorder="1" applyAlignment="1">
      <alignment horizontal="center"/>
    </xf>
    <xf numFmtId="165" fontId="11" fillId="2" borderId="0" xfId="0" applyNumberFormat="1" applyFont="1" applyFill="1"/>
    <xf numFmtId="2" fontId="4" fillId="10" borderId="31" xfId="0" applyNumberFormat="1" applyFont="1" applyFill="1" applyBorder="1" applyAlignment="1">
      <alignment horizontal="center"/>
    </xf>
    <xf numFmtId="2" fontId="4" fillId="10" borderId="5" xfId="0" applyNumberFormat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left"/>
    </xf>
    <xf numFmtId="165" fontId="4" fillId="2" borderId="31" xfId="0" applyNumberFormat="1" applyFont="1" applyFill="1" applyBorder="1" applyAlignment="1">
      <alignment horizontal="left"/>
    </xf>
    <xf numFmtId="165" fontId="4" fillId="2" borderId="5" xfId="0" applyNumberFormat="1" applyFont="1" applyFill="1" applyBorder="1" applyAlignment="1">
      <alignment horizontal="left"/>
    </xf>
    <xf numFmtId="165" fontId="16" fillId="2" borderId="3" xfId="0" applyNumberFormat="1" applyFont="1" applyFill="1" applyBorder="1" applyAlignment="1" applyProtection="1">
      <alignment horizontal="left"/>
      <protection locked="0"/>
    </xf>
    <xf numFmtId="165" fontId="19" fillId="2" borderId="6" xfId="0" applyNumberFormat="1" applyFont="1" applyFill="1" applyBorder="1" applyAlignment="1">
      <alignment horizontal="left" indent="5"/>
    </xf>
    <xf numFmtId="49" fontId="16" fillId="2" borderId="8" xfId="0" applyNumberFormat="1" applyFont="1" applyFill="1" applyBorder="1" applyAlignment="1" applyProtection="1">
      <alignment horizontal="left" indent="2"/>
      <protection locked="0"/>
    </xf>
    <xf numFmtId="165" fontId="20" fillId="2" borderId="8" xfId="0" applyNumberFormat="1" applyFont="1" applyFill="1" applyBorder="1" applyAlignment="1">
      <alignment horizontal="left" indent="7"/>
    </xf>
    <xf numFmtId="165" fontId="20" fillId="2" borderId="12" xfId="0" applyNumberFormat="1" applyFont="1" applyFill="1" applyBorder="1" applyAlignment="1">
      <alignment horizontal="left" indent="7"/>
    </xf>
    <xf numFmtId="165" fontId="20" fillId="2" borderId="9" xfId="0" applyNumberFormat="1" applyFont="1" applyFill="1" applyBorder="1" applyAlignment="1">
      <alignment horizontal="left" indent="7"/>
    </xf>
    <xf numFmtId="0" fontId="16" fillId="2" borderId="2" xfId="0" applyFont="1" applyFill="1" applyBorder="1" applyAlignment="1">
      <alignment horizontal="right"/>
    </xf>
    <xf numFmtId="3" fontId="16" fillId="2" borderId="2" xfId="0" applyNumberFormat="1" applyFont="1" applyFill="1" applyBorder="1" applyAlignment="1">
      <alignment horizontal="left" indent="2"/>
    </xf>
    <xf numFmtId="3" fontId="11" fillId="2" borderId="0" xfId="0" applyNumberFormat="1" applyFont="1" applyFill="1" applyBorder="1"/>
    <xf numFmtId="0" fontId="16" fillId="2" borderId="4" xfId="0" applyFont="1" applyFill="1" applyBorder="1"/>
    <xf numFmtId="165" fontId="16" fillId="2" borderId="31" xfId="0" applyNumberFormat="1" applyFont="1" applyFill="1" applyBorder="1"/>
    <xf numFmtId="2" fontId="4" fillId="2" borderId="0" xfId="0" applyNumberFormat="1" applyFont="1" applyFill="1"/>
    <xf numFmtId="165" fontId="4" fillId="12" borderId="3" xfId="0" applyNumberFormat="1" applyFont="1" applyFill="1" applyBorder="1" applyAlignment="1">
      <alignment horizontal="left"/>
    </xf>
    <xf numFmtId="165" fontId="4" fillId="12" borderId="6" xfId="0" applyNumberFormat="1" applyFont="1" applyFill="1" applyBorder="1" applyAlignment="1">
      <alignment horizontal="left" indent="2"/>
    </xf>
    <xf numFmtId="165" fontId="20" fillId="12" borderId="6" xfId="0" applyNumberFormat="1" applyFont="1" applyFill="1" applyBorder="1" applyAlignment="1">
      <alignment horizontal="left" indent="5"/>
    </xf>
    <xf numFmtId="165" fontId="4" fillId="12" borderId="8" xfId="0" applyNumberFormat="1" applyFont="1" applyFill="1" applyBorder="1" applyAlignment="1">
      <alignment horizontal="left" indent="2"/>
    </xf>
    <xf numFmtId="165" fontId="20" fillId="12" borderId="0" xfId="0" applyNumberFormat="1" applyFont="1" applyFill="1" applyBorder="1" applyAlignment="1">
      <alignment horizontal="left" indent="7"/>
    </xf>
    <xf numFmtId="165" fontId="20" fillId="12" borderId="6" xfId="0" applyNumberFormat="1" applyFont="1" applyFill="1" applyBorder="1" applyAlignment="1">
      <alignment horizontal="left" indent="7"/>
    </xf>
    <xf numFmtId="0" fontId="19" fillId="2" borderId="8" xfId="0" applyFont="1" applyFill="1" applyBorder="1" applyAlignment="1">
      <alignment horizontal="left" indent="7"/>
    </xf>
    <xf numFmtId="165" fontId="19" fillId="2" borderId="8" xfId="0" applyNumberFormat="1" applyFont="1" applyFill="1" applyBorder="1" applyAlignment="1">
      <alignment horizontal="left" indent="7"/>
    </xf>
    <xf numFmtId="165" fontId="20" fillId="12" borderId="8" xfId="0" applyNumberFormat="1" applyFont="1" applyFill="1" applyBorder="1" applyAlignment="1">
      <alignment horizontal="left" indent="7"/>
    </xf>
    <xf numFmtId="165" fontId="16" fillId="12" borderId="3" xfId="0" applyNumberFormat="1" applyFont="1" applyFill="1" applyBorder="1" applyAlignment="1">
      <alignment horizontal="left"/>
    </xf>
    <xf numFmtId="165" fontId="16" fillId="12" borderId="3" xfId="0" applyNumberFormat="1" applyFont="1" applyFill="1" applyBorder="1"/>
    <xf numFmtId="165" fontId="11" fillId="12" borderId="4" xfId="0" applyNumberFormat="1" applyFont="1" applyFill="1" applyBorder="1"/>
    <xf numFmtId="165" fontId="11" fillId="12" borderId="6" xfId="0" applyNumberFormat="1" applyFont="1" applyFill="1" applyBorder="1"/>
    <xf numFmtId="3" fontId="16" fillId="12" borderId="2" xfId="0" applyNumberFormat="1" applyFont="1" applyFill="1" applyBorder="1" applyAlignment="1">
      <alignment horizontal="left" indent="2"/>
    </xf>
    <xf numFmtId="0" fontId="21" fillId="2" borderId="4" xfId="0" applyFont="1" applyFill="1" applyBorder="1" applyAlignment="1"/>
    <xf numFmtId="0" fontId="21" fillId="2" borderId="13" xfId="0" applyFont="1" applyFill="1" applyBorder="1" applyAlignment="1">
      <alignment horizontal="right"/>
    </xf>
    <xf numFmtId="0" fontId="21" fillId="2" borderId="31" xfId="0" applyFont="1" applyFill="1" applyBorder="1"/>
    <xf numFmtId="0" fontId="21" fillId="2" borderId="5" xfId="0" applyFont="1" applyFill="1" applyBorder="1"/>
    <xf numFmtId="0" fontId="24" fillId="2" borderId="0" xfId="0" applyFont="1" applyFill="1"/>
    <xf numFmtId="0" fontId="4" fillId="2" borderId="6" xfId="0" applyFont="1" applyFill="1" applyBorder="1"/>
    <xf numFmtId="0" fontId="21" fillId="2" borderId="32" xfId="0" applyFont="1" applyFill="1" applyBorder="1" applyAlignment="1">
      <alignment horizontal="right"/>
    </xf>
    <xf numFmtId="0" fontId="11" fillId="2" borderId="7" xfId="0" applyFont="1" applyFill="1" applyBorder="1"/>
    <xf numFmtId="0" fontId="4" fillId="2" borderId="32" xfId="0" applyFont="1" applyFill="1" applyBorder="1"/>
    <xf numFmtId="0" fontId="4" fillId="2" borderId="8" xfId="0" applyFont="1" applyFill="1" applyBorder="1"/>
    <xf numFmtId="0" fontId="4" fillId="2" borderId="2" xfId="0" applyFont="1" applyFill="1" applyBorder="1"/>
    <xf numFmtId="0" fontId="21" fillId="2" borderId="13" xfId="0" applyFont="1" applyFill="1" applyBorder="1" applyAlignment="1"/>
    <xf numFmtId="0" fontId="11" fillId="2" borderId="32" xfId="0" applyFont="1" applyFill="1" applyBorder="1"/>
    <xf numFmtId="0" fontId="11" fillId="2" borderId="2" xfId="0" applyFont="1" applyFill="1" applyBorder="1"/>
    <xf numFmtId="0" fontId="11" fillId="2" borderId="32" xfId="0" applyFont="1" applyFill="1" applyBorder="1" applyAlignment="1">
      <alignment horizontal="right"/>
    </xf>
    <xf numFmtId="0" fontId="4" fillId="2" borderId="0" xfId="0" applyFont="1" applyFill="1" applyBorder="1"/>
    <xf numFmtId="0" fontId="21" fillId="2" borderId="4" xfId="0" applyFont="1" applyFill="1" applyBorder="1"/>
    <xf numFmtId="0" fontId="21" fillId="2" borderId="0" xfId="0" applyFont="1" applyFill="1" applyBorder="1"/>
    <xf numFmtId="0" fontId="11" fillId="2" borderId="6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left"/>
    </xf>
    <xf numFmtId="0" fontId="11" fillId="2" borderId="7" xfId="0" applyFont="1" applyFill="1" applyBorder="1" applyAlignment="1">
      <alignment horizontal="left"/>
    </xf>
    <xf numFmtId="165" fontId="11" fillId="2" borderId="6" xfId="0" applyNumberFormat="1" applyFont="1" applyFill="1" applyBorder="1" applyAlignment="1">
      <alignment horizontal="right"/>
    </xf>
    <xf numFmtId="165" fontId="11" fillId="2" borderId="0" xfId="0" applyNumberFormat="1" applyFont="1" applyFill="1" applyBorder="1" applyAlignment="1">
      <alignment horizontal="right"/>
    </xf>
    <xf numFmtId="165" fontId="11" fillId="2" borderId="7" xfId="0" applyNumberFormat="1" applyFont="1" applyFill="1" applyBorder="1" applyAlignment="1">
      <alignment horizontal="right"/>
    </xf>
    <xf numFmtId="165" fontId="11" fillId="2" borderId="8" xfId="0" applyNumberFormat="1" applyFont="1" applyFill="1" applyBorder="1" applyAlignment="1">
      <alignment horizontal="right"/>
    </xf>
    <xf numFmtId="165" fontId="11" fillId="2" borderId="12" xfId="0" applyNumberFormat="1" applyFont="1" applyFill="1" applyBorder="1" applyAlignment="1">
      <alignment horizontal="right"/>
    </xf>
    <xf numFmtId="165" fontId="11" fillId="2" borderId="9" xfId="0" applyNumberFormat="1" applyFont="1" applyFill="1" applyBorder="1" applyAlignment="1">
      <alignment horizontal="right"/>
    </xf>
    <xf numFmtId="0" fontId="11" fillId="2" borderId="2" xfId="0" applyFont="1" applyFill="1" applyBorder="1" applyAlignment="1">
      <alignment horizontal="right"/>
    </xf>
    <xf numFmtId="0" fontId="4" fillId="8" borderId="0" xfId="0" applyFont="1" applyFill="1"/>
    <xf numFmtId="49" fontId="4" fillId="2" borderId="4" xfId="0" applyNumberFormat="1" applyFont="1" applyFill="1" applyBorder="1" applyAlignment="1"/>
    <xf numFmtId="0" fontId="1" fillId="2" borderId="0" xfId="0" applyFont="1" applyFill="1" applyAlignment="1"/>
    <xf numFmtId="0" fontId="1" fillId="2" borderId="0" xfId="0" applyFont="1" applyFill="1"/>
    <xf numFmtId="49" fontId="0" fillId="2" borderId="3" xfId="0" applyNumberFormat="1" applyFill="1" applyBorder="1" applyAlignment="1"/>
    <xf numFmtId="3" fontId="0" fillId="2" borderId="1" xfId="0" applyNumberFormat="1" applyFill="1" applyBorder="1"/>
    <xf numFmtId="1" fontId="0" fillId="2" borderId="0" xfId="0" applyNumberFormat="1" applyFill="1" applyAlignment="1">
      <alignment horizontal="center"/>
    </xf>
    <xf numFmtId="0" fontId="0" fillId="2" borderId="8" xfId="0" applyFill="1" applyBorder="1" applyAlignment="1"/>
    <xf numFmtId="4" fontId="0" fillId="2" borderId="1" xfId="0" applyNumberFormat="1" applyFill="1" applyBorder="1"/>
    <xf numFmtId="0" fontId="0" fillId="2" borderId="4" xfId="0" applyFill="1" applyBorder="1" applyAlignment="1"/>
    <xf numFmtId="0" fontId="0" fillId="2" borderId="3" xfId="0" applyFill="1" applyBorder="1" applyAlignment="1"/>
    <xf numFmtId="1" fontId="0" fillId="2" borderId="1" xfId="0" applyNumberFormat="1" applyFill="1" applyBorder="1" applyAlignment="1">
      <alignment horizontal="right"/>
    </xf>
    <xf numFmtId="1" fontId="0" fillId="2" borderId="1" xfId="0" applyNumberFormat="1" applyFill="1" applyBorder="1"/>
    <xf numFmtId="0" fontId="0" fillId="2" borderId="0" xfId="0" applyFill="1" applyAlignment="1">
      <alignment horizontal="center"/>
    </xf>
    <xf numFmtId="0" fontId="0" fillId="2" borderId="1" xfId="0" applyFont="1" applyFill="1" applyBorder="1"/>
    <xf numFmtId="0" fontId="0" fillId="2" borderId="1" xfId="0" applyFont="1" applyFill="1" applyBorder="1" applyAlignment="1"/>
    <xf numFmtId="2" fontId="0" fillId="2" borderId="1" xfId="0" applyNumberFormat="1" applyFill="1" applyBorder="1"/>
    <xf numFmtId="0" fontId="10" fillId="2" borderId="0" xfId="0" applyFont="1" applyFill="1" applyAlignment="1">
      <alignment horizontal="center"/>
    </xf>
    <xf numFmtId="0" fontId="0" fillId="2" borderId="0" xfId="0" applyFill="1" applyAlignment="1"/>
    <xf numFmtId="0" fontId="17" fillId="2" borderId="0" xfId="0" applyFont="1" applyFill="1" applyBorder="1" applyAlignment="1" applyProtection="1">
      <alignment horizontal="left"/>
      <protection locked="0"/>
    </xf>
    <xf numFmtId="0" fontId="0" fillId="2" borderId="0" xfId="0" applyFill="1" applyAlignment="1">
      <alignment textRotation="46"/>
    </xf>
    <xf numFmtId="4" fontId="0" fillId="2" borderId="0" xfId="0" applyNumberFormat="1" applyFill="1"/>
    <xf numFmtId="3" fontId="0" fillId="2" borderId="0" xfId="0" applyNumberFormat="1" applyFill="1"/>
    <xf numFmtId="2" fontId="0" fillId="2" borderId="0" xfId="0" applyNumberFormat="1" applyFill="1"/>
    <xf numFmtId="0" fontId="0" fillId="2" borderId="0" xfId="0" applyFont="1" applyFill="1"/>
    <xf numFmtId="0" fontId="13" fillId="2" borderId="0" xfId="0" applyFont="1" applyFill="1" applyAlignment="1"/>
    <xf numFmtId="1" fontId="0" fillId="2" borderId="0" xfId="0" applyNumberFormat="1" applyFill="1"/>
    <xf numFmtId="0" fontId="4" fillId="2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1" fontId="0" fillId="2" borderId="0" xfId="0" applyNumberFormat="1" applyFill="1" applyAlignment="1"/>
    <xf numFmtId="0" fontId="0" fillId="5" borderId="0" xfId="0" applyFill="1"/>
    <xf numFmtId="0" fontId="11" fillId="5" borderId="1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indent="2"/>
    </xf>
    <xf numFmtId="0" fontId="0" fillId="4" borderId="1" xfId="0" applyFont="1" applyFill="1" applyBorder="1" applyAlignment="1">
      <alignment horizontal="left" indent="2"/>
    </xf>
    <xf numFmtId="0" fontId="4" fillId="5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4" borderId="1" xfId="0" applyFill="1" applyBorder="1" applyAlignment="1">
      <alignment horizontal="left" indent="3"/>
    </xf>
    <xf numFmtId="0" fontId="4" fillId="5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ont="1" applyFill="1" applyBorder="1" applyAlignment="1">
      <alignment horizontal="right"/>
    </xf>
    <xf numFmtId="0" fontId="0" fillId="4" borderId="1" xfId="0" applyFont="1" applyFill="1" applyBorder="1" applyAlignment="1">
      <alignment horizontal="right"/>
    </xf>
    <xf numFmtId="0" fontId="4" fillId="5" borderId="1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left"/>
    </xf>
    <xf numFmtId="0" fontId="1" fillId="6" borderId="10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0" fillId="6" borderId="10" xfId="0" applyFont="1" applyFill="1" applyBorder="1" applyAlignment="1">
      <alignment horizontal="center"/>
    </xf>
    <xf numFmtId="0" fontId="0" fillId="4" borderId="10" xfId="0" applyFont="1" applyFill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4" borderId="15" xfId="0" applyFont="1" applyFill="1" applyBorder="1" applyAlignment="1">
      <alignment horizontal="left" vertical="center" indent="1"/>
    </xf>
    <xf numFmtId="0" fontId="0" fillId="4" borderId="16" xfId="0" applyFill="1" applyBorder="1"/>
    <xf numFmtId="0" fontId="0" fillId="4" borderId="16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6" borderId="3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2" borderId="1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right"/>
    </xf>
    <xf numFmtId="0" fontId="0" fillId="13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0" fillId="14" borderId="1" xfId="0" applyFont="1" applyFill="1" applyBorder="1" applyAlignment="1">
      <alignment horizontal="right"/>
    </xf>
    <xf numFmtId="0" fontId="0" fillId="8" borderId="0" xfId="0" applyFill="1" applyAlignment="1"/>
    <xf numFmtId="0" fontId="0" fillId="4" borderId="19" xfId="0" applyFill="1" applyBorder="1" applyAlignment="1">
      <alignment horizontal="left" vertical="center" indent="1"/>
    </xf>
    <xf numFmtId="0" fontId="1" fillId="6" borderId="4" xfId="0" applyFont="1" applyFill="1" applyBorder="1" applyAlignment="1">
      <alignment horizontal="left"/>
    </xf>
    <xf numFmtId="0" fontId="0" fillId="6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left"/>
    </xf>
    <xf numFmtId="0" fontId="0" fillId="4" borderId="5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left"/>
    </xf>
    <xf numFmtId="0" fontId="0" fillId="4" borderId="9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right"/>
    </xf>
    <xf numFmtId="0" fontId="0" fillId="4" borderId="4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1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0" fontId="0" fillId="14" borderId="0" xfId="0" applyFill="1"/>
    <xf numFmtId="0" fontId="1" fillId="16" borderId="14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left"/>
    </xf>
    <xf numFmtId="0" fontId="0" fillId="4" borderId="14" xfId="0" applyFont="1" applyFill="1" applyBorder="1" applyAlignment="1">
      <alignment horizontal="left" indent="2"/>
    </xf>
    <xf numFmtId="0" fontId="4" fillId="5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" fillId="6" borderId="27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0" fontId="11" fillId="5" borderId="24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5" borderId="28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34" xfId="0" applyFill="1" applyBorder="1" applyAlignment="1">
      <alignment horizontal="center" vertical="center" textRotation="90"/>
    </xf>
    <xf numFmtId="0" fontId="0" fillId="8" borderId="35" xfId="0" applyFill="1" applyBorder="1" applyAlignment="1">
      <alignment horizontal="center" vertical="center" textRotation="90"/>
    </xf>
    <xf numFmtId="0" fontId="0" fillId="15" borderId="1" xfId="0" applyFill="1" applyBorder="1" applyAlignment="1">
      <alignment horizontal="center" vertical="center" textRotation="90"/>
    </xf>
    <xf numFmtId="0" fontId="21" fillId="2" borderId="3" xfId="0" applyFont="1" applyFill="1" applyBorder="1" applyAlignment="1">
      <alignment horizontal="center"/>
    </xf>
    <xf numFmtId="0" fontId="21" fillId="2" borderId="11" xfId="0" applyFont="1" applyFill="1" applyBorder="1" applyAlignment="1">
      <alignment horizontal="center"/>
    </xf>
    <xf numFmtId="0" fontId="21" fillId="2" borderId="10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center"/>
    </xf>
    <xf numFmtId="0" fontId="21" fillId="2" borderId="3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/>
    </xf>
  </cellXfs>
  <cellStyles count="8">
    <cellStyle name="Normal" xfId="0" builtinId="0"/>
    <cellStyle name="Normal 2" xfId="1"/>
    <cellStyle name="Normal 3" xfId="2"/>
    <cellStyle name="Normal 4" xfId="3"/>
    <cellStyle name="Normal 5" xfId="4"/>
    <cellStyle name="백분율 2" xfId="5"/>
    <cellStyle name="표준 2" xfId="6"/>
    <cellStyle name="표준 3" xfId="7"/>
  </cellStyles>
  <dxfs count="0"/>
  <tableStyles count="0" defaultTableStyle="TableStyleMedium9" defaultPivotStyle="PivotStyleLight16"/>
  <colors>
    <mruColors>
      <color rgb="FFE67E17"/>
      <color rgb="FFFF7F00"/>
      <color rgb="FFFFB100"/>
      <color rgb="FF0037FF"/>
      <color rgb="FF00CFFF"/>
      <color rgb="FF203B9C"/>
      <color rgb="FF285059"/>
      <color rgb="FFF9CE95"/>
      <color rgb="FF022F45"/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3140131298593696"/>
          <c:y val="0.1251671142263287"/>
          <c:w val="0.70440735008465671"/>
          <c:h val="0.78092282582324257"/>
        </c:manualLayout>
      </c:layout>
      <c:barChart>
        <c:barDir val="bar"/>
        <c:grouping val="stacked"/>
        <c:ser>
          <c:idx val="0"/>
          <c:order val="0"/>
          <c:tx>
            <c:strRef>
              <c:f>TOPSIS!$A$87</c:f>
              <c:strCache>
                <c:ptCount val="1"/>
                <c:pt idx="0">
                  <c:v>Mobility</c:v>
                </c:pt>
              </c:strCache>
            </c:strRef>
          </c:tx>
          <c:spPr>
            <a:solidFill>
              <a:srgbClr val="00CFFF"/>
            </a:solidFill>
          </c:spPr>
          <c:dPt>
            <c:idx val="0"/>
          </c:dPt>
          <c:dPt>
            <c:idx val="1"/>
          </c:dPt>
          <c:dPt>
            <c:idx val="2"/>
          </c:dPt>
          <c:dPt>
            <c:idx val="4"/>
          </c:dPt>
          <c:cat>
            <c:strRef>
              <c:f>TOPSIS!$C$85:$G$85</c:f>
              <c:strCache>
                <c:ptCount val="5"/>
                <c:pt idx="0">
                  <c:v> Design 1</c:v>
                </c:pt>
                <c:pt idx="1">
                  <c:v>Design 4</c:v>
                </c:pt>
                <c:pt idx="2">
                  <c:v>Design 3</c:v>
                </c:pt>
                <c:pt idx="3">
                  <c:v>Design 5</c:v>
                </c:pt>
                <c:pt idx="4">
                  <c:v>Design 2</c:v>
                </c:pt>
              </c:strCache>
            </c:strRef>
          </c:cat>
          <c:val>
            <c:numRef>
              <c:f>TOPSIS!$C$87:$G$87</c:f>
              <c:numCache>
                <c:formatCode>General</c:formatCode>
                <c:ptCount val="5"/>
                <c:pt idx="0">
                  <c:v>0.1427762060607754</c:v>
                </c:pt>
                <c:pt idx="1">
                  <c:v>0.15544526250334212</c:v>
                </c:pt>
                <c:pt idx="2">
                  <c:v>0.14131444718102287</c:v>
                </c:pt>
                <c:pt idx="3">
                  <c:v>0.14097481249552346</c:v>
                </c:pt>
                <c:pt idx="4">
                  <c:v>0.14016334051277179</c:v>
                </c:pt>
              </c:numCache>
            </c:numRef>
          </c:val>
        </c:ser>
        <c:ser>
          <c:idx val="1"/>
          <c:order val="1"/>
          <c:tx>
            <c:strRef>
              <c:f>TOPSIS!$A$88</c:f>
              <c:strCache>
                <c:ptCount val="1"/>
                <c:pt idx="0">
                  <c:v>Survivability</c:v>
                </c:pt>
              </c:strCache>
            </c:strRef>
          </c:tx>
          <c:spPr>
            <a:solidFill>
              <a:srgbClr val="0037FF"/>
            </a:solidFill>
          </c:spPr>
          <c:cat>
            <c:strRef>
              <c:f>TOPSIS!$C$85:$G$85</c:f>
              <c:strCache>
                <c:ptCount val="5"/>
                <c:pt idx="0">
                  <c:v> Design 1</c:v>
                </c:pt>
                <c:pt idx="1">
                  <c:v>Design 4</c:v>
                </c:pt>
                <c:pt idx="2">
                  <c:v>Design 3</c:v>
                </c:pt>
                <c:pt idx="3">
                  <c:v>Design 5</c:v>
                </c:pt>
                <c:pt idx="4">
                  <c:v>Design 2</c:v>
                </c:pt>
              </c:strCache>
            </c:strRef>
          </c:cat>
          <c:val>
            <c:numRef>
              <c:f>TOPSIS!$C$88:$G$88</c:f>
              <c:numCache>
                <c:formatCode>General</c:formatCode>
                <c:ptCount val="5"/>
                <c:pt idx="0">
                  <c:v>0.18742856239316244</c:v>
                </c:pt>
                <c:pt idx="1">
                  <c:v>0.11928041424501427</c:v>
                </c:pt>
                <c:pt idx="2">
                  <c:v>0.11928041424501427</c:v>
                </c:pt>
                <c:pt idx="3">
                  <c:v>0.11928041424501427</c:v>
                </c:pt>
                <c:pt idx="4">
                  <c:v>0.11928041424501427</c:v>
                </c:pt>
              </c:numCache>
            </c:numRef>
          </c:val>
        </c:ser>
        <c:ser>
          <c:idx val="2"/>
          <c:order val="2"/>
          <c:tx>
            <c:strRef>
              <c:f>TOPSIS!$A$89</c:f>
              <c:strCache>
                <c:ptCount val="1"/>
                <c:pt idx="0">
                  <c:v>Manufacturability</c:v>
                </c:pt>
              </c:strCache>
            </c:strRef>
          </c:tx>
          <c:spPr>
            <a:solidFill>
              <a:srgbClr val="FFB100"/>
            </a:solidFill>
          </c:spPr>
          <c:cat>
            <c:strRef>
              <c:f>TOPSIS!$C$85:$G$85</c:f>
              <c:strCache>
                <c:ptCount val="5"/>
                <c:pt idx="0">
                  <c:v> Design 1</c:v>
                </c:pt>
                <c:pt idx="1">
                  <c:v>Design 4</c:v>
                </c:pt>
                <c:pt idx="2">
                  <c:v>Design 3</c:v>
                </c:pt>
                <c:pt idx="3">
                  <c:v>Design 5</c:v>
                </c:pt>
                <c:pt idx="4">
                  <c:v>Design 2</c:v>
                </c:pt>
              </c:strCache>
            </c:strRef>
          </c:cat>
          <c:val>
            <c:numRef>
              <c:f>TOPSIS!$C$89:$G$89</c:f>
              <c:numCache>
                <c:formatCode>General</c:formatCode>
                <c:ptCount val="5"/>
                <c:pt idx="0">
                  <c:v>0.16176627101299301</c:v>
                </c:pt>
                <c:pt idx="1">
                  <c:v>0.16479397572723686</c:v>
                </c:pt>
                <c:pt idx="2">
                  <c:v>0.16554304237284001</c:v>
                </c:pt>
                <c:pt idx="3">
                  <c:v>0.1628343858082677</c:v>
                </c:pt>
                <c:pt idx="4">
                  <c:v>0.16271736019850394</c:v>
                </c:pt>
              </c:numCache>
            </c:numRef>
          </c:val>
        </c:ser>
        <c:ser>
          <c:idx val="3"/>
          <c:order val="3"/>
          <c:tx>
            <c:strRef>
              <c:f>TOPSIS!$A$90</c:f>
              <c:strCache>
                <c:ptCount val="1"/>
                <c:pt idx="0">
                  <c:v>Transportability</c:v>
                </c:pt>
              </c:strCache>
            </c:strRef>
          </c:tx>
          <c:spPr>
            <a:solidFill>
              <a:srgbClr val="FF7F00"/>
            </a:solidFill>
          </c:spPr>
          <c:cat>
            <c:strRef>
              <c:f>TOPSIS!$C$85:$G$85</c:f>
              <c:strCache>
                <c:ptCount val="5"/>
                <c:pt idx="0">
                  <c:v> Design 1</c:v>
                </c:pt>
                <c:pt idx="1">
                  <c:v>Design 4</c:v>
                </c:pt>
                <c:pt idx="2">
                  <c:v>Design 3</c:v>
                </c:pt>
                <c:pt idx="3">
                  <c:v>Design 5</c:v>
                </c:pt>
                <c:pt idx="4">
                  <c:v>Design 2</c:v>
                </c:pt>
              </c:strCache>
            </c:strRef>
          </c:cat>
          <c:val>
            <c:numRef>
              <c:f>TOPSIS!$C$90:$G$90</c:f>
              <c:numCache>
                <c:formatCode>General</c:formatCode>
                <c:ptCount val="5"/>
                <c:pt idx="0">
                  <c:v>0.18727272727272731</c:v>
                </c:pt>
                <c:pt idx="1">
                  <c:v>0.18727272727272731</c:v>
                </c:pt>
                <c:pt idx="2">
                  <c:v>0.18727272727272731</c:v>
                </c:pt>
                <c:pt idx="3">
                  <c:v>0.18727272727272731</c:v>
                </c:pt>
                <c:pt idx="4">
                  <c:v>0.18727272727272731</c:v>
                </c:pt>
              </c:numCache>
            </c:numRef>
          </c:val>
        </c:ser>
        <c:ser>
          <c:idx val="4"/>
          <c:order val="4"/>
          <c:tx>
            <c:strRef>
              <c:f>TOPSIS!$A$91</c:f>
              <c:strCache>
                <c:ptCount val="1"/>
                <c:pt idx="0">
                  <c:v>Complexity</c:v>
                </c:pt>
              </c:strCache>
            </c:strRef>
          </c:tx>
          <c:spPr>
            <a:solidFill>
              <a:srgbClr val="203B9C"/>
            </a:solidFill>
          </c:spPr>
          <c:cat>
            <c:strRef>
              <c:f>TOPSIS!$C$85:$G$85</c:f>
              <c:strCache>
                <c:ptCount val="5"/>
                <c:pt idx="0">
                  <c:v> Design 1</c:v>
                </c:pt>
                <c:pt idx="1">
                  <c:v>Design 4</c:v>
                </c:pt>
                <c:pt idx="2">
                  <c:v>Design 3</c:v>
                </c:pt>
                <c:pt idx="3">
                  <c:v>Design 5</c:v>
                </c:pt>
                <c:pt idx="4">
                  <c:v>Design 2</c:v>
                </c:pt>
              </c:strCache>
            </c:strRef>
          </c:cat>
          <c:val>
            <c:numRef>
              <c:f>TOPSIS!$C$91:$G$91</c:f>
              <c:numCache>
                <c:formatCode>General</c:formatCode>
                <c:ptCount val="5"/>
                <c:pt idx="0">
                  <c:v>0.1933333333333333</c:v>
                </c:pt>
                <c:pt idx="1">
                  <c:v>0.1933333333333333</c:v>
                </c:pt>
                <c:pt idx="2">
                  <c:v>0.1933333333333333</c:v>
                </c:pt>
                <c:pt idx="3">
                  <c:v>0.1933333333333333</c:v>
                </c:pt>
                <c:pt idx="4">
                  <c:v>0.1933333333333333</c:v>
                </c:pt>
              </c:numCache>
            </c:numRef>
          </c:val>
        </c:ser>
        <c:gapWidth val="50"/>
        <c:overlap val="100"/>
        <c:axId val="182238208"/>
        <c:axId val="182248192"/>
      </c:barChart>
      <c:catAx>
        <c:axId val="182238208"/>
        <c:scaling>
          <c:orientation val="maxMin"/>
        </c:scaling>
        <c:axPos val="l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>
                <a:latin typeface="Arial Unicode MS" pitchFamily="34" charset="-128"/>
                <a:ea typeface="Arial Unicode MS" pitchFamily="34" charset="-128"/>
                <a:cs typeface="Arial Unicode MS" pitchFamily="34" charset="-128"/>
              </a:defRPr>
            </a:pPr>
            <a:endParaRPr lang="en-US"/>
          </a:p>
        </c:txPr>
        <c:crossAx val="182248192"/>
        <c:crosses val="autoZero"/>
        <c:auto val="1"/>
        <c:lblAlgn val="ctr"/>
        <c:lblOffset val="100"/>
      </c:catAx>
      <c:valAx>
        <c:axId val="182248192"/>
        <c:scaling>
          <c:orientation val="minMax"/>
        </c:scaling>
        <c:axPos val="t"/>
        <c:majorGridlines/>
        <c:numFmt formatCode="0.00" sourceLinked="0"/>
        <c:tickLblPos val="nextTo"/>
        <c:crossAx val="182238208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  <a:effectLst>
          <a:outerShdw sx="1000" sy="1000" algn="ctr" rotWithShape="0">
            <a:srgbClr val="000000"/>
          </a:outerShdw>
        </a:effectLst>
      </c:spPr>
    </c:plotArea>
    <c:legend>
      <c:legendPos val="r"/>
      <c:layout/>
      <c:overlay val="1"/>
    </c:legend>
    <c:plotVisOnly val="1"/>
  </c:chart>
  <c:spPr>
    <a:solidFill>
      <a:srgbClr val="F9E2B0"/>
    </a:solidFill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2000">
                <a:solidFill>
                  <a:sysClr val="windowText" lastClr="000000"/>
                </a:solidFill>
              </a:defRPr>
            </a:pPr>
            <a:r>
              <a:rPr lang="en-US" sz="2000">
                <a:solidFill>
                  <a:sysClr val="windowText" lastClr="000000"/>
                </a:solidFill>
              </a:rPr>
              <a:t>Manufacturer's Cashflow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0.18417607437624514"/>
          <c:y val="0.16456549095747636"/>
          <c:w val="0.73208736368364635"/>
          <c:h val="0.71807977219591734"/>
        </c:manualLayout>
      </c:layout>
      <c:scatterChart>
        <c:scatterStyle val="smoothMarker"/>
        <c:ser>
          <c:idx val="0"/>
          <c:order val="0"/>
          <c:tx>
            <c:strRef>
              <c:f>Data_CashFlow!$B$1234</c:f>
              <c:strCache>
                <c:ptCount val="1"/>
                <c:pt idx="0">
                  <c:v>Baseline- Sheet Metal</c:v>
                </c:pt>
              </c:strCache>
            </c:strRef>
          </c:tx>
          <c:marker>
            <c:symbol val="none"/>
          </c:marker>
          <c:xVal>
            <c:numRef>
              <c:f>Data_CashFlow!$C$1233:$AZ$1233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Data_CashFlow!$C$1234:$AZ$1234</c:f>
              <c:numCache>
                <c:formatCode>"$"#,##0.00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Data_CashFlow!$B$1235</c:f>
              <c:strCache>
                <c:ptCount val="1"/>
                <c:pt idx="0">
                  <c:v>Baseline - Machine</c:v>
                </c:pt>
              </c:strCache>
            </c:strRef>
          </c:tx>
          <c:marker>
            <c:symbol val="none"/>
          </c:marker>
          <c:xVal>
            <c:numRef>
              <c:f>Data_CashFlow!$C$1233:$AZ$1233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Data_CashFlow!$C$1235:$AZ$1235</c:f>
              <c:numCache>
                <c:formatCode>"$"#,##0.00</c:formatCode>
                <c:ptCount val="50"/>
                <c:pt idx="0">
                  <c:v>-33815835.29495126</c:v>
                </c:pt>
                <c:pt idx="1">
                  <c:v>-67778338.614457756</c:v>
                </c:pt>
                <c:pt idx="2">
                  <c:v>-131655484.3610855</c:v>
                </c:pt>
                <c:pt idx="3">
                  <c:v>-190969976.84009698</c:v>
                </c:pt>
                <c:pt idx="4">
                  <c:v>-246047719.85632193</c:v>
                </c:pt>
                <c:pt idx="5">
                  <c:v>-230026869.88126913</c:v>
                </c:pt>
                <c:pt idx="6">
                  <c:v>-202194132.17339686</c:v>
                </c:pt>
                <c:pt idx="7">
                  <c:v>-164318658.29645002</c:v>
                </c:pt>
                <c:pt idx="8">
                  <c:v>-117977128.60982631</c:v>
                </c:pt>
                <c:pt idx="9">
                  <c:v>-47856040.526859581</c:v>
                </c:pt>
                <c:pt idx="10">
                  <c:v>17256398.407323807</c:v>
                </c:pt>
                <c:pt idx="11">
                  <c:v>77717948.846208379</c:v>
                </c:pt>
                <c:pt idx="12">
                  <c:v>133860817.1108869</c:v>
                </c:pt>
                <c:pt idx="13">
                  <c:v>185993480.49951696</c:v>
                </c:pt>
                <c:pt idx="14">
                  <c:v>234402382.21753058</c:v>
                </c:pt>
                <c:pt idx="15">
                  <c:v>279353505.24140036</c:v>
                </c:pt>
                <c:pt idx="16">
                  <c:v>304968419.01909977</c:v>
                </c:pt>
                <c:pt idx="17">
                  <c:v>323019833.63566083</c:v>
                </c:pt>
                <c:pt idx="18">
                  <c:v>334457560.63564563</c:v>
                </c:pt>
                <c:pt idx="19">
                  <c:v>340134313.48154175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Data_CashFlow!$B$1236</c:f>
              <c:strCache>
                <c:ptCount val="1"/>
                <c:pt idx="0">
                  <c:v>Baseline - Hand Layup</c:v>
                </c:pt>
              </c:strCache>
            </c:strRef>
          </c:tx>
          <c:marker>
            <c:symbol val="none"/>
          </c:marker>
          <c:xVal>
            <c:numRef>
              <c:f>Data_CashFlow!$C$1233:$AZ$1233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Data_CashFlow!$C$1236:$AZ$1236</c:f>
              <c:numCache>
                <c:formatCode>"$"#,##0.00</c:formatCode>
                <c:ptCount val="50"/>
                <c:pt idx="0">
                  <c:v>-34799793.001789667</c:v>
                </c:pt>
                <c:pt idx="1">
                  <c:v>-69307519.31156376</c:v>
                </c:pt>
                <c:pt idx="2">
                  <c:v>-114965312.90221709</c:v>
                </c:pt>
                <c:pt idx="3">
                  <c:v>-157361835.52210945</c:v>
                </c:pt>
                <c:pt idx="4">
                  <c:v>-196730035.09772378</c:v>
                </c:pt>
                <c:pt idx="5">
                  <c:v>-174255041.85939965</c:v>
                </c:pt>
                <c:pt idx="6">
                  <c:v>-134086787.30971453</c:v>
                </c:pt>
                <c:pt idx="7">
                  <c:v>-78867548.540282845</c:v>
                </c:pt>
                <c:pt idx="8">
                  <c:v>-10952406.228158683</c:v>
                </c:pt>
                <c:pt idx="9">
                  <c:v>78745253.838336959</c:v>
                </c:pt>
                <c:pt idx="10">
                  <c:v>162035938.18579715</c:v>
                </c:pt>
                <c:pt idx="11">
                  <c:v>239377287.93701023</c:v>
                </c:pt>
                <c:pt idx="12">
                  <c:v>311194255.56313664</c:v>
                </c:pt>
                <c:pt idx="13">
                  <c:v>377881439.78739691</c:v>
                </c:pt>
                <c:pt idx="14">
                  <c:v>439805253.70992428</c:v>
                </c:pt>
                <c:pt idx="15">
                  <c:v>497305938.06655681</c:v>
                </c:pt>
                <c:pt idx="16">
                  <c:v>550699430.68342996</c:v>
                </c:pt>
                <c:pt idx="17">
                  <c:v>585557591.14332771</c:v>
                </c:pt>
                <c:pt idx="18">
                  <c:v>609995210.63215268</c:v>
                </c:pt>
                <c:pt idx="19">
                  <c:v>625323090.10260963</c:v>
                </c:pt>
                <c:pt idx="20">
                  <c:v>632717939.25380826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Data_CashFlow!$B$1237</c:f>
              <c:strCache>
                <c:ptCount val="1"/>
                <c:pt idx="0">
                  <c:v>Baseline - Hybrid</c:v>
                </c:pt>
              </c:strCache>
            </c:strRef>
          </c:tx>
          <c:marker>
            <c:symbol val="none"/>
          </c:marker>
          <c:xVal>
            <c:numRef>
              <c:f>Data_CashFlow!$C$1233:$AZ$1233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Data_CashFlow!$C$1237:$AZ$1237</c:f>
              <c:numCache>
                <c:formatCode>"$"#,##0.00</c:formatCode>
                <c:ptCount val="50"/>
                <c:pt idx="0">
                  <c:v>-34627822.096704267</c:v>
                </c:pt>
                <c:pt idx="1">
                  <c:v>-68944840.516806796</c:v>
                </c:pt>
                <c:pt idx="2">
                  <c:v>-133600441.49916303</c:v>
                </c:pt>
                <c:pt idx="3">
                  <c:v>-193637785.2684938</c:v>
                </c:pt>
                <c:pt idx="4">
                  <c:v>-249386747.34001523</c:v>
                </c:pt>
                <c:pt idx="5">
                  <c:v>-228837968.054088</c:v>
                </c:pt>
                <c:pt idx="6">
                  <c:v>-192672927.0753969</c:v>
                </c:pt>
                <c:pt idx="7">
                  <c:v>-143227359.64212215</c:v>
                </c:pt>
                <c:pt idx="8">
                  <c:v>-82582999.334401652</c:v>
                </c:pt>
                <c:pt idx="9">
                  <c:v>5641574.0449277759</c:v>
                </c:pt>
                <c:pt idx="10">
                  <c:v>87564392.182876527</c:v>
                </c:pt>
                <c:pt idx="11">
                  <c:v>163635580.45382893</c:v>
                </c:pt>
                <c:pt idx="12">
                  <c:v>234273112.41971332</c:v>
                </c:pt>
                <c:pt idx="13">
                  <c:v>299865106.38803452</c:v>
                </c:pt>
                <c:pt idx="14">
                  <c:v>360771957.93004704</c:v>
                </c:pt>
                <c:pt idx="15">
                  <c:v>417328320.07620156</c:v>
                </c:pt>
                <c:pt idx="16">
                  <c:v>469844942.06905931</c:v>
                </c:pt>
                <c:pt idx="17">
                  <c:v>518610376.77671295</c:v>
                </c:pt>
                <c:pt idx="18">
                  <c:v>547513420.88455415</c:v>
                </c:pt>
                <c:pt idx="19">
                  <c:v>567832834.21704769</c:v>
                </c:pt>
                <c:pt idx="20">
                  <c:v>580647385.23134613</c:v>
                </c:pt>
                <c:pt idx="21">
                  <c:v>586925526.63957679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Data_CashFlow!$B$1238</c:f>
              <c:strCache>
                <c:ptCount val="1"/>
                <c:pt idx="0">
                  <c:v>Outsource- Hand Layup</c:v>
                </c:pt>
              </c:strCache>
            </c:strRef>
          </c:tx>
          <c:marker>
            <c:symbol val="none"/>
          </c:marker>
          <c:xVal>
            <c:numRef>
              <c:f>Data_CashFlow!$C$1233:$AZ$1233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Data_CashFlow!$C$1238:$AZ$1238</c:f>
              <c:numCache>
                <c:formatCode>"$"#,##0.00</c:formatCode>
                <c:ptCount val="50"/>
                <c:pt idx="0">
                  <c:v>-17670808.082662947</c:v>
                </c:pt>
                <c:pt idx="1">
                  <c:v>-36273048.396105096</c:v>
                </c:pt>
                <c:pt idx="2">
                  <c:v>-64862142.405130446</c:v>
                </c:pt>
                <c:pt idx="3">
                  <c:v>-91409158.270653978</c:v>
                </c:pt>
                <c:pt idx="4">
                  <c:v>-116059958.71721154</c:v>
                </c:pt>
                <c:pt idx="5">
                  <c:v>-99053648.951936781</c:v>
                </c:pt>
                <c:pt idx="6">
                  <c:v>-68117640.794763923</c:v>
                </c:pt>
                <c:pt idx="7">
                  <c:v>-25328658.045378819</c:v>
                </c:pt>
                <c:pt idx="8">
                  <c:v>27462180.435304694</c:v>
                </c:pt>
                <c:pt idx="9">
                  <c:v>97382747.019128114</c:v>
                </c:pt>
                <c:pt idx="10">
                  <c:v>162308987.41839272</c:v>
                </c:pt>
                <c:pt idx="11">
                  <c:v>222597639.21770984</c:v>
                </c:pt>
                <c:pt idx="12">
                  <c:v>278579958.74564719</c:v>
                </c:pt>
                <c:pt idx="13">
                  <c:v>330563541.16444618</c:v>
                </c:pt>
                <c:pt idx="14">
                  <c:v>378834010.5533309</c:v>
                </c:pt>
                <c:pt idx="15">
                  <c:v>423656589.27158105</c:v>
                </c:pt>
                <c:pt idx="16">
                  <c:v>465277555.22424185</c:v>
                </c:pt>
                <c:pt idx="17">
                  <c:v>492373007.81293064</c:v>
                </c:pt>
                <c:pt idx="18">
                  <c:v>511309539.75444353</c:v>
                </c:pt>
                <c:pt idx="19">
                  <c:v>523114469.03618991</c:v>
                </c:pt>
                <c:pt idx="20">
                  <c:v>528709981.07925117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</c:ser>
        <c:axId val="182306304"/>
        <c:axId val="182283264"/>
      </c:scatterChart>
      <c:valAx>
        <c:axId val="18228326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r>
                  <a:rPr lang="en-US" sz="1800">
                    <a:solidFill>
                      <a:sysClr val="windowText" lastClr="000000"/>
                    </a:solidFill>
                  </a:rPr>
                  <a:t>Cash Flow per Year (Billions)</a:t>
                </a:r>
              </a:p>
            </c:rich>
          </c:tx>
          <c:layout/>
        </c:title>
        <c:numFmt formatCode="General" sourceLinked="0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  <c:crossAx val="182306304"/>
        <c:crosses val="autoZero"/>
        <c:crossBetween val="midCat"/>
        <c:dispUnits>
          <c:builtInUnit val="billions"/>
        </c:dispUnits>
      </c:valAx>
      <c:valAx>
        <c:axId val="182306304"/>
        <c:scaling>
          <c:orientation val="minMax"/>
          <c:max val="20"/>
        </c:scaling>
        <c:axPos val="b"/>
        <c:title>
          <c:tx>
            <c:rich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r>
                  <a:rPr lang="en-US" sz="1800">
                    <a:solidFill>
                      <a:sysClr val="windowText" lastClr="000000"/>
                    </a:solidFill>
                  </a:rPr>
                  <a:t>Year</a:t>
                </a:r>
              </a:p>
            </c:rich>
          </c:tx>
          <c:layout/>
        </c:title>
        <c:numFmt formatCode="General" sourceLinked="1"/>
        <c:tickLblPos val="nextTo"/>
        <c:spPr>
          <a:solidFill>
            <a:schemeClr val="tx1"/>
          </a:solidFill>
        </c:spPr>
        <c:txPr>
          <a:bodyPr/>
          <a:lstStyle/>
          <a:p>
            <a:pPr>
              <a:defRPr sz="1600"/>
            </a:pPr>
            <a:endParaRPr lang="en-US"/>
          </a:p>
        </c:txPr>
        <c:crossAx val="182283264"/>
        <c:crossesAt val="0"/>
        <c:crossBetween val="midCat"/>
        <c:majorUnit val="5"/>
        <c:min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096608378498227"/>
          <c:y val="0.11512146598113639"/>
          <c:w val="0.54422718872031273"/>
          <c:h val="0.30494746695426583"/>
        </c:manualLayout>
      </c:layout>
      <c:overlay val="1"/>
      <c:txPr>
        <a:bodyPr/>
        <a:lstStyle/>
        <a:p>
          <a:pPr>
            <a:defRPr sz="1800"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</c:chart>
  <c:spPr>
    <a:solidFill>
      <a:srgbClr val="F9E2B0"/>
    </a:solidFill>
    <a:ln>
      <a:noFill/>
    </a:ln>
  </c:spPr>
  <c:txPr>
    <a:bodyPr/>
    <a:lstStyle/>
    <a:p>
      <a:pPr>
        <a:defRPr sz="16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Production Schedule</a:t>
            </a:r>
          </a:p>
        </c:rich>
      </c:tx>
      <c:layout/>
      <c:spPr>
        <a:noFill/>
      </c:spPr>
    </c:title>
    <c:plotArea>
      <c:layout>
        <c:manualLayout>
          <c:layoutTarget val="inner"/>
          <c:xMode val="edge"/>
          <c:yMode val="edge"/>
          <c:x val="0.12188218470382078"/>
          <c:y val="7.5290064768969142E-2"/>
          <c:w val="0.76032638220296767"/>
          <c:h val="0.60097890312140545"/>
        </c:manualLayout>
      </c:layout>
      <c:scatterChart>
        <c:scatterStyle val="lineMarker"/>
        <c:ser>
          <c:idx val="0"/>
          <c:order val="0"/>
          <c:tx>
            <c:v>Baseline - Sheet Metal</c:v>
          </c:tx>
          <c:marker>
            <c:symbol val="none"/>
          </c:marker>
          <c:xVal>
            <c:numLit>
              <c:formatCode>General</c:formatCode>
              <c:ptCount val="6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</c:numLit>
          </c:xVal>
          <c:yVal>
            <c:numLit>
              <c:formatCode>General</c:formatCode>
              <c:ptCount val="6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50.15</c:v>
              </c:pt>
              <c:pt idx="6">
                <c:v>100.3</c:v>
              </c:pt>
              <c:pt idx="7">
                <c:v>150.44999999999996</c:v>
              </c:pt>
              <c:pt idx="8">
                <c:v>200.59999999999997</c:v>
              </c:pt>
              <c:pt idx="9">
                <c:v>333</c:v>
              </c:pt>
              <c:pt idx="10">
                <c:v>333</c:v>
              </c:pt>
              <c:pt idx="11">
                <c:v>333</c:v>
              </c:pt>
              <c:pt idx="12">
                <c:v>333</c:v>
              </c:pt>
              <c:pt idx="13">
                <c:v>333</c:v>
              </c:pt>
              <c:pt idx="14">
                <c:v>333</c:v>
              </c:pt>
              <c:pt idx="15">
                <c:v>333</c:v>
              </c:pt>
              <c:pt idx="16">
                <c:v>333</c:v>
              </c:pt>
              <c:pt idx="17">
                <c:v>333</c:v>
              </c:pt>
              <c:pt idx="18">
                <c:v>200.59999999999997</c:v>
              </c:pt>
              <c:pt idx="19">
                <c:v>150.44999999999996</c:v>
              </c:pt>
              <c:pt idx="20">
                <c:v>100.3</c:v>
              </c:pt>
              <c:pt idx="21">
                <c:v>50.15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</c:numLit>
          </c:yVal>
        </c:ser>
        <c:ser>
          <c:idx val="1"/>
          <c:order val="1"/>
          <c:tx>
            <c:v>Baseline - Machine</c:v>
          </c:tx>
          <c:marker>
            <c:symbol val="none"/>
          </c:marker>
          <c:xVal>
            <c:numLit>
              <c:formatCode>General</c:formatCode>
              <c:ptCount val="6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</c:numLit>
          </c:xVal>
          <c:yVal>
            <c:numLit>
              <c:formatCode>General</c:formatCode>
              <c:ptCount val="6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60.349999999999994</c:v>
              </c:pt>
              <c:pt idx="6">
                <c:v>120.69999999999999</c:v>
              </c:pt>
              <c:pt idx="7">
                <c:v>181.04999999999995</c:v>
              </c:pt>
              <c:pt idx="8">
                <c:v>241.4</c:v>
              </c:pt>
              <c:pt idx="9">
                <c:v>399</c:v>
              </c:pt>
              <c:pt idx="10">
                <c:v>399</c:v>
              </c:pt>
              <c:pt idx="11">
                <c:v>399</c:v>
              </c:pt>
              <c:pt idx="12">
                <c:v>399</c:v>
              </c:pt>
              <c:pt idx="13">
                <c:v>399</c:v>
              </c:pt>
              <c:pt idx="14">
                <c:v>399</c:v>
              </c:pt>
              <c:pt idx="15">
                <c:v>399</c:v>
              </c:pt>
              <c:pt idx="16">
                <c:v>241.4</c:v>
              </c:pt>
              <c:pt idx="17">
                <c:v>181.04999999999995</c:v>
              </c:pt>
              <c:pt idx="18">
                <c:v>120.69999999999999</c:v>
              </c:pt>
              <c:pt idx="19">
                <c:v>60.349999999999994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</c:numLit>
          </c:yVal>
        </c:ser>
        <c:ser>
          <c:idx val="2"/>
          <c:order val="2"/>
          <c:tx>
            <c:v>Baseline - Hand Layup</c:v>
          </c:tx>
          <c:marker>
            <c:symbol val="none"/>
          </c:marker>
          <c:xVal>
            <c:numLit>
              <c:formatCode>General</c:formatCode>
              <c:ptCount val="6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</c:numLit>
          </c:xVal>
          <c:yVal>
            <c:numLit>
              <c:formatCode>General</c:formatCode>
              <c:ptCount val="6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60.800000000000004</c:v>
              </c:pt>
              <c:pt idx="6">
                <c:v>121.6</c:v>
              </c:pt>
              <c:pt idx="7">
                <c:v>182.4</c:v>
              </c:pt>
              <c:pt idx="8">
                <c:v>243.19999999999996</c:v>
              </c:pt>
              <c:pt idx="9">
                <c:v>348</c:v>
              </c:pt>
              <c:pt idx="10">
                <c:v>348</c:v>
              </c:pt>
              <c:pt idx="11">
                <c:v>348</c:v>
              </c:pt>
              <c:pt idx="12">
                <c:v>348</c:v>
              </c:pt>
              <c:pt idx="13">
                <c:v>348</c:v>
              </c:pt>
              <c:pt idx="14">
                <c:v>348</c:v>
              </c:pt>
              <c:pt idx="15">
                <c:v>348</c:v>
              </c:pt>
              <c:pt idx="16">
                <c:v>348</c:v>
              </c:pt>
              <c:pt idx="17">
                <c:v>243.19999999999996</c:v>
              </c:pt>
              <c:pt idx="18">
                <c:v>182.4</c:v>
              </c:pt>
              <c:pt idx="19">
                <c:v>121.6</c:v>
              </c:pt>
              <c:pt idx="20">
                <c:v>60.800000000000004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</c:numLit>
          </c:yVal>
        </c:ser>
        <c:ser>
          <c:idx val="3"/>
          <c:order val="3"/>
          <c:tx>
            <c:v>Baseline - Hybrid</c:v>
          </c:tx>
          <c:marker>
            <c:symbol val="none"/>
          </c:marker>
          <c:xVal>
            <c:numLit>
              <c:formatCode>General</c:formatCode>
              <c:ptCount val="6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</c:numLit>
          </c:xVal>
          <c:yVal>
            <c:numLit>
              <c:formatCode>General</c:formatCode>
              <c:ptCount val="6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51.95</c:v>
              </c:pt>
              <c:pt idx="6">
                <c:v>103.90000000000003</c:v>
              </c:pt>
              <c:pt idx="7">
                <c:v>155.85000000000019</c:v>
              </c:pt>
              <c:pt idx="8">
                <c:v>207.80000000000007</c:v>
              </c:pt>
              <c:pt idx="9">
                <c:v>329</c:v>
              </c:pt>
              <c:pt idx="10">
                <c:v>329</c:v>
              </c:pt>
              <c:pt idx="11">
                <c:v>329</c:v>
              </c:pt>
              <c:pt idx="12">
                <c:v>329</c:v>
              </c:pt>
              <c:pt idx="13">
                <c:v>329</c:v>
              </c:pt>
              <c:pt idx="14">
                <c:v>329</c:v>
              </c:pt>
              <c:pt idx="15">
                <c:v>329</c:v>
              </c:pt>
              <c:pt idx="16">
                <c:v>329</c:v>
              </c:pt>
              <c:pt idx="17">
                <c:v>329</c:v>
              </c:pt>
              <c:pt idx="18">
                <c:v>207.80000000000007</c:v>
              </c:pt>
              <c:pt idx="19">
                <c:v>155.85000000000019</c:v>
              </c:pt>
              <c:pt idx="20">
                <c:v>103.90000000000003</c:v>
              </c:pt>
              <c:pt idx="21">
                <c:v>51.95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</c:numLit>
          </c:yVal>
        </c:ser>
        <c:ser>
          <c:idx val="4"/>
          <c:order val="4"/>
          <c:tx>
            <c:v>Outsource- Hand Layup</c:v>
          </c:tx>
          <c:marker>
            <c:symbol val="none"/>
          </c:marker>
          <c:xVal>
            <c:numLit>
              <c:formatCode>General</c:formatCode>
              <c:ptCount val="6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</c:numLit>
          </c:xVal>
          <c:yVal>
            <c:numLit>
              <c:formatCode>General</c:formatCode>
              <c:ptCount val="6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60.800000000000004</c:v>
              </c:pt>
              <c:pt idx="6">
                <c:v>121.6</c:v>
              </c:pt>
              <c:pt idx="7">
                <c:v>182.4</c:v>
              </c:pt>
              <c:pt idx="8">
                <c:v>243.19999999999996</c:v>
              </c:pt>
              <c:pt idx="9">
                <c:v>348</c:v>
              </c:pt>
              <c:pt idx="10">
                <c:v>348</c:v>
              </c:pt>
              <c:pt idx="11">
                <c:v>348</c:v>
              </c:pt>
              <c:pt idx="12">
                <c:v>348</c:v>
              </c:pt>
              <c:pt idx="13">
                <c:v>348</c:v>
              </c:pt>
              <c:pt idx="14">
                <c:v>348</c:v>
              </c:pt>
              <c:pt idx="15">
                <c:v>348</c:v>
              </c:pt>
              <c:pt idx="16">
                <c:v>348</c:v>
              </c:pt>
              <c:pt idx="17">
                <c:v>243.19999999999996</c:v>
              </c:pt>
              <c:pt idx="18">
                <c:v>182.4</c:v>
              </c:pt>
              <c:pt idx="19">
                <c:v>121.6</c:v>
              </c:pt>
              <c:pt idx="20">
                <c:v>60.800000000000004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</c:numLit>
          </c:yVal>
        </c:ser>
        <c:axId val="184877824"/>
        <c:axId val="184879744"/>
      </c:scatterChart>
      <c:valAx>
        <c:axId val="184877824"/>
        <c:scaling>
          <c:orientation val="minMax"/>
          <c:max val="50"/>
        </c:scaling>
        <c:axPos val="b"/>
        <c:title>
          <c:tx>
            <c:rich>
              <a:bodyPr/>
              <a:lstStyle/>
              <a:p>
                <a:pPr>
                  <a:defRPr sz="1600" b="1">
                    <a:solidFill>
                      <a:sysClr val="windowText" lastClr="000000"/>
                    </a:solidFill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Production Year</a:t>
                </a:r>
              </a:p>
            </c:rich>
          </c:tx>
          <c:layout/>
        </c:title>
        <c:numFmt formatCode="General" sourceLinked="1"/>
        <c:majorTickMark val="none"/>
        <c:tickLblPos val="nextTo"/>
        <c:spPr>
          <a:ln>
            <a:solidFill>
              <a:sysClr val="window" lastClr="FFFFFF"/>
            </a:solidFill>
          </a:ln>
        </c:spPr>
        <c:txPr>
          <a:bodyPr rot="0" vert="horz"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en-US"/>
          </a:p>
        </c:txPr>
        <c:crossAx val="184879744"/>
        <c:crosses val="autoZero"/>
        <c:crossBetween val="midCat"/>
      </c:valAx>
      <c:valAx>
        <c:axId val="1848797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600" b="1">
                    <a:solidFill>
                      <a:sysClr val="windowText" lastClr="000000"/>
                    </a:solidFill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Wings Produced per Year</a:t>
                </a:r>
              </a:p>
            </c:rich>
          </c:tx>
          <c:layout/>
          <c:spPr>
            <a:noFill/>
          </c:spPr>
        </c:title>
        <c:numFmt formatCode="General" sourceLinked="1"/>
        <c:majorTickMark val="none"/>
        <c:tickLblPos val="nextTo"/>
        <c:spPr>
          <a:ln>
            <a:solidFill>
              <a:sysClr val="window" lastClr="FFFFFF"/>
            </a:solidFill>
          </a:ln>
        </c:spPr>
        <c:txPr>
          <a:bodyPr rot="0" vert="horz"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en-US"/>
          </a:p>
        </c:txPr>
        <c:crossAx val="18487782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76641392054258572"/>
          <c:y val="8.6755220814789563E-2"/>
          <c:w val="0.19613560973559482"/>
          <c:h val="0.54269824495789665"/>
        </c:manualLayout>
      </c:layout>
      <c:overlay val="1"/>
      <c:txPr>
        <a:bodyPr/>
        <a:lstStyle/>
        <a:p>
          <a:pPr>
            <a:defRPr sz="1400"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</c:chart>
  <c:spPr>
    <a:solidFill>
      <a:srgbClr val="F9E2B0"/>
    </a:solidFill>
    <a:ln>
      <a:noFill/>
    </a:ln>
  </c:spPr>
  <c:txPr>
    <a:bodyPr/>
    <a:lstStyle/>
    <a:p>
      <a:pPr>
        <a:defRPr sz="12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4"/>
  <c:chart>
    <c:autoTitleDeleted val="1"/>
    <c:plotArea>
      <c:layout>
        <c:manualLayout>
          <c:layoutTarget val="inner"/>
          <c:xMode val="edge"/>
          <c:yMode val="edge"/>
          <c:x val="0.17251557442800639"/>
          <c:y val="4.4316220904714682E-2"/>
          <c:w val="0.6213175507141685"/>
          <c:h val="0.76507414698162735"/>
        </c:manualLayout>
      </c:layout>
      <c:barChart>
        <c:barDir val="col"/>
        <c:grouping val="stacked"/>
        <c:ser>
          <c:idx val="0"/>
          <c:order val="0"/>
          <c:tx>
            <c:strRef>
              <c:f>Data_CashFlow!$C$1260</c:f>
              <c:strCache>
                <c:ptCount val="1"/>
                <c:pt idx="0">
                  <c:v>Powertrain</c:v>
                </c:pt>
              </c:strCache>
            </c:strRef>
          </c:tx>
          <c:cat>
            <c:numRef>
              <c:f>Dashboard!$R$7:$V$7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Data_CashFlow!$C$1261:$C$1265</c:f>
              <c:numCache>
                <c:formatCode>"$"#,##0.00</c:formatCode>
                <c:ptCount val="5"/>
                <c:pt idx="0">
                  <c:v>0</c:v>
                </c:pt>
                <c:pt idx="1">
                  <c:v>148732169.66643324</c:v>
                </c:pt>
                <c:pt idx="2">
                  <c:v>1468686102.3809173</c:v>
                </c:pt>
                <c:pt idx="3">
                  <c:v>1182441262.9281545</c:v>
                </c:pt>
                <c:pt idx="4">
                  <c:v>1468686102.3809173</c:v>
                </c:pt>
              </c:numCache>
            </c:numRef>
          </c:val>
        </c:ser>
        <c:ser>
          <c:idx val="1"/>
          <c:order val="1"/>
          <c:tx>
            <c:strRef>
              <c:f>Data_CashFlow!$D$1260</c:f>
              <c:strCache>
                <c:ptCount val="1"/>
                <c:pt idx="0">
                  <c:v>Hull</c:v>
                </c:pt>
              </c:strCache>
            </c:strRef>
          </c:tx>
          <c:cat>
            <c:numRef>
              <c:f>Dashboard!$R$7:$V$7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Data_CashFlow!$D$1261:$D$1265</c:f>
              <c:numCache>
                <c:formatCode>"$"#,##0.00</c:formatCode>
                <c:ptCount val="5"/>
                <c:pt idx="0">
                  <c:v>0</c:v>
                </c:pt>
                <c:pt idx="1">
                  <c:v>401731339.08797181</c:v>
                </c:pt>
                <c:pt idx="2">
                  <c:v>773064604.44946909</c:v>
                </c:pt>
                <c:pt idx="3">
                  <c:v>489532457.99521613</c:v>
                </c:pt>
                <c:pt idx="4">
                  <c:v>219243619.71121037</c:v>
                </c:pt>
              </c:numCache>
            </c:numRef>
          </c:val>
        </c:ser>
        <c:ser>
          <c:idx val="2"/>
          <c:order val="2"/>
          <c:tx>
            <c:strRef>
              <c:f>Data_CashFlow!$E$1260</c:f>
              <c:strCache>
                <c:ptCount val="1"/>
                <c:pt idx="0">
                  <c:v>Turret</c:v>
                </c:pt>
              </c:strCache>
            </c:strRef>
          </c:tx>
          <c:cat>
            <c:numRef>
              <c:f>Dashboard!$R$7:$V$7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Data_CashFlow!$E$1261:$E$1265</c:f>
              <c:numCache>
                <c:formatCode>"$"#,##0.00</c:formatCode>
                <c:ptCount val="5"/>
                <c:pt idx="0">
                  <c:v>35840143.720307097</c:v>
                </c:pt>
                <c:pt idx="1">
                  <c:v>29953110.729134198</c:v>
                </c:pt>
                <c:pt idx="2">
                  <c:v>64220115.723463491</c:v>
                </c:pt>
                <c:pt idx="3">
                  <c:v>67489773.795883745</c:v>
                </c:pt>
                <c:pt idx="4">
                  <c:v>64220115.723463491</c:v>
                </c:pt>
              </c:numCache>
            </c:numRef>
          </c:val>
        </c:ser>
        <c:ser>
          <c:idx val="3"/>
          <c:order val="3"/>
          <c:tx>
            <c:strRef>
              <c:f>Data_CashFlow!$F$1260</c:f>
              <c:strCache>
                <c:ptCount val="1"/>
                <c:pt idx="0">
                  <c:v>Armor</c:v>
                </c:pt>
              </c:strCache>
            </c:strRef>
          </c:tx>
          <c:cat>
            <c:numRef>
              <c:f>Dashboard!$R$7:$V$7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Data_CashFlow!$F$1261:$F$1265</c:f>
              <c:numCache>
                <c:formatCode>"$"#,##0.00</c:formatCode>
                <c:ptCount val="5"/>
                <c:pt idx="0">
                  <c:v>203326227.33936238</c:v>
                </c:pt>
                <c:pt idx="1">
                  <c:v>184199442.17640114</c:v>
                </c:pt>
                <c:pt idx="2">
                  <c:v>194603369.23350054</c:v>
                </c:pt>
                <c:pt idx="3">
                  <c:v>194342382.00264773</c:v>
                </c:pt>
                <c:pt idx="4">
                  <c:v>101827261.78613466</c:v>
                </c:pt>
              </c:numCache>
            </c:numRef>
          </c:val>
        </c:ser>
        <c:ser>
          <c:idx val="4"/>
          <c:order val="4"/>
          <c:tx>
            <c:strRef>
              <c:f>Data_CashFlow!$G$1260</c:f>
              <c:strCache>
                <c:ptCount val="1"/>
                <c:pt idx="0">
                  <c:v>Assembly</c:v>
                </c:pt>
              </c:strCache>
            </c:strRef>
          </c:tx>
          <c:cat>
            <c:numRef>
              <c:f>Dashboard!$R$7:$V$7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Data_CashFlow!$G$1261:$G$1265</c:f>
              <c:numCache>
                <c:formatCode>"$"#,##0.00</c:formatCode>
                <c:ptCount val="5"/>
                <c:pt idx="0">
                  <c:v>0</c:v>
                </c:pt>
                <c:pt idx="1">
                  <c:v>145268652.37393826</c:v>
                </c:pt>
                <c:pt idx="2">
                  <c:v>73113891.138004333</c:v>
                </c:pt>
                <c:pt idx="3">
                  <c:v>148168086.75480574</c:v>
                </c:pt>
                <c:pt idx="4">
                  <c:v>64110364.311337672</c:v>
                </c:pt>
              </c:numCache>
            </c:numRef>
          </c:val>
        </c:ser>
        <c:overlap val="100"/>
        <c:axId val="184915840"/>
        <c:axId val="185008128"/>
      </c:barChart>
      <c:catAx>
        <c:axId val="184915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Concept</a:t>
                </a:r>
              </a:p>
            </c:rich>
          </c:tx>
          <c:layout/>
        </c:title>
        <c:numFmt formatCode="General" sourceLinked="1"/>
        <c:tickLblPos val="nextTo"/>
        <c:txPr>
          <a:bodyPr rot="-2400000" vert="horz"/>
          <a:lstStyle/>
          <a:p>
            <a:pPr>
              <a:defRPr sz="1600">
                <a:solidFill>
                  <a:sysClr val="windowText" lastClr="000000"/>
                </a:solidFill>
              </a:defRPr>
            </a:pPr>
            <a:endParaRPr lang="en-US"/>
          </a:p>
        </c:txPr>
        <c:crossAx val="185008128"/>
        <c:crosses val="autoZero"/>
        <c:auto val="1"/>
        <c:lblAlgn val="ctr"/>
        <c:lblOffset val="100"/>
      </c:catAx>
      <c:valAx>
        <c:axId val="1850081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600" b="1">
                    <a:solidFill>
                      <a:sysClr val="windowText" lastClr="000000"/>
                    </a:solidFill>
                  </a:defRPr>
                </a:pPr>
                <a:r>
                  <a:rPr lang="en-US" sz="1800" b="1">
                    <a:solidFill>
                      <a:sysClr val="windowText" lastClr="000000"/>
                    </a:solidFill>
                  </a:rPr>
                  <a:t>Total Cost ($M)</a:t>
                </a:r>
              </a:p>
            </c:rich>
          </c:tx>
          <c:layout/>
        </c:title>
        <c:numFmt formatCode="#,##0.0" sourceLinked="0"/>
        <c:tickLblPos val="nextTo"/>
        <c:txPr>
          <a:bodyPr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en-US"/>
          </a:p>
        </c:txPr>
        <c:crossAx val="184915840"/>
        <c:crosses val="autoZero"/>
        <c:crossBetween val="between"/>
        <c:dispUnits>
          <c:builtInUnit val="millions"/>
        </c:dispUnits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81560254287427381"/>
          <c:y val="2.4203884853650159E-2"/>
          <c:w val="0.17062160559894637"/>
          <c:h val="0.47730976512544776"/>
        </c:manualLayout>
      </c:layout>
      <c:txPr>
        <a:bodyPr/>
        <a:lstStyle/>
        <a:p>
          <a:pPr>
            <a:defRPr sz="1400"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</c:chart>
  <c:spPr>
    <a:solidFill>
      <a:srgbClr val="F9E2B0"/>
    </a:solidFill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plotArea>
      <c:layout>
        <c:manualLayout>
          <c:layoutTarget val="inner"/>
          <c:xMode val="edge"/>
          <c:yMode val="edge"/>
          <c:x val="0.13513577106700575"/>
          <c:y val="4.3658213150431134E-2"/>
          <c:w val="0.63462983104543491"/>
          <c:h val="0.74434260515399764"/>
        </c:manualLayout>
      </c:layout>
      <c:bubbleChart>
        <c:ser>
          <c:idx val="0"/>
          <c:order val="0"/>
          <c:tx>
            <c:v>Sheet Metal</c:v>
          </c:tx>
          <c:spPr>
            <a:solidFill>
              <a:schemeClr val="tx2"/>
            </a:solidFill>
          </c:spPr>
          <c:dLbls>
            <c:dLbl>
              <c:idx val="0"/>
              <c:layout>
                <c:manualLayout>
                  <c:x val="-7.9372895658109094E-2"/>
                  <c:y val="4.2740028448480884E-2"/>
                </c:manualLayout>
              </c:layout>
              <c:dLblPos val="ctr"/>
              <c:showSerName val="1"/>
            </c:dLbl>
            <c:txPr>
              <a:bodyPr/>
              <a:lstStyle/>
              <a:p>
                <a:pPr>
                  <a:defRPr sz="1400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ctr"/>
            <c:showSerName val="1"/>
          </c:dLbls>
          <c:xVal>
            <c:numLit>
              <c:formatCode>General</c:formatCode>
              <c:ptCount val="1"/>
              <c:pt idx="0">
                <c:v>0.89292244723604453</c:v>
              </c:pt>
            </c:numLit>
          </c:xVal>
          <c:yVal>
            <c:numLit>
              <c:formatCode>General</c:formatCode>
              <c:ptCount val="1"/>
              <c:pt idx="0">
                <c:v>7.2010095137142904E-2</c:v>
              </c:pt>
            </c:numLit>
          </c:yVal>
          <c:bubbleSize>
            <c:numLit>
              <c:formatCode>General</c:formatCode>
              <c:ptCount val="1"/>
              <c:pt idx="0">
                <c:v>11.76686205163872</c:v>
              </c:pt>
            </c:numLit>
          </c:bubbleSize>
        </c:ser>
        <c:ser>
          <c:idx val="1"/>
          <c:order val="1"/>
          <c:tx>
            <c:v>Machining</c:v>
          </c:tx>
          <c:spPr>
            <a:solidFill>
              <a:srgbClr val="C00000">
                <a:alpha val="70000"/>
              </a:srgbClr>
            </a:solidFill>
          </c:spPr>
          <c:dLbls>
            <c:dLbl>
              <c:idx val="0"/>
              <c:layout>
                <c:manualLayout>
                  <c:x val="-0.14108467339469338"/>
                  <c:y val="-5.3653686757087003E-2"/>
                </c:manualLayout>
              </c:layout>
              <c:dLblPos val="r"/>
              <c:showSerName val="1"/>
            </c:dLbl>
            <c:txPr>
              <a:bodyPr/>
              <a:lstStyle/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SerName val="1"/>
          </c:dLbls>
          <c:xVal>
            <c:numLit>
              <c:formatCode>General</c:formatCode>
              <c:ptCount val="1"/>
              <c:pt idx="0">
                <c:v>0.86521513486123458</c:v>
              </c:pt>
            </c:numLit>
          </c:xVal>
          <c:yVal>
            <c:numLit>
              <c:formatCode>General</c:formatCode>
              <c:ptCount val="1"/>
              <c:pt idx="0">
                <c:v>7.6257597967302027E-2</c:v>
              </c:pt>
            </c:numLit>
          </c:yVal>
          <c:bubbleSize>
            <c:numLit>
              <c:formatCode>General</c:formatCode>
              <c:ptCount val="1"/>
              <c:pt idx="0">
                <c:v>8.9967073638969755</c:v>
              </c:pt>
            </c:numLit>
          </c:bubbleSize>
        </c:ser>
        <c:ser>
          <c:idx val="2"/>
          <c:order val="2"/>
          <c:tx>
            <c:v>Hand Layup</c:v>
          </c:tx>
          <c:spPr>
            <a:solidFill>
              <a:schemeClr val="accent3">
                <a:lumMod val="60000"/>
                <a:lumOff val="40000"/>
                <a:alpha val="70000"/>
              </a:schemeClr>
            </a:solidFill>
          </c:spPr>
          <c:dLbls>
            <c:dLbl>
              <c:idx val="0"/>
              <c:layout>
                <c:manualLayout>
                  <c:x val="8.3213519641565939E-2"/>
                  <c:y val="0.11967207965574646"/>
                </c:manualLayout>
              </c:layout>
              <c:dLblPos val="ctr"/>
              <c:showSerName val="1"/>
            </c:dLbl>
            <c:txPr>
              <a:bodyPr/>
              <a:lstStyle/>
              <a:p>
                <a:pPr>
                  <a:defRPr sz="1400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ctr"/>
            <c:showSerName val="1"/>
          </c:dLbls>
          <c:xVal>
            <c:numLit>
              <c:formatCode>General</c:formatCode>
              <c:ptCount val="1"/>
              <c:pt idx="0">
                <c:v>0.99479796419519251</c:v>
              </c:pt>
            </c:numLit>
          </c:xVal>
          <c:yVal>
            <c:numLit>
              <c:formatCode>General</c:formatCode>
              <c:ptCount val="1"/>
              <c:pt idx="0">
                <c:v>8.25482123732805E-2</c:v>
              </c:pt>
            </c:numLit>
          </c:yVal>
          <c:bubbleSize>
            <c:numLit>
              <c:formatCode>General</c:formatCode>
              <c:ptCount val="1"/>
              <c:pt idx="0">
                <c:v>19.687033230933579</c:v>
              </c:pt>
            </c:numLit>
          </c:bubbleSize>
        </c:ser>
        <c:ser>
          <c:idx val="3"/>
          <c:order val="3"/>
          <c:tx>
            <c:v>Hybrid</c:v>
          </c:tx>
          <c:dLbls>
            <c:dLbl>
              <c:idx val="0"/>
              <c:layout>
                <c:manualLayout>
                  <c:x val="-7.9372895658109094E-2"/>
                  <c:y val="6.5534710287670689E-2"/>
                </c:manualLayout>
              </c:layout>
              <c:dLblPos val="ctr"/>
              <c:showSerName val="1"/>
            </c:dLbl>
            <c:txPr>
              <a:bodyPr/>
              <a:lstStyle/>
              <a:p>
                <a:pPr>
                  <a:defRPr sz="1400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ctr"/>
            <c:showSerName val="1"/>
          </c:dLbls>
          <c:xVal>
            <c:numLit>
              <c:formatCode>General</c:formatCode>
              <c:ptCount val="1"/>
              <c:pt idx="0">
                <c:v>0.9506669929960746</c:v>
              </c:pt>
            </c:numLit>
          </c:xVal>
          <c:yVal>
            <c:numLit>
              <c:formatCode>General</c:formatCode>
              <c:ptCount val="1"/>
              <c:pt idx="0">
                <c:v>8.0614333673682592E-2</c:v>
              </c:pt>
            </c:numLit>
          </c:yVal>
          <c:bubbleSize>
            <c:numLit>
              <c:formatCode>General</c:formatCode>
              <c:ptCount val="1"/>
              <c:pt idx="0">
                <c:v>20.382932304377132</c:v>
              </c:pt>
            </c:numLit>
          </c:bubbleSize>
        </c:ser>
        <c:ser>
          <c:idx val="10"/>
          <c:order val="4"/>
          <c:tx>
            <c:v>Line</c:v>
          </c:tx>
          <c:xVal>
            <c:numLit>
              <c:formatCode>General</c:formatCode>
              <c:ptCount val="1"/>
            </c:numLit>
          </c:xVal>
          <c:yVal>
            <c:numLit>
              <c:formatCode>General</c:formatCode>
              <c:ptCount val="1"/>
            </c:numLit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</c:ser>
        <c:ser>
          <c:idx val="4"/>
          <c:order val="5"/>
          <c:tx>
            <c:v>Hand Layup - Outsource</c:v>
          </c:tx>
          <c:spPr>
            <a:solidFill>
              <a:srgbClr val="4BACC6">
                <a:alpha val="70000"/>
              </a:srgbClr>
            </a:solidFill>
          </c:spPr>
          <c:dLbls>
            <c:dLbl>
              <c:idx val="0"/>
              <c:layout>
                <c:manualLayout>
                  <c:x val="-0.25630246567996062"/>
                  <c:y val="-0.1237964085371452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ysClr val="windowText" lastClr="000000"/>
                        </a:solidFill>
                      </a:rPr>
                      <a:t>Hand Layup - Outsource</a:t>
                    </a:r>
                  </a:p>
                </c:rich>
              </c:tx>
              <c:dLblPos val="r"/>
              <c:showSerName val="1"/>
            </c:dLbl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dLblPos val="ctr"/>
            <c:showSerName val="1"/>
          </c:dLbls>
          <c:xVal>
            <c:numLit>
              <c:formatCode>General</c:formatCode>
              <c:ptCount val="1"/>
              <c:pt idx="0">
                <c:v>0.95533236864750259</c:v>
              </c:pt>
            </c:numLit>
          </c:xVal>
          <c:yVal>
            <c:numLit>
              <c:formatCode>General</c:formatCode>
              <c:ptCount val="1"/>
              <c:pt idx="0">
                <c:v>8.2548394496907693E-2</c:v>
              </c:pt>
            </c:numLit>
          </c:yVal>
          <c:bubbleSize>
            <c:numLit>
              <c:formatCode>General</c:formatCode>
              <c:ptCount val="1"/>
              <c:pt idx="0">
                <c:v>13.176320449739931</c:v>
              </c:pt>
            </c:numLit>
          </c:bubbleSize>
        </c:ser>
        <c:bubbleScale val="100"/>
        <c:axId val="193480960"/>
        <c:axId val="193511808"/>
      </c:bubbleChart>
      <c:valAx>
        <c:axId val="193480960"/>
        <c:scaling>
          <c:orientation val="minMax"/>
          <c:max val="1.05"/>
          <c:min val="0.82500000000000062"/>
        </c:scaling>
        <c:axPos val="b"/>
        <c:title>
          <c:tx>
            <c:rich>
              <a:bodyPr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r>
                  <a:rPr lang="en-US" sz="1800">
                    <a:solidFill>
                      <a:sysClr val="windowText" lastClr="000000"/>
                    </a:solidFill>
                  </a:rPr>
                  <a:t>Manufacturer Cost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600">
                <a:solidFill>
                  <a:sysClr val="windowText" lastClr="000000"/>
                </a:solidFill>
              </a:defRPr>
            </a:pPr>
            <a:endParaRPr lang="en-US"/>
          </a:p>
        </c:txPr>
        <c:crossAx val="193511808"/>
        <c:crosses val="autoZero"/>
        <c:crossBetween val="midCat"/>
      </c:valAx>
      <c:valAx>
        <c:axId val="193511808"/>
        <c:scaling>
          <c:orientation val="minMax"/>
          <c:max val="9.5000000000000043E-2"/>
          <c:min val="6.5000000000000002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r>
                  <a:rPr lang="en-US" sz="1800">
                    <a:solidFill>
                      <a:sysClr val="windowText" lastClr="000000"/>
                    </a:solidFill>
                  </a:rPr>
                  <a:t>Performance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en-US"/>
          </a:p>
        </c:txPr>
        <c:crossAx val="193480960"/>
        <c:crosses val="autoZero"/>
        <c:crossBetween val="midCat"/>
      </c:valAx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78086720515097052"/>
          <c:y val="0.28255998578473812"/>
          <c:w val="0.21913279484903045"/>
          <c:h val="0.51341127946116616"/>
        </c:manualLayout>
      </c:layout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</c:chart>
  <c:spPr>
    <a:solidFill>
      <a:srgbClr val="F9E2B0"/>
    </a:solidFill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Database'!$D$29:$H$29</c:f>
              <c:numCache>
                <c:formatCode>0.0</c:formatCode>
                <c:ptCount val="5"/>
                <c:pt idx="0">
                  <c:v>350</c:v>
                </c:pt>
                <c:pt idx="1">
                  <c:v>305</c:v>
                </c:pt>
                <c:pt idx="2">
                  <c:v>288</c:v>
                </c:pt>
                <c:pt idx="3">
                  <c:v>410</c:v>
                </c:pt>
                <c:pt idx="4">
                  <c:v>550</c:v>
                </c:pt>
              </c:numCache>
            </c:numRef>
          </c:xVal>
          <c:yVal>
            <c:numRef>
              <c:f>'Concept Database'!$D$26:$H$26</c:f>
              <c:numCache>
                <c:formatCode>0.0</c:formatCode>
                <c:ptCount val="5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4</c:v>
                </c:pt>
              </c:numCache>
            </c:numRef>
          </c:yVal>
        </c:ser>
        <c:axId val="193552384"/>
        <c:axId val="193553920"/>
      </c:scatterChart>
      <c:valAx>
        <c:axId val="193552384"/>
        <c:scaling>
          <c:orientation val="minMax"/>
        </c:scaling>
        <c:axPos val="b"/>
        <c:majorGridlines/>
        <c:numFmt formatCode="0.0" sourceLinked="0"/>
        <c:tickLblPos val="nextTo"/>
        <c:crossAx val="193553920"/>
        <c:crosses val="autoZero"/>
        <c:crossBetween val="midCat"/>
      </c:valAx>
      <c:valAx>
        <c:axId val="193553920"/>
        <c:scaling>
          <c:orientation val="minMax"/>
        </c:scaling>
        <c:axPos val="l"/>
        <c:majorGridlines/>
        <c:numFmt formatCode="0.0" sourceLinked="0"/>
        <c:tickLblPos val="nextTo"/>
        <c:crossAx val="193552384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Database'!$D$32:$H$32</c:f>
              <c:numCache>
                <c:formatCode>0.0</c:formatCode>
                <c:ptCount val="5"/>
                <c:pt idx="0">
                  <c:v>42</c:v>
                </c:pt>
                <c:pt idx="1">
                  <c:v>38</c:v>
                </c:pt>
                <c:pt idx="2">
                  <c:v>40</c:v>
                </c:pt>
                <c:pt idx="3">
                  <c:v>48</c:v>
                </c:pt>
                <c:pt idx="4">
                  <c:v>39</c:v>
                </c:pt>
              </c:numCache>
            </c:numRef>
          </c:xVal>
          <c:yVal>
            <c:numRef>
              <c:f>'Concept Database'!$D$26:$H$26</c:f>
              <c:numCache>
                <c:formatCode>0.0</c:formatCode>
                <c:ptCount val="5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4</c:v>
                </c:pt>
              </c:numCache>
            </c:numRef>
          </c:yVal>
        </c:ser>
        <c:axId val="193573248"/>
        <c:axId val="193574784"/>
      </c:scatterChart>
      <c:valAx>
        <c:axId val="193573248"/>
        <c:scaling>
          <c:orientation val="minMax"/>
        </c:scaling>
        <c:axPos val="b"/>
        <c:majorGridlines/>
        <c:numFmt formatCode="0.0" sourceLinked="0"/>
        <c:tickLblPos val="nextTo"/>
        <c:crossAx val="193574784"/>
        <c:crosses val="autoZero"/>
        <c:crossBetween val="midCat"/>
      </c:valAx>
      <c:valAx>
        <c:axId val="193574784"/>
        <c:scaling>
          <c:orientation val="minMax"/>
        </c:scaling>
        <c:axPos val="l"/>
        <c:majorGridlines/>
        <c:numFmt formatCode="0.0" sourceLinked="0"/>
        <c:tickLblPos val="nextTo"/>
        <c:crossAx val="193573248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Database'!$D$36:$H$36</c:f>
              <c:numCache>
                <c:formatCode>General</c:formatCode>
                <c:ptCount val="5"/>
                <c:pt idx="0">
                  <c:v>1.3</c:v>
                </c:pt>
                <c:pt idx="1">
                  <c:v>1.5</c:v>
                </c:pt>
                <c:pt idx="2">
                  <c:v>0.9</c:v>
                </c:pt>
                <c:pt idx="3">
                  <c:v>1.25</c:v>
                </c:pt>
                <c:pt idx="4">
                  <c:v>1.33</c:v>
                </c:pt>
              </c:numCache>
            </c:numRef>
          </c:xVal>
          <c:yVal>
            <c:numRef>
              <c:f>'Concept Database'!$D$26:$H$26</c:f>
              <c:numCache>
                <c:formatCode>0.0</c:formatCode>
                <c:ptCount val="5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4</c:v>
                </c:pt>
              </c:numCache>
            </c:numRef>
          </c:yVal>
        </c:ser>
        <c:axId val="193590016"/>
        <c:axId val="193591552"/>
      </c:scatterChart>
      <c:valAx>
        <c:axId val="193590016"/>
        <c:scaling>
          <c:orientation val="minMax"/>
        </c:scaling>
        <c:axPos val="b"/>
        <c:majorGridlines/>
        <c:numFmt formatCode="#,##0.0" sourceLinked="0"/>
        <c:tickLblPos val="nextTo"/>
        <c:crossAx val="193591552"/>
        <c:crosses val="autoZero"/>
        <c:crossBetween val="midCat"/>
      </c:valAx>
      <c:valAx>
        <c:axId val="193591552"/>
        <c:scaling>
          <c:orientation val="minMax"/>
        </c:scaling>
        <c:axPos val="l"/>
        <c:majorGridlines/>
        <c:numFmt formatCode="0.0" sourceLinked="0"/>
        <c:tickLblPos val="nextTo"/>
        <c:crossAx val="193590016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Database'!$D$29:$H$29</c:f>
              <c:numCache>
                <c:formatCode>0.0</c:formatCode>
                <c:ptCount val="5"/>
                <c:pt idx="0">
                  <c:v>350</c:v>
                </c:pt>
                <c:pt idx="1">
                  <c:v>305</c:v>
                </c:pt>
                <c:pt idx="2">
                  <c:v>288</c:v>
                </c:pt>
                <c:pt idx="3">
                  <c:v>410</c:v>
                </c:pt>
                <c:pt idx="4">
                  <c:v>550</c:v>
                </c:pt>
              </c:numCache>
            </c:numRef>
          </c:xVal>
          <c:yVal>
            <c:numRef>
              <c:f>'Concept Database'!$D$24:$H$24</c:f>
              <c:numCache>
                <c:formatCode>0.0</c:formatCode>
                <c:ptCount val="5"/>
                <c:pt idx="0">
                  <c:v>30</c:v>
                </c:pt>
                <c:pt idx="1">
                  <c:v>32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</c:numCache>
            </c:numRef>
          </c:yVal>
        </c:ser>
        <c:axId val="193602688"/>
        <c:axId val="193604224"/>
      </c:scatterChart>
      <c:valAx>
        <c:axId val="193602688"/>
        <c:scaling>
          <c:orientation val="minMax"/>
        </c:scaling>
        <c:axPos val="b"/>
        <c:majorGridlines/>
        <c:numFmt formatCode="0.0" sourceLinked="0"/>
        <c:tickLblPos val="nextTo"/>
        <c:crossAx val="193604224"/>
        <c:crosses val="autoZero"/>
        <c:crossBetween val="midCat"/>
      </c:valAx>
      <c:valAx>
        <c:axId val="193604224"/>
        <c:scaling>
          <c:orientation val="minMax"/>
        </c:scaling>
        <c:axPos val="l"/>
        <c:majorGridlines/>
        <c:numFmt formatCode="0.0" sourceLinked="1"/>
        <c:tickLblPos val="nextTo"/>
        <c:crossAx val="193602688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Database'!$D$32:$H$32</c:f>
              <c:numCache>
                <c:formatCode>0.0</c:formatCode>
                <c:ptCount val="5"/>
                <c:pt idx="0">
                  <c:v>42</c:v>
                </c:pt>
                <c:pt idx="1">
                  <c:v>38</c:v>
                </c:pt>
                <c:pt idx="2">
                  <c:v>40</c:v>
                </c:pt>
                <c:pt idx="3">
                  <c:v>48</c:v>
                </c:pt>
                <c:pt idx="4">
                  <c:v>39</c:v>
                </c:pt>
              </c:numCache>
            </c:numRef>
          </c:xVal>
          <c:yVal>
            <c:numRef>
              <c:f>'Concept Database'!$D$24:$H$24</c:f>
              <c:numCache>
                <c:formatCode>0.0</c:formatCode>
                <c:ptCount val="5"/>
                <c:pt idx="0">
                  <c:v>30</c:v>
                </c:pt>
                <c:pt idx="1">
                  <c:v>32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</c:numCache>
            </c:numRef>
          </c:yVal>
        </c:ser>
        <c:axId val="193644032"/>
        <c:axId val="193645568"/>
      </c:scatterChart>
      <c:valAx>
        <c:axId val="193644032"/>
        <c:scaling>
          <c:orientation val="minMax"/>
        </c:scaling>
        <c:axPos val="b"/>
        <c:majorGridlines/>
        <c:numFmt formatCode="0.0" sourceLinked="0"/>
        <c:tickLblPos val="nextTo"/>
        <c:crossAx val="193645568"/>
        <c:crosses val="autoZero"/>
        <c:crossBetween val="midCat"/>
      </c:valAx>
      <c:valAx>
        <c:axId val="193645568"/>
        <c:scaling>
          <c:orientation val="minMax"/>
        </c:scaling>
        <c:axPos val="l"/>
        <c:majorGridlines/>
        <c:numFmt formatCode="0.0" sourceLinked="1"/>
        <c:tickLblPos val="nextTo"/>
        <c:crossAx val="193644032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Database'!$D$36:$H$36</c:f>
              <c:numCache>
                <c:formatCode>General</c:formatCode>
                <c:ptCount val="5"/>
                <c:pt idx="0">
                  <c:v>1.3</c:v>
                </c:pt>
                <c:pt idx="1">
                  <c:v>1.5</c:v>
                </c:pt>
                <c:pt idx="2">
                  <c:v>0.9</c:v>
                </c:pt>
                <c:pt idx="3">
                  <c:v>1.25</c:v>
                </c:pt>
                <c:pt idx="4">
                  <c:v>1.33</c:v>
                </c:pt>
              </c:numCache>
            </c:numRef>
          </c:xVal>
          <c:yVal>
            <c:numRef>
              <c:f>'Concept Database'!$D$36:$H$36</c:f>
              <c:numCache>
                <c:formatCode>General</c:formatCode>
                <c:ptCount val="5"/>
                <c:pt idx="0">
                  <c:v>1.3</c:v>
                </c:pt>
                <c:pt idx="1">
                  <c:v>1.5</c:v>
                </c:pt>
                <c:pt idx="2">
                  <c:v>0.9</c:v>
                </c:pt>
                <c:pt idx="3">
                  <c:v>1.25</c:v>
                </c:pt>
                <c:pt idx="4">
                  <c:v>1.33</c:v>
                </c:pt>
              </c:numCache>
            </c:numRef>
          </c:yVal>
        </c:ser>
        <c:axId val="193664896"/>
        <c:axId val="193666432"/>
      </c:scatterChart>
      <c:valAx>
        <c:axId val="193664896"/>
        <c:scaling>
          <c:orientation val="minMax"/>
        </c:scaling>
        <c:axPos val="b"/>
        <c:majorGridlines/>
        <c:numFmt formatCode="#,##0.0" sourceLinked="0"/>
        <c:tickLblPos val="nextTo"/>
        <c:crossAx val="193666432"/>
        <c:crosses val="autoZero"/>
        <c:crossBetween val="midCat"/>
      </c:valAx>
      <c:valAx>
        <c:axId val="193666432"/>
        <c:scaling>
          <c:orientation val="minMax"/>
        </c:scaling>
        <c:axPos val="l"/>
        <c:majorGridlines/>
        <c:numFmt formatCode="General" sourceLinked="1"/>
        <c:tickLblPos val="nextTo"/>
        <c:crossAx val="193664896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Database'!$D$29:$H$29</c:f>
              <c:numCache>
                <c:formatCode>0.0</c:formatCode>
                <c:ptCount val="5"/>
                <c:pt idx="0">
                  <c:v>350</c:v>
                </c:pt>
                <c:pt idx="1">
                  <c:v>305</c:v>
                </c:pt>
                <c:pt idx="2">
                  <c:v>288</c:v>
                </c:pt>
                <c:pt idx="3">
                  <c:v>410</c:v>
                </c:pt>
                <c:pt idx="4">
                  <c:v>550</c:v>
                </c:pt>
              </c:numCache>
            </c:numRef>
          </c:xVal>
          <c:yVal>
            <c:numRef>
              <c:f>'Concept Database'!$D$33:$H$33</c:f>
              <c:numCache>
                <c:formatCode>0.0</c:formatCode>
                <c:ptCount val="5"/>
                <c:pt idx="0">
                  <c:v>2.2999999999999998</c:v>
                </c:pt>
                <c:pt idx="1">
                  <c:v>3.2</c:v>
                </c:pt>
                <c:pt idx="2">
                  <c:v>4</c:v>
                </c:pt>
                <c:pt idx="3">
                  <c:v>2.8</c:v>
                </c:pt>
                <c:pt idx="4">
                  <c:v>3.5</c:v>
                </c:pt>
              </c:numCache>
            </c:numRef>
          </c:yVal>
        </c:ser>
        <c:axId val="193677568"/>
        <c:axId val="193691648"/>
      </c:scatterChart>
      <c:valAx>
        <c:axId val="193677568"/>
        <c:scaling>
          <c:orientation val="minMax"/>
        </c:scaling>
        <c:axPos val="b"/>
        <c:majorGridlines/>
        <c:numFmt formatCode="0.0" sourceLinked="0"/>
        <c:tickLblPos val="nextTo"/>
        <c:crossAx val="193691648"/>
        <c:crosses val="autoZero"/>
        <c:crossBetween val="midCat"/>
      </c:valAx>
      <c:valAx>
        <c:axId val="193691648"/>
        <c:scaling>
          <c:orientation val="minMax"/>
        </c:scaling>
        <c:axPos val="l"/>
        <c:majorGridlines/>
        <c:numFmt formatCode="0.0" sourceLinked="0"/>
        <c:tickLblPos val="nextTo"/>
        <c:crossAx val="193677568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Database'!$D$32:$H$32</c:f>
              <c:numCache>
                <c:formatCode>0.0</c:formatCode>
                <c:ptCount val="5"/>
                <c:pt idx="0">
                  <c:v>42</c:v>
                </c:pt>
                <c:pt idx="1">
                  <c:v>38</c:v>
                </c:pt>
                <c:pt idx="2">
                  <c:v>40</c:v>
                </c:pt>
                <c:pt idx="3">
                  <c:v>48</c:v>
                </c:pt>
                <c:pt idx="4">
                  <c:v>39</c:v>
                </c:pt>
              </c:numCache>
            </c:numRef>
          </c:xVal>
          <c:yVal>
            <c:numRef>
              <c:f>'Concept Database'!$D$33:$H$33</c:f>
              <c:numCache>
                <c:formatCode>0.0</c:formatCode>
                <c:ptCount val="5"/>
                <c:pt idx="0">
                  <c:v>2.2999999999999998</c:v>
                </c:pt>
                <c:pt idx="1">
                  <c:v>3.2</c:v>
                </c:pt>
                <c:pt idx="2">
                  <c:v>4</c:v>
                </c:pt>
                <c:pt idx="3">
                  <c:v>2.8</c:v>
                </c:pt>
                <c:pt idx="4">
                  <c:v>3.5</c:v>
                </c:pt>
              </c:numCache>
            </c:numRef>
          </c:yVal>
        </c:ser>
        <c:axId val="193714816"/>
        <c:axId val="193720704"/>
      </c:scatterChart>
      <c:valAx>
        <c:axId val="193714816"/>
        <c:scaling>
          <c:orientation val="minMax"/>
        </c:scaling>
        <c:axPos val="b"/>
        <c:majorGridlines/>
        <c:numFmt formatCode="0.0" sourceLinked="0"/>
        <c:tickLblPos val="nextTo"/>
        <c:crossAx val="193720704"/>
        <c:crosses val="autoZero"/>
        <c:crossBetween val="midCat"/>
      </c:valAx>
      <c:valAx>
        <c:axId val="193720704"/>
        <c:scaling>
          <c:orientation val="minMax"/>
        </c:scaling>
        <c:axPos val="l"/>
        <c:majorGridlines/>
        <c:numFmt formatCode="0.0" sourceLinked="0"/>
        <c:tickLblPos val="nextTo"/>
        <c:crossAx val="193714816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'Concept Database'!$D$36:$H$36</c:f>
              <c:numCache>
                <c:formatCode>General</c:formatCode>
                <c:ptCount val="5"/>
                <c:pt idx="0">
                  <c:v>1.3</c:v>
                </c:pt>
                <c:pt idx="1">
                  <c:v>1.5</c:v>
                </c:pt>
                <c:pt idx="2">
                  <c:v>0.9</c:v>
                </c:pt>
                <c:pt idx="3">
                  <c:v>1.25</c:v>
                </c:pt>
                <c:pt idx="4">
                  <c:v>1.33</c:v>
                </c:pt>
              </c:numCache>
            </c:numRef>
          </c:xVal>
          <c:yVal>
            <c:numRef>
              <c:f>'Concept Database'!$D$33:$H$33</c:f>
              <c:numCache>
                <c:formatCode>0.0</c:formatCode>
                <c:ptCount val="5"/>
                <c:pt idx="0">
                  <c:v>2.2999999999999998</c:v>
                </c:pt>
                <c:pt idx="1">
                  <c:v>3.2</c:v>
                </c:pt>
                <c:pt idx="2">
                  <c:v>4</c:v>
                </c:pt>
                <c:pt idx="3">
                  <c:v>2.8</c:v>
                </c:pt>
                <c:pt idx="4">
                  <c:v>3.5</c:v>
                </c:pt>
              </c:numCache>
            </c:numRef>
          </c:yVal>
        </c:ser>
        <c:axId val="193735680"/>
        <c:axId val="193741568"/>
      </c:scatterChart>
      <c:valAx>
        <c:axId val="193735680"/>
        <c:scaling>
          <c:orientation val="minMax"/>
        </c:scaling>
        <c:axPos val="b"/>
        <c:majorGridlines/>
        <c:numFmt formatCode="General" sourceLinked="1"/>
        <c:tickLblPos val="nextTo"/>
        <c:crossAx val="193741568"/>
        <c:crosses val="autoZero"/>
        <c:crossBetween val="midCat"/>
      </c:valAx>
      <c:valAx>
        <c:axId val="193741568"/>
        <c:scaling>
          <c:orientation val="minMax"/>
        </c:scaling>
        <c:axPos val="l"/>
        <c:majorGridlines/>
        <c:numFmt formatCode="0.0" sourceLinked="0"/>
        <c:tickLblPos val="nextTo"/>
        <c:crossAx val="193735680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7" Type="http://schemas.openxmlformats.org/officeDocument/2006/relationships/chart" Target="../charts/chart5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12325</xdr:colOff>
      <xdr:row>0</xdr:row>
      <xdr:rowOff>179294</xdr:rowOff>
    </xdr:from>
    <xdr:to>
      <xdr:col>3</xdr:col>
      <xdr:colOff>103887</xdr:colOff>
      <xdr:row>3</xdr:row>
      <xdr:rowOff>56029</xdr:rowOff>
    </xdr:to>
    <xdr:pic>
      <xdr:nvPicPr>
        <xdr:cNvPr id="5" name="Picture 4" descr="ASDL_logo.emf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60560" y="179294"/>
          <a:ext cx="3587798" cy="1602441"/>
        </a:xfrm>
        <a:prstGeom prst="rect">
          <a:avLst/>
        </a:prstGeom>
        <a:noFill/>
      </xdr:spPr>
    </xdr:pic>
    <xdr:clientData/>
  </xdr:twoCellAnchor>
  <xdr:twoCellAnchor>
    <xdr:from>
      <xdr:col>5</xdr:col>
      <xdr:colOff>9525</xdr:colOff>
      <xdr:row>5</xdr:row>
      <xdr:rowOff>19050</xdr:rowOff>
    </xdr:from>
    <xdr:to>
      <xdr:col>14</xdr:col>
      <xdr:colOff>486833</xdr:colOff>
      <xdr:row>16</xdr:row>
      <xdr:rowOff>190500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231322</xdr:colOff>
      <xdr:row>26</xdr:row>
      <xdr:rowOff>149679</xdr:rowOff>
    </xdr:from>
    <xdr:to>
      <xdr:col>20</xdr:col>
      <xdr:colOff>993323</xdr:colOff>
      <xdr:row>44</xdr:row>
      <xdr:rowOff>94711</xdr:rowOff>
    </xdr:to>
    <xdr:pic>
      <xdr:nvPicPr>
        <xdr:cNvPr id="4" name="Picture 3" descr="AMX-10P.gif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769929" y="6776358"/>
          <a:ext cx="6123215" cy="3566773"/>
        </a:xfrm>
        <a:prstGeom prst="rect">
          <a:avLst/>
        </a:prstGeom>
      </xdr:spPr>
    </xdr:pic>
    <xdr:clientData/>
  </xdr:twoCellAnchor>
  <xdr:twoCellAnchor>
    <xdr:from>
      <xdr:col>23</xdr:col>
      <xdr:colOff>449036</xdr:colOff>
      <xdr:row>4</xdr:row>
      <xdr:rowOff>40821</xdr:rowOff>
    </xdr:from>
    <xdr:to>
      <xdr:col>34</xdr:col>
      <xdr:colOff>114300</xdr:colOff>
      <xdr:row>27</xdr:row>
      <xdr:rowOff>95249</xdr:rowOff>
    </xdr:to>
    <xdr:graphicFrame macro="">
      <xdr:nvGraphicFramePr>
        <xdr:cNvPr id="6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263071</xdr:colOff>
      <xdr:row>28</xdr:row>
      <xdr:rowOff>65010</xdr:rowOff>
    </xdr:from>
    <xdr:to>
      <xdr:col>44</xdr:col>
      <xdr:colOff>540657</xdr:colOff>
      <xdr:row>52</xdr:row>
      <xdr:rowOff>3022</xdr:rowOff>
    </xdr:to>
    <xdr:graphicFrame macro="">
      <xdr:nvGraphicFramePr>
        <xdr:cNvPr id="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435428</xdr:colOff>
      <xdr:row>28</xdr:row>
      <xdr:rowOff>68036</xdr:rowOff>
    </xdr:from>
    <xdr:to>
      <xdr:col>34</xdr:col>
      <xdr:colOff>100692</xdr:colOff>
      <xdr:row>51</xdr:row>
      <xdr:rowOff>149679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284212</xdr:colOff>
      <xdr:row>4</xdr:row>
      <xdr:rowOff>96345</xdr:rowOff>
    </xdr:from>
    <xdr:to>
      <xdr:col>44</xdr:col>
      <xdr:colOff>561798</xdr:colOff>
      <xdr:row>27</xdr:row>
      <xdr:rowOff>103904</xdr:rowOff>
    </xdr:to>
    <xdr:grpSp>
      <xdr:nvGrpSpPr>
        <xdr:cNvPr id="23" name="Group 22"/>
        <xdr:cNvGrpSpPr/>
      </xdr:nvGrpSpPr>
      <xdr:grpSpPr>
        <a:xfrm>
          <a:off x="28160712" y="2033095"/>
          <a:ext cx="6310086" cy="4754184"/>
          <a:chOff x="27314045" y="2011928"/>
          <a:chExt cx="6415920" cy="4590143"/>
        </a:xfrm>
      </xdr:grpSpPr>
      <xdr:grpSp>
        <xdr:nvGrpSpPr>
          <xdr:cNvPr id="12" name="Group 62"/>
          <xdr:cNvGrpSpPr/>
        </xdr:nvGrpSpPr>
        <xdr:grpSpPr>
          <a:xfrm>
            <a:off x="27314045" y="2011928"/>
            <a:ext cx="6415920" cy="4590143"/>
            <a:chOff x="30518946" y="-2856835"/>
            <a:chExt cx="9976791" cy="4305300"/>
          </a:xfrm>
        </xdr:grpSpPr>
        <xdr:graphicFrame macro="">
          <xdr:nvGraphicFramePr>
            <xdr:cNvPr id="17" name="Chart 16"/>
            <xdr:cNvGraphicFramePr/>
          </xdr:nvGraphicFramePr>
          <xdr:xfrm>
            <a:off x="30518946" y="-2856835"/>
            <a:ext cx="9976791" cy="4305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cxnSp macro="">
          <xdr:nvCxnSpPr>
            <xdr:cNvPr id="18" name="Straight Connector 17"/>
            <xdr:cNvCxnSpPr/>
          </xdr:nvCxnSpPr>
          <xdr:spPr>
            <a:xfrm rot="5400000" flipH="1" flipV="1">
              <a:off x="33596610" y="-1049952"/>
              <a:ext cx="3300577" cy="5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" name="Straight Connector 18"/>
            <xdr:cNvCxnSpPr/>
          </xdr:nvCxnSpPr>
          <xdr:spPr>
            <a:xfrm>
              <a:off x="31834600" y="-1073493"/>
              <a:ext cx="6474954" cy="24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3" name="TextBox 12"/>
          <xdr:cNvSpPr txBox="1"/>
        </xdr:nvSpPr>
        <xdr:spPr>
          <a:xfrm>
            <a:off x="28239236" y="2204560"/>
            <a:ext cx="1857802" cy="362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/>
              <a:t>High Performance, Low Cost</a:t>
            </a:r>
          </a:p>
        </xdr:txBody>
      </xdr:sp>
      <xdr:sp macro="" textlink="">
        <xdr:nvSpPr>
          <xdr:cNvPr id="14" name="TextBox 13"/>
          <xdr:cNvSpPr txBox="1"/>
        </xdr:nvSpPr>
        <xdr:spPr>
          <a:xfrm>
            <a:off x="30530025" y="2197536"/>
            <a:ext cx="1690453" cy="369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/>
              <a:t>High Performance, High Cost</a:t>
            </a:r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28305516" y="5349182"/>
            <a:ext cx="1795581" cy="310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/>
              <a:t>Low Performance, Low Cost</a:t>
            </a:r>
          </a:p>
        </xdr:txBody>
      </xdr:sp>
      <xdr:sp macro="" textlink="">
        <xdr:nvSpPr>
          <xdr:cNvPr id="16" name="TextBox 15"/>
          <xdr:cNvSpPr txBox="1"/>
        </xdr:nvSpPr>
        <xdr:spPr>
          <a:xfrm>
            <a:off x="30378778" y="5365265"/>
            <a:ext cx="1988709" cy="3808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/>
              <a:t>Low Performance, High</a:t>
            </a:r>
            <a:r>
              <a:rPr lang="en-US" sz="1600" baseline="0"/>
              <a:t> </a:t>
            </a:r>
            <a:r>
              <a:rPr lang="en-US" sz="1600"/>
              <a:t>Cost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23813</xdr:colOff>
      <xdr:row>2</xdr:row>
      <xdr:rowOff>154779</xdr:rowOff>
    </xdr:from>
    <xdr:to>
      <xdr:col>4</xdr:col>
      <xdr:colOff>1362756</xdr:colOff>
      <xdr:row>17</xdr:row>
      <xdr:rowOff>131919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47625</xdr:colOff>
      <xdr:row>18</xdr:row>
      <xdr:rowOff>178593</xdr:rowOff>
    </xdr:from>
    <xdr:to>
      <xdr:col>4</xdr:col>
      <xdr:colOff>1386568</xdr:colOff>
      <xdr:row>33</xdr:row>
      <xdr:rowOff>155733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59532</xdr:colOff>
      <xdr:row>34</xdr:row>
      <xdr:rowOff>166686</xdr:rowOff>
    </xdr:from>
    <xdr:to>
      <xdr:col>5</xdr:col>
      <xdr:colOff>10546</xdr:colOff>
      <xdr:row>49</xdr:row>
      <xdr:rowOff>143826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285749</xdr:colOff>
      <xdr:row>2</xdr:row>
      <xdr:rowOff>136071</xdr:rowOff>
    </xdr:from>
    <xdr:to>
      <xdr:col>8</xdr:col>
      <xdr:colOff>1311728</xdr:colOff>
      <xdr:row>17</xdr:row>
      <xdr:rowOff>113211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282347</xdr:colOff>
      <xdr:row>18</xdr:row>
      <xdr:rowOff>173492</xdr:rowOff>
    </xdr:from>
    <xdr:to>
      <xdr:col>8</xdr:col>
      <xdr:colOff>1308326</xdr:colOff>
      <xdr:row>33</xdr:row>
      <xdr:rowOff>150632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294254</xdr:colOff>
      <xdr:row>34</xdr:row>
      <xdr:rowOff>175191</xdr:rowOff>
    </xdr:from>
    <xdr:to>
      <xdr:col>8</xdr:col>
      <xdr:colOff>1320233</xdr:colOff>
      <xdr:row>49</xdr:row>
      <xdr:rowOff>152331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2</xdr:row>
      <xdr:rowOff>190499</xdr:rowOff>
    </xdr:from>
    <xdr:to>
      <xdr:col>12</xdr:col>
      <xdr:colOff>1338943</xdr:colOff>
      <xdr:row>17</xdr:row>
      <xdr:rowOff>167639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295954</xdr:colOff>
      <xdr:row>18</xdr:row>
      <xdr:rowOff>173491</xdr:rowOff>
    </xdr:from>
    <xdr:to>
      <xdr:col>12</xdr:col>
      <xdr:colOff>1321933</xdr:colOff>
      <xdr:row>33</xdr:row>
      <xdr:rowOff>150631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307862</xdr:colOff>
      <xdr:row>34</xdr:row>
      <xdr:rowOff>147977</xdr:rowOff>
    </xdr:from>
    <xdr:to>
      <xdr:col>12</xdr:col>
      <xdr:colOff>1333841</xdr:colOff>
      <xdr:row>49</xdr:row>
      <xdr:rowOff>125117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AT61"/>
  <sheetViews>
    <sheetView tabSelected="1" zoomScale="60" zoomScaleNormal="60" workbookViewId="0">
      <selection activeCell="D2" sqref="D2"/>
    </sheetView>
  </sheetViews>
  <sheetFormatPr defaultRowHeight="15"/>
  <cols>
    <col min="1" max="1" width="6.7109375" style="1" customWidth="1"/>
    <col min="2" max="2" width="30.85546875" style="4" bestFit="1" customWidth="1"/>
    <col min="3" max="3" width="21.5703125" style="1" customWidth="1"/>
    <col min="4" max="4" width="6.140625" style="1" customWidth="1"/>
    <col min="5" max="5" width="5.85546875" style="1" customWidth="1"/>
    <col min="6" max="6" width="33.140625" style="1" customWidth="1"/>
    <col min="7" max="7" width="21.7109375" style="1" customWidth="1"/>
    <col min="8" max="8" width="8.42578125" style="1" bestFit="1" customWidth="1"/>
    <col min="9" max="9" width="6.140625" style="1" customWidth="1"/>
    <col min="10" max="10" width="6.28515625" style="1" customWidth="1"/>
    <col min="11" max="11" width="7.85546875" style="1" bestFit="1" customWidth="1"/>
    <col min="12" max="13" width="9.140625" style="1" bestFit="1" customWidth="1"/>
    <col min="14" max="15" width="7.85546875" style="1" bestFit="1" customWidth="1"/>
    <col min="16" max="16" width="6.7109375" style="1" customWidth="1"/>
    <col min="17" max="17" width="24.7109375" style="1" bestFit="1" customWidth="1"/>
    <col min="18" max="22" width="18.5703125" style="1" bestFit="1" customWidth="1"/>
    <col min="23" max="23" width="9.140625" style="1"/>
    <col min="24" max="24" width="5.7109375" style="1" customWidth="1"/>
    <col min="25" max="45" width="9.140625" style="1"/>
    <col min="46" max="46" width="5.7109375" style="1" customWidth="1"/>
    <col min="47" max="16384" width="9.140625" style="1"/>
  </cols>
  <sheetData>
    <row r="2" spans="2:46" ht="105">
      <c r="C2" s="2"/>
      <c r="D2" s="2"/>
      <c r="E2" s="3"/>
      <c r="F2" s="3" t="s">
        <v>4</v>
      </c>
      <c r="G2" s="3"/>
    </row>
    <row r="3" spans="2:46" ht="15.95" customHeight="1"/>
    <row r="4" spans="2:46" ht="15.95" customHeight="1" thickBot="1">
      <c r="X4" s="294"/>
      <c r="Y4" s="294"/>
      <c r="Z4" s="294"/>
      <c r="AA4" s="294"/>
      <c r="AB4" s="294"/>
      <c r="AC4" s="294"/>
      <c r="AD4" s="294"/>
      <c r="AE4" s="294"/>
      <c r="AF4" s="294"/>
      <c r="AG4" s="294"/>
      <c r="AH4" s="294"/>
      <c r="AI4" s="294"/>
      <c r="AJ4" s="294"/>
      <c r="AK4" s="294"/>
      <c r="AL4" s="294"/>
      <c r="AM4" s="294"/>
      <c r="AN4" s="294"/>
      <c r="AO4" s="294"/>
      <c r="AP4" s="294"/>
      <c r="AQ4" s="294"/>
      <c r="AR4" s="294"/>
      <c r="AS4" s="294"/>
      <c r="AT4" s="294"/>
    </row>
    <row r="5" spans="2:46" ht="15.95" customHeight="1">
      <c r="F5" s="352" t="s">
        <v>5</v>
      </c>
      <c r="G5" s="353"/>
      <c r="H5" s="353"/>
      <c r="I5" s="353"/>
      <c r="J5" s="353"/>
      <c r="K5" s="353"/>
      <c r="L5" s="353"/>
      <c r="M5" s="353"/>
      <c r="N5" s="353"/>
      <c r="O5" s="365"/>
      <c r="Q5" s="363" t="s">
        <v>258</v>
      </c>
      <c r="R5" s="364"/>
      <c r="S5" s="364"/>
      <c r="T5" s="364"/>
      <c r="U5" s="364"/>
      <c r="V5" s="364"/>
      <c r="X5" s="294"/>
      <c r="Y5" s="294"/>
      <c r="Z5" s="294"/>
      <c r="AA5" s="294"/>
      <c r="AB5" s="294"/>
      <c r="AC5" s="294"/>
      <c r="AD5" s="294"/>
      <c r="AE5" s="294"/>
      <c r="AF5" s="294"/>
      <c r="AG5" s="294"/>
      <c r="AH5" s="294"/>
      <c r="AI5" s="294"/>
      <c r="AJ5" s="294"/>
      <c r="AK5" s="294"/>
      <c r="AL5" s="294"/>
      <c r="AM5" s="294"/>
      <c r="AN5" s="294"/>
      <c r="AO5" s="294"/>
      <c r="AP5" s="294"/>
      <c r="AQ5" s="294"/>
      <c r="AR5" s="294"/>
      <c r="AS5" s="294"/>
      <c r="AT5" s="294"/>
    </row>
    <row r="6" spans="2:46" ht="15.95" customHeight="1" thickBot="1">
      <c r="E6" s="21"/>
      <c r="F6" s="30"/>
      <c r="G6" s="21"/>
      <c r="H6" s="21"/>
      <c r="I6" s="21"/>
      <c r="J6" s="21"/>
      <c r="K6" s="21"/>
      <c r="L6" s="21"/>
      <c r="M6" s="21"/>
      <c r="N6" s="21"/>
      <c r="O6" s="31"/>
      <c r="Q6" s="359" t="s">
        <v>111</v>
      </c>
      <c r="R6" s="361" t="s">
        <v>218</v>
      </c>
      <c r="S6" s="361"/>
      <c r="T6" s="361"/>
      <c r="U6" s="361"/>
      <c r="V6" s="362"/>
      <c r="X6" s="294"/>
      <c r="Y6" s="294"/>
      <c r="Z6" s="294"/>
      <c r="AA6" s="294"/>
      <c r="AB6" s="294"/>
      <c r="AC6" s="294"/>
      <c r="AD6" s="294"/>
      <c r="AE6" s="294"/>
      <c r="AF6" s="294"/>
      <c r="AG6" s="294"/>
      <c r="AH6" s="294"/>
      <c r="AI6" s="294"/>
      <c r="AJ6" s="294"/>
      <c r="AK6" s="294"/>
      <c r="AL6" s="294"/>
      <c r="AM6" s="294"/>
      <c r="AN6" s="294"/>
      <c r="AO6" s="294"/>
      <c r="AP6" s="294"/>
      <c r="AQ6" s="294"/>
      <c r="AR6" s="294"/>
      <c r="AS6" s="294"/>
      <c r="AT6" s="294"/>
    </row>
    <row r="7" spans="2:46" ht="15.95" customHeight="1" thickBot="1">
      <c r="B7" s="352" t="s">
        <v>5</v>
      </c>
      <c r="C7" s="353"/>
      <c r="D7" s="353"/>
      <c r="E7" s="21"/>
      <c r="F7" s="30"/>
      <c r="G7" s="21"/>
      <c r="H7" s="21"/>
      <c r="I7" s="21"/>
      <c r="J7" s="21"/>
      <c r="K7" s="21"/>
      <c r="L7" s="21"/>
      <c r="M7" s="21"/>
      <c r="N7" s="21"/>
      <c r="O7" s="31"/>
      <c r="Q7" s="360"/>
      <c r="R7" s="22">
        <v>1</v>
      </c>
      <c r="S7" s="22">
        <v>2</v>
      </c>
      <c r="T7" s="22">
        <v>3</v>
      </c>
      <c r="U7" s="22">
        <v>4</v>
      </c>
      <c r="V7" s="35">
        <v>5</v>
      </c>
      <c r="X7" s="294"/>
      <c r="Y7" s="294"/>
      <c r="Z7" s="294"/>
      <c r="AA7" s="294"/>
      <c r="AB7" s="294"/>
      <c r="AC7" s="294"/>
      <c r="AD7" s="294"/>
      <c r="AE7" s="294"/>
      <c r="AF7" s="294"/>
      <c r="AG7" s="294"/>
      <c r="AH7" s="294"/>
      <c r="AI7" s="294"/>
      <c r="AJ7" s="294"/>
      <c r="AK7" s="294"/>
      <c r="AL7" s="294"/>
      <c r="AM7" s="294"/>
      <c r="AN7" s="294"/>
      <c r="AO7" s="294"/>
      <c r="AP7" s="294"/>
      <c r="AQ7" s="294"/>
      <c r="AR7" s="294"/>
      <c r="AS7" s="294"/>
      <c r="AT7" s="294"/>
    </row>
    <row r="8" spans="2:46" ht="15.95" customHeight="1">
      <c r="B8" s="316" t="s">
        <v>0</v>
      </c>
      <c r="C8" s="317"/>
      <c r="D8" s="318">
        <v>20</v>
      </c>
      <c r="E8" s="21"/>
      <c r="F8" s="30"/>
      <c r="G8" s="21"/>
      <c r="H8" s="21"/>
      <c r="I8" s="21"/>
      <c r="J8" s="21"/>
      <c r="K8" s="21"/>
      <c r="L8" s="21"/>
      <c r="M8" s="21"/>
      <c r="N8" s="21"/>
      <c r="O8" s="31"/>
      <c r="Q8" s="25" t="s">
        <v>37</v>
      </c>
      <c r="R8" s="24"/>
      <c r="S8" s="24"/>
      <c r="T8" s="24"/>
      <c r="U8" s="24"/>
      <c r="V8" s="24"/>
      <c r="X8" s="294"/>
      <c r="Y8" s="294"/>
      <c r="Z8" s="294"/>
      <c r="AA8" s="294"/>
      <c r="AB8" s="294"/>
      <c r="AC8" s="294"/>
      <c r="AD8" s="294"/>
      <c r="AE8" s="294"/>
      <c r="AF8" s="294"/>
      <c r="AG8" s="294"/>
      <c r="AH8" s="294"/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</row>
    <row r="9" spans="2:46" ht="15.95" customHeight="1">
      <c r="B9" s="27" t="s">
        <v>1</v>
      </c>
      <c r="C9" s="5"/>
      <c r="D9" s="315">
        <v>20</v>
      </c>
      <c r="E9" s="21"/>
      <c r="F9" s="30"/>
      <c r="G9" s="21"/>
      <c r="H9" s="21"/>
      <c r="I9" s="21"/>
      <c r="J9" s="21"/>
      <c r="K9" s="21"/>
      <c r="L9" s="21"/>
      <c r="M9" s="21"/>
      <c r="N9" s="21"/>
      <c r="O9" s="31"/>
      <c r="Q9" s="25"/>
      <c r="R9" s="24"/>
      <c r="S9" s="24"/>
      <c r="T9" s="24"/>
      <c r="U9" s="24"/>
      <c r="V9" s="24"/>
      <c r="X9" s="294"/>
      <c r="Y9" s="294"/>
      <c r="Z9" s="294"/>
      <c r="AA9" s="294"/>
      <c r="AB9" s="294"/>
      <c r="AC9" s="294"/>
      <c r="AD9" s="294"/>
      <c r="AE9" s="294"/>
      <c r="AF9" s="294"/>
      <c r="AG9" s="294"/>
      <c r="AH9" s="294"/>
      <c r="AI9" s="294"/>
      <c r="AJ9" s="294"/>
      <c r="AK9" s="294"/>
      <c r="AL9" s="294"/>
      <c r="AM9" s="294"/>
      <c r="AN9" s="294"/>
      <c r="AO9" s="294"/>
      <c r="AP9" s="294"/>
      <c r="AQ9" s="294"/>
      <c r="AR9" s="294"/>
      <c r="AS9" s="294"/>
      <c r="AT9" s="294"/>
    </row>
    <row r="10" spans="2:46" ht="15.95" customHeight="1">
      <c r="B10" s="27" t="s">
        <v>2</v>
      </c>
      <c r="C10" s="5"/>
      <c r="D10" s="315">
        <v>20</v>
      </c>
      <c r="E10" s="21"/>
      <c r="F10" s="30"/>
      <c r="G10" s="21"/>
      <c r="H10" s="21"/>
      <c r="I10" s="21"/>
      <c r="J10" s="21"/>
      <c r="K10" s="21"/>
      <c r="L10" s="21"/>
      <c r="M10" s="21"/>
      <c r="N10" s="21"/>
      <c r="O10" s="31"/>
      <c r="Q10" s="26" t="s">
        <v>6</v>
      </c>
      <c r="R10" s="24" t="str">
        <f>'Concept Database'!D4</f>
        <v>Composite/Bonded</v>
      </c>
      <c r="S10" s="24" t="str">
        <f>'Concept Database'!E4</f>
        <v>Steel/Welded</v>
      </c>
      <c r="T10" s="24" t="str">
        <f>'Concept Database'!F4</f>
        <v>Composite/Bonded</v>
      </c>
      <c r="U10" s="24" t="str">
        <f>'Concept Database'!G4</f>
        <v>Composite/Bonded</v>
      </c>
      <c r="V10" s="24" t="str">
        <f>'Concept Database'!H4</f>
        <v>Steel/Welded</v>
      </c>
      <c r="X10" s="294"/>
      <c r="Y10" s="294"/>
      <c r="Z10" s="294"/>
      <c r="AA10" s="294"/>
      <c r="AB10" s="294"/>
      <c r="AC10" s="294"/>
      <c r="AD10" s="294"/>
      <c r="AE10" s="294"/>
      <c r="AF10" s="294"/>
      <c r="AG10" s="294"/>
      <c r="AH10" s="294"/>
      <c r="AI10" s="294"/>
      <c r="AJ10" s="294"/>
      <c r="AK10" s="294"/>
      <c r="AL10" s="294"/>
      <c r="AM10" s="294"/>
      <c r="AN10" s="294"/>
      <c r="AO10" s="294"/>
      <c r="AP10" s="294"/>
      <c r="AQ10" s="294"/>
      <c r="AR10" s="294"/>
      <c r="AS10" s="294"/>
      <c r="AT10" s="294"/>
    </row>
    <row r="11" spans="2:46" ht="15.95" customHeight="1">
      <c r="B11" s="330" t="s">
        <v>77</v>
      </c>
      <c r="C11" s="5"/>
      <c r="D11" s="315">
        <v>20</v>
      </c>
      <c r="E11" s="21"/>
      <c r="F11" s="30"/>
      <c r="G11" s="21"/>
      <c r="H11" s="21"/>
      <c r="I11" s="21"/>
      <c r="J11" s="21"/>
      <c r="K11" s="21"/>
      <c r="L11" s="21"/>
      <c r="M11" s="21"/>
      <c r="N11" s="21"/>
      <c r="O11" s="31"/>
      <c r="Q11" s="25" t="s">
        <v>31</v>
      </c>
      <c r="R11" s="24"/>
      <c r="S11" s="24"/>
      <c r="T11" s="24"/>
      <c r="U11" s="24"/>
      <c r="V11" s="24"/>
      <c r="X11" s="294"/>
      <c r="Y11" s="294"/>
      <c r="Z11" s="294"/>
      <c r="AA11" s="294"/>
      <c r="AB11" s="294"/>
      <c r="AC11" s="294"/>
      <c r="AD11" s="294"/>
      <c r="AE11" s="294"/>
      <c r="AF11" s="294"/>
      <c r="AG11" s="294"/>
      <c r="AH11" s="294"/>
      <c r="AI11" s="294"/>
      <c r="AJ11" s="294"/>
      <c r="AK11" s="294"/>
      <c r="AL11" s="294"/>
      <c r="AM11" s="294"/>
      <c r="AN11" s="294"/>
      <c r="AO11" s="294"/>
      <c r="AP11" s="294"/>
      <c r="AQ11" s="294"/>
      <c r="AR11" s="294"/>
      <c r="AS11" s="294"/>
      <c r="AT11" s="294"/>
    </row>
    <row r="12" spans="2:46" ht="15.95" customHeight="1" thickBot="1">
      <c r="B12" s="28" t="s">
        <v>3</v>
      </c>
      <c r="C12" s="29"/>
      <c r="D12" s="319">
        <v>20</v>
      </c>
      <c r="E12" s="21"/>
      <c r="F12" s="30"/>
      <c r="G12" s="21"/>
      <c r="H12" s="21"/>
      <c r="I12" s="21"/>
      <c r="J12" s="21"/>
      <c r="K12" s="21"/>
      <c r="L12" s="21"/>
      <c r="M12" s="21"/>
      <c r="N12" s="21"/>
      <c r="O12" s="31"/>
      <c r="Q12" s="26" t="s">
        <v>35</v>
      </c>
      <c r="R12" s="24" t="str">
        <f>'Concept Database'!D6</f>
        <v>Machine Gun</v>
      </c>
      <c r="S12" s="24" t="str">
        <f>'Concept Database'!E6</f>
        <v>None</v>
      </c>
      <c r="T12" s="24" t="str">
        <f>'Concept Database'!F6</f>
        <v>Anti-Tank</v>
      </c>
      <c r="U12" s="24" t="str">
        <f>'Concept Database'!G6</f>
        <v>Machine Gun</v>
      </c>
      <c r="V12" s="24" t="str">
        <f>'Concept Database'!H6</f>
        <v>Cannon</v>
      </c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</row>
    <row r="13" spans="2:46" ht="15.95" customHeight="1">
      <c r="E13" s="21"/>
      <c r="F13" s="30"/>
      <c r="G13" s="21"/>
      <c r="H13" s="21"/>
      <c r="I13" s="21"/>
      <c r="J13" s="21"/>
      <c r="K13" s="21"/>
      <c r="L13" s="21"/>
      <c r="M13" s="21"/>
      <c r="N13" s="21"/>
      <c r="O13" s="31"/>
      <c r="Q13" s="25" t="s">
        <v>30</v>
      </c>
      <c r="R13" s="24"/>
      <c r="S13" s="24"/>
      <c r="T13" s="24"/>
      <c r="U13" s="24"/>
      <c r="V13" s="24"/>
      <c r="X13" s="294"/>
      <c r="Y13" s="294"/>
      <c r="Z13" s="294"/>
      <c r="AA13" s="294"/>
      <c r="AB13" s="294"/>
      <c r="AC13" s="294"/>
      <c r="AD13" s="294"/>
      <c r="AE13" s="294"/>
      <c r="AF13" s="294"/>
      <c r="AG13" s="294"/>
      <c r="AH13" s="294"/>
      <c r="AI13" s="294"/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</row>
    <row r="14" spans="2:46" ht="15.95" customHeight="1">
      <c r="B14" s="351" t="s">
        <v>291</v>
      </c>
      <c r="C14" s="351"/>
      <c r="D14" s="351"/>
      <c r="E14" s="21"/>
      <c r="F14" s="30"/>
      <c r="G14" s="21"/>
      <c r="H14" s="21"/>
      <c r="I14" s="21"/>
      <c r="J14" s="21"/>
      <c r="K14" s="21"/>
      <c r="L14" s="21"/>
      <c r="M14" s="21"/>
      <c r="N14" s="21"/>
      <c r="O14" s="31"/>
      <c r="Q14" s="26" t="s">
        <v>23</v>
      </c>
      <c r="R14" s="24" t="str">
        <f>'Concept Database'!D8</f>
        <v>Tracked</v>
      </c>
      <c r="S14" s="24" t="str">
        <f>'Concept Database'!E8</f>
        <v>Wheeled</v>
      </c>
      <c r="T14" s="24" t="str">
        <f>'Concept Database'!F8</f>
        <v>Wheeled</v>
      </c>
      <c r="U14" s="24" t="str">
        <f>'Concept Database'!G8</f>
        <v>Tracked</v>
      </c>
      <c r="V14" s="24" t="str">
        <f>'Concept Database'!H8</f>
        <v>Tracked</v>
      </c>
      <c r="X14" s="294"/>
      <c r="Y14" s="294"/>
      <c r="Z14" s="294"/>
      <c r="AA14" s="294"/>
      <c r="AB14" s="294"/>
      <c r="AC14" s="294"/>
      <c r="AD14" s="294"/>
      <c r="AE14" s="294"/>
      <c r="AF14" s="294"/>
      <c r="AG14" s="294"/>
      <c r="AH14" s="294"/>
      <c r="AI14" s="294"/>
      <c r="AJ14" s="294"/>
      <c r="AK14" s="294"/>
      <c r="AL14" s="294"/>
      <c r="AM14" s="294"/>
      <c r="AN14" s="294"/>
      <c r="AO14" s="294"/>
      <c r="AP14" s="294"/>
      <c r="AQ14" s="294"/>
      <c r="AR14" s="294"/>
      <c r="AS14" s="294"/>
      <c r="AT14" s="294"/>
    </row>
    <row r="15" spans="2:46" ht="15.95" customHeight="1">
      <c r="B15" s="298" t="s">
        <v>113</v>
      </c>
      <c r="C15" s="349" t="s">
        <v>257</v>
      </c>
      <c r="D15" s="350">
        <v>51</v>
      </c>
      <c r="F15" s="30"/>
      <c r="G15" s="30"/>
      <c r="H15" s="30"/>
      <c r="I15" s="21"/>
      <c r="J15" s="21"/>
      <c r="K15" s="21"/>
      <c r="L15" s="21"/>
      <c r="M15" s="21"/>
      <c r="N15" s="21"/>
      <c r="O15" s="31"/>
      <c r="Q15" s="26" t="s">
        <v>9</v>
      </c>
      <c r="R15" s="24" t="str">
        <f>'Concept Database'!D9</f>
        <v>Diesel</v>
      </c>
      <c r="S15" s="24" t="str">
        <f>'Concept Database'!E9</f>
        <v>Diesel</v>
      </c>
      <c r="T15" s="24" t="str">
        <f>'Concept Database'!F9</f>
        <v>Turbo Diesel</v>
      </c>
      <c r="U15" s="24" t="str">
        <f>'Concept Database'!G9</f>
        <v>Gas Turbine</v>
      </c>
      <c r="V15" s="24" t="str">
        <f>'Concept Database'!H9</f>
        <v>Turbo Diesel</v>
      </c>
      <c r="X15" s="294"/>
      <c r="Y15" s="294"/>
      <c r="Z15" s="294"/>
      <c r="AA15" s="294"/>
      <c r="AB15" s="294"/>
      <c r="AC15" s="294"/>
      <c r="AD15" s="294"/>
      <c r="AE15" s="294"/>
      <c r="AF15" s="294"/>
      <c r="AG15" s="294"/>
      <c r="AH15" s="294"/>
      <c r="AI15" s="294"/>
      <c r="AJ15" s="294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</row>
    <row r="16" spans="2:46" ht="15.95" customHeight="1">
      <c r="B16" s="23" t="s">
        <v>262</v>
      </c>
      <c r="C16" s="310"/>
      <c r="D16" s="313"/>
      <c r="F16" s="30"/>
      <c r="G16" s="30"/>
      <c r="H16" s="30"/>
      <c r="I16" s="21"/>
      <c r="J16" s="21"/>
      <c r="K16" s="21"/>
      <c r="L16" s="21"/>
      <c r="M16" s="21"/>
      <c r="N16" s="21"/>
      <c r="O16" s="31"/>
      <c r="Q16" s="26" t="s">
        <v>13</v>
      </c>
      <c r="R16" s="24" t="str">
        <f>'Concept Database'!D10</f>
        <v>Allison DDA</v>
      </c>
      <c r="S16" s="24" t="str">
        <f>'Concept Database'!E10</f>
        <v>Allison DDA</v>
      </c>
      <c r="T16" s="24" t="str">
        <f>'Concept Database'!F10</f>
        <v>Allison DDA</v>
      </c>
      <c r="U16" s="24" t="str">
        <f>'Concept Database'!G10</f>
        <v>Allison DDA</v>
      </c>
      <c r="V16" s="24" t="str">
        <f>'Concept Database'!H10</f>
        <v>Allison DDA</v>
      </c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</row>
    <row r="17" spans="2:46" ht="15.95" customHeight="1" thickBot="1">
      <c r="B17" s="297" t="s">
        <v>265</v>
      </c>
      <c r="C17" s="312"/>
      <c r="D17" s="314">
        <v>50</v>
      </c>
      <c r="F17" s="32"/>
      <c r="G17" s="32"/>
      <c r="H17" s="32"/>
      <c r="I17" s="33"/>
      <c r="J17" s="33"/>
      <c r="K17" s="33"/>
      <c r="L17" s="33"/>
      <c r="M17" s="33"/>
      <c r="N17" s="33"/>
      <c r="O17" s="34"/>
      <c r="Q17" s="26" t="s">
        <v>14</v>
      </c>
      <c r="R17" s="24" t="str">
        <f>'Concept Database'!D11</f>
        <v>Lithium Ion</v>
      </c>
      <c r="S17" s="24" t="str">
        <f>'Concept Database'!E11</f>
        <v>Lead Acid</v>
      </c>
      <c r="T17" s="24" t="str">
        <f>'Concept Database'!F11</f>
        <v>Lithium Ion</v>
      </c>
      <c r="U17" s="24" t="str">
        <f>'Concept Database'!G11</f>
        <v>Lithium Ion</v>
      </c>
      <c r="V17" s="24" t="str">
        <f>'Concept Database'!H11</f>
        <v>Lead Acid</v>
      </c>
      <c r="X17" s="294"/>
      <c r="Y17" s="294"/>
      <c r="Z17" s="294"/>
      <c r="AA17" s="294"/>
      <c r="AB17" s="294"/>
      <c r="AC17" s="294"/>
      <c r="AD17" s="294"/>
      <c r="AE17" s="294"/>
      <c r="AF17" s="294"/>
      <c r="AG17" s="294"/>
      <c r="AH17" s="294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4"/>
    </row>
    <row r="18" spans="2:46" ht="15.95" customHeight="1" thickBot="1">
      <c r="B18" s="297" t="s">
        <v>264</v>
      </c>
      <c r="C18" s="312"/>
      <c r="D18" s="314">
        <v>50</v>
      </c>
      <c r="Q18" s="25" t="s">
        <v>18</v>
      </c>
      <c r="R18" s="24"/>
      <c r="S18" s="24"/>
      <c r="T18" s="24"/>
      <c r="U18" s="24"/>
      <c r="V18" s="24"/>
      <c r="X18" s="294"/>
      <c r="Y18" s="294"/>
      <c r="Z18" s="294"/>
      <c r="AA18" s="294"/>
      <c r="AB18" s="294"/>
      <c r="AC18" s="294"/>
      <c r="AD18" s="294"/>
      <c r="AE18" s="294"/>
      <c r="AF18" s="294"/>
      <c r="AG18" s="294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</row>
    <row r="19" spans="2:46" ht="15.95" customHeight="1">
      <c r="B19" s="23" t="s">
        <v>261</v>
      </c>
      <c r="C19" s="310"/>
      <c r="D19" s="313">
        <v>50</v>
      </c>
      <c r="F19" s="352" t="s">
        <v>292</v>
      </c>
      <c r="G19" s="353"/>
      <c r="H19" s="353"/>
      <c r="I19" s="353"/>
      <c r="J19" s="353"/>
      <c r="K19" s="353"/>
      <c r="L19" s="353"/>
      <c r="M19" s="353"/>
      <c r="N19" s="353"/>
      <c r="O19" s="365"/>
      <c r="Q19" s="26" t="s">
        <v>34</v>
      </c>
      <c r="R19" s="24" t="str">
        <f>'Concept Database'!D13</f>
        <v>Torsion bar</v>
      </c>
      <c r="S19" s="24" t="str">
        <f>'Concept Database'!E13</f>
        <v>Hydropneumatic</v>
      </c>
      <c r="T19" s="24" t="str">
        <f>'Concept Database'!F13</f>
        <v>Torsion bar</v>
      </c>
      <c r="U19" s="24" t="str">
        <f>'Concept Database'!G13</f>
        <v>Hydropneumatic</v>
      </c>
      <c r="V19" s="24" t="str">
        <f>'Concept Database'!H13</f>
        <v>Torsion bar</v>
      </c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  <c r="AI19" s="294"/>
      <c r="AJ19" s="294"/>
      <c r="AK19" s="294"/>
      <c r="AL19" s="294"/>
      <c r="AM19" s="294"/>
      <c r="AN19" s="294"/>
      <c r="AO19" s="294"/>
      <c r="AP19" s="294"/>
      <c r="AQ19" s="294"/>
      <c r="AR19" s="294"/>
      <c r="AS19" s="294"/>
      <c r="AT19" s="294"/>
    </row>
    <row r="20" spans="2:46" ht="15.95" customHeight="1">
      <c r="B20" s="23" t="s">
        <v>0</v>
      </c>
      <c r="C20" s="310"/>
      <c r="D20" s="313"/>
      <c r="F20" s="359" t="s">
        <v>113</v>
      </c>
      <c r="G20" s="368" t="s">
        <v>110</v>
      </c>
      <c r="H20" s="369"/>
      <c r="I20" s="354" t="s">
        <v>217</v>
      </c>
      <c r="J20" s="295"/>
      <c r="K20" s="354" t="s">
        <v>218</v>
      </c>
      <c r="L20" s="354"/>
      <c r="M20" s="354"/>
      <c r="N20" s="354"/>
      <c r="O20" s="366"/>
      <c r="Q20" s="25" t="s">
        <v>1</v>
      </c>
      <c r="R20" s="24"/>
      <c r="S20" s="24"/>
      <c r="T20" s="24"/>
      <c r="U20" s="24"/>
      <c r="V20" s="24"/>
      <c r="X20" s="294"/>
      <c r="Y20" s="294"/>
      <c r="Z20" s="294"/>
      <c r="AA20" s="294"/>
      <c r="AB20" s="294"/>
      <c r="AC20" s="294"/>
      <c r="AD20" s="294"/>
      <c r="AE20" s="294"/>
      <c r="AF20" s="294"/>
      <c r="AG20" s="294"/>
      <c r="AH20" s="294"/>
      <c r="AI20" s="294"/>
      <c r="AJ20" s="294"/>
      <c r="AK20" s="294"/>
      <c r="AL20" s="294"/>
      <c r="AM20" s="294"/>
      <c r="AN20" s="294"/>
      <c r="AO20" s="294"/>
      <c r="AP20" s="294"/>
      <c r="AQ20" s="294"/>
      <c r="AR20" s="294"/>
      <c r="AS20" s="294"/>
      <c r="AT20" s="294"/>
    </row>
    <row r="21" spans="2:46" ht="15.95" customHeight="1">
      <c r="B21" s="297" t="s">
        <v>237</v>
      </c>
      <c r="C21" s="312"/>
      <c r="D21" s="314">
        <v>50</v>
      </c>
      <c r="F21" s="367"/>
      <c r="G21" s="355"/>
      <c r="H21" s="370"/>
      <c r="I21" s="355"/>
      <c r="J21" s="309" t="s">
        <v>233</v>
      </c>
      <c r="K21" s="328">
        <v>1</v>
      </c>
      <c r="L21" s="326">
        <v>2</v>
      </c>
      <c r="M21" s="326">
        <v>3</v>
      </c>
      <c r="N21" s="326">
        <v>4</v>
      </c>
      <c r="O21" s="326">
        <v>5</v>
      </c>
      <c r="Q21" s="26" t="s">
        <v>27</v>
      </c>
      <c r="R21" s="24" t="str">
        <f>'Concept Database'!D15</f>
        <v>Steel</v>
      </c>
      <c r="S21" s="24" t="str">
        <f>'Concept Database'!E15</f>
        <v>Steel</v>
      </c>
      <c r="T21" s="24" t="str">
        <f>'Concept Database'!F15</f>
        <v>Composite</v>
      </c>
      <c r="U21" s="24" t="str">
        <f>'Concept Database'!G15</f>
        <v>Composite</v>
      </c>
      <c r="V21" s="24" t="str">
        <f>'Concept Database'!H15</f>
        <v>Steel</v>
      </c>
      <c r="X21" s="294"/>
      <c r="Y21" s="294"/>
      <c r="Z21" s="294"/>
      <c r="AA21" s="294"/>
      <c r="AB21" s="294"/>
      <c r="AC21" s="294"/>
      <c r="AD21" s="294"/>
      <c r="AE21" s="294"/>
      <c r="AF21" s="294"/>
      <c r="AG21" s="294"/>
      <c r="AH21" s="294"/>
      <c r="AI21" s="294"/>
      <c r="AJ21" s="294"/>
      <c r="AK21" s="294"/>
      <c r="AL21" s="294"/>
      <c r="AM21" s="294"/>
      <c r="AN21" s="294"/>
      <c r="AO21" s="294"/>
      <c r="AP21" s="294"/>
      <c r="AQ21" s="294"/>
      <c r="AR21" s="294"/>
      <c r="AS21" s="294"/>
      <c r="AT21" s="294"/>
    </row>
    <row r="22" spans="2:46" ht="15.95" customHeight="1">
      <c r="B22" s="297" t="s">
        <v>238</v>
      </c>
      <c r="C22" s="312"/>
      <c r="D22" s="314">
        <v>50</v>
      </c>
      <c r="F22" s="23" t="s">
        <v>262</v>
      </c>
      <c r="G22" s="310"/>
      <c r="H22" s="340"/>
      <c r="I22" s="340"/>
      <c r="J22" s="313"/>
      <c r="K22" s="324"/>
      <c r="L22" s="324"/>
      <c r="M22" s="324"/>
      <c r="N22" s="324"/>
      <c r="O22" s="324"/>
      <c r="Q22" s="25" t="s">
        <v>33</v>
      </c>
      <c r="R22" s="24"/>
      <c r="S22" s="24"/>
      <c r="T22" s="24"/>
      <c r="U22" s="24"/>
      <c r="V22" s="24"/>
      <c r="X22" s="294"/>
      <c r="Y22" s="294"/>
      <c r="Z22" s="294"/>
      <c r="AA22" s="294"/>
      <c r="AB22" s="294"/>
      <c r="AC22" s="294"/>
      <c r="AD22" s="294"/>
      <c r="AE22" s="294"/>
      <c r="AF22" s="294"/>
      <c r="AG22" s="294"/>
      <c r="AH22" s="294"/>
      <c r="AI22" s="294"/>
      <c r="AJ22" s="294"/>
      <c r="AK22" s="294"/>
      <c r="AL22" s="294"/>
      <c r="AM22" s="294"/>
      <c r="AN22" s="294"/>
      <c r="AO22" s="294"/>
      <c r="AP22" s="294"/>
      <c r="AQ22" s="294"/>
      <c r="AR22" s="294"/>
      <c r="AS22" s="294"/>
      <c r="AT22" s="294"/>
    </row>
    <row r="23" spans="2:46" ht="15.95" customHeight="1">
      <c r="B23" s="297" t="s">
        <v>109</v>
      </c>
      <c r="C23" s="312"/>
      <c r="D23" s="314">
        <v>50</v>
      </c>
      <c r="F23" s="297" t="s">
        <v>265</v>
      </c>
      <c r="G23" s="321">
        <v>100</v>
      </c>
      <c r="H23" s="314">
        <f>ROUND(Requirements!D5*G23/100,0)</f>
        <v>3</v>
      </c>
      <c r="I23" s="321" t="s">
        <v>235</v>
      </c>
      <c r="J23" s="321"/>
      <c r="K23" s="324">
        <v>3</v>
      </c>
      <c r="L23" s="324">
        <v>4</v>
      </c>
      <c r="M23" s="325">
        <v>2</v>
      </c>
      <c r="N23" s="324">
        <v>3</v>
      </c>
      <c r="O23" s="325">
        <v>2</v>
      </c>
      <c r="Q23" s="26" t="s">
        <v>36</v>
      </c>
      <c r="R23" s="24">
        <f>'Concept Database'!D17</f>
        <v>3</v>
      </c>
      <c r="S23" s="24">
        <f>'Concept Database'!E17</f>
        <v>4</v>
      </c>
      <c r="T23" s="24">
        <f>'Concept Database'!F17</f>
        <v>2</v>
      </c>
      <c r="U23" s="24">
        <f>'Concept Database'!G17</f>
        <v>3</v>
      </c>
      <c r="V23" s="24">
        <f>'Concept Database'!H17</f>
        <v>2</v>
      </c>
      <c r="X23" s="294"/>
      <c r="Y23" s="294"/>
      <c r="Z23" s="294"/>
      <c r="AA23" s="294"/>
      <c r="AB23" s="294"/>
      <c r="AC23" s="294"/>
      <c r="AD23" s="294"/>
      <c r="AE23" s="294"/>
      <c r="AF23" s="294"/>
      <c r="AG23" s="294"/>
      <c r="AH23" s="294"/>
      <c r="AI23" s="294"/>
      <c r="AJ23" s="294"/>
      <c r="AK23" s="294"/>
      <c r="AL23" s="294"/>
      <c r="AM23" s="294"/>
      <c r="AN23" s="294"/>
      <c r="AO23" s="294"/>
      <c r="AP23" s="294"/>
      <c r="AQ23" s="294"/>
      <c r="AR23" s="294"/>
      <c r="AS23" s="294"/>
      <c r="AT23" s="294"/>
    </row>
    <row r="24" spans="2:46" ht="15.95" customHeight="1">
      <c r="B24" s="297" t="s">
        <v>239</v>
      </c>
      <c r="C24" s="312"/>
      <c r="D24" s="314">
        <v>50</v>
      </c>
      <c r="F24" s="297" t="s">
        <v>264</v>
      </c>
      <c r="G24" s="321">
        <v>101</v>
      </c>
      <c r="H24" s="314">
        <f>ROUND(Requirements!D6*G24/100,0)</f>
        <v>9</v>
      </c>
      <c r="I24" s="321" t="s">
        <v>235</v>
      </c>
      <c r="J24" s="321"/>
      <c r="K24" s="327">
        <v>12</v>
      </c>
      <c r="L24" s="324">
        <v>10</v>
      </c>
      <c r="M24" s="324">
        <v>10</v>
      </c>
      <c r="N24" s="325">
        <v>4</v>
      </c>
      <c r="O24" s="325">
        <v>8</v>
      </c>
      <c r="Q24" s="26" t="s">
        <v>38</v>
      </c>
      <c r="R24" s="24">
        <f>'Concept Database'!D18</f>
        <v>8</v>
      </c>
      <c r="S24" s="24">
        <f>'Concept Database'!E18</f>
        <v>10</v>
      </c>
      <c r="T24" s="24">
        <f>'Concept Database'!F18</f>
        <v>10</v>
      </c>
      <c r="U24" s="24">
        <f>'Concept Database'!G18</f>
        <v>4</v>
      </c>
      <c r="V24" s="24">
        <f>'Concept Database'!H18</f>
        <v>8</v>
      </c>
      <c r="X24" s="294"/>
      <c r="Y24" s="294"/>
      <c r="Z24" s="294"/>
      <c r="AA24" s="294"/>
      <c r="AB24" s="294"/>
      <c r="AC24" s="294"/>
      <c r="AD24" s="294"/>
      <c r="AE24" s="294"/>
      <c r="AF24" s="294"/>
      <c r="AG24" s="294"/>
      <c r="AH24" s="294"/>
      <c r="AI24" s="294"/>
      <c r="AJ24" s="294"/>
      <c r="AK24" s="294"/>
      <c r="AL24" s="294"/>
      <c r="AM24" s="294"/>
      <c r="AN24" s="294"/>
      <c r="AO24" s="294"/>
      <c r="AP24" s="294"/>
      <c r="AQ24" s="294"/>
      <c r="AR24" s="294"/>
      <c r="AS24" s="294"/>
      <c r="AT24" s="294"/>
    </row>
    <row r="25" spans="2:46" ht="15.95" customHeight="1" thickBot="1">
      <c r="B25" s="297" t="s">
        <v>240</v>
      </c>
      <c r="C25" s="312"/>
      <c r="D25" s="314">
        <v>50</v>
      </c>
      <c r="F25" s="23" t="s">
        <v>261</v>
      </c>
      <c r="G25" s="320">
        <v>103</v>
      </c>
      <c r="H25" s="313">
        <f>MAX(MIN(ROUND(Requirements!D7*G25/100,0),9),1)</f>
        <v>6</v>
      </c>
      <c r="I25" s="320" t="s">
        <v>236</v>
      </c>
      <c r="J25" s="320"/>
      <c r="K25" s="324">
        <v>6</v>
      </c>
      <c r="L25" s="324">
        <v>7</v>
      </c>
      <c r="M25" s="324">
        <v>7</v>
      </c>
      <c r="N25" s="324">
        <v>8</v>
      </c>
      <c r="O25" s="325">
        <v>4</v>
      </c>
      <c r="X25" s="294"/>
      <c r="Y25" s="294"/>
      <c r="Z25" s="294"/>
      <c r="AA25" s="294"/>
      <c r="AB25" s="294"/>
      <c r="AC25" s="294"/>
      <c r="AD25" s="294"/>
      <c r="AE25" s="294"/>
      <c r="AF25" s="294"/>
      <c r="AG25" s="294"/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</row>
    <row r="26" spans="2:46" ht="15.95" customHeight="1">
      <c r="B26" s="297" t="s">
        <v>67</v>
      </c>
      <c r="C26" s="312"/>
      <c r="D26" s="314">
        <v>50</v>
      </c>
      <c r="F26" s="23" t="s">
        <v>0</v>
      </c>
      <c r="G26" s="341"/>
      <c r="H26" s="342"/>
      <c r="I26" s="340"/>
      <c r="J26" s="313"/>
      <c r="K26" s="324"/>
      <c r="L26" s="324"/>
      <c r="M26" s="324"/>
      <c r="N26" s="324"/>
      <c r="O26" s="324"/>
      <c r="Q26" s="356" t="s">
        <v>259</v>
      </c>
      <c r="R26" s="357"/>
      <c r="S26" s="357"/>
      <c r="T26" s="357"/>
      <c r="U26" s="357"/>
      <c r="V26" s="358"/>
      <c r="X26" s="294"/>
      <c r="Y26" s="294"/>
      <c r="Z26" s="294"/>
      <c r="AA26" s="294"/>
      <c r="AB26" s="294"/>
      <c r="AC26" s="294"/>
      <c r="AD26" s="294"/>
      <c r="AE26" s="294"/>
      <c r="AF26" s="294"/>
      <c r="AG26" s="294"/>
      <c r="AH26" s="294"/>
      <c r="AI26" s="294"/>
      <c r="AJ26" s="294"/>
      <c r="AK26" s="294"/>
      <c r="AL26" s="294"/>
      <c r="AM26" s="294"/>
      <c r="AN26" s="294"/>
      <c r="AO26" s="294"/>
      <c r="AP26" s="294"/>
      <c r="AQ26" s="294"/>
      <c r="AR26" s="294"/>
      <c r="AS26" s="294"/>
      <c r="AT26" s="294"/>
    </row>
    <row r="27" spans="2:46" ht="15.95" customHeight="1">
      <c r="B27" s="297" t="s">
        <v>242</v>
      </c>
      <c r="C27" s="312"/>
      <c r="D27" s="314">
        <v>50</v>
      </c>
      <c r="F27" s="297" t="s">
        <v>237</v>
      </c>
      <c r="G27" s="321">
        <v>100</v>
      </c>
      <c r="H27" s="314">
        <f>Requirements!D9*G27/100</f>
        <v>30</v>
      </c>
      <c r="I27" s="322" t="s">
        <v>247</v>
      </c>
      <c r="J27" s="322"/>
      <c r="K27" s="324">
        <v>30</v>
      </c>
      <c r="L27" s="324">
        <v>32</v>
      </c>
      <c r="M27" s="324">
        <v>35</v>
      </c>
      <c r="N27" s="324">
        <v>40</v>
      </c>
      <c r="O27" s="324">
        <v>50</v>
      </c>
      <c r="Q27" s="36"/>
      <c r="R27" s="20"/>
      <c r="S27" s="20"/>
      <c r="T27" s="20"/>
      <c r="U27" s="20"/>
      <c r="V27" s="37"/>
      <c r="X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4"/>
      <c r="AI27" s="294"/>
      <c r="AJ27" s="294"/>
      <c r="AK27" s="294"/>
      <c r="AL27" s="294"/>
      <c r="AM27" s="294"/>
      <c r="AN27" s="294"/>
      <c r="AO27" s="294"/>
      <c r="AP27" s="294"/>
      <c r="AQ27" s="294"/>
      <c r="AR27" s="294"/>
      <c r="AS27" s="294"/>
      <c r="AT27" s="294"/>
    </row>
    <row r="28" spans="2:46" ht="15.95" customHeight="1">
      <c r="B28" s="23" t="s">
        <v>260</v>
      </c>
      <c r="C28" s="310"/>
      <c r="D28" s="313"/>
      <c r="F28" s="297" t="s">
        <v>238</v>
      </c>
      <c r="G28" s="321">
        <v>100</v>
      </c>
      <c r="H28" s="314">
        <f>Requirements!D10*G28/100</f>
        <v>45</v>
      </c>
      <c r="I28" s="322" t="s">
        <v>247</v>
      </c>
      <c r="J28" s="322"/>
      <c r="K28" s="324">
        <v>50</v>
      </c>
      <c r="L28" s="324">
        <v>45</v>
      </c>
      <c r="M28" s="324">
        <v>55</v>
      </c>
      <c r="N28" s="324">
        <v>57</v>
      </c>
      <c r="O28" s="324">
        <v>70</v>
      </c>
      <c r="Q28" s="36"/>
      <c r="R28" s="20" t="s">
        <v>112</v>
      </c>
      <c r="S28" s="20"/>
      <c r="T28" s="20"/>
      <c r="U28" s="20"/>
      <c r="V28" s="37"/>
      <c r="X28" s="294"/>
      <c r="Y28" s="294"/>
      <c r="Z28" s="294"/>
      <c r="AA28" s="294"/>
      <c r="AB28" s="294"/>
      <c r="AC28" s="294"/>
      <c r="AD28" s="294"/>
      <c r="AE28" s="294"/>
      <c r="AF28" s="294"/>
      <c r="AG28" s="294"/>
      <c r="AH28" s="294"/>
      <c r="AI28" s="294"/>
      <c r="AJ28" s="294"/>
      <c r="AK28" s="294"/>
      <c r="AL28" s="294"/>
      <c r="AM28" s="294"/>
      <c r="AN28" s="294"/>
      <c r="AO28" s="294"/>
      <c r="AP28" s="294"/>
      <c r="AQ28" s="294"/>
      <c r="AR28" s="294"/>
      <c r="AS28" s="294"/>
      <c r="AT28" s="294"/>
    </row>
    <row r="29" spans="2:46" ht="15.95" customHeight="1">
      <c r="B29" s="297" t="s">
        <v>263</v>
      </c>
      <c r="C29" s="312"/>
      <c r="D29" s="314">
        <v>50</v>
      </c>
      <c r="F29" s="297" t="s">
        <v>109</v>
      </c>
      <c r="G29" s="321">
        <v>100</v>
      </c>
      <c r="H29" s="314">
        <f>Requirements!D11*G29/100</f>
        <v>8</v>
      </c>
      <c r="I29" s="322" t="s">
        <v>248</v>
      </c>
      <c r="J29" s="322"/>
      <c r="K29" s="324">
        <v>8</v>
      </c>
      <c r="L29" s="324">
        <v>5</v>
      </c>
      <c r="M29" s="324">
        <v>7</v>
      </c>
      <c r="N29" s="324">
        <v>6</v>
      </c>
      <c r="O29" s="324">
        <v>4</v>
      </c>
      <c r="Q29" s="36"/>
      <c r="R29" s="20"/>
      <c r="S29" s="20"/>
      <c r="T29" s="20"/>
      <c r="U29" s="20"/>
      <c r="V29" s="37"/>
      <c r="X29" s="294"/>
      <c r="Y29" s="294"/>
      <c r="Z29" s="294"/>
      <c r="AA29" s="294"/>
      <c r="AB29" s="294"/>
      <c r="AC29" s="294"/>
      <c r="AD29" s="294"/>
      <c r="AE29" s="294"/>
      <c r="AF29" s="294"/>
      <c r="AG29" s="294"/>
      <c r="AH29" s="294"/>
      <c r="AI29" s="294"/>
      <c r="AJ29" s="294"/>
      <c r="AK29" s="294"/>
      <c r="AL29" s="294"/>
      <c r="AM29" s="294"/>
      <c r="AN29" s="294"/>
      <c r="AO29" s="294"/>
      <c r="AP29" s="294"/>
      <c r="AQ29" s="294"/>
      <c r="AR29" s="294"/>
      <c r="AS29" s="294"/>
      <c r="AT29" s="294"/>
    </row>
    <row r="30" spans="2:46" ht="15.95" customHeight="1">
      <c r="B30" s="23" t="s">
        <v>241</v>
      </c>
      <c r="C30" s="310"/>
      <c r="D30" s="313">
        <v>50</v>
      </c>
      <c r="F30" s="297" t="s">
        <v>239</v>
      </c>
      <c r="G30" s="321">
        <v>100</v>
      </c>
      <c r="H30" s="314">
        <f>Requirements!D12*G30/100</f>
        <v>24</v>
      </c>
      <c r="I30" s="322" t="s">
        <v>250</v>
      </c>
      <c r="J30" s="322"/>
      <c r="K30" s="324">
        <v>24</v>
      </c>
      <c r="L30" s="325">
        <v>20</v>
      </c>
      <c r="M30" s="324">
        <v>35</v>
      </c>
      <c r="N30" s="324">
        <v>40</v>
      </c>
      <c r="O30" s="325">
        <v>15</v>
      </c>
      <c r="Q30" s="36"/>
      <c r="R30" s="20"/>
      <c r="S30" s="20"/>
      <c r="T30" s="20"/>
      <c r="U30" s="20"/>
      <c r="V30" s="37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/>
      <c r="AI30" s="294"/>
      <c r="AJ30" s="294"/>
      <c r="AK30" s="294"/>
      <c r="AL30" s="294"/>
      <c r="AM30" s="294"/>
      <c r="AN30" s="294"/>
      <c r="AO30" s="294"/>
      <c r="AP30" s="294"/>
      <c r="AQ30" s="294"/>
      <c r="AR30" s="294"/>
      <c r="AS30" s="294"/>
      <c r="AT30" s="294"/>
    </row>
    <row r="31" spans="2:46" ht="15.95" customHeight="1">
      <c r="B31" s="23" t="s">
        <v>246</v>
      </c>
      <c r="C31" s="310"/>
      <c r="D31" s="313">
        <v>50</v>
      </c>
      <c r="F31" s="297" t="s">
        <v>240</v>
      </c>
      <c r="G31" s="321">
        <v>100</v>
      </c>
      <c r="H31" s="314">
        <f>Requirements!D13*G31/100</f>
        <v>0.7</v>
      </c>
      <c r="I31" s="322" t="s">
        <v>249</v>
      </c>
      <c r="J31" s="322"/>
      <c r="K31" s="324">
        <v>0.7</v>
      </c>
      <c r="L31" s="324">
        <v>0.9</v>
      </c>
      <c r="M31" s="325">
        <v>0.5</v>
      </c>
      <c r="N31" s="324">
        <v>1.2</v>
      </c>
      <c r="O31" s="324">
        <v>0.9</v>
      </c>
      <c r="Q31" s="36"/>
      <c r="R31" s="20"/>
      <c r="S31" s="20"/>
      <c r="T31" s="20"/>
      <c r="U31" s="20"/>
      <c r="V31" s="37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/>
      <c r="AS31" s="294"/>
      <c r="AT31" s="294"/>
    </row>
    <row r="32" spans="2:46" ht="15.95" customHeight="1">
      <c r="B32" s="23" t="s">
        <v>1</v>
      </c>
      <c r="C32" s="310"/>
      <c r="D32" s="313"/>
      <c r="F32" s="297" t="s">
        <v>67</v>
      </c>
      <c r="G32" s="321">
        <v>100</v>
      </c>
      <c r="H32" s="314">
        <f>Requirements!D14*G32/100</f>
        <v>300</v>
      </c>
      <c r="I32" s="322" t="s">
        <v>251</v>
      </c>
      <c r="J32" s="322"/>
      <c r="K32" s="324">
        <v>350</v>
      </c>
      <c r="L32" s="324">
        <v>305</v>
      </c>
      <c r="M32" s="325">
        <v>288</v>
      </c>
      <c r="N32" s="324">
        <v>410</v>
      </c>
      <c r="O32" s="324">
        <v>550</v>
      </c>
      <c r="Q32" s="36"/>
      <c r="R32" s="20"/>
      <c r="S32" s="20"/>
      <c r="T32" s="20"/>
      <c r="U32" s="20"/>
      <c r="V32" s="37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</row>
    <row r="33" spans="2:46" ht="15.95" customHeight="1">
      <c r="B33" s="296" t="s">
        <v>276</v>
      </c>
      <c r="C33" s="331"/>
      <c r="D33" s="332">
        <v>50</v>
      </c>
      <c r="F33" s="297" t="s">
        <v>242</v>
      </c>
      <c r="G33" s="321">
        <v>100</v>
      </c>
      <c r="H33" s="314">
        <f>Requirements!D15*G33/100</f>
        <v>15.4</v>
      </c>
      <c r="I33" s="322" t="s">
        <v>252</v>
      </c>
      <c r="J33" s="322"/>
      <c r="K33" s="324">
        <v>15</v>
      </c>
      <c r="L33" s="324">
        <v>10</v>
      </c>
      <c r="M33" s="324">
        <v>12</v>
      </c>
      <c r="N33" s="324">
        <v>14.7</v>
      </c>
      <c r="O33" s="324">
        <v>12</v>
      </c>
      <c r="Q33" s="36"/>
      <c r="R33" s="20"/>
      <c r="S33" s="20"/>
      <c r="T33" s="20"/>
      <c r="U33" s="20"/>
      <c r="V33" s="37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/>
      <c r="AI33" s="294"/>
      <c r="AJ33" s="294"/>
      <c r="AK33" s="294"/>
      <c r="AL33" s="294"/>
      <c r="AM33" s="294"/>
      <c r="AN33" s="294"/>
      <c r="AO33" s="294"/>
      <c r="AP33" s="294"/>
      <c r="AQ33" s="294"/>
      <c r="AR33" s="294"/>
      <c r="AS33" s="294"/>
      <c r="AT33" s="294"/>
    </row>
    <row r="34" spans="2:46" ht="15.95" customHeight="1">
      <c r="B34" s="310" t="s">
        <v>77</v>
      </c>
      <c r="C34" s="310"/>
      <c r="D34" s="311"/>
      <c r="F34" s="23" t="s">
        <v>260</v>
      </c>
      <c r="G34" s="341"/>
      <c r="H34" s="342"/>
      <c r="I34" s="340"/>
      <c r="J34" s="313"/>
      <c r="K34" s="324"/>
      <c r="L34" s="324"/>
      <c r="M34" s="324"/>
      <c r="N34" s="324"/>
      <c r="O34" s="324"/>
      <c r="Q34" s="36"/>
      <c r="R34" s="20"/>
      <c r="S34" s="20"/>
      <c r="T34" s="20"/>
      <c r="U34" s="20"/>
      <c r="V34" s="37"/>
      <c r="X34" s="294"/>
      <c r="Y34" s="294"/>
      <c r="Z34" s="294"/>
      <c r="AA34" s="294"/>
      <c r="AB34" s="294"/>
      <c r="AC34" s="294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</row>
    <row r="35" spans="2:46" ht="15.95" customHeight="1">
      <c r="B35" s="297" t="s">
        <v>243</v>
      </c>
      <c r="C35" s="335"/>
      <c r="D35" s="336">
        <v>50</v>
      </c>
      <c r="F35" s="296" t="s">
        <v>277</v>
      </c>
      <c r="G35" s="322">
        <v>100</v>
      </c>
      <c r="H35" s="314">
        <f>Requirements!D17*G35/100</f>
        <v>45</v>
      </c>
      <c r="I35" s="322" t="s">
        <v>253</v>
      </c>
      <c r="J35" s="322"/>
      <c r="K35" s="324">
        <v>42</v>
      </c>
      <c r="L35" s="324">
        <v>38</v>
      </c>
      <c r="M35" s="324">
        <v>40</v>
      </c>
      <c r="N35" s="325">
        <v>48</v>
      </c>
      <c r="O35" s="324">
        <v>39</v>
      </c>
      <c r="Q35" s="36"/>
      <c r="R35" s="20"/>
      <c r="S35" s="20"/>
      <c r="T35" s="20"/>
      <c r="U35" s="20"/>
      <c r="V35" s="37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</row>
    <row r="36" spans="2:46" ht="15.95" customHeight="1">
      <c r="B36" s="302" t="s">
        <v>263</v>
      </c>
      <c r="C36" s="312"/>
      <c r="D36" s="314">
        <v>50</v>
      </c>
      <c r="F36" s="23" t="s">
        <v>241</v>
      </c>
      <c r="G36" s="320">
        <v>100</v>
      </c>
      <c r="H36" s="313">
        <f>Requirements!D18*G36/100</f>
        <v>2</v>
      </c>
      <c r="I36" s="323" t="s">
        <v>254</v>
      </c>
      <c r="J36" s="323"/>
      <c r="K36" s="324">
        <v>2.2999999999999998</v>
      </c>
      <c r="L36" s="324">
        <v>3.2</v>
      </c>
      <c r="M36" s="324">
        <v>4</v>
      </c>
      <c r="N36" s="324">
        <v>2.8</v>
      </c>
      <c r="O36" s="324">
        <v>3.5</v>
      </c>
      <c r="Q36" s="36"/>
      <c r="R36" s="20"/>
      <c r="S36" s="20"/>
      <c r="T36" s="20"/>
      <c r="U36" s="20"/>
      <c r="V36" s="37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</row>
    <row r="37" spans="2:46" ht="15.95" customHeight="1">
      <c r="B37" s="302" t="s">
        <v>266</v>
      </c>
      <c r="C37" s="312"/>
      <c r="D37" s="314">
        <v>50</v>
      </c>
      <c r="F37" s="23" t="s">
        <v>246</v>
      </c>
      <c r="G37" s="343" t="s">
        <v>21</v>
      </c>
      <c r="H37" s="313"/>
      <c r="I37" s="323" t="s">
        <v>236</v>
      </c>
      <c r="J37" s="323"/>
      <c r="K37" s="324" t="s">
        <v>21</v>
      </c>
      <c r="L37" s="324" t="s">
        <v>22</v>
      </c>
      <c r="M37" s="324" t="s">
        <v>22</v>
      </c>
      <c r="N37" s="324" t="s">
        <v>21</v>
      </c>
      <c r="O37" s="324" t="s">
        <v>21</v>
      </c>
      <c r="Q37" s="36"/>
      <c r="R37" s="20"/>
      <c r="S37" s="20"/>
      <c r="T37" s="20"/>
      <c r="U37" s="20"/>
      <c r="V37" s="37"/>
      <c r="X37" s="294"/>
      <c r="Y37" s="294"/>
      <c r="Z37" s="294"/>
      <c r="AA37" s="294"/>
      <c r="AB37" s="294"/>
      <c r="AC37" s="294"/>
      <c r="AD37" s="294"/>
      <c r="AE37" s="294"/>
      <c r="AF37" s="294"/>
      <c r="AG37" s="294"/>
      <c r="AH37" s="294"/>
      <c r="AI37" s="294"/>
      <c r="AJ37" s="294"/>
      <c r="AK37" s="294"/>
      <c r="AL37" s="294"/>
      <c r="AM37" s="294"/>
      <c r="AN37" s="294"/>
      <c r="AO37" s="294"/>
      <c r="AP37" s="294"/>
      <c r="AQ37" s="294"/>
      <c r="AR37" s="294"/>
      <c r="AS37" s="294"/>
      <c r="AT37" s="294"/>
    </row>
    <row r="38" spans="2:46" ht="15.95" customHeight="1">
      <c r="B38" s="297" t="s">
        <v>244</v>
      </c>
      <c r="C38" s="312"/>
      <c r="D38" s="314">
        <v>50</v>
      </c>
      <c r="F38" s="23" t="s">
        <v>1</v>
      </c>
      <c r="G38" s="341"/>
      <c r="H38" s="340"/>
      <c r="I38" s="340"/>
      <c r="J38" s="313"/>
      <c r="K38" s="324"/>
      <c r="L38" s="324"/>
      <c r="M38" s="324"/>
      <c r="N38" s="324"/>
      <c r="O38" s="324"/>
      <c r="Q38" s="36"/>
      <c r="R38" s="20"/>
      <c r="S38" s="20"/>
      <c r="T38" s="20"/>
      <c r="U38" s="20"/>
      <c r="V38" s="37"/>
      <c r="X38" s="294"/>
      <c r="Y38" s="294"/>
      <c r="Z38" s="294"/>
      <c r="AA38" s="294"/>
      <c r="AB38" s="294"/>
      <c r="AC38" s="294"/>
      <c r="AD38" s="294"/>
      <c r="AE38" s="294"/>
      <c r="AF38" s="294"/>
      <c r="AG38" s="294"/>
      <c r="AH38" s="294"/>
      <c r="AI38" s="294"/>
      <c r="AJ38" s="294"/>
      <c r="AK38" s="294"/>
      <c r="AL38" s="294"/>
      <c r="AM38" s="294"/>
      <c r="AN38" s="294"/>
      <c r="AO38" s="294"/>
      <c r="AP38" s="294"/>
      <c r="AQ38" s="294"/>
      <c r="AR38" s="294"/>
      <c r="AS38" s="294"/>
      <c r="AT38" s="294"/>
    </row>
    <row r="39" spans="2:46" ht="15.95" customHeight="1">
      <c r="B39" s="302" t="s">
        <v>263</v>
      </c>
      <c r="C39" s="312"/>
      <c r="D39" s="314">
        <v>50</v>
      </c>
      <c r="F39" s="296" t="s">
        <v>276</v>
      </c>
      <c r="G39" s="322">
        <v>100</v>
      </c>
      <c r="H39" s="314">
        <f>Requirements!D21*G39/100</f>
        <v>1.2</v>
      </c>
      <c r="I39" s="322" t="s">
        <v>252</v>
      </c>
      <c r="J39" s="322"/>
      <c r="K39" s="324">
        <v>1.33</v>
      </c>
      <c r="L39" s="324">
        <v>2</v>
      </c>
      <c r="M39" s="325">
        <v>0.88</v>
      </c>
      <c r="N39" s="325">
        <v>1.1100000000000001</v>
      </c>
      <c r="O39" s="325">
        <v>1.1499999999999999</v>
      </c>
      <c r="Q39" s="36"/>
      <c r="R39" s="20"/>
      <c r="S39" s="20"/>
      <c r="T39" s="20"/>
      <c r="U39" s="20"/>
      <c r="V39" s="37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  <c r="AI39" s="294"/>
      <c r="AJ39" s="294"/>
      <c r="AK39" s="294"/>
      <c r="AL39" s="294"/>
      <c r="AM39" s="294"/>
      <c r="AN39" s="294"/>
      <c r="AO39" s="294"/>
      <c r="AP39" s="294"/>
      <c r="AQ39" s="294"/>
      <c r="AR39" s="294"/>
      <c r="AS39" s="294"/>
      <c r="AT39" s="294"/>
    </row>
    <row r="40" spans="2:46" ht="15.95" customHeight="1">
      <c r="B40" s="302" t="s">
        <v>266</v>
      </c>
      <c r="C40" s="312"/>
      <c r="D40" s="314">
        <v>50</v>
      </c>
      <c r="F40" s="23" t="s">
        <v>77</v>
      </c>
      <c r="G40" s="341"/>
      <c r="H40" s="340"/>
      <c r="I40" s="340"/>
      <c r="J40" s="313"/>
      <c r="K40" s="324"/>
      <c r="L40" s="324"/>
      <c r="M40" s="324"/>
      <c r="N40" s="324"/>
      <c r="O40" s="324"/>
      <c r="Q40" s="36"/>
      <c r="R40" s="20"/>
      <c r="S40" s="20"/>
      <c r="T40" s="20"/>
      <c r="U40" s="20"/>
      <c r="V40" s="37"/>
      <c r="X40" s="294"/>
      <c r="Y40" s="294"/>
      <c r="Z40" s="294"/>
      <c r="AA40" s="294"/>
      <c r="AB40" s="294"/>
      <c r="AC40" s="294"/>
      <c r="AD40" s="294"/>
      <c r="AE40" s="294"/>
      <c r="AF40" s="294"/>
      <c r="AG40" s="294"/>
      <c r="AH40" s="294"/>
      <c r="AI40" s="294"/>
      <c r="AJ40" s="294"/>
      <c r="AK40" s="294"/>
      <c r="AL40" s="294"/>
      <c r="AM40" s="294"/>
      <c r="AN40" s="294"/>
      <c r="AO40" s="294"/>
      <c r="AP40" s="294"/>
      <c r="AQ40" s="294"/>
      <c r="AR40" s="294"/>
      <c r="AS40" s="294"/>
      <c r="AT40" s="294"/>
    </row>
    <row r="41" spans="2:46" ht="15.95" customHeight="1">
      <c r="B41" s="297" t="s">
        <v>245</v>
      </c>
      <c r="C41" s="312"/>
      <c r="D41" s="314">
        <v>50</v>
      </c>
      <c r="F41" s="297" t="s">
        <v>243</v>
      </c>
      <c r="G41" s="321"/>
      <c r="H41" s="314" t="str">
        <f>Requirements!D23</f>
        <v>Yes</v>
      </c>
      <c r="I41" s="322" t="s">
        <v>236</v>
      </c>
      <c r="J41" s="322"/>
      <c r="K41" s="324" t="s">
        <v>255</v>
      </c>
      <c r="L41" s="324" t="s">
        <v>255</v>
      </c>
      <c r="M41" s="325" t="s">
        <v>278</v>
      </c>
      <c r="N41" s="324" t="s">
        <v>255</v>
      </c>
      <c r="O41" s="325" t="s">
        <v>278</v>
      </c>
      <c r="Q41" s="36"/>
      <c r="R41" s="20"/>
      <c r="S41" s="20"/>
      <c r="T41" s="20"/>
      <c r="U41" s="20"/>
      <c r="V41" s="37"/>
      <c r="X41" s="294"/>
      <c r="Y41" s="294"/>
      <c r="Z41" s="294"/>
      <c r="AA41" s="294"/>
      <c r="AB41" s="294"/>
      <c r="AC41" s="294"/>
      <c r="AD41" s="294"/>
      <c r="AE41" s="294"/>
      <c r="AF41" s="294"/>
      <c r="AG41" s="294"/>
      <c r="AH41" s="294"/>
      <c r="AI41" s="294"/>
      <c r="AJ41" s="294"/>
      <c r="AK41" s="294"/>
      <c r="AL41" s="294"/>
      <c r="AM41" s="294"/>
      <c r="AN41" s="294"/>
      <c r="AO41" s="294"/>
      <c r="AP41" s="294"/>
      <c r="AQ41" s="294"/>
      <c r="AR41" s="294"/>
      <c r="AS41" s="294"/>
      <c r="AT41" s="294"/>
    </row>
    <row r="42" spans="2:46" ht="15.95" customHeight="1">
      <c r="B42" s="302" t="s">
        <v>263</v>
      </c>
      <c r="C42" s="312"/>
      <c r="D42" s="314">
        <v>50</v>
      </c>
      <c r="F42" s="302" t="s">
        <v>263</v>
      </c>
      <c r="G42" s="322"/>
      <c r="H42" s="314">
        <f>Requirements!D24</f>
        <v>50</v>
      </c>
      <c r="I42" s="322" t="s">
        <v>253</v>
      </c>
      <c r="J42" s="322"/>
      <c r="K42" s="324"/>
      <c r="L42" s="324"/>
      <c r="M42" s="324"/>
      <c r="N42" s="324"/>
      <c r="O42" s="324"/>
      <c r="Q42" s="36"/>
      <c r="R42" s="20"/>
      <c r="S42" s="20"/>
      <c r="T42" s="20"/>
      <c r="U42" s="20"/>
      <c r="V42" s="37"/>
      <c r="X42" s="294"/>
      <c r="Y42" s="294"/>
      <c r="Z42" s="294"/>
      <c r="AA42" s="294"/>
      <c r="AB42" s="294"/>
      <c r="AC42" s="294"/>
      <c r="AD42" s="294"/>
      <c r="AE42" s="294"/>
      <c r="AF42" s="294"/>
      <c r="AG42" s="294"/>
      <c r="AH42" s="294"/>
      <c r="AI42" s="294"/>
      <c r="AJ42" s="294"/>
      <c r="AK42" s="294"/>
      <c r="AL42" s="294"/>
      <c r="AM42" s="294"/>
      <c r="AN42" s="294"/>
      <c r="AO42" s="294"/>
      <c r="AP42" s="294"/>
      <c r="AQ42" s="294"/>
      <c r="AR42" s="294"/>
      <c r="AS42" s="294"/>
      <c r="AT42" s="294"/>
    </row>
    <row r="43" spans="2:46" ht="15.95" customHeight="1">
      <c r="B43" s="302" t="s">
        <v>266</v>
      </c>
      <c r="C43" s="333"/>
      <c r="D43" s="334">
        <v>50</v>
      </c>
      <c r="F43" s="302" t="s">
        <v>266</v>
      </c>
      <c r="G43" s="322"/>
      <c r="H43" s="314">
        <f>Requirements!D25</f>
        <v>4</v>
      </c>
      <c r="I43" s="322" t="s">
        <v>249</v>
      </c>
      <c r="J43" s="322"/>
      <c r="K43" s="324"/>
      <c r="L43" s="324"/>
      <c r="M43" s="324"/>
      <c r="N43" s="324"/>
      <c r="O43" s="324"/>
      <c r="Q43" s="36"/>
      <c r="R43" s="20"/>
      <c r="S43" s="20"/>
      <c r="T43" s="20"/>
      <c r="U43" s="20"/>
      <c r="V43" s="37"/>
      <c r="X43" s="294"/>
      <c r="Y43" s="294"/>
      <c r="Z43" s="294"/>
      <c r="AA43" s="294"/>
      <c r="AB43" s="294"/>
      <c r="AC43" s="294"/>
      <c r="AD43" s="294"/>
      <c r="AE43" s="294"/>
      <c r="AF43" s="294"/>
      <c r="AG43" s="294"/>
      <c r="AH43" s="294"/>
      <c r="AI43" s="294"/>
      <c r="AJ43" s="294"/>
      <c r="AK43" s="294"/>
      <c r="AL43" s="294"/>
      <c r="AM43" s="294"/>
      <c r="AN43" s="294"/>
      <c r="AO43" s="294"/>
      <c r="AP43" s="294"/>
      <c r="AQ43" s="294"/>
      <c r="AR43" s="294"/>
      <c r="AS43" s="294"/>
      <c r="AT43" s="294"/>
    </row>
    <row r="44" spans="2:46" ht="15.95" customHeight="1">
      <c r="B44" s="310" t="s">
        <v>2</v>
      </c>
      <c r="C44" s="310"/>
      <c r="D44" s="311"/>
      <c r="F44" s="297" t="s">
        <v>244</v>
      </c>
      <c r="G44" s="321"/>
      <c r="H44" s="314" t="str">
        <f>Requirements!D26</f>
        <v>Yes</v>
      </c>
      <c r="I44" s="322" t="s">
        <v>236</v>
      </c>
      <c r="J44" s="322"/>
      <c r="K44" s="324" t="s">
        <v>255</v>
      </c>
      <c r="L44" s="301" t="s">
        <v>255</v>
      </c>
      <c r="M44" s="324" t="s">
        <v>255</v>
      </c>
      <c r="N44" s="324" t="s">
        <v>255</v>
      </c>
      <c r="O44" s="325" t="s">
        <v>278</v>
      </c>
      <c r="Q44" s="36"/>
      <c r="R44" s="20"/>
      <c r="S44" s="20"/>
      <c r="T44" s="20"/>
      <c r="U44" s="20"/>
      <c r="V44" s="37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  <c r="AK44" s="294"/>
      <c r="AL44" s="294"/>
      <c r="AM44" s="294"/>
      <c r="AN44" s="294"/>
      <c r="AO44" s="294"/>
      <c r="AP44" s="294"/>
      <c r="AQ44" s="294"/>
      <c r="AR44" s="294"/>
      <c r="AS44" s="294"/>
      <c r="AT44" s="294"/>
    </row>
    <row r="45" spans="2:46" ht="15.95" customHeight="1">
      <c r="B45" s="296" t="s">
        <v>273</v>
      </c>
      <c r="C45" s="335"/>
      <c r="D45" s="336">
        <v>50</v>
      </c>
      <c r="F45" s="302" t="s">
        <v>263</v>
      </c>
      <c r="G45" s="322"/>
      <c r="H45" s="314">
        <f>Requirements!D27</f>
        <v>80</v>
      </c>
      <c r="I45" s="322" t="s">
        <v>253</v>
      </c>
      <c r="J45" s="322"/>
      <c r="K45" s="324"/>
      <c r="L45" s="324"/>
      <c r="M45" s="324"/>
      <c r="N45" s="324"/>
      <c r="O45" s="324"/>
      <c r="Q45" s="36"/>
      <c r="R45" s="20"/>
      <c r="S45" s="20"/>
      <c r="T45" s="20"/>
      <c r="U45" s="20"/>
      <c r="V45" s="37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</row>
    <row r="46" spans="2:46" ht="15.95" customHeight="1" thickBot="1">
      <c r="B46" s="296" t="s">
        <v>274</v>
      </c>
      <c r="C46" s="312"/>
      <c r="D46" s="314">
        <v>50</v>
      </c>
      <c r="F46" s="302" t="s">
        <v>266</v>
      </c>
      <c r="G46" s="322"/>
      <c r="H46" s="314">
        <f>Requirements!D28</f>
        <v>3</v>
      </c>
      <c r="I46" s="322" t="s">
        <v>249</v>
      </c>
      <c r="J46" s="322"/>
      <c r="K46" s="324"/>
      <c r="L46" s="324"/>
      <c r="M46" s="324"/>
      <c r="N46" s="324"/>
      <c r="O46" s="324"/>
      <c r="Q46" s="38"/>
      <c r="R46" s="39"/>
      <c r="S46" s="39"/>
      <c r="T46" s="39"/>
      <c r="U46" s="39"/>
      <c r="V46" s="40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</row>
    <row r="47" spans="2:46" ht="15.95" customHeight="1">
      <c r="B47" s="296" t="s">
        <v>75</v>
      </c>
      <c r="C47" s="312"/>
      <c r="D47" s="314">
        <v>50</v>
      </c>
      <c r="F47" s="297" t="s">
        <v>245</v>
      </c>
      <c r="G47" s="321"/>
      <c r="H47" s="314" t="str">
        <f>Requirements!D29</f>
        <v>Yes</v>
      </c>
      <c r="I47" s="322" t="s">
        <v>236</v>
      </c>
      <c r="J47" s="322"/>
      <c r="K47" s="324" t="s">
        <v>255</v>
      </c>
      <c r="L47" s="324" t="s">
        <v>255</v>
      </c>
      <c r="M47" s="324" t="s">
        <v>255</v>
      </c>
      <c r="N47" s="324" t="s">
        <v>255</v>
      </c>
      <c r="O47" s="324" t="s">
        <v>255</v>
      </c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</row>
    <row r="48" spans="2:46" ht="15.95" customHeight="1">
      <c r="F48" s="302" t="s">
        <v>263</v>
      </c>
      <c r="G48" s="322"/>
      <c r="H48" s="314">
        <f>Requirements!D30</f>
        <v>100</v>
      </c>
      <c r="I48" s="322" t="s">
        <v>253</v>
      </c>
      <c r="J48" s="322"/>
      <c r="K48" s="324"/>
      <c r="L48" s="324"/>
      <c r="M48" s="324"/>
      <c r="N48" s="324"/>
      <c r="O48" s="32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</row>
    <row r="49" spans="6:46" ht="15.95" customHeight="1">
      <c r="F49" s="302" t="s">
        <v>266</v>
      </c>
      <c r="G49" s="338"/>
      <c r="H49" s="314">
        <f>Requirements!D31</f>
        <v>10</v>
      </c>
      <c r="I49" s="338" t="s">
        <v>249</v>
      </c>
      <c r="J49" s="338"/>
      <c r="K49" s="324"/>
      <c r="L49" s="324"/>
      <c r="M49" s="324"/>
      <c r="N49" s="324"/>
      <c r="O49" s="32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</row>
    <row r="50" spans="6:46" ht="15.95" customHeight="1">
      <c r="F50" s="310" t="s">
        <v>2</v>
      </c>
      <c r="G50" s="341"/>
      <c r="H50" s="342"/>
      <c r="I50" s="340"/>
      <c r="J50" s="313"/>
      <c r="K50" s="337"/>
      <c r="L50" s="324"/>
      <c r="M50" s="324"/>
      <c r="N50" s="324"/>
      <c r="O50" s="324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/>
      <c r="AI50" s="294"/>
      <c r="AJ50" s="294"/>
      <c r="AK50" s="294"/>
      <c r="AL50" s="294"/>
      <c r="AM50" s="294"/>
      <c r="AN50" s="294"/>
      <c r="AO50" s="294"/>
      <c r="AP50" s="294"/>
      <c r="AQ50" s="294"/>
      <c r="AR50" s="294"/>
      <c r="AS50" s="294"/>
      <c r="AT50" s="294"/>
    </row>
    <row r="51" spans="6:46" ht="15.95" customHeight="1">
      <c r="F51" s="296" t="s">
        <v>273</v>
      </c>
      <c r="G51" s="339">
        <v>100</v>
      </c>
      <c r="H51" s="314">
        <f>Requirements!D33*G51/100</f>
        <v>10</v>
      </c>
      <c r="I51" s="339" t="s">
        <v>219</v>
      </c>
      <c r="J51" s="339"/>
      <c r="K51" s="324">
        <v>8</v>
      </c>
      <c r="L51" s="325">
        <v>12</v>
      </c>
      <c r="M51" s="324">
        <v>9</v>
      </c>
      <c r="N51" s="325">
        <v>15</v>
      </c>
      <c r="O51" s="325">
        <v>18</v>
      </c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  <c r="AI51" s="294"/>
      <c r="AJ51" s="294"/>
      <c r="AK51" s="294"/>
      <c r="AL51" s="294"/>
      <c r="AM51" s="294"/>
      <c r="AN51" s="294"/>
      <c r="AO51" s="294"/>
      <c r="AP51" s="294"/>
      <c r="AQ51" s="294"/>
      <c r="AR51" s="294"/>
      <c r="AS51" s="294"/>
      <c r="AT51" s="294"/>
    </row>
    <row r="52" spans="6:46" ht="15.95" customHeight="1">
      <c r="F52" s="296" t="s">
        <v>274</v>
      </c>
      <c r="G52" s="322">
        <v>100</v>
      </c>
      <c r="H52" s="314">
        <f>Requirements!D34*G52/100</f>
        <v>1000</v>
      </c>
      <c r="I52" s="322" t="s">
        <v>275</v>
      </c>
      <c r="J52" s="322"/>
      <c r="K52" s="324">
        <v>1000</v>
      </c>
      <c r="L52" s="324">
        <v>1200</v>
      </c>
      <c r="M52" s="324">
        <v>994</v>
      </c>
      <c r="N52" s="324">
        <v>1105</v>
      </c>
      <c r="O52" s="324">
        <v>1027</v>
      </c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  <c r="AI52" s="294"/>
      <c r="AJ52" s="294"/>
      <c r="AK52" s="294"/>
      <c r="AL52" s="294"/>
      <c r="AM52" s="294"/>
      <c r="AN52" s="294"/>
      <c r="AO52" s="294"/>
      <c r="AP52" s="294"/>
      <c r="AQ52" s="294"/>
      <c r="AR52" s="294"/>
      <c r="AS52" s="294"/>
      <c r="AT52" s="294"/>
    </row>
    <row r="53" spans="6:46" ht="15.95" customHeight="1">
      <c r="F53" s="296" t="s">
        <v>75</v>
      </c>
      <c r="G53" s="322">
        <v>101</v>
      </c>
      <c r="H53" s="314">
        <f>Requirements!D35*G53/100</f>
        <v>151.5</v>
      </c>
      <c r="I53" s="322" t="s">
        <v>219</v>
      </c>
      <c r="J53" s="322"/>
      <c r="K53" s="324">
        <v>150</v>
      </c>
      <c r="L53" s="324">
        <v>120</v>
      </c>
      <c r="M53" s="324">
        <v>90</v>
      </c>
      <c r="N53" s="324">
        <v>130</v>
      </c>
      <c r="O53" s="324">
        <v>140</v>
      </c>
      <c r="X53" s="294"/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  <c r="AI53" s="294"/>
      <c r="AJ53" s="294"/>
      <c r="AK53" s="294"/>
      <c r="AL53" s="294"/>
      <c r="AM53" s="294"/>
      <c r="AN53" s="294"/>
      <c r="AO53" s="294"/>
      <c r="AP53" s="294"/>
      <c r="AQ53" s="294"/>
      <c r="AR53" s="294"/>
      <c r="AS53" s="294"/>
      <c r="AT53" s="294"/>
    </row>
    <row r="54" spans="6:46" ht="15.95" customHeight="1"/>
    <row r="55" spans="6:46" ht="15.95" customHeight="1"/>
    <row r="56" spans="6:46" ht="15.95" customHeight="1"/>
    <row r="57" spans="6:46" ht="15.95" customHeight="1"/>
    <row r="58" spans="6:46" ht="15.95" customHeight="1"/>
    <row r="59" spans="6:46" ht="15.95" customHeight="1"/>
    <row r="60" spans="6:46" ht="15.95" customHeight="1"/>
    <row r="61" spans="6:46" ht="15.95" customHeight="1"/>
  </sheetData>
  <mergeCells count="13">
    <mergeCell ref="Q5:V5"/>
    <mergeCell ref="F19:O19"/>
    <mergeCell ref="K20:O20"/>
    <mergeCell ref="F5:O5"/>
    <mergeCell ref="F20:F21"/>
    <mergeCell ref="G20:H21"/>
    <mergeCell ref="C15:D15"/>
    <mergeCell ref="B14:D14"/>
    <mergeCell ref="B7:D7"/>
    <mergeCell ref="I20:I21"/>
    <mergeCell ref="Q26:V26"/>
    <mergeCell ref="Q6:Q7"/>
    <mergeCell ref="R6:V6"/>
  </mergeCells>
  <dataValidations count="1">
    <dataValidation type="list" allowBlank="1" showInputMessage="1" showErrorMessage="1" sqref="G37">
      <formula1>"Tracked,Wheeled"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B2:M36"/>
  <sheetViews>
    <sheetView zoomScale="70" zoomScaleNormal="70" workbookViewId="0">
      <selection activeCell="I53" sqref="I53"/>
    </sheetView>
  </sheetViews>
  <sheetFormatPr defaultRowHeight="15"/>
  <cols>
    <col min="1" max="1" width="4.7109375" style="1" customWidth="1"/>
    <col min="2" max="2" width="43.85546875" style="1" customWidth="1"/>
    <col min="3" max="5" width="20.7109375" style="1" customWidth="1"/>
    <col min="6" max="6" width="4.7109375" style="1" customWidth="1"/>
    <col min="7" max="9" width="20.7109375" style="1" customWidth="1"/>
    <col min="10" max="10" width="3.85546875" style="1" customWidth="1"/>
    <col min="11" max="13" width="20.7109375" style="1" customWidth="1"/>
    <col min="14" max="14" width="4.7109375" style="1" customWidth="1"/>
    <col min="15" max="16384" width="9.140625" style="1"/>
  </cols>
  <sheetData>
    <row r="2" spans="2:13">
      <c r="C2" s="371" t="s">
        <v>109</v>
      </c>
      <c r="D2" s="371"/>
      <c r="E2" s="371"/>
      <c r="G2" s="371" t="s">
        <v>237</v>
      </c>
      <c r="H2" s="371"/>
      <c r="I2" s="371"/>
      <c r="K2" s="371" t="s">
        <v>241</v>
      </c>
      <c r="L2" s="371"/>
      <c r="M2" s="371"/>
    </row>
    <row r="4" spans="2:13">
      <c r="B4" s="329" t="s">
        <v>67</v>
      </c>
    </row>
    <row r="20" spans="2:2">
      <c r="B20" s="329" t="s">
        <v>277</v>
      </c>
    </row>
    <row r="36" spans="2:2">
      <c r="B36" s="329" t="s">
        <v>276</v>
      </c>
    </row>
  </sheetData>
  <mergeCells count="3">
    <mergeCell ref="C2:E2"/>
    <mergeCell ref="G2:I2"/>
    <mergeCell ref="K2:M2"/>
  </mergeCells>
  <dataValidations count="2">
    <dataValidation type="list" allowBlank="1" showInputMessage="1" showErrorMessage="1" sqref="H2:I2 D2:E2 L2:M2">
      <formula1>"1,2,3"</formula1>
    </dataValidation>
    <dataValidation type="list" allowBlank="1" showInputMessage="1" showErrorMessage="1" sqref="B4 K2 G2 C2 B36 B20">
      <formula1>'Concept Database'!$C$19:$C$47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B2:H35"/>
  <sheetViews>
    <sheetView workbookViewId="0">
      <selection activeCell="M12" sqref="M12"/>
    </sheetView>
  </sheetViews>
  <sheetFormatPr defaultRowHeight="15"/>
  <cols>
    <col min="1" max="1" width="5.140625" customWidth="1"/>
    <col min="2" max="2" width="5.140625" style="305" bestFit="1" customWidth="1"/>
    <col min="3" max="3" width="30.85546875" bestFit="1" customWidth="1"/>
    <col min="4" max="4" width="10.28515625" bestFit="1" customWidth="1"/>
    <col min="5" max="5" width="5.140625" bestFit="1" customWidth="1"/>
    <col min="6" max="6" width="7.28515625" bestFit="1" customWidth="1"/>
    <col min="7" max="7" width="6" bestFit="1" customWidth="1"/>
    <col min="8" max="8" width="8.140625" bestFit="1" customWidth="1"/>
  </cols>
  <sheetData>
    <row r="2" spans="2:8" ht="15.75">
      <c r="B2" s="351" t="s">
        <v>113</v>
      </c>
      <c r="C2" s="351"/>
      <c r="D2" s="351" t="s">
        <v>110</v>
      </c>
      <c r="E2" s="351"/>
      <c r="F2" s="351"/>
      <c r="G2" s="351"/>
      <c r="H2" s="351"/>
    </row>
    <row r="3" spans="2:8" ht="15.75">
      <c r="B3" s="303" t="s">
        <v>230</v>
      </c>
      <c r="C3" s="298"/>
      <c r="D3" s="309" t="s">
        <v>232</v>
      </c>
      <c r="E3" s="309" t="s">
        <v>217</v>
      </c>
      <c r="F3" s="309" t="s">
        <v>231</v>
      </c>
      <c r="G3" s="309" t="s">
        <v>233</v>
      </c>
      <c r="H3" s="309" t="s">
        <v>66</v>
      </c>
    </row>
    <row r="4" spans="2:8">
      <c r="B4" s="307">
        <v>1</v>
      </c>
      <c r="C4" s="23" t="s">
        <v>262</v>
      </c>
      <c r="D4" s="22"/>
      <c r="E4" s="22"/>
      <c r="F4" s="22"/>
      <c r="G4" s="22"/>
      <c r="H4" s="22"/>
    </row>
    <row r="5" spans="2:8">
      <c r="B5" s="308">
        <v>1.1000000000000001</v>
      </c>
      <c r="C5" s="297" t="s">
        <v>265</v>
      </c>
      <c r="D5" s="300">
        <v>3</v>
      </c>
      <c r="E5" s="300" t="s">
        <v>235</v>
      </c>
      <c r="F5" s="300" t="s">
        <v>234</v>
      </c>
      <c r="G5" s="300">
        <v>0</v>
      </c>
      <c r="H5" s="300"/>
    </row>
    <row r="6" spans="2:8">
      <c r="B6" s="308">
        <v>1.2</v>
      </c>
      <c r="C6" s="297" t="s">
        <v>264</v>
      </c>
      <c r="D6" s="300">
        <v>9</v>
      </c>
      <c r="E6" s="300" t="s">
        <v>235</v>
      </c>
      <c r="F6" s="300" t="s">
        <v>234</v>
      </c>
      <c r="G6" s="300">
        <v>0</v>
      </c>
      <c r="H6" s="300"/>
    </row>
    <row r="7" spans="2:8">
      <c r="B7" s="307">
        <v>2</v>
      </c>
      <c r="C7" s="23" t="s">
        <v>261</v>
      </c>
      <c r="D7" s="22">
        <v>6</v>
      </c>
      <c r="E7" s="22" t="s">
        <v>236</v>
      </c>
      <c r="F7" s="22" t="s">
        <v>234</v>
      </c>
      <c r="G7" s="22">
        <v>0</v>
      </c>
      <c r="H7" s="22"/>
    </row>
    <row r="8" spans="2:8">
      <c r="B8" s="307">
        <v>3</v>
      </c>
      <c r="C8" s="23" t="s">
        <v>0</v>
      </c>
      <c r="D8" s="22"/>
      <c r="E8" s="22"/>
      <c r="F8" s="22"/>
      <c r="G8" s="22"/>
      <c r="H8" s="22"/>
    </row>
    <row r="9" spans="2:8">
      <c r="B9" s="308">
        <v>3.1</v>
      </c>
      <c r="C9" s="297" t="s">
        <v>237</v>
      </c>
      <c r="D9" s="300">
        <v>30</v>
      </c>
      <c r="E9" s="299" t="s">
        <v>247</v>
      </c>
      <c r="F9" s="299" t="s">
        <v>234</v>
      </c>
      <c r="G9" s="300">
        <v>0</v>
      </c>
      <c r="H9" s="300"/>
    </row>
    <row r="10" spans="2:8">
      <c r="B10" s="308">
        <v>3.2</v>
      </c>
      <c r="C10" s="297" t="s">
        <v>238</v>
      </c>
      <c r="D10" s="300">
        <v>45</v>
      </c>
      <c r="E10" s="299" t="s">
        <v>247</v>
      </c>
      <c r="F10" s="299" t="s">
        <v>234</v>
      </c>
      <c r="G10" s="300">
        <v>0</v>
      </c>
      <c r="H10" s="300"/>
    </row>
    <row r="11" spans="2:8">
      <c r="B11" s="308">
        <v>3.3</v>
      </c>
      <c r="C11" s="297" t="s">
        <v>109</v>
      </c>
      <c r="D11" s="300">
        <v>8</v>
      </c>
      <c r="E11" s="299" t="s">
        <v>248</v>
      </c>
      <c r="F11" s="299" t="s">
        <v>78</v>
      </c>
      <c r="G11" s="300">
        <v>0</v>
      </c>
      <c r="H11" s="300"/>
    </row>
    <row r="12" spans="2:8">
      <c r="B12" s="308">
        <v>3.4</v>
      </c>
      <c r="C12" s="297" t="s">
        <v>239</v>
      </c>
      <c r="D12" s="300">
        <v>24</v>
      </c>
      <c r="E12" s="299" t="s">
        <v>250</v>
      </c>
      <c r="F12" s="299" t="s">
        <v>234</v>
      </c>
      <c r="G12" s="300">
        <v>0</v>
      </c>
      <c r="H12" s="300"/>
    </row>
    <row r="13" spans="2:8">
      <c r="B13" s="308">
        <v>3.5</v>
      </c>
      <c r="C13" s="297" t="s">
        <v>240</v>
      </c>
      <c r="D13" s="300">
        <v>0.7</v>
      </c>
      <c r="E13" s="299" t="s">
        <v>249</v>
      </c>
      <c r="F13" s="299" t="s">
        <v>78</v>
      </c>
      <c r="G13" s="300">
        <v>0</v>
      </c>
      <c r="H13" s="300"/>
    </row>
    <row r="14" spans="2:8">
      <c r="B14" s="308">
        <v>3.6</v>
      </c>
      <c r="C14" s="297" t="s">
        <v>67</v>
      </c>
      <c r="D14" s="300">
        <v>300</v>
      </c>
      <c r="E14" s="299" t="s">
        <v>251</v>
      </c>
      <c r="F14" s="299" t="s">
        <v>234</v>
      </c>
      <c r="G14" s="300">
        <v>0</v>
      </c>
      <c r="H14" s="300"/>
    </row>
    <row r="15" spans="2:8">
      <c r="B15" s="308">
        <v>3.7</v>
      </c>
      <c r="C15" s="297" t="s">
        <v>242</v>
      </c>
      <c r="D15" s="300">
        <v>15.4</v>
      </c>
      <c r="E15" s="299" t="s">
        <v>252</v>
      </c>
      <c r="F15" s="299" t="s">
        <v>78</v>
      </c>
      <c r="G15" s="300">
        <v>0</v>
      </c>
      <c r="H15" s="300"/>
    </row>
    <row r="16" spans="2:8">
      <c r="B16" s="307">
        <v>4</v>
      </c>
      <c r="C16" s="23" t="s">
        <v>260</v>
      </c>
      <c r="D16" s="22"/>
      <c r="E16" s="22"/>
      <c r="F16" s="22"/>
      <c r="G16" s="22"/>
      <c r="H16" s="22"/>
    </row>
    <row r="17" spans="2:8">
      <c r="B17" s="308">
        <v>4.0999999999999996</v>
      </c>
      <c r="C17" s="296" t="s">
        <v>277</v>
      </c>
      <c r="D17" s="300">
        <v>45</v>
      </c>
      <c r="E17" s="299" t="s">
        <v>253</v>
      </c>
      <c r="F17" s="300"/>
      <c r="G17" s="300"/>
      <c r="H17" s="300"/>
    </row>
    <row r="18" spans="2:8">
      <c r="B18" s="307">
        <v>5</v>
      </c>
      <c r="C18" s="23" t="s">
        <v>241</v>
      </c>
      <c r="D18" s="22">
        <v>2</v>
      </c>
      <c r="E18" s="306" t="s">
        <v>254</v>
      </c>
      <c r="F18" s="306" t="s">
        <v>234</v>
      </c>
      <c r="G18" s="22"/>
      <c r="H18" s="22"/>
    </row>
    <row r="19" spans="2:8">
      <c r="B19" s="307">
        <v>6</v>
      </c>
      <c r="C19" s="23" t="s">
        <v>246</v>
      </c>
      <c r="D19" s="306" t="s">
        <v>21</v>
      </c>
      <c r="E19" s="306" t="s">
        <v>236</v>
      </c>
      <c r="F19" s="306" t="s">
        <v>256</v>
      </c>
      <c r="G19" s="22">
        <v>1</v>
      </c>
      <c r="H19" s="22"/>
    </row>
    <row r="20" spans="2:8">
      <c r="B20" s="307">
        <v>7</v>
      </c>
      <c r="C20" s="23" t="s">
        <v>1</v>
      </c>
      <c r="D20" s="22"/>
      <c r="E20" s="22"/>
      <c r="F20" s="22"/>
      <c r="G20" s="22"/>
      <c r="H20" s="22"/>
    </row>
    <row r="21" spans="2:8">
      <c r="B21" s="308">
        <v>7.1</v>
      </c>
      <c r="C21" s="296" t="s">
        <v>276</v>
      </c>
      <c r="D21" s="299">
        <v>1.2</v>
      </c>
      <c r="E21" s="299" t="s">
        <v>252</v>
      </c>
      <c r="F21" s="299" t="s">
        <v>234</v>
      </c>
      <c r="G21" s="300">
        <v>0</v>
      </c>
      <c r="H21" s="300"/>
    </row>
    <row r="22" spans="2:8">
      <c r="B22" s="307">
        <v>8</v>
      </c>
      <c r="C22" s="23" t="s">
        <v>77</v>
      </c>
      <c r="D22" s="22"/>
      <c r="E22" s="22"/>
      <c r="F22" s="22"/>
      <c r="G22" s="22"/>
      <c r="H22" s="22"/>
    </row>
    <row r="23" spans="2:8">
      <c r="B23" s="308">
        <v>8.1</v>
      </c>
      <c r="C23" s="297" t="s">
        <v>243</v>
      </c>
      <c r="D23" s="299" t="s">
        <v>255</v>
      </c>
      <c r="E23" s="299" t="s">
        <v>236</v>
      </c>
      <c r="F23" s="299" t="s">
        <v>256</v>
      </c>
      <c r="G23" s="300">
        <v>0</v>
      </c>
      <c r="H23" s="300"/>
    </row>
    <row r="24" spans="2:8">
      <c r="B24" s="304" t="s">
        <v>267</v>
      </c>
      <c r="C24" s="302" t="s">
        <v>263</v>
      </c>
      <c r="D24" s="299">
        <v>50</v>
      </c>
      <c r="E24" s="299" t="s">
        <v>253</v>
      </c>
      <c r="F24" s="299" t="s">
        <v>78</v>
      </c>
      <c r="G24" s="300">
        <v>0</v>
      </c>
      <c r="H24" s="300"/>
    </row>
    <row r="25" spans="2:8">
      <c r="B25" s="304" t="s">
        <v>268</v>
      </c>
      <c r="C25" s="302" t="s">
        <v>266</v>
      </c>
      <c r="D25" s="299">
        <v>4</v>
      </c>
      <c r="E25" s="299" t="s">
        <v>249</v>
      </c>
      <c r="F25" s="299" t="s">
        <v>78</v>
      </c>
      <c r="G25" s="300">
        <v>0</v>
      </c>
      <c r="H25" s="300"/>
    </row>
    <row r="26" spans="2:8">
      <c r="B26" s="308">
        <v>8.1999999999999993</v>
      </c>
      <c r="C26" s="297" t="s">
        <v>244</v>
      </c>
      <c r="D26" s="299" t="s">
        <v>255</v>
      </c>
      <c r="E26" s="299" t="s">
        <v>236</v>
      </c>
      <c r="F26" s="299" t="s">
        <v>256</v>
      </c>
      <c r="G26" s="300">
        <v>0</v>
      </c>
      <c r="H26" s="300"/>
    </row>
    <row r="27" spans="2:8">
      <c r="B27" s="304" t="s">
        <v>269</v>
      </c>
      <c r="C27" s="302" t="s">
        <v>263</v>
      </c>
      <c r="D27" s="299">
        <v>80</v>
      </c>
      <c r="E27" s="299" t="s">
        <v>253</v>
      </c>
      <c r="F27" s="299" t="s">
        <v>78</v>
      </c>
      <c r="G27" s="300">
        <v>0</v>
      </c>
      <c r="H27" s="300"/>
    </row>
    <row r="28" spans="2:8">
      <c r="B28" s="304" t="s">
        <v>270</v>
      </c>
      <c r="C28" s="302" t="s">
        <v>266</v>
      </c>
      <c r="D28" s="299">
        <v>3</v>
      </c>
      <c r="E28" s="299" t="s">
        <v>249</v>
      </c>
      <c r="F28" s="299" t="s">
        <v>78</v>
      </c>
      <c r="G28" s="300">
        <v>0</v>
      </c>
      <c r="H28" s="300"/>
    </row>
    <row r="29" spans="2:8">
      <c r="B29" s="308">
        <v>8.3000000000000007</v>
      </c>
      <c r="C29" s="297" t="s">
        <v>245</v>
      </c>
      <c r="D29" s="299" t="s">
        <v>255</v>
      </c>
      <c r="E29" s="299" t="s">
        <v>236</v>
      </c>
      <c r="F29" s="299" t="s">
        <v>256</v>
      </c>
      <c r="G29" s="300">
        <v>0</v>
      </c>
      <c r="H29" s="300"/>
    </row>
    <row r="30" spans="2:8">
      <c r="B30" s="304" t="s">
        <v>271</v>
      </c>
      <c r="C30" s="302" t="s">
        <v>263</v>
      </c>
      <c r="D30" s="299">
        <v>100</v>
      </c>
      <c r="E30" s="299" t="s">
        <v>253</v>
      </c>
      <c r="F30" s="299" t="s">
        <v>78</v>
      </c>
      <c r="G30" s="300">
        <v>0</v>
      </c>
      <c r="H30" s="300"/>
    </row>
    <row r="31" spans="2:8">
      <c r="B31" s="304" t="s">
        <v>272</v>
      </c>
      <c r="C31" s="302" t="s">
        <v>266</v>
      </c>
      <c r="D31" s="299">
        <v>10</v>
      </c>
      <c r="E31" s="299" t="s">
        <v>249</v>
      </c>
      <c r="F31" s="299" t="s">
        <v>78</v>
      </c>
      <c r="G31" s="300">
        <v>0</v>
      </c>
      <c r="H31" s="300"/>
    </row>
    <row r="32" spans="2:8">
      <c r="B32" s="307">
        <v>9</v>
      </c>
      <c r="C32" s="23" t="s">
        <v>2</v>
      </c>
      <c r="D32" s="22"/>
      <c r="E32" s="22"/>
      <c r="F32" s="22"/>
      <c r="G32" s="22"/>
      <c r="H32" s="22"/>
    </row>
    <row r="33" spans="2:8">
      <c r="B33" s="308">
        <v>9.1</v>
      </c>
      <c r="C33" s="296" t="s">
        <v>273</v>
      </c>
      <c r="D33" s="300">
        <v>10</v>
      </c>
      <c r="E33" s="299" t="s">
        <v>219</v>
      </c>
      <c r="F33" s="299" t="s">
        <v>78</v>
      </c>
      <c r="G33" s="300">
        <v>0</v>
      </c>
      <c r="H33" s="300"/>
    </row>
    <row r="34" spans="2:8">
      <c r="B34" s="308">
        <v>9.1999999999999993</v>
      </c>
      <c r="C34" s="296" t="s">
        <v>274</v>
      </c>
      <c r="D34" s="300">
        <v>1000</v>
      </c>
      <c r="E34" s="299" t="s">
        <v>275</v>
      </c>
      <c r="F34" s="299" t="s">
        <v>78</v>
      </c>
      <c r="G34" s="300">
        <v>0</v>
      </c>
      <c r="H34" s="300"/>
    </row>
    <row r="35" spans="2:8">
      <c r="B35" s="308">
        <v>9.3000000000000007</v>
      </c>
      <c r="C35" s="296" t="s">
        <v>75</v>
      </c>
      <c r="D35" s="300">
        <v>150</v>
      </c>
      <c r="E35" s="299" t="s">
        <v>219</v>
      </c>
      <c r="F35" s="299" t="s">
        <v>78</v>
      </c>
      <c r="G35" s="300">
        <v>0</v>
      </c>
      <c r="H35" s="300"/>
    </row>
  </sheetData>
  <mergeCells count="2">
    <mergeCell ref="B2:C2"/>
    <mergeCell ref="D2:H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1:M47"/>
  <sheetViews>
    <sheetView workbookViewId="0"/>
  </sheetViews>
  <sheetFormatPr defaultRowHeight="15"/>
  <cols>
    <col min="1" max="1" width="3.5703125" customWidth="1"/>
    <col min="2" max="2" width="5.42578125" customWidth="1"/>
    <col min="3" max="3" width="30.85546875" bestFit="1" customWidth="1"/>
    <col min="4" max="13" width="18.5703125" style="10" bestFit="1" customWidth="1"/>
  </cols>
  <sheetData>
    <row r="1" spans="2:13" ht="10.5" customHeight="1"/>
    <row r="2" spans="2:13">
      <c r="D2" s="346" t="s">
        <v>281</v>
      </c>
      <c r="E2" s="346" t="s">
        <v>282</v>
      </c>
      <c r="F2" s="346" t="s">
        <v>283</v>
      </c>
      <c r="G2" s="346" t="s">
        <v>284</v>
      </c>
      <c r="H2" s="346" t="s">
        <v>285</v>
      </c>
      <c r="I2" s="346" t="s">
        <v>286</v>
      </c>
      <c r="J2" s="346" t="s">
        <v>287</v>
      </c>
      <c r="K2" s="346" t="s">
        <v>288</v>
      </c>
      <c r="L2" s="346" t="s">
        <v>289</v>
      </c>
      <c r="M2" s="346" t="s">
        <v>290</v>
      </c>
    </row>
    <row r="3" spans="2:13">
      <c r="B3" s="372" t="s">
        <v>107</v>
      </c>
      <c r="C3" s="347" t="s">
        <v>37</v>
      </c>
    </row>
    <row r="4" spans="2:13">
      <c r="B4" s="373"/>
      <c r="C4" s="348" t="s">
        <v>6</v>
      </c>
      <c r="D4" s="10" t="s">
        <v>8</v>
      </c>
      <c r="E4" s="10" t="s">
        <v>7</v>
      </c>
      <c r="F4" s="10" t="s">
        <v>8</v>
      </c>
      <c r="G4" s="10" t="s">
        <v>8</v>
      </c>
      <c r="H4" s="10" t="s">
        <v>7</v>
      </c>
      <c r="I4" s="10" t="s">
        <v>7</v>
      </c>
      <c r="J4" s="10" t="s">
        <v>8</v>
      </c>
      <c r="K4" s="10" t="s">
        <v>8</v>
      </c>
      <c r="L4" s="10" t="s">
        <v>7</v>
      </c>
      <c r="M4" s="10" t="s">
        <v>7</v>
      </c>
    </row>
    <row r="5" spans="2:13">
      <c r="B5" s="373"/>
      <c r="C5" s="347" t="s">
        <v>31</v>
      </c>
    </row>
    <row r="6" spans="2:13">
      <c r="B6" s="373"/>
      <c r="C6" s="348" t="s">
        <v>35</v>
      </c>
      <c r="D6" s="10" t="s">
        <v>25</v>
      </c>
      <c r="E6" s="10" t="s">
        <v>32</v>
      </c>
      <c r="F6" s="10" t="s">
        <v>24</v>
      </c>
      <c r="G6" s="10" t="s">
        <v>25</v>
      </c>
      <c r="H6" s="10" t="s">
        <v>26</v>
      </c>
      <c r="I6" s="10" t="s">
        <v>25</v>
      </c>
      <c r="J6" s="10" t="s">
        <v>32</v>
      </c>
      <c r="K6" s="10" t="s">
        <v>32</v>
      </c>
      <c r="L6" s="10" t="s">
        <v>25</v>
      </c>
      <c r="M6" s="10" t="s">
        <v>26</v>
      </c>
    </row>
    <row r="7" spans="2:13">
      <c r="B7" s="373"/>
      <c r="C7" s="347" t="s">
        <v>30</v>
      </c>
    </row>
    <row r="8" spans="2:13">
      <c r="B8" s="373"/>
      <c r="C8" s="348" t="s">
        <v>23</v>
      </c>
      <c r="D8" s="10" t="s">
        <v>21</v>
      </c>
      <c r="E8" s="10" t="s">
        <v>22</v>
      </c>
      <c r="F8" s="10" t="s">
        <v>22</v>
      </c>
      <c r="G8" s="10" t="s">
        <v>21</v>
      </c>
      <c r="H8" s="10" t="s">
        <v>21</v>
      </c>
      <c r="I8" s="10" t="s">
        <v>21</v>
      </c>
      <c r="J8" s="10" t="s">
        <v>22</v>
      </c>
      <c r="K8" s="10" t="s">
        <v>22</v>
      </c>
      <c r="L8" s="10" t="s">
        <v>21</v>
      </c>
      <c r="M8" s="10" t="s">
        <v>21</v>
      </c>
    </row>
    <row r="9" spans="2:13">
      <c r="B9" s="373"/>
      <c r="C9" s="348" t="s">
        <v>9</v>
      </c>
      <c r="D9" s="10" t="s">
        <v>10</v>
      </c>
      <c r="E9" s="10" t="s">
        <v>10</v>
      </c>
      <c r="F9" s="10" t="s">
        <v>11</v>
      </c>
      <c r="G9" s="10" t="s">
        <v>12</v>
      </c>
      <c r="H9" s="10" t="s">
        <v>11</v>
      </c>
      <c r="I9" s="10" t="s">
        <v>10</v>
      </c>
      <c r="J9" s="10" t="s">
        <v>10</v>
      </c>
      <c r="K9" s="10" t="s">
        <v>11</v>
      </c>
      <c r="L9" s="10" t="s">
        <v>12</v>
      </c>
      <c r="M9" s="10" t="s">
        <v>11</v>
      </c>
    </row>
    <row r="10" spans="2:13">
      <c r="B10" s="373"/>
      <c r="C10" s="348" t="s">
        <v>13</v>
      </c>
      <c r="D10" s="10" t="s">
        <v>17</v>
      </c>
      <c r="E10" s="10" t="s">
        <v>17</v>
      </c>
      <c r="F10" s="10" t="s">
        <v>17</v>
      </c>
      <c r="G10" s="10" t="s">
        <v>17</v>
      </c>
      <c r="H10" s="10" t="s">
        <v>17</v>
      </c>
      <c r="I10" s="10" t="s">
        <v>17</v>
      </c>
      <c r="J10" s="10" t="s">
        <v>17</v>
      </c>
      <c r="K10" s="10" t="s">
        <v>17</v>
      </c>
      <c r="L10" s="10" t="s">
        <v>17</v>
      </c>
      <c r="M10" s="10" t="s">
        <v>17</v>
      </c>
    </row>
    <row r="11" spans="2:13">
      <c r="B11" s="373"/>
      <c r="C11" s="348" t="s">
        <v>14</v>
      </c>
      <c r="D11" s="10" t="s">
        <v>16</v>
      </c>
      <c r="E11" s="10" t="s">
        <v>15</v>
      </c>
      <c r="F11" s="10" t="s">
        <v>16</v>
      </c>
      <c r="G11" s="10" t="s">
        <v>16</v>
      </c>
      <c r="H11" s="10" t="s">
        <v>15</v>
      </c>
      <c r="I11" s="10" t="s">
        <v>15</v>
      </c>
      <c r="J11" s="10" t="s">
        <v>16</v>
      </c>
      <c r="K11" s="10" t="s">
        <v>16</v>
      </c>
      <c r="L11" s="10" t="s">
        <v>15</v>
      </c>
      <c r="M11" s="10" t="s">
        <v>15</v>
      </c>
    </row>
    <row r="12" spans="2:13">
      <c r="B12" s="373"/>
      <c r="C12" s="347" t="s">
        <v>18</v>
      </c>
    </row>
    <row r="13" spans="2:13">
      <c r="B13" s="373"/>
      <c r="C13" s="348" t="s">
        <v>34</v>
      </c>
      <c r="D13" s="10" t="s">
        <v>19</v>
      </c>
      <c r="E13" s="10" t="s">
        <v>20</v>
      </c>
      <c r="F13" s="10" t="s">
        <v>19</v>
      </c>
      <c r="G13" s="10" t="s">
        <v>20</v>
      </c>
      <c r="H13" s="10" t="s">
        <v>19</v>
      </c>
      <c r="I13" s="10" t="s">
        <v>19</v>
      </c>
      <c r="J13" s="10" t="s">
        <v>20</v>
      </c>
      <c r="K13" s="10" t="s">
        <v>19</v>
      </c>
      <c r="L13" s="10" t="s">
        <v>20</v>
      </c>
      <c r="M13" s="10" t="s">
        <v>19</v>
      </c>
    </row>
    <row r="14" spans="2:13">
      <c r="B14" s="373"/>
      <c r="C14" s="347" t="s">
        <v>297</v>
      </c>
    </row>
    <row r="15" spans="2:13">
      <c r="B15" s="373"/>
      <c r="C15" s="348" t="s">
        <v>27</v>
      </c>
      <c r="D15" s="10" t="s">
        <v>28</v>
      </c>
      <c r="E15" s="10" t="s">
        <v>28</v>
      </c>
      <c r="F15" s="10" t="s">
        <v>29</v>
      </c>
      <c r="G15" s="10" t="s">
        <v>29</v>
      </c>
      <c r="H15" s="10" t="s">
        <v>28</v>
      </c>
      <c r="I15" s="10" t="s">
        <v>28</v>
      </c>
      <c r="J15" s="10" t="s">
        <v>28</v>
      </c>
      <c r="K15" s="10" t="s">
        <v>29</v>
      </c>
      <c r="L15" s="10" t="s">
        <v>29</v>
      </c>
      <c r="M15" s="10" t="s">
        <v>28</v>
      </c>
    </row>
    <row r="16" spans="2:13">
      <c r="B16" s="373"/>
      <c r="C16" s="347" t="s">
        <v>33</v>
      </c>
    </row>
    <row r="17" spans="2:13">
      <c r="B17" s="373"/>
      <c r="C17" s="348" t="s">
        <v>36</v>
      </c>
      <c r="D17" s="10">
        <v>3</v>
      </c>
      <c r="E17" s="10">
        <v>4</v>
      </c>
      <c r="F17" s="10">
        <v>2</v>
      </c>
      <c r="G17" s="10">
        <v>3</v>
      </c>
      <c r="H17" s="10">
        <v>2</v>
      </c>
      <c r="I17" s="10">
        <v>3</v>
      </c>
      <c r="J17" s="10">
        <v>4</v>
      </c>
      <c r="K17" s="10">
        <v>2</v>
      </c>
      <c r="L17" s="10">
        <v>3</v>
      </c>
      <c r="M17" s="10">
        <v>2</v>
      </c>
    </row>
    <row r="18" spans="2:13">
      <c r="B18" s="373"/>
      <c r="C18" s="348" t="s">
        <v>38</v>
      </c>
      <c r="D18" s="10">
        <v>8</v>
      </c>
      <c r="E18" s="10">
        <v>10</v>
      </c>
      <c r="F18" s="10">
        <v>10</v>
      </c>
      <c r="G18" s="10">
        <v>4</v>
      </c>
      <c r="H18" s="10">
        <v>8</v>
      </c>
      <c r="I18" s="10">
        <v>8</v>
      </c>
      <c r="J18" s="10">
        <v>10</v>
      </c>
      <c r="K18" s="10">
        <v>10</v>
      </c>
      <c r="L18" s="10">
        <v>4</v>
      </c>
      <c r="M18" s="10">
        <v>8</v>
      </c>
    </row>
    <row r="19" spans="2:13" ht="15" customHeight="1">
      <c r="B19" s="374" t="s">
        <v>108</v>
      </c>
      <c r="C19" s="23" t="s">
        <v>262</v>
      </c>
    </row>
    <row r="20" spans="2:13">
      <c r="B20" s="374"/>
      <c r="C20" s="297" t="s">
        <v>265</v>
      </c>
      <c r="D20" s="10">
        <v>3</v>
      </c>
      <c r="E20" s="10">
        <v>4</v>
      </c>
      <c r="F20" s="10">
        <v>2</v>
      </c>
      <c r="G20" s="10">
        <v>3</v>
      </c>
      <c r="H20" s="10">
        <v>2</v>
      </c>
      <c r="I20" s="10">
        <v>3</v>
      </c>
      <c r="J20" s="10">
        <v>4</v>
      </c>
      <c r="K20" s="10">
        <v>2</v>
      </c>
      <c r="L20" s="10">
        <v>3</v>
      </c>
      <c r="M20" s="10">
        <v>2</v>
      </c>
    </row>
    <row r="21" spans="2:13">
      <c r="B21" s="374"/>
      <c r="C21" s="297" t="s">
        <v>264</v>
      </c>
      <c r="D21" s="10">
        <v>8</v>
      </c>
      <c r="E21" s="10">
        <v>10</v>
      </c>
      <c r="F21" s="10">
        <v>10</v>
      </c>
      <c r="G21" s="10">
        <v>4</v>
      </c>
      <c r="H21" s="10">
        <v>8</v>
      </c>
      <c r="I21" s="10">
        <v>8</v>
      </c>
      <c r="J21" s="10">
        <v>10</v>
      </c>
      <c r="K21" s="10">
        <v>10</v>
      </c>
      <c r="L21" s="10">
        <v>4</v>
      </c>
      <c r="M21" s="10">
        <v>8</v>
      </c>
    </row>
    <row r="22" spans="2:13">
      <c r="B22" s="374"/>
      <c r="C22" s="23" t="s">
        <v>261</v>
      </c>
      <c r="D22" s="10">
        <v>6</v>
      </c>
      <c r="E22" s="10">
        <v>7</v>
      </c>
      <c r="F22" s="10">
        <v>7</v>
      </c>
      <c r="G22" s="10">
        <v>8</v>
      </c>
      <c r="H22" s="10">
        <v>4</v>
      </c>
      <c r="I22" s="10">
        <v>6</v>
      </c>
      <c r="J22" s="10">
        <v>7</v>
      </c>
      <c r="K22" s="10">
        <v>7</v>
      </c>
      <c r="L22" s="10">
        <v>8</v>
      </c>
      <c r="M22" s="10">
        <v>4</v>
      </c>
    </row>
    <row r="23" spans="2:13">
      <c r="B23" s="374"/>
      <c r="C23" s="23" t="s">
        <v>0</v>
      </c>
    </row>
    <row r="24" spans="2:13">
      <c r="B24" s="374"/>
      <c r="C24" s="297" t="s">
        <v>237</v>
      </c>
      <c r="D24" s="344">
        <v>30</v>
      </c>
      <c r="E24" s="344">
        <v>32</v>
      </c>
      <c r="F24" s="344">
        <v>35</v>
      </c>
      <c r="G24" s="344">
        <v>40</v>
      </c>
      <c r="H24" s="344">
        <v>50</v>
      </c>
      <c r="I24" s="344">
        <v>30</v>
      </c>
      <c r="J24" s="344">
        <v>32</v>
      </c>
      <c r="K24" s="344">
        <v>35</v>
      </c>
      <c r="L24" s="344">
        <v>40</v>
      </c>
      <c r="M24" s="344">
        <v>50</v>
      </c>
    </row>
    <row r="25" spans="2:13">
      <c r="B25" s="374"/>
      <c r="C25" s="297" t="s">
        <v>238</v>
      </c>
      <c r="D25" s="344">
        <v>50</v>
      </c>
      <c r="E25" s="344">
        <v>45</v>
      </c>
      <c r="F25" s="344">
        <v>55</v>
      </c>
      <c r="G25" s="344">
        <v>57</v>
      </c>
      <c r="H25" s="344">
        <v>70</v>
      </c>
      <c r="I25" s="344">
        <v>50</v>
      </c>
      <c r="J25" s="344">
        <v>45</v>
      </c>
      <c r="K25" s="344">
        <v>55</v>
      </c>
      <c r="L25" s="344">
        <v>57</v>
      </c>
      <c r="M25" s="344">
        <v>70</v>
      </c>
    </row>
    <row r="26" spans="2:13">
      <c r="B26" s="374"/>
      <c r="C26" s="297" t="s">
        <v>109</v>
      </c>
      <c r="D26" s="344">
        <v>8</v>
      </c>
      <c r="E26" s="344">
        <v>5</v>
      </c>
      <c r="F26" s="344">
        <v>7</v>
      </c>
      <c r="G26" s="344">
        <v>6</v>
      </c>
      <c r="H26" s="344">
        <v>4</v>
      </c>
      <c r="I26" s="344">
        <v>8</v>
      </c>
      <c r="J26" s="344">
        <v>5</v>
      </c>
      <c r="K26" s="344">
        <v>7</v>
      </c>
      <c r="L26" s="344">
        <v>6</v>
      </c>
      <c r="M26" s="344">
        <v>4</v>
      </c>
    </row>
    <row r="27" spans="2:13">
      <c r="B27" s="374"/>
      <c r="C27" s="297" t="s">
        <v>239</v>
      </c>
      <c r="D27" s="344">
        <v>24</v>
      </c>
      <c r="E27" s="344">
        <v>20</v>
      </c>
      <c r="F27" s="344">
        <v>35</v>
      </c>
      <c r="G27" s="344">
        <v>40</v>
      </c>
      <c r="H27" s="344">
        <v>15</v>
      </c>
      <c r="I27" s="344">
        <v>24</v>
      </c>
      <c r="J27" s="344">
        <v>20</v>
      </c>
      <c r="K27" s="344">
        <v>35</v>
      </c>
      <c r="L27" s="344">
        <v>40</v>
      </c>
      <c r="M27" s="344">
        <v>15</v>
      </c>
    </row>
    <row r="28" spans="2:13">
      <c r="B28" s="374"/>
      <c r="C28" s="297" t="s">
        <v>240</v>
      </c>
      <c r="D28" s="344">
        <v>0.7</v>
      </c>
      <c r="E28" s="344">
        <v>0.9</v>
      </c>
      <c r="F28" s="344">
        <v>0.5</v>
      </c>
      <c r="G28" s="344">
        <v>1.2</v>
      </c>
      <c r="H28" s="344">
        <v>0.9</v>
      </c>
      <c r="I28" s="344">
        <v>0.7</v>
      </c>
      <c r="J28" s="344">
        <v>0.9</v>
      </c>
      <c r="K28" s="344">
        <v>0.5</v>
      </c>
      <c r="L28" s="344">
        <v>1.2</v>
      </c>
      <c r="M28" s="344">
        <v>0.9</v>
      </c>
    </row>
    <row r="29" spans="2:13">
      <c r="B29" s="374"/>
      <c r="C29" s="297" t="s">
        <v>67</v>
      </c>
      <c r="D29" s="344">
        <v>350</v>
      </c>
      <c r="E29" s="344">
        <v>305</v>
      </c>
      <c r="F29" s="344">
        <v>288</v>
      </c>
      <c r="G29" s="344">
        <v>410</v>
      </c>
      <c r="H29" s="344">
        <v>550</v>
      </c>
      <c r="I29" s="344">
        <v>350</v>
      </c>
      <c r="J29" s="344">
        <v>305</v>
      </c>
      <c r="K29" s="344">
        <v>288</v>
      </c>
      <c r="L29" s="344">
        <v>410</v>
      </c>
      <c r="M29" s="344">
        <v>550</v>
      </c>
    </row>
    <row r="30" spans="2:13">
      <c r="B30" s="374"/>
      <c r="C30" s="297" t="s">
        <v>242</v>
      </c>
      <c r="D30" s="344">
        <v>15</v>
      </c>
      <c r="E30" s="344">
        <v>10</v>
      </c>
      <c r="F30" s="344">
        <v>12</v>
      </c>
      <c r="G30" s="344">
        <v>14.7</v>
      </c>
      <c r="H30" s="344">
        <v>12</v>
      </c>
      <c r="I30" s="344">
        <v>15</v>
      </c>
      <c r="J30" s="344">
        <v>10</v>
      </c>
      <c r="K30" s="344">
        <v>12</v>
      </c>
      <c r="L30" s="344">
        <v>14.7</v>
      </c>
      <c r="M30" s="344">
        <v>12</v>
      </c>
    </row>
    <row r="31" spans="2:13">
      <c r="B31" s="374"/>
      <c r="C31" s="23" t="s">
        <v>260</v>
      </c>
    </row>
    <row r="32" spans="2:13">
      <c r="B32" s="374"/>
      <c r="C32" s="296" t="s">
        <v>277</v>
      </c>
      <c r="D32" s="344">
        <v>42</v>
      </c>
      <c r="E32" s="344">
        <v>38</v>
      </c>
      <c r="F32" s="344">
        <v>40</v>
      </c>
      <c r="G32" s="344">
        <v>48</v>
      </c>
      <c r="H32" s="344">
        <v>39</v>
      </c>
      <c r="I32" s="344">
        <v>42</v>
      </c>
      <c r="J32" s="344">
        <v>38</v>
      </c>
      <c r="K32" s="344">
        <v>40</v>
      </c>
      <c r="L32" s="344">
        <v>48</v>
      </c>
      <c r="M32" s="344">
        <v>39</v>
      </c>
    </row>
    <row r="33" spans="2:13">
      <c r="B33" s="374"/>
      <c r="C33" s="23" t="s">
        <v>241</v>
      </c>
      <c r="D33" s="344">
        <v>2.2999999999999998</v>
      </c>
      <c r="E33" s="344">
        <v>3.2</v>
      </c>
      <c r="F33" s="344">
        <v>4</v>
      </c>
      <c r="G33" s="344">
        <v>2.8</v>
      </c>
      <c r="H33" s="344">
        <v>3.5</v>
      </c>
      <c r="I33" s="344">
        <v>2.2999999999999998</v>
      </c>
      <c r="J33" s="344">
        <v>3.2</v>
      </c>
      <c r="K33" s="344">
        <v>4</v>
      </c>
      <c r="L33" s="344">
        <v>2.8</v>
      </c>
      <c r="M33" s="344">
        <v>3.5</v>
      </c>
    </row>
    <row r="34" spans="2:13">
      <c r="B34" s="374"/>
      <c r="C34" s="23" t="s">
        <v>246</v>
      </c>
      <c r="D34" s="10" t="s">
        <v>21</v>
      </c>
      <c r="E34" s="10" t="s">
        <v>22</v>
      </c>
      <c r="F34" s="10" t="s">
        <v>22</v>
      </c>
      <c r="G34" s="10" t="s">
        <v>21</v>
      </c>
      <c r="H34" s="10" t="s">
        <v>21</v>
      </c>
      <c r="I34" s="10" t="s">
        <v>21</v>
      </c>
      <c r="J34" s="10" t="s">
        <v>22</v>
      </c>
      <c r="K34" s="10" t="s">
        <v>22</v>
      </c>
      <c r="L34" s="10" t="s">
        <v>21</v>
      </c>
      <c r="M34" s="10" t="s">
        <v>21</v>
      </c>
    </row>
    <row r="35" spans="2:13">
      <c r="B35" s="374"/>
      <c r="C35" s="23" t="s">
        <v>1</v>
      </c>
    </row>
    <row r="36" spans="2:13">
      <c r="B36" s="374"/>
      <c r="C36" s="296" t="s">
        <v>276</v>
      </c>
      <c r="D36" s="10">
        <v>1.3</v>
      </c>
      <c r="E36" s="10">
        <v>1.5</v>
      </c>
      <c r="F36" s="10">
        <v>0.9</v>
      </c>
      <c r="G36" s="10">
        <v>1.25</v>
      </c>
      <c r="H36" s="10">
        <v>1.33</v>
      </c>
      <c r="I36" s="10">
        <v>2</v>
      </c>
      <c r="J36" s="10">
        <v>0.88</v>
      </c>
      <c r="K36" s="10">
        <v>1.1100000000000001</v>
      </c>
      <c r="L36" s="10">
        <v>1.1499999999999999</v>
      </c>
      <c r="M36" s="10">
        <v>1.85</v>
      </c>
    </row>
    <row r="37" spans="2:13">
      <c r="B37" s="374"/>
      <c r="C37" s="23" t="s">
        <v>77</v>
      </c>
    </row>
    <row r="38" spans="2:13">
      <c r="B38" s="374"/>
      <c r="C38" s="296" t="s">
        <v>294</v>
      </c>
    </row>
    <row r="39" spans="2:13">
      <c r="B39" s="374"/>
      <c r="C39" s="296" t="s">
        <v>295</v>
      </c>
    </row>
    <row r="40" spans="2:13">
      <c r="B40" s="374"/>
      <c r="C40" s="296" t="s">
        <v>296</v>
      </c>
    </row>
    <row r="41" spans="2:13">
      <c r="B41" s="374"/>
      <c r="C41" s="297" t="s">
        <v>243</v>
      </c>
      <c r="D41" s="10" t="s">
        <v>255</v>
      </c>
      <c r="E41" s="10" t="s">
        <v>255</v>
      </c>
      <c r="F41" s="10" t="s">
        <v>278</v>
      </c>
      <c r="G41" s="10" t="s">
        <v>255</v>
      </c>
      <c r="H41" s="10" t="s">
        <v>278</v>
      </c>
      <c r="I41" s="10" t="s">
        <v>255</v>
      </c>
      <c r="J41" s="10" t="s">
        <v>255</v>
      </c>
      <c r="K41" s="10" t="s">
        <v>278</v>
      </c>
      <c r="L41" s="10" t="s">
        <v>255</v>
      </c>
      <c r="M41" s="10" t="s">
        <v>278</v>
      </c>
    </row>
    <row r="42" spans="2:13">
      <c r="B42" s="374"/>
      <c r="C42" s="297" t="s">
        <v>244</v>
      </c>
      <c r="D42" s="10" t="s">
        <v>255</v>
      </c>
      <c r="E42" s="10" t="s">
        <v>255</v>
      </c>
      <c r="F42" s="10" t="s">
        <v>255</v>
      </c>
      <c r="G42" s="10" t="s">
        <v>255</v>
      </c>
      <c r="H42" s="10" t="s">
        <v>278</v>
      </c>
      <c r="I42" s="10" t="s">
        <v>255</v>
      </c>
      <c r="J42" s="10" t="s">
        <v>255</v>
      </c>
      <c r="K42" s="10" t="s">
        <v>255</v>
      </c>
      <c r="L42" s="10" t="s">
        <v>255</v>
      </c>
      <c r="M42" s="10" t="s">
        <v>278</v>
      </c>
    </row>
    <row r="43" spans="2:13">
      <c r="B43" s="374"/>
      <c r="C43" s="297" t="s">
        <v>245</v>
      </c>
      <c r="D43" s="10" t="s">
        <v>255</v>
      </c>
      <c r="E43" s="10" t="s">
        <v>255</v>
      </c>
      <c r="F43" s="10" t="s">
        <v>255</v>
      </c>
      <c r="G43" s="10" t="s">
        <v>255</v>
      </c>
      <c r="H43" s="10" t="s">
        <v>255</v>
      </c>
      <c r="I43" s="10" t="s">
        <v>255</v>
      </c>
      <c r="J43" s="10" t="s">
        <v>255</v>
      </c>
      <c r="K43" s="10" t="s">
        <v>255</v>
      </c>
      <c r="L43" s="10" t="s">
        <v>255</v>
      </c>
      <c r="M43" s="10" t="s">
        <v>255</v>
      </c>
    </row>
    <row r="44" spans="2:13">
      <c r="B44" s="374"/>
      <c r="C44" s="23" t="s">
        <v>2</v>
      </c>
    </row>
    <row r="45" spans="2:13">
      <c r="B45" s="374"/>
      <c r="C45" s="296" t="s">
        <v>273</v>
      </c>
      <c r="D45" s="344">
        <v>8</v>
      </c>
      <c r="E45" s="344">
        <v>12</v>
      </c>
      <c r="F45" s="344">
        <v>9</v>
      </c>
      <c r="G45" s="344">
        <v>15</v>
      </c>
      <c r="H45" s="344">
        <v>18</v>
      </c>
      <c r="I45" s="344">
        <v>8</v>
      </c>
      <c r="J45" s="344">
        <v>12</v>
      </c>
      <c r="K45" s="344">
        <v>9</v>
      </c>
      <c r="L45" s="344">
        <v>15</v>
      </c>
      <c r="M45" s="344">
        <v>18</v>
      </c>
    </row>
    <row r="46" spans="2:13">
      <c r="B46" s="374"/>
      <c r="C46" s="296" t="s">
        <v>274</v>
      </c>
      <c r="D46" s="344">
        <v>1000</v>
      </c>
      <c r="E46" s="344">
        <v>1200</v>
      </c>
      <c r="F46" s="344">
        <v>994</v>
      </c>
      <c r="G46" s="344">
        <v>1105</v>
      </c>
      <c r="H46" s="344">
        <v>1027</v>
      </c>
      <c r="I46" s="344">
        <v>1000</v>
      </c>
      <c r="J46" s="344">
        <v>1200</v>
      </c>
      <c r="K46" s="344">
        <v>994</v>
      </c>
      <c r="L46" s="344">
        <v>1105</v>
      </c>
      <c r="M46" s="344">
        <v>1027</v>
      </c>
    </row>
    <row r="47" spans="2:13">
      <c r="B47" s="374"/>
      <c r="C47" s="296" t="s">
        <v>75</v>
      </c>
      <c r="D47" s="344">
        <v>150</v>
      </c>
      <c r="E47" s="344">
        <v>120</v>
      </c>
      <c r="F47" s="344">
        <v>90</v>
      </c>
      <c r="G47" s="344">
        <v>130</v>
      </c>
      <c r="H47" s="344">
        <v>140</v>
      </c>
      <c r="I47" s="344">
        <v>150</v>
      </c>
      <c r="J47" s="344">
        <v>120</v>
      </c>
      <c r="K47" s="344">
        <v>90</v>
      </c>
      <c r="L47" s="344">
        <v>130</v>
      </c>
      <c r="M47" s="344">
        <v>140</v>
      </c>
    </row>
  </sheetData>
  <mergeCells count="2">
    <mergeCell ref="B3:B18"/>
    <mergeCell ref="B19:B4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91"/>
  <sheetViews>
    <sheetView topLeftCell="A64" workbookViewId="0">
      <selection activeCell="G77" sqref="G77"/>
    </sheetView>
  </sheetViews>
  <sheetFormatPr defaultRowHeight="15"/>
  <cols>
    <col min="1" max="1" width="30.140625" bestFit="1" customWidth="1"/>
    <col min="2" max="2" width="12.85546875" bestFit="1" customWidth="1"/>
    <col min="3" max="3" width="13.5703125" bestFit="1" customWidth="1"/>
    <col min="4" max="6" width="11.5703125" bestFit="1" customWidth="1"/>
    <col min="7" max="7" width="12.5703125" bestFit="1" customWidth="1"/>
  </cols>
  <sheetData>
    <row r="1" spans="1:8" ht="18.75">
      <c r="A1" s="6"/>
    </row>
    <row r="2" spans="1:8" ht="18.75">
      <c r="A2" s="6" t="s">
        <v>58</v>
      </c>
    </row>
    <row r="3" spans="1:8">
      <c r="A3" s="7" t="s">
        <v>44</v>
      </c>
    </row>
    <row r="4" spans="1:8">
      <c r="B4" t="s">
        <v>45</v>
      </c>
    </row>
    <row r="5" spans="1:8">
      <c r="A5" t="str">
        <f>Dashboard!B8</f>
        <v>Mobility</v>
      </c>
      <c r="B5" s="8">
        <f>Dashboard!$D8/SUM(Dashboard!$D$8:$D$12)</f>
        <v>0.2</v>
      </c>
      <c r="C5" t="s">
        <v>46</v>
      </c>
    </row>
    <row r="6" spans="1:8">
      <c r="A6" t="str">
        <f>Dashboard!B9</f>
        <v>Survivability</v>
      </c>
      <c r="B6" s="8">
        <f>Dashboard!$D9/SUM(Dashboard!$D$8:$D$12)</f>
        <v>0.2</v>
      </c>
      <c r="C6" t="s">
        <v>46</v>
      </c>
    </row>
    <row r="7" spans="1:8">
      <c r="A7" t="str">
        <f>Dashboard!B10</f>
        <v>Manufacturability</v>
      </c>
      <c r="B7" s="8">
        <f>Dashboard!$D10/SUM(Dashboard!$D$8:$D$12)</f>
        <v>0.2</v>
      </c>
      <c r="C7" t="s">
        <v>47</v>
      </c>
    </row>
    <row r="8" spans="1:8">
      <c r="A8" t="str">
        <f>Dashboard!B12</f>
        <v>Complexity</v>
      </c>
      <c r="B8" s="8">
        <f>Dashboard!$D12/SUM(Dashboard!$D$8:$D$12)</f>
        <v>0.2</v>
      </c>
      <c r="C8" t="s">
        <v>47</v>
      </c>
    </row>
    <row r="9" spans="1:8">
      <c r="B9" s="8"/>
    </row>
    <row r="10" spans="1:8">
      <c r="A10" t="s">
        <v>48</v>
      </c>
      <c r="B10" s="8">
        <f>SUM(B5:B8)</f>
        <v>0.8</v>
      </c>
    </row>
    <row r="13" spans="1:8" s="10" customFormat="1">
      <c r="A13" s="9" t="s">
        <v>49</v>
      </c>
      <c r="B13" s="10">
        <v>1</v>
      </c>
      <c r="C13" s="10">
        <v>2</v>
      </c>
      <c r="D13" s="10">
        <v>3</v>
      </c>
      <c r="E13" s="10">
        <v>4</v>
      </c>
      <c r="F13" s="10">
        <v>5</v>
      </c>
      <c r="G13" s="10" t="s">
        <v>50</v>
      </c>
      <c r="H13" s="10" t="s">
        <v>78</v>
      </c>
    </row>
    <row r="14" spans="1:8">
      <c r="A14" t="s">
        <v>66</v>
      </c>
      <c r="B14">
        <f>'Concept Database'!D19</f>
        <v>0</v>
      </c>
      <c r="C14">
        <f>'Concept Database'!E19</f>
        <v>0</v>
      </c>
      <c r="D14">
        <f>'Concept Database'!F19</f>
        <v>0</v>
      </c>
      <c r="E14">
        <f>'Concept Database'!G19</f>
        <v>0</v>
      </c>
      <c r="F14">
        <f>'Concept Database'!H19</f>
        <v>0</v>
      </c>
      <c r="G14">
        <f>SQRT(SUMSQ(B14:F14))</f>
        <v>0</v>
      </c>
    </row>
    <row r="15" spans="1:8">
      <c r="A15" t="s">
        <v>67</v>
      </c>
      <c r="B15">
        <f>'Concept Database'!D20</f>
        <v>3</v>
      </c>
      <c r="C15">
        <f>'Concept Database'!E20</f>
        <v>4</v>
      </c>
      <c r="D15">
        <f>'Concept Database'!F20</f>
        <v>2</v>
      </c>
      <c r="E15">
        <f>'Concept Database'!G20</f>
        <v>3</v>
      </c>
      <c r="F15">
        <f>'Concept Database'!H20</f>
        <v>2</v>
      </c>
      <c r="G15">
        <f t="shared" ref="G15:G27" si="0">SQRT(SUMSQ(B15:F15))</f>
        <v>6.4807406984078604</v>
      </c>
    </row>
    <row r="16" spans="1:8">
      <c r="A16" t="s">
        <v>68</v>
      </c>
      <c r="B16">
        <f>'Concept Database'!D21</f>
        <v>8</v>
      </c>
      <c r="C16">
        <f>'Concept Database'!E21</f>
        <v>10</v>
      </c>
      <c r="D16">
        <f>'Concept Database'!F21</f>
        <v>10</v>
      </c>
      <c r="E16">
        <f>'Concept Database'!G21</f>
        <v>4</v>
      </c>
      <c r="F16">
        <f>'Concept Database'!H21</f>
        <v>8</v>
      </c>
      <c r="G16">
        <f t="shared" si="0"/>
        <v>18.547236990991408</v>
      </c>
    </row>
    <row r="17" spans="1:7">
      <c r="A17" t="s">
        <v>69</v>
      </c>
      <c r="B17">
        <f>'Concept Database'!D22</f>
        <v>6</v>
      </c>
      <c r="C17">
        <f>'Concept Database'!E22</f>
        <v>7</v>
      </c>
      <c r="D17">
        <f>'Concept Database'!F22</f>
        <v>7</v>
      </c>
      <c r="E17">
        <f>'Concept Database'!G22</f>
        <v>8</v>
      </c>
      <c r="F17">
        <f>'Concept Database'!H22</f>
        <v>4</v>
      </c>
      <c r="G17">
        <f t="shared" si="0"/>
        <v>14.628738838327793</v>
      </c>
    </row>
    <row r="18" spans="1:7">
      <c r="A18" t="s">
        <v>70</v>
      </c>
      <c r="B18">
        <f>'Concept Database'!D23</f>
        <v>0</v>
      </c>
      <c r="C18">
        <f>'Concept Database'!E23</f>
        <v>0</v>
      </c>
      <c r="D18">
        <f>'Concept Database'!F23</f>
        <v>0</v>
      </c>
      <c r="E18">
        <f>'Concept Database'!G23</f>
        <v>0</v>
      </c>
      <c r="F18">
        <f>'Concept Database'!H23</f>
        <v>0</v>
      </c>
      <c r="G18">
        <f t="shared" si="0"/>
        <v>0</v>
      </c>
    </row>
    <row r="19" spans="1:7">
      <c r="A19" t="s">
        <v>77</v>
      </c>
      <c r="B19" t="e">
        <f>'Concept Database'!#REF!</f>
        <v>#REF!</v>
      </c>
      <c r="C19" t="e">
        <f>'Concept Database'!#REF!</f>
        <v>#REF!</v>
      </c>
      <c r="D19" t="e">
        <f>'Concept Database'!#REF!</f>
        <v>#REF!</v>
      </c>
      <c r="E19" t="e">
        <f>'Concept Database'!#REF!</f>
        <v>#REF!</v>
      </c>
      <c r="F19" t="e">
        <f>'Concept Database'!#REF!</f>
        <v>#REF!</v>
      </c>
      <c r="G19" t="e">
        <f>SQRT(SUMSQ(B19:F19))</f>
        <v>#REF!</v>
      </c>
    </row>
    <row r="20" spans="1:7">
      <c r="A20" t="s">
        <v>1</v>
      </c>
      <c r="B20">
        <f>'Concept Database'!D24</f>
        <v>30</v>
      </c>
      <c r="C20">
        <f>'Concept Database'!E24</f>
        <v>32</v>
      </c>
      <c r="D20">
        <f>'Concept Database'!F24</f>
        <v>35</v>
      </c>
      <c r="E20">
        <f>'Concept Database'!G24</f>
        <v>40</v>
      </c>
      <c r="F20">
        <f>'Concept Database'!H24</f>
        <v>50</v>
      </c>
      <c r="G20">
        <f t="shared" si="0"/>
        <v>85.141059424933161</v>
      </c>
    </row>
    <row r="21" spans="1:7">
      <c r="A21" t="s">
        <v>71</v>
      </c>
      <c r="B21">
        <f>'Concept Database'!D25</f>
        <v>50</v>
      </c>
      <c r="C21">
        <f>'Concept Database'!E25</f>
        <v>45</v>
      </c>
      <c r="D21">
        <f>'Concept Database'!F25</f>
        <v>55</v>
      </c>
      <c r="E21">
        <f>'Concept Database'!G25</f>
        <v>57</v>
      </c>
      <c r="F21">
        <f>'Concept Database'!H25</f>
        <v>70</v>
      </c>
      <c r="G21">
        <f t="shared" si="0"/>
        <v>125.29565036345036</v>
      </c>
    </row>
    <row r="22" spans="1:7">
      <c r="A22" t="s">
        <v>72</v>
      </c>
      <c r="B22">
        <f>'Concept Database'!D26</f>
        <v>8</v>
      </c>
      <c r="C22">
        <f>'Concept Database'!E26</f>
        <v>5</v>
      </c>
      <c r="D22">
        <f>'Concept Database'!F26</f>
        <v>7</v>
      </c>
      <c r="E22">
        <f>'Concept Database'!G26</f>
        <v>6</v>
      </c>
      <c r="F22">
        <f>'Concept Database'!H26</f>
        <v>4</v>
      </c>
      <c r="G22">
        <f t="shared" si="0"/>
        <v>13.784048752090222</v>
      </c>
    </row>
    <row r="23" spans="1:7">
      <c r="A23" t="s">
        <v>73</v>
      </c>
      <c r="B23">
        <f>'Concept Database'!D27</f>
        <v>24</v>
      </c>
      <c r="C23">
        <f>'Concept Database'!E27</f>
        <v>20</v>
      </c>
      <c r="D23">
        <f>'Concept Database'!F27</f>
        <v>35</v>
      </c>
      <c r="E23">
        <f>'Concept Database'!G27</f>
        <v>40</v>
      </c>
      <c r="F23">
        <f>'Concept Database'!H27</f>
        <v>15</v>
      </c>
      <c r="G23">
        <f t="shared" si="0"/>
        <v>63.450768316861222</v>
      </c>
    </row>
    <row r="24" spans="1:7">
      <c r="A24" t="s">
        <v>74</v>
      </c>
      <c r="B24">
        <f>'Concept Database'!D28</f>
        <v>0.7</v>
      </c>
      <c r="C24">
        <f>'Concept Database'!E28</f>
        <v>0.9</v>
      </c>
      <c r="D24">
        <f>'Concept Database'!F28</f>
        <v>0.5</v>
      </c>
      <c r="E24">
        <f>'Concept Database'!G28</f>
        <v>1.2</v>
      </c>
      <c r="F24">
        <f>'Concept Database'!H28</f>
        <v>0.9</v>
      </c>
      <c r="G24">
        <f t="shared" si="0"/>
        <v>1.9493588689617929</v>
      </c>
    </row>
    <row r="25" spans="1:7">
      <c r="A25" t="s">
        <v>75</v>
      </c>
      <c r="B25">
        <f>'Concept Database'!D29</f>
        <v>350</v>
      </c>
      <c r="C25">
        <f>'Concept Database'!E29</f>
        <v>305</v>
      </c>
      <c r="D25">
        <f>'Concept Database'!F29</f>
        <v>288</v>
      </c>
      <c r="E25">
        <f>'Concept Database'!G29</f>
        <v>410</v>
      </c>
      <c r="F25">
        <f>'Concept Database'!H29</f>
        <v>550</v>
      </c>
      <c r="G25">
        <f t="shared" si="0"/>
        <v>876.96579180718334</v>
      </c>
    </row>
    <row r="26" spans="1:7">
      <c r="A26" t="s">
        <v>76</v>
      </c>
      <c r="B26">
        <f>'Concept Database'!D30</f>
        <v>15</v>
      </c>
      <c r="C26">
        <f>'Concept Database'!E30</f>
        <v>10</v>
      </c>
      <c r="D26">
        <f>'Concept Database'!F30</f>
        <v>12</v>
      </c>
      <c r="E26">
        <f>'Concept Database'!G30</f>
        <v>14.7</v>
      </c>
      <c r="F26">
        <f>'Concept Database'!H30</f>
        <v>12</v>
      </c>
      <c r="G26">
        <f t="shared" si="0"/>
        <v>28.793922969960171</v>
      </c>
    </row>
    <row r="27" spans="1:7">
      <c r="A27" t="s">
        <v>3</v>
      </c>
      <c r="B27" t="e">
        <f>'Concept Database'!#REF!</f>
        <v>#REF!</v>
      </c>
      <c r="C27" t="e">
        <f>'Concept Database'!#REF!</f>
        <v>#REF!</v>
      </c>
      <c r="D27" t="e">
        <f>'Concept Database'!#REF!</f>
        <v>#REF!</v>
      </c>
      <c r="E27" t="e">
        <f>'Concept Database'!#REF!</f>
        <v>#REF!</v>
      </c>
      <c r="F27" t="e">
        <f>'Concept Database'!#REF!</f>
        <v>#REF!</v>
      </c>
      <c r="G27" t="e">
        <f t="shared" si="0"/>
        <v>#REF!</v>
      </c>
    </row>
    <row r="28" spans="1:7">
      <c r="A28" t="s">
        <v>79</v>
      </c>
      <c r="B28" t="e">
        <f>B14/$G14</f>
        <v>#DIV/0!</v>
      </c>
      <c r="C28" t="e">
        <f t="shared" ref="C28:F28" si="1">C14/$G14</f>
        <v>#DIV/0!</v>
      </c>
      <c r="D28" t="e">
        <f t="shared" si="1"/>
        <v>#DIV/0!</v>
      </c>
      <c r="E28" t="e">
        <f t="shared" si="1"/>
        <v>#DIV/0!</v>
      </c>
      <c r="F28" t="e">
        <f t="shared" si="1"/>
        <v>#DIV/0!</v>
      </c>
    </row>
    <row r="29" spans="1:7">
      <c r="A29" t="s">
        <v>80</v>
      </c>
      <c r="B29">
        <f t="shared" ref="B29:F29" si="2">B15/$G15</f>
        <v>0.46291004988627571</v>
      </c>
      <c r="C29">
        <f t="shared" si="2"/>
        <v>0.61721339984836765</v>
      </c>
      <c r="D29">
        <f t="shared" si="2"/>
        <v>0.30860669992418382</v>
      </c>
      <c r="E29">
        <f t="shared" si="2"/>
        <v>0.46291004988627571</v>
      </c>
      <c r="F29">
        <f t="shared" si="2"/>
        <v>0.30860669992418382</v>
      </c>
    </row>
    <row r="30" spans="1:7">
      <c r="A30" t="s">
        <v>81</v>
      </c>
      <c r="B30">
        <f t="shared" ref="B30:F30" si="3">B16/$G16</f>
        <v>0.43133109281375365</v>
      </c>
      <c r="C30">
        <f t="shared" si="3"/>
        <v>0.53916386601719202</v>
      </c>
      <c r="D30">
        <f t="shared" si="3"/>
        <v>0.53916386601719202</v>
      </c>
      <c r="E30">
        <f t="shared" si="3"/>
        <v>0.21566554640687682</v>
      </c>
      <c r="F30">
        <f t="shared" si="3"/>
        <v>0.43133109281375365</v>
      </c>
    </row>
    <row r="31" spans="1:7">
      <c r="A31" t="s">
        <v>82</v>
      </c>
      <c r="B31">
        <f t="shared" ref="B31:F31" si="4">B17/$G17</f>
        <v>0.41015155621479793</v>
      </c>
      <c r="C31">
        <f t="shared" si="4"/>
        <v>0.47851014891726429</v>
      </c>
      <c r="D31">
        <f t="shared" si="4"/>
        <v>0.47851014891726429</v>
      </c>
      <c r="E31">
        <f t="shared" si="4"/>
        <v>0.54686874161973065</v>
      </c>
      <c r="F31">
        <f t="shared" si="4"/>
        <v>0.27343437080986532</v>
      </c>
    </row>
    <row r="32" spans="1:7">
      <c r="A32" t="s">
        <v>83</v>
      </c>
      <c r="B32" t="e">
        <f t="shared" ref="B32:F32" si="5">B18/$G18</f>
        <v>#DIV/0!</v>
      </c>
      <c r="C32" t="e">
        <f t="shared" si="5"/>
        <v>#DIV/0!</v>
      </c>
      <c r="D32" t="e">
        <f t="shared" si="5"/>
        <v>#DIV/0!</v>
      </c>
      <c r="E32" t="e">
        <f t="shared" si="5"/>
        <v>#DIV/0!</v>
      </c>
      <c r="F32" t="e">
        <f t="shared" si="5"/>
        <v>#DIV/0!</v>
      </c>
    </row>
    <row r="33" spans="1:8">
      <c r="A33" t="s">
        <v>92</v>
      </c>
      <c r="B33" t="e">
        <f>B19/$G19</f>
        <v>#REF!</v>
      </c>
      <c r="C33" t="e">
        <f>C19/$G19</f>
        <v>#REF!</v>
      </c>
      <c r="D33" t="e">
        <f>D19/$G19</f>
        <v>#REF!</v>
      </c>
      <c r="E33" t="e">
        <f>E19/$G19</f>
        <v>#REF!</v>
      </c>
      <c r="F33" t="e">
        <f>F19/$G19</f>
        <v>#REF!</v>
      </c>
    </row>
    <row r="34" spans="1:8">
      <c r="A34" t="s">
        <v>84</v>
      </c>
      <c r="B34">
        <f t="shared" ref="B34:F34" si="6">B20/$G20</f>
        <v>0.35235643299048075</v>
      </c>
      <c r="C34">
        <f t="shared" si="6"/>
        <v>0.37584686185651278</v>
      </c>
      <c r="D34">
        <f t="shared" si="6"/>
        <v>0.41108250515556088</v>
      </c>
      <c r="E34">
        <f t="shared" si="6"/>
        <v>0.46980857732064096</v>
      </c>
      <c r="F34">
        <f t="shared" si="6"/>
        <v>0.58726072165080123</v>
      </c>
    </row>
    <row r="35" spans="1:8">
      <c r="A35" t="s">
        <v>85</v>
      </c>
      <c r="B35">
        <f t="shared" ref="B35:F35" si="7">B21/$G21</f>
        <v>0.39905615123081206</v>
      </c>
      <c r="C35">
        <f t="shared" si="7"/>
        <v>0.35915053610773084</v>
      </c>
      <c r="D35">
        <f t="shared" si="7"/>
        <v>0.43896176635389328</v>
      </c>
      <c r="E35">
        <f t="shared" si="7"/>
        <v>0.45492401240312574</v>
      </c>
      <c r="F35">
        <f t="shared" si="7"/>
        <v>0.55867861172313693</v>
      </c>
    </row>
    <row r="36" spans="1:8">
      <c r="A36" t="s">
        <v>86</v>
      </c>
      <c r="B36">
        <f t="shared" ref="B36:F36" si="8">B22/$G22</f>
        <v>0.5803810000880093</v>
      </c>
      <c r="C36">
        <f t="shared" si="8"/>
        <v>0.36273812505500586</v>
      </c>
      <c r="D36">
        <f t="shared" si="8"/>
        <v>0.50783337507700821</v>
      </c>
      <c r="E36">
        <f t="shared" si="8"/>
        <v>0.435285750066007</v>
      </c>
      <c r="F36">
        <f t="shared" si="8"/>
        <v>0.29019050004400465</v>
      </c>
    </row>
    <row r="37" spans="1:8">
      <c r="A37" t="s">
        <v>87</v>
      </c>
      <c r="B37">
        <f t="shared" ref="B37:F37" si="9">B23/$G23</f>
        <v>0.37824601083076737</v>
      </c>
      <c r="C37">
        <f t="shared" si="9"/>
        <v>0.31520500902563947</v>
      </c>
      <c r="D37">
        <f t="shared" si="9"/>
        <v>0.55160876579486906</v>
      </c>
      <c r="E37">
        <f t="shared" si="9"/>
        <v>0.63041001805127894</v>
      </c>
      <c r="F37">
        <f t="shared" si="9"/>
        <v>0.23640375676922959</v>
      </c>
    </row>
    <row r="38" spans="1:8">
      <c r="A38" t="s">
        <v>88</v>
      </c>
      <c r="B38">
        <f t="shared" ref="B38:F38" si="10">B24/$G24</f>
        <v>0.35909242322980389</v>
      </c>
      <c r="C38">
        <f t="shared" si="10"/>
        <v>0.46169025843831935</v>
      </c>
      <c r="D38">
        <f t="shared" si="10"/>
        <v>0.25649458802128849</v>
      </c>
      <c r="E38">
        <f t="shared" si="10"/>
        <v>0.61558701125109239</v>
      </c>
      <c r="F38">
        <f t="shared" si="10"/>
        <v>0.46169025843831935</v>
      </c>
    </row>
    <row r="39" spans="1:8">
      <c r="A39" t="s">
        <v>89</v>
      </c>
      <c r="B39">
        <f t="shared" ref="B39:F39" si="11">B25/$G25</f>
        <v>0.39910336671028757</v>
      </c>
      <c r="C39">
        <f t="shared" si="11"/>
        <v>0.34779007670467915</v>
      </c>
      <c r="D39">
        <f t="shared" si="11"/>
        <v>0.32840505603589376</v>
      </c>
      <c r="E39">
        <f t="shared" si="11"/>
        <v>0.46752108671776543</v>
      </c>
      <c r="F39">
        <f t="shared" si="11"/>
        <v>0.62716243340188049</v>
      </c>
    </row>
    <row r="40" spans="1:8">
      <c r="A40" t="s">
        <v>90</v>
      </c>
      <c r="B40">
        <f t="shared" ref="B40:F40" si="12">B26/$G26</f>
        <v>0.52094325652149054</v>
      </c>
      <c r="C40">
        <f t="shared" si="12"/>
        <v>0.34729550434766038</v>
      </c>
      <c r="D40">
        <f t="shared" si="12"/>
        <v>0.41675460521719243</v>
      </c>
      <c r="E40">
        <f t="shared" si="12"/>
        <v>0.51052439139106065</v>
      </c>
      <c r="F40">
        <f t="shared" si="12"/>
        <v>0.41675460521719243</v>
      </c>
    </row>
    <row r="41" spans="1:8">
      <c r="A41" t="s">
        <v>91</v>
      </c>
      <c r="B41" t="e">
        <f t="shared" ref="B41:F41" si="13">B27/$G27</f>
        <v>#REF!</v>
      </c>
      <c r="C41" t="e">
        <f t="shared" si="13"/>
        <v>#REF!</v>
      </c>
      <c r="D41" t="e">
        <f t="shared" si="13"/>
        <v>#REF!</v>
      </c>
      <c r="E41" t="e">
        <f t="shared" si="13"/>
        <v>#REF!</v>
      </c>
      <c r="F41" t="e">
        <f t="shared" si="13"/>
        <v>#REF!</v>
      </c>
    </row>
    <row r="42" spans="1:8">
      <c r="A42" t="s">
        <v>93</v>
      </c>
      <c r="B42" t="e">
        <f>B28*$B$5</f>
        <v>#DIV/0!</v>
      </c>
      <c r="C42" t="e">
        <f t="shared" ref="C42:F42" si="14">C28*$B$5</f>
        <v>#DIV/0!</v>
      </c>
      <c r="D42" t="e">
        <f t="shared" si="14"/>
        <v>#DIV/0!</v>
      </c>
      <c r="E42" t="e">
        <f t="shared" si="14"/>
        <v>#DIV/0!</v>
      </c>
      <c r="F42" t="e">
        <f t="shared" si="14"/>
        <v>#DIV/0!</v>
      </c>
      <c r="G42" s="18" t="e">
        <f t="shared" ref="G42:G55" si="15">MIN(B42:F42)</f>
        <v>#DIV/0!</v>
      </c>
      <c r="H42" s="14" t="e">
        <f t="shared" ref="H42:H55" si="16">MAX(B42:F42)</f>
        <v>#DIV/0!</v>
      </c>
    </row>
    <row r="43" spans="1:8">
      <c r="A43" t="s">
        <v>94</v>
      </c>
      <c r="B43">
        <f t="shared" ref="B43:F43" si="17">B29*$B$5</f>
        <v>9.2582009977255145E-2</v>
      </c>
      <c r="C43">
        <f t="shared" si="17"/>
        <v>0.12344267996967354</v>
      </c>
      <c r="D43">
        <f t="shared" si="17"/>
        <v>6.1721339984836768E-2</v>
      </c>
      <c r="E43">
        <f t="shared" si="17"/>
        <v>9.2582009977255145E-2</v>
      </c>
      <c r="F43">
        <f t="shared" si="17"/>
        <v>6.1721339984836768E-2</v>
      </c>
      <c r="G43" s="14">
        <f t="shared" si="15"/>
        <v>6.1721339984836768E-2</v>
      </c>
      <c r="H43" s="18">
        <f t="shared" si="16"/>
        <v>0.12344267996967354</v>
      </c>
    </row>
    <row r="44" spans="1:8">
      <c r="A44" t="s">
        <v>95</v>
      </c>
      <c r="B44">
        <f t="shared" ref="B44:F44" si="18">B30*$B$5</f>
        <v>8.6266218562750741E-2</v>
      </c>
      <c r="C44">
        <f t="shared" si="18"/>
        <v>0.10783277320343841</v>
      </c>
      <c r="D44">
        <f t="shared" si="18"/>
        <v>0.10783277320343841</v>
      </c>
      <c r="E44">
        <f t="shared" si="18"/>
        <v>4.313310928137537E-2</v>
      </c>
      <c r="F44">
        <f t="shared" si="18"/>
        <v>8.6266218562750741E-2</v>
      </c>
      <c r="G44" s="14">
        <f t="shared" si="15"/>
        <v>4.313310928137537E-2</v>
      </c>
      <c r="H44" s="18">
        <f t="shared" si="16"/>
        <v>0.10783277320343841</v>
      </c>
    </row>
    <row r="45" spans="1:8">
      <c r="A45" t="s">
        <v>96</v>
      </c>
      <c r="B45">
        <f t="shared" ref="B45:F45" si="19">B31*$B$5</f>
        <v>8.2030311242959592E-2</v>
      </c>
      <c r="C45">
        <f t="shared" si="19"/>
        <v>9.5702029783452866E-2</v>
      </c>
      <c r="D45">
        <f t="shared" si="19"/>
        <v>9.5702029783452866E-2</v>
      </c>
      <c r="E45">
        <f t="shared" si="19"/>
        <v>0.10937374832394614</v>
      </c>
      <c r="F45">
        <f t="shared" si="19"/>
        <v>5.468687416197307E-2</v>
      </c>
      <c r="G45" s="18">
        <f t="shared" si="15"/>
        <v>5.468687416197307E-2</v>
      </c>
      <c r="H45" s="14">
        <f t="shared" si="16"/>
        <v>0.10937374832394614</v>
      </c>
    </row>
    <row r="46" spans="1:8">
      <c r="A46" t="s">
        <v>97</v>
      </c>
      <c r="B46" t="e">
        <f t="shared" ref="B46:F46" si="20">B32*$B$5</f>
        <v>#DIV/0!</v>
      </c>
      <c r="C46" t="e">
        <f t="shared" si="20"/>
        <v>#DIV/0!</v>
      </c>
      <c r="D46" t="e">
        <f t="shared" si="20"/>
        <v>#DIV/0!</v>
      </c>
      <c r="E46" t="e">
        <f t="shared" si="20"/>
        <v>#DIV/0!</v>
      </c>
      <c r="F46" t="e">
        <f t="shared" si="20"/>
        <v>#DIV/0!</v>
      </c>
      <c r="G46" s="14" t="e">
        <f t="shared" si="15"/>
        <v>#DIV/0!</v>
      </c>
      <c r="H46" s="18" t="e">
        <f t="shared" si="16"/>
        <v>#DIV/0!</v>
      </c>
    </row>
    <row r="47" spans="1:8">
      <c r="A47" t="s">
        <v>106</v>
      </c>
      <c r="B47" t="e">
        <f>B33*$B$5</f>
        <v>#REF!</v>
      </c>
      <c r="C47" t="e">
        <f t="shared" ref="C47:F47" si="21">C33*$B$5</f>
        <v>#REF!</v>
      </c>
      <c r="D47" t="e">
        <f t="shared" si="21"/>
        <v>#REF!</v>
      </c>
      <c r="E47" t="e">
        <f t="shared" si="21"/>
        <v>#REF!</v>
      </c>
      <c r="F47" t="e">
        <f t="shared" si="21"/>
        <v>#REF!</v>
      </c>
      <c r="G47" s="14" t="e">
        <f t="shared" si="15"/>
        <v>#REF!</v>
      </c>
      <c r="H47" s="18" t="e">
        <f t="shared" si="16"/>
        <v>#REF!</v>
      </c>
    </row>
    <row r="48" spans="1:8">
      <c r="A48" t="s">
        <v>98</v>
      </c>
      <c r="B48">
        <f>B34*$B$6</f>
        <v>7.047128659809615E-2</v>
      </c>
      <c r="C48">
        <f t="shared" ref="C48:F48" si="22">C34*$B$6</f>
        <v>7.5169372371302556E-2</v>
      </c>
      <c r="D48">
        <f t="shared" si="22"/>
        <v>8.221650103111218E-2</v>
      </c>
      <c r="E48">
        <f t="shared" si="22"/>
        <v>9.3961715464128195E-2</v>
      </c>
      <c r="F48">
        <f t="shared" si="22"/>
        <v>0.11745214433016025</v>
      </c>
      <c r="G48" s="14">
        <f t="shared" si="15"/>
        <v>7.047128659809615E-2</v>
      </c>
      <c r="H48" s="18">
        <f t="shared" si="16"/>
        <v>0.11745214433016025</v>
      </c>
    </row>
    <row r="49" spans="1:8">
      <c r="A49" t="s">
        <v>99</v>
      </c>
      <c r="B49">
        <f>B35*$B$7</f>
        <v>7.9811230246162421E-2</v>
      </c>
      <c r="C49">
        <f t="shared" ref="C49:F49" si="23">C35*$B$7</f>
        <v>7.1830107221546174E-2</v>
      </c>
      <c r="D49">
        <f t="shared" si="23"/>
        <v>8.7792353270778667E-2</v>
      </c>
      <c r="E49">
        <f t="shared" si="23"/>
        <v>9.0984802480625154E-2</v>
      </c>
      <c r="F49">
        <f t="shared" si="23"/>
        <v>0.11173572234462739</v>
      </c>
      <c r="G49" s="18">
        <f t="shared" si="15"/>
        <v>7.1830107221546174E-2</v>
      </c>
      <c r="H49" s="14">
        <f t="shared" si="16"/>
        <v>0.11173572234462739</v>
      </c>
    </row>
    <row r="50" spans="1:8">
      <c r="A50" t="s">
        <v>100</v>
      </c>
      <c r="B50">
        <f t="shared" ref="B50:F50" si="24">B36*$B$7</f>
        <v>0.11607620001760187</v>
      </c>
      <c r="C50">
        <f t="shared" si="24"/>
        <v>7.2547625011001177E-2</v>
      </c>
      <c r="D50">
        <f t="shared" si="24"/>
        <v>0.10156667501540165</v>
      </c>
      <c r="E50">
        <f t="shared" si="24"/>
        <v>8.7057150013201412E-2</v>
      </c>
      <c r="F50">
        <f t="shared" si="24"/>
        <v>5.8038100008800934E-2</v>
      </c>
      <c r="G50" s="18">
        <f t="shared" si="15"/>
        <v>5.8038100008800934E-2</v>
      </c>
      <c r="H50" s="14">
        <f t="shared" si="16"/>
        <v>0.11607620001760187</v>
      </c>
    </row>
    <row r="51" spans="1:8">
      <c r="A51" t="s">
        <v>101</v>
      </c>
      <c r="B51">
        <f t="shared" ref="B51:F51" si="25">B37*$B$7</f>
        <v>7.5649202166153479E-2</v>
      </c>
      <c r="C51">
        <f t="shared" si="25"/>
        <v>6.3041001805127894E-2</v>
      </c>
      <c r="D51">
        <f t="shared" si="25"/>
        <v>0.11032175315897381</v>
      </c>
      <c r="E51">
        <f t="shared" si="25"/>
        <v>0.12608200361025579</v>
      </c>
      <c r="F51">
        <f t="shared" si="25"/>
        <v>4.7280751353845921E-2</v>
      </c>
      <c r="G51" s="18">
        <f t="shared" si="15"/>
        <v>4.7280751353845921E-2</v>
      </c>
      <c r="H51" s="14">
        <f t="shared" si="16"/>
        <v>0.12608200361025579</v>
      </c>
    </row>
    <row r="52" spans="1:8">
      <c r="A52" t="s">
        <v>102</v>
      </c>
      <c r="B52">
        <f t="shared" ref="B52:F52" si="26">B38*$B$7</f>
        <v>7.1818484645960787E-2</v>
      </c>
      <c r="C52">
        <f t="shared" si="26"/>
        <v>9.2338051687663875E-2</v>
      </c>
      <c r="D52">
        <f t="shared" si="26"/>
        <v>5.1298917604257699E-2</v>
      </c>
      <c r="E52">
        <f t="shared" si="26"/>
        <v>0.12311740225021849</v>
      </c>
      <c r="F52">
        <f t="shared" si="26"/>
        <v>9.2338051687663875E-2</v>
      </c>
      <c r="G52" s="18">
        <f t="shared" si="15"/>
        <v>5.1298917604257699E-2</v>
      </c>
      <c r="H52" s="14">
        <f t="shared" si="16"/>
        <v>0.12311740225021849</v>
      </c>
    </row>
    <row r="53" spans="1:8">
      <c r="A53" t="s">
        <v>103</v>
      </c>
      <c r="B53">
        <f t="shared" ref="B53:F53" si="27">B39*$B$7</f>
        <v>7.9820673342057516E-2</v>
      </c>
      <c r="C53">
        <f t="shared" si="27"/>
        <v>6.9558015340935836E-2</v>
      </c>
      <c r="D53">
        <f t="shared" si="27"/>
        <v>6.5681011207178758E-2</v>
      </c>
      <c r="E53">
        <f t="shared" si="27"/>
        <v>9.3504217343553089E-2</v>
      </c>
      <c r="F53">
        <f t="shared" si="27"/>
        <v>0.1254324866803761</v>
      </c>
      <c r="G53" s="18">
        <f t="shared" si="15"/>
        <v>6.5681011207178758E-2</v>
      </c>
      <c r="H53" s="14">
        <f t="shared" si="16"/>
        <v>0.1254324866803761</v>
      </c>
    </row>
    <row r="54" spans="1:8">
      <c r="A54" t="s">
        <v>104</v>
      </c>
      <c r="B54">
        <f t="shared" ref="B54:F54" si="28">B40*$B$7</f>
        <v>0.10418865130429811</v>
      </c>
      <c r="C54">
        <f t="shared" si="28"/>
        <v>6.9459100869532081E-2</v>
      </c>
      <c r="D54">
        <f t="shared" si="28"/>
        <v>8.3350921043438497E-2</v>
      </c>
      <c r="E54">
        <f t="shared" si="28"/>
        <v>0.10210487827821213</v>
      </c>
      <c r="F54">
        <f t="shared" si="28"/>
        <v>8.3350921043438497E-2</v>
      </c>
      <c r="G54" s="18">
        <f t="shared" si="15"/>
        <v>6.9459100869532081E-2</v>
      </c>
      <c r="H54" s="14">
        <f t="shared" si="16"/>
        <v>0.10418865130429811</v>
      </c>
    </row>
    <row r="55" spans="1:8">
      <c r="A55" t="s">
        <v>105</v>
      </c>
      <c r="B55" t="e">
        <f>B41*$B$8</f>
        <v>#REF!</v>
      </c>
      <c r="C55" t="e">
        <f t="shared" ref="C55:F55" si="29">C41*$B$8</f>
        <v>#REF!</v>
      </c>
      <c r="D55" t="e">
        <f t="shared" si="29"/>
        <v>#REF!</v>
      </c>
      <c r="E55" t="e">
        <f t="shared" si="29"/>
        <v>#REF!</v>
      </c>
      <c r="F55" t="e">
        <f t="shared" si="29"/>
        <v>#REF!</v>
      </c>
      <c r="G55" s="18" t="e">
        <f t="shared" si="15"/>
        <v>#REF!</v>
      </c>
      <c r="H55" s="14" t="e">
        <f t="shared" si="16"/>
        <v>#REF!</v>
      </c>
    </row>
    <row r="58" spans="1:8">
      <c r="A58" s="7" t="s">
        <v>51</v>
      </c>
      <c r="B58" s="10">
        <v>1</v>
      </c>
      <c r="C58" s="10">
        <v>2</v>
      </c>
      <c r="D58" s="10">
        <v>3</v>
      </c>
      <c r="E58" s="10">
        <v>4</v>
      </c>
      <c r="F58" s="10">
        <v>5</v>
      </c>
    </row>
    <row r="59" spans="1:8">
      <c r="A59" t="s">
        <v>52</v>
      </c>
      <c r="B59" s="11" t="e">
        <f>SQRT((B42-$G$42)^2+(B43-$H$43)^2+(B44-$H$44)^2+(B45-$G$45)^2+(B46-$H$46)^2+(B47-$H$47)^2+(B48-$H$48)^2+(B49-$G$49)^2+(B50-$G$50)^2+(B51-$G$51)^2+(B52-$G$52)^2+(B53-$G$53)^2+(B54-$G$54)^2+(B55-$G$55)^2)</f>
        <v>#DIV/0!</v>
      </c>
      <c r="C59" s="11" t="e">
        <f t="shared" ref="C59:F59" si="30">SQRT((C42-$G$42)^2+(C43-$H$43)^2+(C44-$H$44)^2+(C45-$G$45)^2+(C46-$H$46)^2+(C47-$H$47)^2+(C48-$H$48)^2+(C49-$G$49)^2+(C50-$G$50)^2+(C51-$G$51)^2+(C52-$G$52)^2+(C53-$G$53)^2+(C54-$G$54)^2+(C55-$G$55)^2)</f>
        <v>#DIV/0!</v>
      </c>
      <c r="D59" s="11" t="e">
        <f t="shared" si="30"/>
        <v>#DIV/0!</v>
      </c>
      <c r="E59" s="11" t="e">
        <f t="shared" si="30"/>
        <v>#DIV/0!</v>
      </c>
      <c r="F59" s="11" t="e">
        <f t="shared" si="30"/>
        <v>#DIV/0!</v>
      </c>
    </row>
    <row r="60" spans="1:8">
      <c r="A60" t="s">
        <v>53</v>
      </c>
      <c r="B60" s="11" t="e">
        <f>SQRT((B42-$H$42)^2+(B43-$G$43)^2+(B44-$G$44)^2+(B45-$H$45)^2+(B46-$G$46)^2+(B47-$G$47)^2+(B48-$G$48)^2+(B49-$H$49)^2+(B50-$H$50)^2+(B51-$H$51)^2+(B52-$H$52)^2+(B53-$H$53)^2+(B54-$H$54)^2+(B55-$H$55)^2)</f>
        <v>#DIV/0!</v>
      </c>
      <c r="C60" s="11" t="e">
        <f t="shared" ref="C60:F60" si="31">SQRT((C42-$H$42)^2+(C43-$G$43)^2+(C44-$G$44)^2+(C45-$H$45)^2+(C46-$G$46)^2+(C47-$G$47)^2+(C48-$G$48)^2+(C49-$H$49)^2+(C50-$H$50)^2+(C51-$H$51)^2+(C52-$H$52)^2+(C53-$H$53)^2+(C54-$H$54)^2+(C55-$H$55)^2)</f>
        <v>#DIV/0!</v>
      </c>
      <c r="D60" s="11" t="e">
        <f t="shared" si="31"/>
        <v>#DIV/0!</v>
      </c>
      <c r="E60" s="11" t="e">
        <f t="shared" si="31"/>
        <v>#DIV/0!</v>
      </c>
      <c r="F60" s="11" t="e">
        <f t="shared" si="31"/>
        <v>#DIV/0!</v>
      </c>
    </row>
    <row r="61" spans="1:8">
      <c r="A61" t="s">
        <v>54</v>
      </c>
      <c r="B61" s="11" t="e">
        <f>B60/(B59+B60)</f>
        <v>#DIV/0!</v>
      </c>
      <c r="C61" s="11" t="e">
        <f t="shared" ref="C61:F61" si="32">C60/(C59+C60)</f>
        <v>#DIV/0!</v>
      </c>
      <c r="D61" s="11" t="e">
        <f t="shared" si="32"/>
        <v>#DIV/0!</v>
      </c>
      <c r="E61" s="11" t="e">
        <f t="shared" si="32"/>
        <v>#DIV/0!</v>
      </c>
      <c r="F61" s="11" t="e">
        <f t="shared" si="32"/>
        <v>#DIV/0!</v>
      </c>
    </row>
    <row r="62" spans="1:8">
      <c r="B62">
        <v>1</v>
      </c>
      <c r="C62">
        <v>2</v>
      </c>
      <c r="D62">
        <v>3</v>
      </c>
      <c r="E62">
        <v>4</v>
      </c>
      <c r="F62">
        <v>5</v>
      </c>
    </row>
    <row r="63" spans="1:8">
      <c r="A63" t="s">
        <v>55</v>
      </c>
      <c r="B63" t="e">
        <f>RANK(B61,$B$61:$F$61)</f>
        <v>#DIV/0!</v>
      </c>
      <c r="C63" t="e">
        <f>RANK(C61,$B$61:$F$61)</f>
        <v>#DIV/0!</v>
      </c>
      <c r="D63" t="e">
        <f>RANK(D61,$B$61:$F$61)</f>
        <v>#DIV/0!</v>
      </c>
      <c r="E63" t="e">
        <f>RANK(E61,$B$61:$F$61)</f>
        <v>#DIV/0!</v>
      </c>
      <c r="F63" t="e">
        <f>RANK(F61,$B$61:$F$61)</f>
        <v>#DIV/0!</v>
      </c>
    </row>
    <row r="64" spans="1:8">
      <c r="B64" s="11" t="e">
        <f>B61</f>
        <v>#DIV/0!</v>
      </c>
      <c r="C64" s="11" t="e">
        <f t="shared" ref="C64:F64" si="33">C61</f>
        <v>#DIV/0!</v>
      </c>
      <c r="D64" s="11" t="e">
        <f t="shared" si="33"/>
        <v>#DIV/0!</v>
      </c>
      <c r="E64" s="11" t="e">
        <f t="shared" si="33"/>
        <v>#DIV/0!</v>
      </c>
      <c r="F64" s="11" t="e">
        <f t="shared" si="33"/>
        <v>#DIV/0!</v>
      </c>
    </row>
    <row r="65" spans="1:6">
      <c r="B65" t="str">
        <f>CONCATENATE("Concept ",B62)</f>
        <v>Concept 1</v>
      </c>
      <c r="C65" t="str">
        <f t="shared" ref="C65:F65" si="34">CONCATENATE("Concept ",C62)</f>
        <v>Concept 2</v>
      </c>
      <c r="D65" t="str">
        <f t="shared" si="34"/>
        <v>Concept 3</v>
      </c>
      <c r="E65" t="str">
        <f t="shared" si="34"/>
        <v>Concept 4</v>
      </c>
      <c r="F65" t="str">
        <f t="shared" si="34"/>
        <v>Concept 5</v>
      </c>
    </row>
    <row r="67" spans="1:6">
      <c r="A67" s="13" t="s">
        <v>56</v>
      </c>
      <c r="B67" s="12" t="e">
        <f>MAX(B61:F61)</f>
        <v>#DIV/0!</v>
      </c>
    </row>
    <row r="68" spans="1:6">
      <c r="A68" s="13" t="s">
        <v>57</v>
      </c>
      <c r="B68" s="13" t="e">
        <f>HLOOKUP(B67,B61:F62,2,FALSE)</f>
        <v>#DIV/0!</v>
      </c>
    </row>
    <row r="73" spans="1:6" ht="18.75">
      <c r="A73" s="15" t="s">
        <v>65</v>
      </c>
      <c r="B73" t="s">
        <v>39</v>
      </c>
      <c r="C73" t="s">
        <v>40</v>
      </c>
      <c r="D73" t="s">
        <v>41</v>
      </c>
      <c r="E73" t="s">
        <v>42</v>
      </c>
      <c r="F73" t="s">
        <v>43</v>
      </c>
    </row>
    <row r="74" spans="1:6">
      <c r="B74">
        <v>1</v>
      </c>
      <c r="C74">
        <v>2</v>
      </c>
      <c r="D74">
        <v>3</v>
      </c>
      <c r="E74">
        <v>4</v>
      </c>
      <c r="F74">
        <v>5</v>
      </c>
    </row>
    <row r="75" spans="1:6">
      <c r="A75" t="s">
        <v>0</v>
      </c>
      <c r="B75" s="11" t="e">
        <f>SUM(B42:B47)</f>
        <v>#DIV/0!</v>
      </c>
      <c r="C75" s="11" t="e">
        <f t="shared" ref="C75:F75" si="35">SUM(C42:C47)</f>
        <v>#DIV/0!</v>
      </c>
      <c r="D75" s="11" t="e">
        <f t="shared" si="35"/>
        <v>#DIV/0!</v>
      </c>
      <c r="E75" s="11" t="e">
        <f t="shared" si="35"/>
        <v>#DIV/0!</v>
      </c>
      <c r="F75" s="11" t="e">
        <f t="shared" si="35"/>
        <v>#DIV/0!</v>
      </c>
    </row>
    <row r="76" spans="1:6">
      <c r="A76" t="s">
        <v>1</v>
      </c>
      <c r="B76" s="11">
        <f>SUM(B48)</f>
        <v>7.047128659809615E-2</v>
      </c>
      <c r="C76" s="11">
        <f t="shared" ref="C76:F76" si="36">SUM(C48)</f>
        <v>7.5169372371302556E-2</v>
      </c>
      <c r="D76" s="11">
        <f t="shared" si="36"/>
        <v>8.221650103111218E-2</v>
      </c>
      <c r="E76" s="11">
        <f t="shared" si="36"/>
        <v>9.3961715464128195E-2</v>
      </c>
      <c r="F76" s="11">
        <f t="shared" si="36"/>
        <v>0.11745214433016025</v>
      </c>
    </row>
    <row r="77" spans="1:6">
      <c r="A77" t="s">
        <v>2</v>
      </c>
      <c r="B77" s="11">
        <f>SUM(B49:B54)</f>
        <v>0.52736444172223418</v>
      </c>
      <c r="C77" s="11">
        <f t="shared" ref="C77:F77" si="37">SUM(C49:C54)</f>
        <v>0.43877390193580712</v>
      </c>
      <c r="D77" s="11">
        <f t="shared" si="37"/>
        <v>0.50001163130002912</v>
      </c>
      <c r="E77" s="11">
        <f t="shared" si="37"/>
        <v>0.62285045397606609</v>
      </c>
      <c r="F77" s="11">
        <f t="shared" si="37"/>
        <v>0.51817603311875282</v>
      </c>
    </row>
    <row r="78" spans="1:6">
      <c r="A78" t="s">
        <v>3</v>
      </c>
      <c r="B78" s="19" t="e">
        <f>SUM(B55)</f>
        <v>#REF!</v>
      </c>
      <c r="C78" s="19" t="e">
        <f t="shared" ref="C78:F78" si="38">SUM(C55)</f>
        <v>#REF!</v>
      </c>
      <c r="D78" s="19" t="e">
        <f t="shared" si="38"/>
        <v>#REF!</v>
      </c>
      <c r="E78" s="19" t="e">
        <f t="shared" si="38"/>
        <v>#REF!</v>
      </c>
      <c r="F78" s="19" t="e">
        <f t="shared" si="38"/>
        <v>#REF!</v>
      </c>
    </row>
    <row r="80" spans="1:6">
      <c r="B80" s="11" t="e">
        <f>1-B75</f>
        <v>#DIV/0!</v>
      </c>
      <c r="C80" s="11" t="e">
        <f t="shared" ref="C80:F80" si="39">1-C75</f>
        <v>#DIV/0!</v>
      </c>
      <c r="D80" s="11" t="e">
        <f t="shared" si="39"/>
        <v>#DIV/0!</v>
      </c>
      <c r="E80" s="11" t="e">
        <f t="shared" si="39"/>
        <v>#DIV/0!</v>
      </c>
      <c r="F80" s="11" t="e">
        <f t="shared" si="39"/>
        <v>#DIV/0!</v>
      </c>
    </row>
    <row r="82" spans="1:7">
      <c r="B82" s="11" t="e">
        <f>B80/MAX($B$80:$F$80)</f>
        <v>#DIV/0!</v>
      </c>
      <c r="C82" s="11" t="e">
        <f t="shared" ref="C82:F82" si="40">C80/MAX($B$80:$F$80)</f>
        <v>#DIV/0!</v>
      </c>
      <c r="D82" s="11" t="e">
        <f t="shared" si="40"/>
        <v>#DIV/0!</v>
      </c>
      <c r="E82" s="11" t="e">
        <f t="shared" si="40"/>
        <v>#DIV/0!</v>
      </c>
      <c r="F82" s="11" t="e">
        <f t="shared" si="40"/>
        <v>#DIV/0!</v>
      </c>
    </row>
    <row r="85" spans="1:7">
      <c r="A85" s="345"/>
      <c r="B85" s="345"/>
      <c r="C85" s="345" t="s">
        <v>293</v>
      </c>
      <c r="D85" s="345" t="s">
        <v>284</v>
      </c>
      <c r="E85" s="345" t="s">
        <v>283</v>
      </c>
      <c r="F85" s="345" t="s">
        <v>285</v>
      </c>
      <c r="G85" s="345" t="s">
        <v>282</v>
      </c>
    </row>
    <row r="86" spans="1:7">
      <c r="A86" s="345"/>
      <c r="B86" s="345"/>
      <c r="C86" s="345"/>
      <c r="D86" s="345"/>
      <c r="E86" s="345"/>
      <c r="F86" s="345"/>
      <c r="G86" s="345"/>
    </row>
    <row r="87" spans="1:7">
      <c r="A87" s="345" t="s">
        <v>0</v>
      </c>
      <c r="B87" s="345">
        <v>96</v>
      </c>
      <c r="C87" s="345">
        <v>0.1427762060607754</v>
      </c>
      <c r="D87" s="345">
        <v>0.15544526250334212</v>
      </c>
      <c r="E87" s="345">
        <v>0.14131444718102287</v>
      </c>
      <c r="F87" s="345">
        <v>0.14097481249552346</v>
      </c>
      <c r="G87" s="345">
        <v>0.14016334051277179</v>
      </c>
    </row>
    <row r="88" spans="1:7">
      <c r="A88" s="345" t="s">
        <v>1</v>
      </c>
      <c r="B88" s="345">
        <v>97</v>
      </c>
      <c r="C88" s="345">
        <v>0.18742856239316244</v>
      </c>
      <c r="D88" s="345">
        <v>0.11928041424501427</v>
      </c>
      <c r="E88" s="345">
        <v>0.11928041424501427</v>
      </c>
      <c r="F88" s="345">
        <v>0.11928041424501427</v>
      </c>
      <c r="G88" s="345">
        <v>0.11928041424501427</v>
      </c>
    </row>
    <row r="89" spans="1:7">
      <c r="A89" s="345" t="s">
        <v>2</v>
      </c>
      <c r="B89" s="345">
        <v>98</v>
      </c>
      <c r="C89" s="345">
        <v>0.16176627101299301</v>
      </c>
      <c r="D89" s="345">
        <v>0.16479397572723686</v>
      </c>
      <c r="E89" s="345">
        <v>0.16554304237284001</v>
      </c>
      <c r="F89" s="345">
        <v>0.1628343858082677</v>
      </c>
      <c r="G89" s="345">
        <v>0.16271736019850394</v>
      </c>
    </row>
    <row r="90" spans="1:7">
      <c r="A90" s="345" t="s">
        <v>77</v>
      </c>
      <c r="B90" s="345">
        <v>99</v>
      </c>
      <c r="C90" s="345">
        <v>0.18727272727272731</v>
      </c>
      <c r="D90" s="345">
        <v>0.18727272727272731</v>
      </c>
      <c r="E90" s="345">
        <v>0.18727272727272731</v>
      </c>
      <c r="F90" s="345">
        <v>0.18727272727272731</v>
      </c>
      <c r="G90" s="345">
        <v>0.18727272727272731</v>
      </c>
    </row>
    <row r="91" spans="1:7">
      <c r="A91" s="345" t="s">
        <v>3</v>
      </c>
      <c r="B91" s="345">
        <v>100</v>
      </c>
      <c r="C91" s="345">
        <v>0.1933333333333333</v>
      </c>
      <c r="D91" s="345">
        <v>0.1933333333333333</v>
      </c>
      <c r="E91" s="345">
        <v>0.1933333333333333</v>
      </c>
      <c r="F91" s="345">
        <v>0.1933333333333333</v>
      </c>
      <c r="G91" s="345">
        <v>0.1933333333333333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J105"/>
  <sheetViews>
    <sheetView zoomScale="70" zoomScaleNormal="70" workbookViewId="0">
      <selection activeCell="M10" sqref="M10"/>
    </sheetView>
  </sheetViews>
  <sheetFormatPr defaultRowHeight="15"/>
  <cols>
    <col min="1" max="1" width="36.28515625" style="17" bestFit="1" customWidth="1"/>
    <col min="2" max="3" width="10.28515625" style="17" bestFit="1" customWidth="1"/>
    <col min="4" max="9" width="9.140625" style="17"/>
    <col min="10" max="10" width="9.28515625" style="17" bestFit="1" customWidth="1"/>
    <col min="11" max="16384" width="9.140625" style="17"/>
  </cols>
  <sheetData>
    <row r="1" spans="1:24" s="160" customFormat="1" ht="15.75">
      <c r="A1" s="265" t="s">
        <v>179</v>
      </c>
      <c r="B1" s="85">
        <v>1</v>
      </c>
      <c r="C1" s="85">
        <v>2</v>
      </c>
      <c r="D1" s="85">
        <v>3</v>
      </c>
      <c r="E1" s="85">
        <v>4</v>
      </c>
      <c r="F1" s="85">
        <v>5</v>
      </c>
      <c r="G1" s="85">
        <v>6</v>
      </c>
      <c r="H1" s="85">
        <v>7</v>
      </c>
      <c r="I1" s="85">
        <v>8</v>
      </c>
      <c r="J1" s="85">
        <v>9</v>
      </c>
      <c r="K1" s="85">
        <v>10</v>
      </c>
      <c r="M1" s="266" t="s">
        <v>180</v>
      </c>
      <c r="N1" s="267"/>
      <c r="O1" s="267"/>
      <c r="P1" s="267"/>
    </row>
    <row r="2" spans="1:24" s="160" customFormat="1" ht="15" customHeight="1">
      <c r="A2" s="268" t="s">
        <v>181</v>
      </c>
      <c r="B2" s="269">
        <v>600</v>
      </c>
      <c r="C2" s="269">
        <v>600</v>
      </c>
      <c r="D2" s="269">
        <v>600</v>
      </c>
      <c r="E2" s="269">
        <v>600</v>
      </c>
      <c r="F2" s="269">
        <v>600</v>
      </c>
      <c r="G2" s="269">
        <v>600</v>
      </c>
      <c r="H2" s="269">
        <v>600</v>
      </c>
      <c r="I2" s="269">
        <v>600</v>
      </c>
      <c r="J2" s="269">
        <v>600</v>
      </c>
      <c r="K2" s="269">
        <v>600</v>
      </c>
      <c r="M2" s="270">
        <v>400</v>
      </c>
      <c r="N2" s="17" t="s">
        <v>182</v>
      </c>
      <c r="O2" s="17"/>
      <c r="P2" s="17"/>
    </row>
    <row r="3" spans="1:24">
      <c r="A3" s="271" t="s">
        <v>183</v>
      </c>
      <c r="B3" s="272">
        <v>563.79374893495833</v>
      </c>
      <c r="C3" s="272">
        <v>376.85365149903083</v>
      </c>
      <c r="D3" s="272">
        <v>647.1490189617283</v>
      </c>
      <c r="E3" s="272">
        <v>456.28033263073303</v>
      </c>
      <c r="F3" s="272">
        <v>647.1490189617283</v>
      </c>
      <c r="G3" s="272">
        <v>376.82057317284813</v>
      </c>
      <c r="H3" s="272">
        <v>361.53840472409235</v>
      </c>
      <c r="I3" s="272">
        <v>254.90707508288645</v>
      </c>
      <c r="J3" s="272">
        <v>400.24683254540054</v>
      </c>
      <c r="K3" s="272">
        <v>622.80545648704344</v>
      </c>
      <c r="M3" s="270">
        <v>400</v>
      </c>
      <c r="N3" s="17" t="s">
        <v>184</v>
      </c>
    </row>
    <row r="4" spans="1:24">
      <c r="A4" s="273" t="s">
        <v>185</v>
      </c>
      <c r="B4" s="272">
        <f>B8+8</f>
        <v>8</v>
      </c>
      <c r="C4" s="272">
        <f t="shared" ref="C4:K4" si="0">C8+8</f>
        <v>8</v>
      </c>
      <c r="D4" s="272">
        <f t="shared" si="0"/>
        <v>8</v>
      </c>
      <c r="E4" s="272">
        <f t="shared" si="0"/>
        <v>8</v>
      </c>
      <c r="F4" s="272">
        <f t="shared" si="0"/>
        <v>8</v>
      </c>
      <c r="G4" s="272">
        <f t="shared" si="0"/>
        <v>8</v>
      </c>
      <c r="H4" s="272">
        <f t="shared" si="0"/>
        <v>8</v>
      </c>
      <c r="I4" s="272">
        <f t="shared" si="0"/>
        <v>8</v>
      </c>
      <c r="J4" s="272">
        <f t="shared" si="0"/>
        <v>8</v>
      </c>
      <c r="K4" s="272">
        <f t="shared" si="0"/>
        <v>8</v>
      </c>
      <c r="M4" s="270">
        <f>M3/4</f>
        <v>100</v>
      </c>
      <c r="N4" s="17" t="s">
        <v>186</v>
      </c>
    </row>
    <row r="5" spans="1:24">
      <c r="A5" s="274" t="s">
        <v>187</v>
      </c>
      <c r="B5" s="272">
        <f>ROUNDDOWN(W14,0)</f>
        <v>400</v>
      </c>
      <c r="C5" s="272">
        <f>ROUNDDOWN(W20,0)</f>
        <v>598</v>
      </c>
      <c r="D5" s="272">
        <f>ROUNDDOWN(W26,0)</f>
        <v>435</v>
      </c>
      <c r="E5" s="272">
        <f>ROUNDDOWN(W32,0)</f>
        <v>494</v>
      </c>
      <c r="F5" s="272">
        <f>ROUNDDOWN(W38,0)</f>
        <v>435</v>
      </c>
      <c r="G5" s="272">
        <f>ROUNDDOWN(W44,0)</f>
        <v>598</v>
      </c>
      <c r="H5" s="272">
        <f>ROUNDDOWN(W50,0)</f>
        <v>624</v>
      </c>
      <c r="I5" s="272">
        <f>ROUNDDOWN(W56,0)</f>
        <v>885</v>
      </c>
      <c r="J5" s="272">
        <f>ROUNDDOWN(W62,0)</f>
        <v>563</v>
      </c>
      <c r="K5" s="272">
        <f>ROUNDDOWN(W68,0)</f>
        <v>452</v>
      </c>
      <c r="M5" s="266" t="s">
        <v>188</v>
      </c>
      <c r="N5" s="267"/>
    </row>
    <row r="6" spans="1:24">
      <c r="A6" s="274" t="s">
        <v>189</v>
      </c>
      <c r="B6" s="275">
        <f>W15</f>
        <v>4</v>
      </c>
      <c r="C6" s="276">
        <f>ROUNDDOWN(W21,0)</f>
        <v>4</v>
      </c>
      <c r="D6" s="276">
        <f>ROUNDDOWN(W27,0)</f>
        <v>5</v>
      </c>
      <c r="E6" s="276">
        <f>ROUNDDOWN(W33,0)</f>
        <v>4</v>
      </c>
      <c r="F6" s="276">
        <f>W39</f>
        <v>5</v>
      </c>
      <c r="G6" s="276">
        <f>W45</f>
        <v>4</v>
      </c>
      <c r="H6" s="276">
        <f>W51</f>
        <v>4</v>
      </c>
      <c r="I6" s="276">
        <f>W57</f>
        <v>4</v>
      </c>
      <c r="J6" s="276">
        <f>W63</f>
        <v>4</v>
      </c>
      <c r="K6" s="276">
        <f>W69</f>
        <v>5</v>
      </c>
      <c r="M6" s="277">
        <v>2</v>
      </c>
      <c r="N6" s="17" t="s">
        <v>190</v>
      </c>
      <c r="P6" s="267"/>
    </row>
    <row r="7" spans="1:24">
      <c r="A7" s="274" t="s">
        <v>191</v>
      </c>
      <c r="B7" s="275">
        <f>W16</f>
        <v>2</v>
      </c>
      <c r="C7" s="276">
        <f>ROUNDDOWN(W22,0)</f>
        <v>2</v>
      </c>
      <c r="D7" s="276">
        <f>ROUNDDOWN(W28,0)</f>
        <v>2</v>
      </c>
      <c r="E7" s="276">
        <f>ROUNDDOWN(W34,0)</f>
        <v>2</v>
      </c>
      <c r="F7" s="276">
        <f>W40</f>
        <v>2</v>
      </c>
      <c r="G7" s="276">
        <f>W46</f>
        <v>2</v>
      </c>
      <c r="H7" s="276">
        <f>W52</f>
        <v>2</v>
      </c>
      <c r="I7" s="276">
        <f>W58</f>
        <v>2</v>
      </c>
      <c r="J7" s="276">
        <f>W64</f>
        <v>2</v>
      </c>
      <c r="K7" s="276">
        <f>W70</f>
        <v>2</v>
      </c>
      <c r="M7" s="277">
        <v>2</v>
      </c>
      <c r="N7" s="17" t="s">
        <v>192</v>
      </c>
    </row>
    <row r="8" spans="1:24" s="267" customFormat="1">
      <c r="A8" s="278" t="s">
        <v>193</v>
      </c>
      <c r="B8" s="278">
        <f>IF(ROUNDDOWN((B2-(3*B5))/B5,0)&lt;0,0,ROUNDDOWN((B2-(3*B5))/B5,0))</f>
        <v>0</v>
      </c>
      <c r="C8" s="278">
        <f t="shared" ref="C8:J8" si="1">IF(ROUNDDOWN((C2-(3*C5))/C5,0)&lt;0,0,ROUNDDOWN((C2-(3*C5))/C5,0))</f>
        <v>0</v>
      </c>
      <c r="D8" s="278">
        <f t="shared" si="1"/>
        <v>0</v>
      </c>
      <c r="E8" s="278">
        <f t="shared" si="1"/>
        <v>0</v>
      </c>
      <c r="F8" s="278">
        <f t="shared" si="1"/>
        <v>0</v>
      </c>
      <c r="G8" s="278">
        <f t="shared" si="1"/>
        <v>0</v>
      </c>
      <c r="H8" s="278">
        <f t="shared" si="1"/>
        <v>0</v>
      </c>
      <c r="I8" s="278">
        <f>IF(ROUNDDOWN((I2-(3*I5))/I5,0)&lt;0,0,ROUNDDOWN((I2-(3*I5))/I5,0))</f>
        <v>0</v>
      </c>
      <c r="J8" s="278">
        <f t="shared" si="1"/>
        <v>0</v>
      </c>
      <c r="K8" s="278">
        <f>IF(ROUNDDOWN((K2-(3*K5))/K5,0)&lt;0,0,ROUNDDOWN((K2-(3*K5))/K5,0))</f>
        <v>0</v>
      </c>
      <c r="M8" s="277">
        <v>1880</v>
      </c>
      <c r="N8" s="17" t="s">
        <v>194</v>
      </c>
      <c r="P8" s="17"/>
    </row>
    <row r="9" spans="1:24">
      <c r="A9" s="279" t="s">
        <v>195</v>
      </c>
      <c r="B9" s="280">
        <f>(((B2-B5)/B5)-B8+1)*B5</f>
        <v>600</v>
      </c>
      <c r="C9" s="280">
        <f t="shared" ref="C9:H9" si="2">(((C2-C5)/C5)-C8+1)*C5</f>
        <v>600</v>
      </c>
      <c r="D9" s="280">
        <f t="shared" si="2"/>
        <v>600</v>
      </c>
      <c r="E9" s="280">
        <f t="shared" si="2"/>
        <v>600</v>
      </c>
      <c r="F9" s="280">
        <f t="shared" si="2"/>
        <v>600</v>
      </c>
      <c r="G9" s="280">
        <f t="shared" si="2"/>
        <v>600</v>
      </c>
      <c r="H9" s="280">
        <f t="shared" si="2"/>
        <v>600</v>
      </c>
      <c r="I9" s="280">
        <f>(((I2-I5)/I5)-I8+1)*I5</f>
        <v>600</v>
      </c>
      <c r="J9" s="280">
        <f>(((J2-J5)/J5)-J8+1)*J5</f>
        <v>600</v>
      </c>
      <c r="K9" s="280">
        <f>(((K2-K5)/K5)-K8+1)*K5</f>
        <v>600</v>
      </c>
      <c r="M9" s="281">
        <v>30</v>
      </c>
      <c r="N9" s="17" t="s">
        <v>196</v>
      </c>
    </row>
    <row r="10" spans="1:24" ht="15.75">
      <c r="A10" s="282"/>
      <c r="G10" s="283"/>
    </row>
    <row r="11" spans="1:24" hidden="1">
      <c r="A11" s="266" t="s">
        <v>197</v>
      </c>
      <c r="C11" s="284"/>
      <c r="D11" s="284"/>
      <c r="E11" s="284"/>
      <c r="F11" s="284"/>
      <c r="G11" s="284"/>
      <c r="O11" s="277"/>
      <c r="P11" s="277"/>
      <c r="Q11" s="277"/>
    </row>
    <row r="12" spans="1:24" hidden="1">
      <c r="A12" s="282" t="s">
        <v>198</v>
      </c>
      <c r="B12" s="282"/>
      <c r="C12" s="285">
        <f>B3</f>
        <v>563.79374893495833</v>
      </c>
      <c r="O12" s="277"/>
      <c r="P12" s="277"/>
      <c r="Q12" s="277"/>
    </row>
    <row r="13" spans="1:24" hidden="1">
      <c r="A13" s="282" t="s">
        <v>199</v>
      </c>
      <c r="B13" s="282"/>
      <c r="C13" s="286">
        <f>$M$8*$M$9*$M$7*$M$6</f>
        <v>225600</v>
      </c>
      <c r="D13" s="17">
        <f t="shared" ref="D13:W13" si="3">$M$8*$M$9*C15</f>
        <v>225600</v>
      </c>
      <c r="E13" s="17">
        <f t="shared" si="3"/>
        <v>225600</v>
      </c>
      <c r="F13" s="17">
        <f t="shared" si="3"/>
        <v>225600</v>
      </c>
      <c r="G13" s="17">
        <f t="shared" si="3"/>
        <v>225600</v>
      </c>
      <c r="H13" s="17">
        <f t="shared" si="3"/>
        <v>225600</v>
      </c>
      <c r="I13" s="17">
        <f t="shared" si="3"/>
        <v>225600</v>
      </c>
      <c r="J13" s="17">
        <f t="shared" si="3"/>
        <v>225600</v>
      </c>
      <c r="K13" s="17">
        <f t="shared" si="3"/>
        <v>225600</v>
      </c>
      <c r="L13" s="17">
        <f t="shared" si="3"/>
        <v>225600</v>
      </c>
      <c r="M13" s="17">
        <f t="shared" si="3"/>
        <v>225600</v>
      </c>
      <c r="N13" s="17">
        <f t="shared" si="3"/>
        <v>225600</v>
      </c>
      <c r="O13" s="17">
        <f t="shared" si="3"/>
        <v>225600</v>
      </c>
      <c r="P13" s="17">
        <f t="shared" si="3"/>
        <v>225600</v>
      </c>
      <c r="Q13" s="17">
        <f t="shared" si="3"/>
        <v>225600</v>
      </c>
      <c r="R13" s="17">
        <f t="shared" si="3"/>
        <v>225600</v>
      </c>
      <c r="S13" s="17">
        <f t="shared" si="3"/>
        <v>225600</v>
      </c>
      <c r="T13" s="17">
        <f t="shared" si="3"/>
        <v>225600</v>
      </c>
      <c r="U13" s="17">
        <f t="shared" si="3"/>
        <v>225600</v>
      </c>
      <c r="V13" s="17">
        <f t="shared" si="3"/>
        <v>225600</v>
      </c>
      <c r="W13" s="17">
        <f t="shared" si="3"/>
        <v>225600</v>
      </c>
    </row>
    <row r="14" spans="1:24" hidden="1">
      <c r="A14" s="282" t="s">
        <v>200</v>
      </c>
      <c r="B14" s="282"/>
      <c r="C14" s="287">
        <f>(C13/$C$12)</f>
        <v>400.14633086332105</v>
      </c>
      <c r="D14" s="287">
        <f>(D13/$C$12)</f>
        <v>400.14633086332105</v>
      </c>
      <c r="E14" s="287">
        <f>(E13/$C$12)</f>
        <v>400.14633086332105</v>
      </c>
      <c r="F14" s="287">
        <f t="shared" ref="F14:T14" si="4">(F13/$C$12)</f>
        <v>400.14633086332105</v>
      </c>
      <c r="G14" s="287">
        <f t="shared" si="4"/>
        <v>400.14633086332105</v>
      </c>
      <c r="H14" s="287">
        <f t="shared" si="4"/>
        <v>400.14633086332105</v>
      </c>
      <c r="I14" s="287">
        <f t="shared" si="4"/>
        <v>400.14633086332105</v>
      </c>
      <c r="J14" s="287">
        <f t="shared" si="4"/>
        <v>400.14633086332105</v>
      </c>
      <c r="K14" s="287">
        <f t="shared" si="4"/>
        <v>400.14633086332105</v>
      </c>
      <c r="L14" s="287">
        <f t="shared" si="4"/>
        <v>400.14633086332105</v>
      </c>
      <c r="M14" s="287">
        <f t="shared" si="4"/>
        <v>400.14633086332105</v>
      </c>
      <c r="N14" s="287">
        <f t="shared" si="4"/>
        <v>400.14633086332105</v>
      </c>
      <c r="O14" s="287">
        <f t="shared" si="4"/>
        <v>400.14633086332105</v>
      </c>
      <c r="P14" s="287">
        <f t="shared" si="4"/>
        <v>400.14633086332105</v>
      </c>
      <c r="Q14" s="287">
        <f t="shared" si="4"/>
        <v>400.14633086332105</v>
      </c>
      <c r="R14" s="287">
        <f t="shared" si="4"/>
        <v>400.14633086332105</v>
      </c>
      <c r="S14" s="287">
        <f>(S13/$C$12)</f>
        <v>400.14633086332105</v>
      </c>
      <c r="T14" s="287">
        <f t="shared" si="4"/>
        <v>400.14633086332105</v>
      </c>
      <c r="U14" s="287">
        <f>(U13/$C$12)</f>
        <v>400.14633086332105</v>
      </c>
      <c r="V14" s="287">
        <f>(V13/$C$12)</f>
        <v>400.14633086332105</v>
      </c>
      <c r="W14" s="287">
        <f>(W13/$C$12)</f>
        <v>400.14633086332105</v>
      </c>
    </row>
    <row r="15" spans="1:24" hidden="1">
      <c r="A15" s="282" t="s">
        <v>201</v>
      </c>
      <c r="B15" s="282"/>
      <c r="C15" s="17">
        <f>IF(C14&lt;$M$3, 4+1,4)</f>
        <v>4</v>
      </c>
      <c r="D15" s="17">
        <f t="shared" ref="D15:W15" si="5">IF(D14&lt;$M$3, C15+1,C15)</f>
        <v>4</v>
      </c>
      <c r="E15" s="17">
        <f t="shared" si="5"/>
        <v>4</v>
      </c>
      <c r="F15" s="17">
        <f t="shared" si="5"/>
        <v>4</v>
      </c>
      <c r="G15" s="17">
        <f t="shared" si="5"/>
        <v>4</v>
      </c>
      <c r="H15" s="17">
        <f t="shared" si="5"/>
        <v>4</v>
      </c>
      <c r="I15" s="17">
        <f t="shared" si="5"/>
        <v>4</v>
      </c>
      <c r="J15" s="17">
        <f t="shared" si="5"/>
        <v>4</v>
      </c>
      <c r="K15" s="17">
        <f t="shared" si="5"/>
        <v>4</v>
      </c>
      <c r="L15" s="288">
        <f t="shared" si="5"/>
        <v>4</v>
      </c>
      <c r="M15" s="288">
        <f t="shared" si="5"/>
        <v>4</v>
      </c>
      <c r="N15" s="288">
        <f t="shared" si="5"/>
        <v>4</v>
      </c>
      <c r="O15" s="288">
        <f t="shared" si="5"/>
        <v>4</v>
      </c>
      <c r="P15" s="288">
        <f t="shared" si="5"/>
        <v>4</v>
      </c>
      <c r="Q15" s="288">
        <f t="shared" si="5"/>
        <v>4</v>
      </c>
      <c r="R15" s="288">
        <f t="shared" si="5"/>
        <v>4</v>
      </c>
      <c r="S15" s="288">
        <f t="shared" si="5"/>
        <v>4</v>
      </c>
      <c r="T15" s="288">
        <f t="shared" si="5"/>
        <v>4</v>
      </c>
      <c r="U15" s="288">
        <f t="shared" si="5"/>
        <v>4</v>
      </c>
      <c r="V15" s="288">
        <f t="shared" si="5"/>
        <v>4</v>
      </c>
      <c r="W15" s="267">
        <f t="shared" si="5"/>
        <v>4</v>
      </c>
      <c r="X15" s="267" t="s">
        <v>202</v>
      </c>
    </row>
    <row r="16" spans="1:24" hidden="1">
      <c r="A16" s="282"/>
      <c r="B16" s="282"/>
      <c r="C16" s="286"/>
      <c r="J16" s="287"/>
      <c r="O16" s="277"/>
      <c r="P16" s="277"/>
      <c r="Q16" s="277"/>
      <c r="W16" s="267">
        <f>ROUNDUP(W15/3,0)</f>
        <v>2</v>
      </c>
      <c r="X16" s="267" t="s">
        <v>203</v>
      </c>
    </row>
    <row r="17" spans="1:24" hidden="1">
      <c r="A17" s="266" t="s">
        <v>204</v>
      </c>
      <c r="C17" s="284"/>
      <c r="D17" s="284"/>
      <c r="E17" s="284"/>
      <c r="F17" s="284"/>
      <c r="G17" s="284"/>
      <c r="O17" s="277"/>
      <c r="P17" s="277"/>
      <c r="Q17" s="277"/>
    </row>
    <row r="18" spans="1:24" hidden="1">
      <c r="A18" s="282" t="s">
        <v>198</v>
      </c>
      <c r="B18" s="282"/>
      <c r="C18" s="285">
        <f>C3</f>
        <v>376.85365149903083</v>
      </c>
      <c r="O18" s="277"/>
      <c r="P18" s="277"/>
      <c r="Q18" s="277"/>
    </row>
    <row r="19" spans="1:24" hidden="1">
      <c r="A19" s="282" t="s">
        <v>199</v>
      </c>
      <c r="B19" s="282"/>
      <c r="C19" s="286">
        <f>$M$8*$M$9*$M$7*$M$6</f>
        <v>225600</v>
      </c>
      <c r="D19" s="17">
        <f t="shared" ref="D19:W19" si="6">$M$8*$M$9*C21</f>
        <v>225600</v>
      </c>
      <c r="E19" s="17">
        <f t="shared" si="6"/>
        <v>225600</v>
      </c>
      <c r="F19" s="17">
        <f t="shared" si="6"/>
        <v>225600</v>
      </c>
      <c r="G19" s="17">
        <f t="shared" si="6"/>
        <v>225600</v>
      </c>
      <c r="H19" s="17">
        <f t="shared" si="6"/>
        <v>225600</v>
      </c>
      <c r="I19" s="17">
        <f t="shared" si="6"/>
        <v>225600</v>
      </c>
      <c r="J19" s="17">
        <f t="shared" si="6"/>
        <v>225600</v>
      </c>
      <c r="K19" s="17">
        <f t="shared" si="6"/>
        <v>225600</v>
      </c>
      <c r="L19" s="17">
        <f t="shared" si="6"/>
        <v>225600</v>
      </c>
      <c r="M19" s="17">
        <f t="shared" si="6"/>
        <v>225600</v>
      </c>
      <c r="N19" s="17">
        <f t="shared" si="6"/>
        <v>225600</v>
      </c>
      <c r="O19" s="17">
        <f t="shared" si="6"/>
        <v>225600</v>
      </c>
      <c r="P19" s="17">
        <f t="shared" si="6"/>
        <v>225600</v>
      </c>
      <c r="Q19" s="17">
        <f t="shared" si="6"/>
        <v>225600</v>
      </c>
      <c r="R19" s="17">
        <f t="shared" si="6"/>
        <v>225600</v>
      </c>
      <c r="S19" s="17">
        <f t="shared" si="6"/>
        <v>225600</v>
      </c>
      <c r="T19" s="17">
        <f t="shared" si="6"/>
        <v>225600</v>
      </c>
      <c r="U19" s="17">
        <f t="shared" si="6"/>
        <v>225600</v>
      </c>
      <c r="V19" s="17">
        <f t="shared" si="6"/>
        <v>225600</v>
      </c>
      <c r="W19" s="17">
        <f t="shared" si="6"/>
        <v>225600</v>
      </c>
    </row>
    <row r="20" spans="1:24" hidden="1">
      <c r="A20" s="282" t="s">
        <v>200</v>
      </c>
      <c r="B20" s="282"/>
      <c r="C20" s="287">
        <f>(C19/$C$18)</f>
        <v>598.64087584827394</v>
      </c>
      <c r="D20" s="287">
        <f>(D19/$C$18)</f>
        <v>598.64087584827394</v>
      </c>
      <c r="E20" s="287">
        <f t="shared" ref="E20:W20" si="7">(E19/$C$18)</f>
        <v>598.64087584827394</v>
      </c>
      <c r="F20" s="287">
        <f t="shared" si="7"/>
        <v>598.64087584827394</v>
      </c>
      <c r="G20" s="287">
        <f t="shared" si="7"/>
        <v>598.64087584827394</v>
      </c>
      <c r="H20" s="287">
        <f t="shared" si="7"/>
        <v>598.64087584827394</v>
      </c>
      <c r="I20" s="287">
        <f t="shared" si="7"/>
        <v>598.64087584827394</v>
      </c>
      <c r="J20" s="287">
        <f t="shared" si="7"/>
        <v>598.64087584827394</v>
      </c>
      <c r="K20" s="287">
        <f t="shared" si="7"/>
        <v>598.64087584827394</v>
      </c>
      <c r="L20" s="287">
        <f>(L19/$C$18)</f>
        <v>598.64087584827394</v>
      </c>
      <c r="M20" s="287">
        <f t="shared" si="7"/>
        <v>598.64087584827394</v>
      </c>
      <c r="N20" s="287">
        <f t="shared" si="7"/>
        <v>598.64087584827394</v>
      </c>
      <c r="O20" s="287">
        <f t="shared" si="7"/>
        <v>598.64087584827394</v>
      </c>
      <c r="P20" s="287">
        <f t="shared" si="7"/>
        <v>598.64087584827394</v>
      </c>
      <c r="Q20" s="287">
        <f t="shared" si="7"/>
        <v>598.64087584827394</v>
      </c>
      <c r="R20" s="287">
        <f t="shared" si="7"/>
        <v>598.64087584827394</v>
      </c>
      <c r="S20" s="287">
        <f t="shared" si="7"/>
        <v>598.64087584827394</v>
      </c>
      <c r="T20" s="287">
        <f t="shared" si="7"/>
        <v>598.64087584827394</v>
      </c>
      <c r="U20" s="287">
        <f t="shared" si="7"/>
        <v>598.64087584827394</v>
      </c>
      <c r="V20" s="287">
        <f t="shared" si="7"/>
        <v>598.64087584827394</v>
      </c>
      <c r="W20" s="287">
        <f t="shared" si="7"/>
        <v>598.64087584827394</v>
      </c>
    </row>
    <row r="21" spans="1:24" hidden="1">
      <c r="A21" s="282" t="s">
        <v>201</v>
      </c>
      <c r="B21" s="282"/>
      <c r="C21" s="17">
        <f>IF(C20&lt;$M$3, 4+1,4)</f>
        <v>4</v>
      </c>
      <c r="D21" s="17">
        <f t="shared" ref="D21:W21" si="8">IF(D20&lt;$M$3, C21+1,C21)</f>
        <v>4</v>
      </c>
      <c r="E21" s="17">
        <f t="shared" si="8"/>
        <v>4</v>
      </c>
      <c r="F21" s="17">
        <f t="shared" si="8"/>
        <v>4</v>
      </c>
      <c r="G21" s="17">
        <f t="shared" si="8"/>
        <v>4</v>
      </c>
      <c r="H21" s="17">
        <f t="shared" si="8"/>
        <v>4</v>
      </c>
      <c r="I21" s="17">
        <f t="shared" si="8"/>
        <v>4</v>
      </c>
      <c r="J21" s="17">
        <f t="shared" si="8"/>
        <v>4</v>
      </c>
      <c r="K21" s="17">
        <f t="shared" si="8"/>
        <v>4</v>
      </c>
      <c r="L21" s="288">
        <f t="shared" si="8"/>
        <v>4</v>
      </c>
      <c r="M21" s="288">
        <f t="shared" si="8"/>
        <v>4</v>
      </c>
      <c r="N21" s="288">
        <f t="shared" si="8"/>
        <v>4</v>
      </c>
      <c r="O21" s="288">
        <f t="shared" si="8"/>
        <v>4</v>
      </c>
      <c r="P21" s="288">
        <f t="shared" si="8"/>
        <v>4</v>
      </c>
      <c r="Q21" s="288">
        <f t="shared" si="8"/>
        <v>4</v>
      </c>
      <c r="R21" s="288">
        <f t="shared" si="8"/>
        <v>4</v>
      </c>
      <c r="S21" s="288">
        <f t="shared" si="8"/>
        <v>4</v>
      </c>
      <c r="T21" s="288">
        <f t="shared" si="8"/>
        <v>4</v>
      </c>
      <c r="U21" s="288">
        <f t="shared" si="8"/>
        <v>4</v>
      </c>
      <c r="V21" s="288">
        <f t="shared" si="8"/>
        <v>4</v>
      </c>
      <c r="W21" s="267">
        <f t="shared" si="8"/>
        <v>4</v>
      </c>
      <c r="X21" s="267" t="s">
        <v>202</v>
      </c>
    </row>
    <row r="22" spans="1:24" hidden="1">
      <c r="A22" s="282"/>
      <c r="B22" s="282"/>
      <c r="C22" s="286"/>
      <c r="J22" s="287"/>
      <c r="O22" s="277"/>
      <c r="P22" s="277"/>
      <c r="Q22" s="277"/>
      <c r="W22" s="267">
        <f>ROUNDUP(W21/3,0)</f>
        <v>2</v>
      </c>
      <c r="X22" s="267" t="s">
        <v>203</v>
      </c>
    </row>
    <row r="23" spans="1:24" hidden="1">
      <c r="A23" s="266" t="s">
        <v>205</v>
      </c>
      <c r="C23" s="284"/>
      <c r="D23" s="284"/>
      <c r="E23" s="284"/>
      <c r="F23" s="284"/>
      <c r="G23" s="284"/>
      <c r="O23" s="277"/>
      <c r="P23" s="277"/>
      <c r="Q23" s="277"/>
    </row>
    <row r="24" spans="1:24" hidden="1">
      <c r="A24" s="282" t="s">
        <v>198</v>
      </c>
      <c r="B24" s="282"/>
      <c r="C24" s="285">
        <f>D3</f>
        <v>647.1490189617283</v>
      </c>
      <c r="O24" s="277"/>
      <c r="P24" s="277"/>
      <c r="Q24" s="277"/>
    </row>
    <row r="25" spans="1:24" hidden="1">
      <c r="A25" s="282" t="s">
        <v>199</v>
      </c>
      <c r="B25" s="282"/>
      <c r="C25" s="286">
        <f>$M$8*$M$9*$M$7*$M$6</f>
        <v>225600</v>
      </c>
      <c r="D25" s="17">
        <f t="shared" ref="D25:W25" si="9">$M$8*$M$9*C27</f>
        <v>282000</v>
      </c>
      <c r="E25" s="17">
        <f t="shared" si="9"/>
        <v>282000</v>
      </c>
      <c r="F25" s="17">
        <f t="shared" si="9"/>
        <v>282000</v>
      </c>
      <c r="G25" s="17">
        <f t="shared" si="9"/>
        <v>282000</v>
      </c>
      <c r="H25" s="17">
        <f t="shared" si="9"/>
        <v>282000</v>
      </c>
      <c r="I25" s="17">
        <f t="shared" si="9"/>
        <v>282000</v>
      </c>
      <c r="J25" s="17">
        <f t="shared" si="9"/>
        <v>282000</v>
      </c>
      <c r="K25" s="17">
        <f t="shared" si="9"/>
        <v>282000</v>
      </c>
      <c r="L25" s="17">
        <f t="shared" si="9"/>
        <v>282000</v>
      </c>
      <c r="M25" s="17">
        <f t="shared" si="9"/>
        <v>282000</v>
      </c>
      <c r="N25" s="17">
        <f t="shared" si="9"/>
        <v>282000</v>
      </c>
      <c r="O25" s="17">
        <f t="shared" si="9"/>
        <v>282000</v>
      </c>
      <c r="P25" s="17">
        <f t="shared" si="9"/>
        <v>282000</v>
      </c>
      <c r="Q25" s="17">
        <f t="shared" si="9"/>
        <v>282000</v>
      </c>
      <c r="R25" s="17">
        <f t="shared" si="9"/>
        <v>282000</v>
      </c>
      <c r="S25" s="17">
        <f t="shared" si="9"/>
        <v>282000</v>
      </c>
      <c r="T25" s="17">
        <f t="shared" si="9"/>
        <v>282000</v>
      </c>
      <c r="U25" s="17">
        <f t="shared" si="9"/>
        <v>282000</v>
      </c>
      <c r="V25" s="17">
        <f t="shared" si="9"/>
        <v>282000</v>
      </c>
      <c r="W25" s="17">
        <f t="shared" si="9"/>
        <v>282000</v>
      </c>
    </row>
    <row r="26" spans="1:24" hidden="1">
      <c r="A26" s="282" t="s">
        <v>200</v>
      </c>
      <c r="B26" s="282"/>
      <c r="C26" s="287">
        <f>(C25/$C$24)</f>
        <v>348.6059522456631</v>
      </c>
      <c r="D26" s="287">
        <f t="shared" ref="D26:W26" si="10">(D25/$C$24)</f>
        <v>435.75744030707892</v>
      </c>
      <c r="E26" s="287">
        <f t="shared" si="10"/>
        <v>435.75744030707892</v>
      </c>
      <c r="F26" s="287">
        <f t="shared" si="10"/>
        <v>435.75744030707892</v>
      </c>
      <c r="G26" s="287">
        <f t="shared" si="10"/>
        <v>435.75744030707892</v>
      </c>
      <c r="H26" s="287">
        <f>(H25/$C$24)</f>
        <v>435.75744030707892</v>
      </c>
      <c r="I26" s="287">
        <f t="shared" si="10"/>
        <v>435.75744030707892</v>
      </c>
      <c r="J26" s="287">
        <f t="shared" si="10"/>
        <v>435.75744030707892</v>
      </c>
      <c r="K26" s="287">
        <f t="shared" si="10"/>
        <v>435.75744030707892</v>
      </c>
      <c r="L26" s="287">
        <f t="shared" si="10"/>
        <v>435.75744030707892</v>
      </c>
      <c r="M26" s="287">
        <f t="shared" si="10"/>
        <v>435.75744030707892</v>
      </c>
      <c r="N26" s="287">
        <f t="shared" si="10"/>
        <v>435.75744030707892</v>
      </c>
      <c r="O26" s="287">
        <f t="shared" si="10"/>
        <v>435.75744030707892</v>
      </c>
      <c r="P26" s="287">
        <f t="shared" si="10"/>
        <v>435.75744030707892</v>
      </c>
      <c r="Q26" s="287">
        <f t="shared" si="10"/>
        <v>435.75744030707892</v>
      </c>
      <c r="R26" s="287">
        <f t="shared" si="10"/>
        <v>435.75744030707892</v>
      </c>
      <c r="S26" s="287">
        <f t="shared" si="10"/>
        <v>435.75744030707892</v>
      </c>
      <c r="T26" s="287">
        <f t="shared" si="10"/>
        <v>435.75744030707892</v>
      </c>
      <c r="U26" s="287">
        <f t="shared" si="10"/>
        <v>435.75744030707892</v>
      </c>
      <c r="V26" s="287">
        <f t="shared" si="10"/>
        <v>435.75744030707892</v>
      </c>
      <c r="W26" s="287">
        <f t="shared" si="10"/>
        <v>435.75744030707892</v>
      </c>
    </row>
    <row r="27" spans="1:24" hidden="1">
      <c r="A27" s="282" t="s">
        <v>201</v>
      </c>
      <c r="B27" s="282"/>
      <c r="C27" s="17">
        <f>IF(C26&lt;$M$3, 4+1,4)</f>
        <v>5</v>
      </c>
      <c r="D27" s="17">
        <f t="shared" ref="D27:W27" si="11">IF(D26&lt;$M$3, C27+1,C27)</f>
        <v>5</v>
      </c>
      <c r="E27" s="17">
        <f t="shared" si="11"/>
        <v>5</v>
      </c>
      <c r="F27" s="17">
        <f t="shared" si="11"/>
        <v>5</v>
      </c>
      <c r="G27" s="17">
        <f t="shared" si="11"/>
        <v>5</v>
      </c>
      <c r="H27" s="17">
        <f t="shared" si="11"/>
        <v>5</v>
      </c>
      <c r="I27" s="17">
        <f t="shared" si="11"/>
        <v>5</v>
      </c>
      <c r="J27" s="17">
        <f t="shared" si="11"/>
        <v>5</v>
      </c>
      <c r="K27" s="17">
        <f t="shared" si="11"/>
        <v>5</v>
      </c>
      <c r="L27" s="288">
        <f t="shared" si="11"/>
        <v>5</v>
      </c>
      <c r="M27" s="288">
        <f t="shared" si="11"/>
        <v>5</v>
      </c>
      <c r="N27" s="288">
        <f t="shared" si="11"/>
        <v>5</v>
      </c>
      <c r="O27" s="288">
        <f t="shared" si="11"/>
        <v>5</v>
      </c>
      <c r="P27" s="288">
        <f t="shared" si="11"/>
        <v>5</v>
      </c>
      <c r="Q27" s="288">
        <f t="shared" si="11"/>
        <v>5</v>
      </c>
      <c r="R27" s="288">
        <f t="shared" si="11"/>
        <v>5</v>
      </c>
      <c r="S27" s="288">
        <f t="shared" si="11"/>
        <v>5</v>
      </c>
      <c r="T27" s="288">
        <f t="shared" si="11"/>
        <v>5</v>
      </c>
      <c r="U27" s="288">
        <f t="shared" si="11"/>
        <v>5</v>
      </c>
      <c r="V27" s="288">
        <f t="shared" si="11"/>
        <v>5</v>
      </c>
      <c r="W27" s="267">
        <f t="shared" si="11"/>
        <v>5</v>
      </c>
      <c r="X27" s="267" t="s">
        <v>202</v>
      </c>
    </row>
    <row r="28" spans="1:24" hidden="1">
      <c r="A28" s="282"/>
      <c r="B28" s="282"/>
      <c r="C28" s="286"/>
      <c r="J28" s="287"/>
      <c r="O28" s="277"/>
      <c r="P28" s="277"/>
      <c r="Q28" s="277"/>
      <c r="W28" s="267">
        <f>ROUNDUP(W27/3,0)</f>
        <v>2</v>
      </c>
      <c r="X28" s="267" t="s">
        <v>203</v>
      </c>
    </row>
    <row r="29" spans="1:24" hidden="1">
      <c r="A29" s="266" t="s">
        <v>206</v>
      </c>
      <c r="C29" s="284"/>
      <c r="D29" s="284"/>
      <c r="E29" s="284"/>
      <c r="F29" s="284"/>
      <c r="G29" s="284"/>
      <c r="O29" s="277"/>
      <c r="P29" s="277"/>
      <c r="Q29" s="277"/>
    </row>
    <row r="30" spans="1:24" hidden="1">
      <c r="A30" s="282" t="s">
        <v>198</v>
      </c>
      <c r="B30" s="282"/>
      <c r="C30" s="285">
        <f>E3</f>
        <v>456.28033263073303</v>
      </c>
      <c r="O30" s="277"/>
      <c r="P30" s="277"/>
      <c r="Q30" s="277"/>
    </row>
    <row r="31" spans="1:24" hidden="1">
      <c r="A31" s="282" t="s">
        <v>199</v>
      </c>
      <c r="B31" s="282"/>
      <c r="C31" s="286">
        <f>$M$8*$M$9*$M$7*$M$6</f>
        <v>225600</v>
      </c>
      <c r="D31" s="17">
        <f t="shared" ref="D31:W31" si="12">$M$8*$M$9*C33</f>
        <v>225600</v>
      </c>
      <c r="E31" s="17">
        <f t="shared" si="12"/>
        <v>225600</v>
      </c>
      <c r="F31" s="17">
        <f t="shared" si="12"/>
        <v>225600</v>
      </c>
      <c r="G31" s="17">
        <f t="shared" si="12"/>
        <v>225600</v>
      </c>
      <c r="H31" s="17">
        <f t="shared" si="12"/>
        <v>225600</v>
      </c>
      <c r="I31" s="17">
        <f t="shared" si="12"/>
        <v>225600</v>
      </c>
      <c r="J31" s="17">
        <f t="shared" si="12"/>
        <v>225600</v>
      </c>
      <c r="K31" s="17">
        <f t="shared" si="12"/>
        <v>225600</v>
      </c>
      <c r="L31" s="17">
        <f t="shared" si="12"/>
        <v>225600</v>
      </c>
      <c r="M31" s="17">
        <f t="shared" si="12"/>
        <v>225600</v>
      </c>
      <c r="N31" s="17">
        <f t="shared" si="12"/>
        <v>225600</v>
      </c>
      <c r="O31" s="17">
        <f t="shared" si="12"/>
        <v>225600</v>
      </c>
      <c r="P31" s="17">
        <f t="shared" si="12"/>
        <v>225600</v>
      </c>
      <c r="Q31" s="17">
        <f t="shared" si="12"/>
        <v>225600</v>
      </c>
      <c r="R31" s="17">
        <f t="shared" si="12"/>
        <v>225600</v>
      </c>
      <c r="S31" s="17">
        <f t="shared" si="12"/>
        <v>225600</v>
      </c>
      <c r="T31" s="17">
        <f t="shared" si="12"/>
        <v>225600</v>
      </c>
      <c r="U31" s="17">
        <f t="shared" si="12"/>
        <v>225600</v>
      </c>
      <c r="V31" s="17">
        <f t="shared" si="12"/>
        <v>225600</v>
      </c>
      <c r="W31" s="17">
        <f t="shared" si="12"/>
        <v>225600</v>
      </c>
    </row>
    <row r="32" spans="1:24" hidden="1">
      <c r="A32" s="282" t="s">
        <v>200</v>
      </c>
      <c r="B32" s="282"/>
      <c r="C32" s="287">
        <f>(C31/$C$30)</f>
        <v>494.43288230127973</v>
      </c>
      <c r="D32" s="287">
        <f t="shared" ref="D32:W32" si="13">(D31/$C$30)</f>
        <v>494.43288230127973</v>
      </c>
      <c r="E32" s="287">
        <f t="shared" si="13"/>
        <v>494.43288230127973</v>
      </c>
      <c r="F32" s="287">
        <f t="shared" si="13"/>
        <v>494.43288230127973</v>
      </c>
      <c r="G32" s="287">
        <f t="shared" si="13"/>
        <v>494.43288230127973</v>
      </c>
      <c r="H32" s="287">
        <f>(H31/$C$30)</f>
        <v>494.43288230127973</v>
      </c>
      <c r="I32" s="287">
        <f t="shared" si="13"/>
        <v>494.43288230127973</v>
      </c>
      <c r="J32" s="287">
        <f t="shared" si="13"/>
        <v>494.43288230127973</v>
      </c>
      <c r="K32" s="287">
        <f t="shared" si="13"/>
        <v>494.43288230127973</v>
      </c>
      <c r="L32" s="287">
        <f t="shared" si="13"/>
        <v>494.43288230127973</v>
      </c>
      <c r="M32" s="287">
        <f t="shared" si="13"/>
        <v>494.43288230127973</v>
      </c>
      <c r="N32" s="287">
        <f t="shared" si="13"/>
        <v>494.43288230127973</v>
      </c>
      <c r="O32" s="287">
        <f t="shared" si="13"/>
        <v>494.43288230127973</v>
      </c>
      <c r="P32" s="287">
        <f t="shared" si="13"/>
        <v>494.43288230127973</v>
      </c>
      <c r="Q32" s="287">
        <f t="shared" si="13"/>
        <v>494.43288230127973</v>
      </c>
      <c r="R32" s="287">
        <f t="shared" si="13"/>
        <v>494.43288230127973</v>
      </c>
      <c r="S32" s="287">
        <f t="shared" si="13"/>
        <v>494.43288230127973</v>
      </c>
      <c r="T32" s="287">
        <f t="shared" si="13"/>
        <v>494.43288230127973</v>
      </c>
      <c r="U32" s="287">
        <f t="shared" si="13"/>
        <v>494.43288230127973</v>
      </c>
      <c r="V32" s="287">
        <f t="shared" si="13"/>
        <v>494.43288230127973</v>
      </c>
      <c r="W32" s="287">
        <f t="shared" si="13"/>
        <v>494.43288230127973</v>
      </c>
    </row>
    <row r="33" spans="1:24" hidden="1">
      <c r="A33" s="282" t="s">
        <v>201</v>
      </c>
      <c r="B33" s="282"/>
      <c r="C33" s="17">
        <f>IF(C32&lt;$M$3, 4+1,4)</f>
        <v>4</v>
      </c>
      <c r="D33" s="17">
        <f t="shared" ref="D33:W33" si="14">IF(D32&lt;$M$3, C33+1,C33)</f>
        <v>4</v>
      </c>
      <c r="E33" s="17">
        <f t="shared" si="14"/>
        <v>4</v>
      </c>
      <c r="F33" s="17">
        <f t="shared" si="14"/>
        <v>4</v>
      </c>
      <c r="G33" s="17">
        <f t="shared" si="14"/>
        <v>4</v>
      </c>
      <c r="H33" s="17">
        <f t="shared" si="14"/>
        <v>4</v>
      </c>
      <c r="I33" s="17">
        <f t="shared" si="14"/>
        <v>4</v>
      </c>
      <c r="J33" s="17">
        <f t="shared" si="14"/>
        <v>4</v>
      </c>
      <c r="K33" s="17">
        <f t="shared" si="14"/>
        <v>4</v>
      </c>
      <c r="L33" s="288">
        <f t="shared" si="14"/>
        <v>4</v>
      </c>
      <c r="M33" s="288">
        <f t="shared" si="14"/>
        <v>4</v>
      </c>
      <c r="N33" s="288">
        <f t="shared" si="14"/>
        <v>4</v>
      </c>
      <c r="O33" s="288">
        <f t="shared" si="14"/>
        <v>4</v>
      </c>
      <c r="P33" s="288">
        <f t="shared" si="14"/>
        <v>4</v>
      </c>
      <c r="Q33" s="288">
        <f t="shared" si="14"/>
        <v>4</v>
      </c>
      <c r="R33" s="288">
        <f t="shared" si="14"/>
        <v>4</v>
      </c>
      <c r="S33" s="288">
        <f t="shared" si="14"/>
        <v>4</v>
      </c>
      <c r="T33" s="288">
        <f t="shared" si="14"/>
        <v>4</v>
      </c>
      <c r="U33" s="288">
        <f t="shared" si="14"/>
        <v>4</v>
      </c>
      <c r="V33" s="288">
        <f t="shared" si="14"/>
        <v>4</v>
      </c>
      <c r="W33" s="267">
        <f t="shared" si="14"/>
        <v>4</v>
      </c>
      <c r="X33" s="267" t="s">
        <v>202</v>
      </c>
    </row>
    <row r="34" spans="1:24" hidden="1">
      <c r="A34" s="282"/>
      <c r="B34" s="282"/>
      <c r="C34" s="286"/>
      <c r="J34" s="287"/>
      <c r="O34" s="277"/>
      <c r="P34" s="277"/>
      <c r="Q34" s="277"/>
      <c r="W34" s="267">
        <f>ROUNDUP(W33/3,0)</f>
        <v>2</v>
      </c>
      <c r="X34" s="267" t="s">
        <v>203</v>
      </c>
    </row>
    <row r="35" spans="1:24" hidden="1">
      <c r="A35" s="266" t="s">
        <v>207</v>
      </c>
      <c r="C35" s="284"/>
      <c r="D35" s="284"/>
      <c r="E35" s="284"/>
      <c r="F35" s="284"/>
      <c r="G35" s="284"/>
      <c r="O35" s="277"/>
      <c r="P35" s="277"/>
      <c r="Q35" s="277"/>
    </row>
    <row r="36" spans="1:24" hidden="1">
      <c r="A36" s="282" t="s">
        <v>198</v>
      </c>
      <c r="B36" s="282"/>
      <c r="C36" s="285">
        <f>F3</f>
        <v>647.1490189617283</v>
      </c>
      <c r="O36" s="277"/>
      <c r="P36" s="277"/>
      <c r="Q36" s="277"/>
    </row>
    <row r="37" spans="1:24" hidden="1">
      <c r="A37" s="282" t="s">
        <v>199</v>
      </c>
      <c r="B37" s="282"/>
      <c r="C37" s="286">
        <f>$M$8*$M$9*$M$7*$M$6</f>
        <v>225600</v>
      </c>
      <c r="D37" s="17">
        <f t="shared" ref="D37:W37" si="15">$M$8*$M$9*C39</f>
        <v>282000</v>
      </c>
      <c r="E37" s="17">
        <f t="shared" si="15"/>
        <v>282000</v>
      </c>
      <c r="F37" s="17">
        <f t="shared" si="15"/>
        <v>282000</v>
      </c>
      <c r="G37" s="17">
        <f t="shared" si="15"/>
        <v>282000</v>
      </c>
      <c r="H37" s="17">
        <f t="shared" si="15"/>
        <v>282000</v>
      </c>
      <c r="I37" s="17">
        <f t="shared" si="15"/>
        <v>282000</v>
      </c>
      <c r="J37" s="17">
        <f t="shared" si="15"/>
        <v>282000</v>
      </c>
      <c r="K37" s="17">
        <f t="shared" si="15"/>
        <v>282000</v>
      </c>
      <c r="L37" s="17">
        <f t="shared" si="15"/>
        <v>282000</v>
      </c>
      <c r="M37" s="17">
        <f t="shared" si="15"/>
        <v>282000</v>
      </c>
      <c r="N37" s="17">
        <f t="shared" si="15"/>
        <v>282000</v>
      </c>
      <c r="O37" s="17">
        <f t="shared" si="15"/>
        <v>282000</v>
      </c>
      <c r="P37" s="17">
        <f t="shared" si="15"/>
        <v>282000</v>
      </c>
      <c r="Q37" s="17">
        <f t="shared" si="15"/>
        <v>282000</v>
      </c>
      <c r="R37" s="17">
        <f t="shared" si="15"/>
        <v>282000</v>
      </c>
      <c r="S37" s="17">
        <f t="shared" si="15"/>
        <v>282000</v>
      </c>
      <c r="T37" s="17">
        <f t="shared" si="15"/>
        <v>282000</v>
      </c>
      <c r="U37" s="17">
        <f t="shared" si="15"/>
        <v>282000</v>
      </c>
      <c r="V37" s="17">
        <f t="shared" si="15"/>
        <v>282000</v>
      </c>
      <c r="W37" s="17">
        <f t="shared" si="15"/>
        <v>282000</v>
      </c>
    </row>
    <row r="38" spans="1:24" hidden="1">
      <c r="A38" s="282" t="s">
        <v>200</v>
      </c>
      <c r="B38" s="282"/>
      <c r="C38" s="287">
        <f>(C37/$C$36)</f>
        <v>348.6059522456631</v>
      </c>
      <c r="D38" s="287">
        <f t="shared" ref="D38:W38" si="16">(D37/$C$36)</f>
        <v>435.75744030707892</v>
      </c>
      <c r="E38" s="287">
        <f t="shared" si="16"/>
        <v>435.75744030707892</v>
      </c>
      <c r="F38" s="287">
        <f t="shared" si="16"/>
        <v>435.75744030707892</v>
      </c>
      <c r="G38" s="287">
        <f t="shared" si="16"/>
        <v>435.75744030707892</v>
      </c>
      <c r="H38" s="287">
        <f t="shared" si="16"/>
        <v>435.75744030707892</v>
      </c>
      <c r="I38" s="287">
        <f>(I37/$C$36)</f>
        <v>435.75744030707892</v>
      </c>
      <c r="J38" s="287">
        <f t="shared" si="16"/>
        <v>435.75744030707892</v>
      </c>
      <c r="K38" s="287">
        <f t="shared" si="16"/>
        <v>435.75744030707892</v>
      </c>
      <c r="L38" s="287">
        <f t="shared" si="16"/>
        <v>435.75744030707892</v>
      </c>
      <c r="M38" s="287">
        <f t="shared" si="16"/>
        <v>435.75744030707892</v>
      </c>
      <c r="N38" s="287">
        <f t="shared" si="16"/>
        <v>435.75744030707892</v>
      </c>
      <c r="O38" s="287">
        <f t="shared" si="16"/>
        <v>435.75744030707892</v>
      </c>
      <c r="P38" s="287">
        <f t="shared" si="16"/>
        <v>435.75744030707892</v>
      </c>
      <c r="Q38" s="287">
        <f t="shared" si="16"/>
        <v>435.75744030707892</v>
      </c>
      <c r="R38" s="287">
        <f t="shared" si="16"/>
        <v>435.75744030707892</v>
      </c>
      <c r="S38" s="287">
        <f t="shared" si="16"/>
        <v>435.75744030707892</v>
      </c>
      <c r="T38" s="287">
        <f t="shared" si="16"/>
        <v>435.75744030707892</v>
      </c>
      <c r="U38" s="287">
        <f t="shared" si="16"/>
        <v>435.75744030707892</v>
      </c>
      <c r="V38" s="287">
        <f t="shared" si="16"/>
        <v>435.75744030707892</v>
      </c>
      <c r="W38" s="287">
        <f t="shared" si="16"/>
        <v>435.75744030707892</v>
      </c>
    </row>
    <row r="39" spans="1:24" hidden="1">
      <c r="A39" s="282" t="s">
        <v>201</v>
      </c>
      <c r="B39" s="282"/>
      <c r="C39" s="17">
        <f>IF(C38&lt;$M$3, 4+1,4)</f>
        <v>5</v>
      </c>
      <c r="D39" s="17">
        <f t="shared" ref="D39:W39" si="17">IF(D38&lt;$M$3, C39+1,C39)</f>
        <v>5</v>
      </c>
      <c r="E39" s="17">
        <f t="shared" si="17"/>
        <v>5</v>
      </c>
      <c r="F39" s="17">
        <f t="shared" si="17"/>
        <v>5</v>
      </c>
      <c r="G39" s="17">
        <f t="shared" si="17"/>
        <v>5</v>
      </c>
      <c r="H39" s="17">
        <f t="shared" si="17"/>
        <v>5</v>
      </c>
      <c r="I39" s="17">
        <f t="shared" si="17"/>
        <v>5</v>
      </c>
      <c r="J39" s="17">
        <f t="shared" si="17"/>
        <v>5</v>
      </c>
      <c r="K39" s="17">
        <f t="shared" si="17"/>
        <v>5</v>
      </c>
      <c r="L39" s="288">
        <f t="shared" si="17"/>
        <v>5</v>
      </c>
      <c r="M39" s="288">
        <f t="shared" si="17"/>
        <v>5</v>
      </c>
      <c r="N39" s="288">
        <f t="shared" si="17"/>
        <v>5</v>
      </c>
      <c r="O39" s="288">
        <f t="shared" si="17"/>
        <v>5</v>
      </c>
      <c r="P39" s="288">
        <f t="shared" si="17"/>
        <v>5</v>
      </c>
      <c r="Q39" s="288">
        <f t="shared" si="17"/>
        <v>5</v>
      </c>
      <c r="R39" s="288">
        <f t="shared" si="17"/>
        <v>5</v>
      </c>
      <c r="S39" s="288">
        <f t="shared" si="17"/>
        <v>5</v>
      </c>
      <c r="T39" s="288">
        <f t="shared" si="17"/>
        <v>5</v>
      </c>
      <c r="U39" s="288">
        <f t="shared" si="17"/>
        <v>5</v>
      </c>
      <c r="V39" s="288">
        <f t="shared" si="17"/>
        <v>5</v>
      </c>
      <c r="W39" s="267">
        <f t="shared" si="17"/>
        <v>5</v>
      </c>
      <c r="X39" s="267" t="s">
        <v>202</v>
      </c>
    </row>
    <row r="40" spans="1:24" hidden="1">
      <c r="A40" s="282"/>
      <c r="B40" s="282"/>
      <c r="C40" s="286"/>
      <c r="J40" s="287"/>
      <c r="O40" s="277"/>
      <c r="P40" s="277"/>
      <c r="Q40" s="277"/>
      <c r="W40" s="267">
        <f>ROUNDUP(W39/3,0)</f>
        <v>2</v>
      </c>
      <c r="X40" s="267" t="s">
        <v>203</v>
      </c>
    </row>
    <row r="41" spans="1:24" hidden="1">
      <c r="A41" s="266" t="s">
        <v>208</v>
      </c>
      <c r="C41" s="284"/>
      <c r="D41" s="284"/>
      <c r="E41" s="284"/>
      <c r="F41" s="284"/>
      <c r="G41" s="284"/>
      <c r="O41" s="277"/>
      <c r="P41" s="277"/>
      <c r="Q41" s="277"/>
    </row>
    <row r="42" spans="1:24" hidden="1">
      <c r="A42" s="282" t="s">
        <v>198</v>
      </c>
      <c r="B42" s="282"/>
      <c r="C42" s="285">
        <f>G3</f>
        <v>376.82057317284813</v>
      </c>
      <c r="O42" s="277"/>
      <c r="P42" s="277"/>
      <c r="Q42" s="277"/>
    </row>
    <row r="43" spans="1:24" hidden="1">
      <c r="A43" s="282" t="s">
        <v>199</v>
      </c>
      <c r="B43" s="282"/>
      <c r="C43" s="286">
        <f>$M$8*$M$9*$M$7*$M$6</f>
        <v>225600</v>
      </c>
      <c r="D43" s="17">
        <f t="shared" ref="D43:W43" si="18">$M$8*$M$9*C45</f>
        <v>225600</v>
      </c>
      <c r="E43" s="17">
        <f t="shared" si="18"/>
        <v>225600</v>
      </c>
      <c r="F43" s="17">
        <f t="shared" si="18"/>
        <v>225600</v>
      </c>
      <c r="G43" s="17">
        <f t="shared" si="18"/>
        <v>225600</v>
      </c>
      <c r="H43" s="17">
        <f t="shared" si="18"/>
        <v>225600</v>
      </c>
      <c r="I43" s="17">
        <f t="shared" si="18"/>
        <v>225600</v>
      </c>
      <c r="J43" s="17">
        <f t="shared" si="18"/>
        <v>225600</v>
      </c>
      <c r="K43" s="17">
        <f t="shared" si="18"/>
        <v>225600</v>
      </c>
      <c r="L43" s="17">
        <f t="shared" si="18"/>
        <v>225600</v>
      </c>
      <c r="M43" s="17">
        <f t="shared" si="18"/>
        <v>225600</v>
      </c>
      <c r="N43" s="17">
        <f t="shared" si="18"/>
        <v>225600</v>
      </c>
      <c r="O43" s="17">
        <f t="shared" si="18"/>
        <v>225600</v>
      </c>
      <c r="P43" s="17">
        <f t="shared" si="18"/>
        <v>225600</v>
      </c>
      <c r="Q43" s="17">
        <f t="shared" si="18"/>
        <v>225600</v>
      </c>
      <c r="R43" s="17">
        <f t="shared" si="18"/>
        <v>225600</v>
      </c>
      <c r="S43" s="17">
        <f t="shared" si="18"/>
        <v>225600</v>
      </c>
      <c r="T43" s="17">
        <f t="shared" si="18"/>
        <v>225600</v>
      </c>
      <c r="U43" s="17">
        <f t="shared" si="18"/>
        <v>225600</v>
      </c>
      <c r="V43" s="17">
        <f t="shared" si="18"/>
        <v>225600</v>
      </c>
      <c r="W43" s="17">
        <f t="shared" si="18"/>
        <v>225600</v>
      </c>
    </row>
    <row r="44" spans="1:24" hidden="1">
      <c r="A44" s="282" t="s">
        <v>200</v>
      </c>
      <c r="B44" s="282"/>
      <c r="C44" s="287">
        <f>(C43/$C$42)</f>
        <v>598.69342615886569</v>
      </c>
      <c r="D44" s="287">
        <f>(D43/$C42)</f>
        <v>598.69342615886569</v>
      </c>
      <c r="E44" s="287">
        <f t="shared" ref="E44:W44" si="19">(E43/$C42)</f>
        <v>598.69342615886569</v>
      </c>
      <c r="F44" s="287">
        <f t="shared" si="19"/>
        <v>598.69342615886569</v>
      </c>
      <c r="G44" s="287">
        <f t="shared" si="19"/>
        <v>598.69342615886569</v>
      </c>
      <c r="H44" s="287">
        <f t="shared" si="19"/>
        <v>598.69342615886569</v>
      </c>
      <c r="I44" s="287">
        <f t="shared" si="19"/>
        <v>598.69342615886569</v>
      </c>
      <c r="J44" s="287">
        <f t="shared" si="19"/>
        <v>598.69342615886569</v>
      </c>
      <c r="K44" s="287">
        <f t="shared" si="19"/>
        <v>598.69342615886569</v>
      </c>
      <c r="L44" s="287">
        <f t="shared" si="19"/>
        <v>598.69342615886569</v>
      </c>
      <c r="M44" s="287">
        <f t="shared" si="19"/>
        <v>598.69342615886569</v>
      </c>
      <c r="N44" s="287">
        <f t="shared" si="19"/>
        <v>598.69342615886569</v>
      </c>
      <c r="O44" s="287">
        <f t="shared" si="19"/>
        <v>598.69342615886569</v>
      </c>
      <c r="P44" s="287">
        <f t="shared" si="19"/>
        <v>598.69342615886569</v>
      </c>
      <c r="Q44" s="287">
        <f t="shared" si="19"/>
        <v>598.69342615886569</v>
      </c>
      <c r="R44" s="287">
        <f t="shared" si="19"/>
        <v>598.69342615886569</v>
      </c>
      <c r="S44" s="287">
        <f t="shared" si="19"/>
        <v>598.69342615886569</v>
      </c>
      <c r="T44" s="287">
        <f t="shared" si="19"/>
        <v>598.69342615886569</v>
      </c>
      <c r="U44" s="287">
        <f t="shared" si="19"/>
        <v>598.69342615886569</v>
      </c>
      <c r="V44" s="287">
        <f t="shared" si="19"/>
        <v>598.69342615886569</v>
      </c>
      <c r="W44" s="287">
        <f t="shared" si="19"/>
        <v>598.69342615886569</v>
      </c>
    </row>
    <row r="45" spans="1:24" hidden="1">
      <c r="A45" s="282" t="s">
        <v>201</v>
      </c>
      <c r="B45" s="282"/>
      <c r="C45" s="17">
        <f>IF(C44&lt;$M$3, 4+1,4)</f>
        <v>4</v>
      </c>
      <c r="D45" s="17">
        <f t="shared" ref="D45:W45" si="20">IF(D44&lt;$M$3, C45+1,C45)</f>
        <v>4</v>
      </c>
      <c r="E45" s="17">
        <f t="shared" si="20"/>
        <v>4</v>
      </c>
      <c r="F45" s="17">
        <f t="shared" si="20"/>
        <v>4</v>
      </c>
      <c r="G45" s="17">
        <f t="shared" si="20"/>
        <v>4</v>
      </c>
      <c r="H45" s="17">
        <f t="shared" si="20"/>
        <v>4</v>
      </c>
      <c r="I45" s="17">
        <f t="shared" si="20"/>
        <v>4</v>
      </c>
      <c r="J45" s="17">
        <f t="shared" si="20"/>
        <v>4</v>
      </c>
      <c r="K45" s="17">
        <f t="shared" si="20"/>
        <v>4</v>
      </c>
      <c r="L45" s="288">
        <f t="shared" si="20"/>
        <v>4</v>
      </c>
      <c r="M45" s="288">
        <f t="shared" si="20"/>
        <v>4</v>
      </c>
      <c r="N45" s="288">
        <f t="shared" si="20"/>
        <v>4</v>
      </c>
      <c r="O45" s="288">
        <f t="shared" si="20"/>
        <v>4</v>
      </c>
      <c r="P45" s="288">
        <f t="shared" si="20"/>
        <v>4</v>
      </c>
      <c r="Q45" s="288">
        <f t="shared" si="20"/>
        <v>4</v>
      </c>
      <c r="R45" s="288">
        <f t="shared" si="20"/>
        <v>4</v>
      </c>
      <c r="S45" s="288">
        <f t="shared" si="20"/>
        <v>4</v>
      </c>
      <c r="T45" s="288">
        <f t="shared" si="20"/>
        <v>4</v>
      </c>
      <c r="U45" s="288">
        <f t="shared" si="20"/>
        <v>4</v>
      </c>
      <c r="V45" s="288">
        <f t="shared" si="20"/>
        <v>4</v>
      </c>
      <c r="W45" s="267">
        <f t="shared" si="20"/>
        <v>4</v>
      </c>
      <c r="X45" s="267" t="s">
        <v>202</v>
      </c>
    </row>
    <row r="46" spans="1:24" hidden="1">
      <c r="A46" s="282"/>
      <c r="B46" s="282"/>
      <c r="C46" s="286"/>
      <c r="J46" s="287"/>
      <c r="O46" s="277"/>
      <c r="P46" s="277"/>
      <c r="Q46" s="277"/>
      <c r="W46" s="267">
        <f>ROUNDUP(W45/3,0)</f>
        <v>2</v>
      </c>
      <c r="X46" s="267" t="s">
        <v>203</v>
      </c>
    </row>
    <row r="47" spans="1:24" hidden="1">
      <c r="A47" s="266" t="s">
        <v>209</v>
      </c>
      <c r="C47" s="284"/>
      <c r="D47" s="284"/>
      <c r="E47" s="284"/>
      <c r="F47" s="284"/>
      <c r="G47" s="284"/>
      <c r="O47" s="277"/>
      <c r="P47" s="277"/>
      <c r="Q47" s="277"/>
    </row>
    <row r="48" spans="1:24" hidden="1">
      <c r="A48" s="282" t="s">
        <v>198</v>
      </c>
      <c r="B48" s="282"/>
      <c r="C48" s="285">
        <f>H3</f>
        <v>361.53840472409235</v>
      </c>
      <c r="O48" s="277"/>
      <c r="P48" s="277"/>
      <c r="Q48" s="277"/>
    </row>
    <row r="49" spans="1:24" hidden="1">
      <c r="A49" s="282" t="s">
        <v>199</v>
      </c>
      <c r="B49" s="282"/>
      <c r="C49" s="286">
        <f>$M$8*$M$9*$M$7*$M$6</f>
        <v>225600</v>
      </c>
      <c r="D49" s="17">
        <f t="shared" ref="D49:W49" si="21">$M$8*$M$9*C51</f>
        <v>225600</v>
      </c>
      <c r="E49" s="17">
        <f t="shared" si="21"/>
        <v>225600</v>
      </c>
      <c r="F49" s="17">
        <f t="shared" si="21"/>
        <v>225600</v>
      </c>
      <c r="G49" s="17">
        <f t="shared" si="21"/>
        <v>225600</v>
      </c>
      <c r="H49" s="17">
        <f t="shared" si="21"/>
        <v>225600</v>
      </c>
      <c r="I49" s="17">
        <f t="shared" si="21"/>
        <v>225600</v>
      </c>
      <c r="J49" s="17">
        <f t="shared" si="21"/>
        <v>225600</v>
      </c>
      <c r="K49" s="17">
        <f t="shared" si="21"/>
        <v>225600</v>
      </c>
      <c r="L49" s="17">
        <f t="shared" si="21"/>
        <v>225600</v>
      </c>
      <c r="M49" s="17">
        <f t="shared" si="21"/>
        <v>225600</v>
      </c>
      <c r="N49" s="17">
        <f t="shared" si="21"/>
        <v>225600</v>
      </c>
      <c r="O49" s="17">
        <f t="shared" si="21"/>
        <v>225600</v>
      </c>
      <c r="P49" s="17">
        <f t="shared" si="21"/>
        <v>225600</v>
      </c>
      <c r="Q49" s="17">
        <f t="shared" si="21"/>
        <v>225600</v>
      </c>
      <c r="R49" s="17">
        <f t="shared" si="21"/>
        <v>225600</v>
      </c>
      <c r="S49" s="17">
        <f t="shared" si="21"/>
        <v>225600</v>
      </c>
      <c r="T49" s="17">
        <f t="shared" si="21"/>
        <v>225600</v>
      </c>
      <c r="U49" s="17">
        <f t="shared" si="21"/>
        <v>225600</v>
      </c>
      <c r="V49" s="17">
        <f t="shared" si="21"/>
        <v>225600</v>
      </c>
      <c r="W49" s="17">
        <f t="shared" si="21"/>
        <v>225600</v>
      </c>
    </row>
    <row r="50" spans="1:24" hidden="1">
      <c r="A50" s="282" t="s">
        <v>200</v>
      </c>
      <c r="B50" s="282"/>
      <c r="C50" s="287">
        <f>(C49/$C$48)</f>
        <v>624.00009805919899</v>
      </c>
      <c r="D50" s="287">
        <f>(D49/$C48)</f>
        <v>624.00009805919899</v>
      </c>
      <c r="E50" s="287">
        <f t="shared" ref="E50:W50" si="22">(E49/$C48)</f>
        <v>624.00009805919899</v>
      </c>
      <c r="F50" s="287">
        <f t="shared" si="22"/>
        <v>624.00009805919899</v>
      </c>
      <c r="G50" s="287">
        <f t="shared" si="22"/>
        <v>624.00009805919899</v>
      </c>
      <c r="H50" s="287">
        <f t="shared" si="22"/>
        <v>624.00009805919899</v>
      </c>
      <c r="I50" s="287">
        <f t="shared" si="22"/>
        <v>624.00009805919899</v>
      </c>
      <c r="J50" s="287">
        <f t="shared" si="22"/>
        <v>624.00009805919899</v>
      </c>
      <c r="K50" s="287">
        <f t="shared" si="22"/>
        <v>624.00009805919899</v>
      </c>
      <c r="L50" s="287">
        <f t="shared" si="22"/>
        <v>624.00009805919899</v>
      </c>
      <c r="M50" s="287">
        <f t="shared" si="22"/>
        <v>624.00009805919899</v>
      </c>
      <c r="N50" s="287">
        <f t="shared" si="22"/>
        <v>624.00009805919899</v>
      </c>
      <c r="O50" s="287">
        <f t="shared" si="22"/>
        <v>624.00009805919899</v>
      </c>
      <c r="P50" s="287">
        <f t="shared" si="22"/>
        <v>624.00009805919899</v>
      </c>
      <c r="Q50" s="287">
        <f t="shared" si="22"/>
        <v>624.00009805919899</v>
      </c>
      <c r="R50" s="287">
        <f t="shared" si="22"/>
        <v>624.00009805919899</v>
      </c>
      <c r="S50" s="287">
        <f t="shared" si="22"/>
        <v>624.00009805919899</v>
      </c>
      <c r="T50" s="287">
        <f t="shared" si="22"/>
        <v>624.00009805919899</v>
      </c>
      <c r="U50" s="287">
        <f t="shared" si="22"/>
        <v>624.00009805919899</v>
      </c>
      <c r="V50" s="287">
        <f t="shared" si="22"/>
        <v>624.00009805919899</v>
      </c>
      <c r="W50" s="287">
        <f t="shared" si="22"/>
        <v>624.00009805919899</v>
      </c>
    </row>
    <row r="51" spans="1:24" hidden="1">
      <c r="A51" s="282" t="s">
        <v>201</v>
      </c>
      <c r="B51" s="282"/>
      <c r="C51" s="17">
        <f>IF(C50&lt;$M$3, 4+1,4)</f>
        <v>4</v>
      </c>
      <c r="D51" s="17">
        <f t="shared" ref="D51:W51" si="23">IF(D50&lt;$M$3, C51+1,C51)</f>
        <v>4</v>
      </c>
      <c r="E51" s="17">
        <f t="shared" si="23"/>
        <v>4</v>
      </c>
      <c r="F51" s="17">
        <f t="shared" si="23"/>
        <v>4</v>
      </c>
      <c r="G51" s="17">
        <f t="shared" si="23"/>
        <v>4</v>
      </c>
      <c r="H51" s="17">
        <f t="shared" si="23"/>
        <v>4</v>
      </c>
      <c r="I51" s="17">
        <f t="shared" si="23"/>
        <v>4</v>
      </c>
      <c r="J51" s="17">
        <f t="shared" si="23"/>
        <v>4</v>
      </c>
      <c r="K51" s="17">
        <f t="shared" si="23"/>
        <v>4</v>
      </c>
      <c r="L51" s="288">
        <f t="shared" si="23"/>
        <v>4</v>
      </c>
      <c r="M51" s="288">
        <f t="shared" si="23"/>
        <v>4</v>
      </c>
      <c r="N51" s="288">
        <f t="shared" si="23"/>
        <v>4</v>
      </c>
      <c r="O51" s="288">
        <f t="shared" si="23"/>
        <v>4</v>
      </c>
      <c r="P51" s="288">
        <f t="shared" si="23"/>
        <v>4</v>
      </c>
      <c r="Q51" s="288">
        <f t="shared" si="23"/>
        <v>4</v>
      </c>
      <c r="R51" s="288">
        <f t="shared" si="23"/>
        <v>4</v>
      </c>
      <c r="S51" s="288">
        <f t="shared" si="23"/>
        <v>4</v>
      </c>
      <c r="T51" s="288">
        <f t="shared" si="23"/>
        <v>4</v>
      </c>
      <c r="U51" s="288">
        <f t="shared" si="23"/>
        <v>4</v>
      </c>
      <c r="V51" s="288">
        <f t="shared" si="23"/>
        <v>4</v>
      </c>
      <c r="W51" s="267">
        <f t="shared" si="23"/>
        <v>4</v>
      </c>
      <c r="X51" s="267" t="s">
        <v>202</v>
      </c>
    </row>
    <row r="52" spans="1:24" hidden="1">
      <c r="A52" s="282"/>
      <c r="B52" s="282"/>
      <c r="C52" s="286"/>
      <c r="J52" s="287"/>
      <c r="O52" s="277"/>
      <c r="P52" s="277"/>
      <c r="Q52" s="277"/>
      <c r="W52" s="267">
        <f>ROUNDUP(W51/3,0)</f>
        <v>2</v>
      </c>
      <c r="X52" s="267" t="s">
        <v>203</v>
      </c>
    </row>
    <row r="53" spans="1:24" hidden="1">
      <c r="A53" s="266" t="s">
        <v>210</v>
      </c>
      <c r="C53" s="284"/>
      <c r="D53" s="284"/>
      <c r="E53" s="284"/>
      <c r="F53" s="284"/>
      <c r="G53" s="284"/>
      <c r="O53" s="277"/>
      <c r="P53" s="277"/>
      <c r="Q53" s="277"/>
    </row>
    <row r="54" spans="1:24" hidden="1">
      <c r="A54" s="282" t="s">
        <v>198</v>
      </c>
      <c r="B54" s="282"/>
      <c r="C54" s="285">
        <f>I3</f>
        <v>254.90707508288645</v>
      </c>
      <c r="O54" s="277"/>
      <c r="P54" s="277"/>
      <c r="Q54" s="277"/>
    </row>
    <row r="55" spans="1:24" hidden="1">
      <c r="A55" s="282" t="s">
        <v>199</v>
      </c>
      <c r="B55" s="282"/>
      <c r="C55" s="286">
        <f>$M$8*$M$9*$M$7*$M$6</f>
        <v>225600</v>
      </c>
      <c r="D55" s="17">
        <f t="shared" ref="D55:W55" si="24">$M$8*$M$9*C57</f>
        <v>225600</v>
      </c>
      <c r="E55" s="17">
        <f t="shared" si="24"/>
        <v>225600</v>
      </c>
      <c r="F55" s="17">
        <f t="shared" si="24"/>
        <v>225600</v>
      </c>
      <c r="G55" s="17">
        <f t="shared" si="24"/>
        <v>225600</v>
      </c>
      <c r="H55" s="17">
        <f t="shared" si="24"/>
        <v>225600</v>
      </c>
      <c r="I55" s="17">
        <f t="shared" si="24"/>
        <v>225600</v>
      </c>
      <c r="J55" s="17">
        <f t="shared" si="24"/>
        <v>225600</v>
      </c>
      <c r="K55" s="17">
        <f t="shared" si="24"/>
        <v>225600</v>
      </c>
      <c r="L55" s="17">
        <f t="shared" si="24"/>
        <v>225600</v>
      </c>
      <c r="M55" s="17">
        <f t="shared" si="24"/>
        <v>225600</v>
      </c>
      <c r="N55" s="17">
        <f t="shared" si="24"/>
        <v>225600</v>
      </c>
      <c r="O55" s="17">
        <f t="shared" si="24"/>
        <v>225600</v>
      </c>
      <c r="P55" s="17">
        <f t="shared" si="24"/>
        <v>225600</v>
      </c>
      <c r="Q55" s="17">
        <f t="shared" si="24"/>
        <v>225600</v>
      </c>
      <c r="R55" s="17">
        <f t="shared" si="24"/>
        <v>225600</v>
      </c>
      <c r="S55" s="17">
        <f t="shared" si="24"/>
        <v>225600</v>
      </c>
      <c r="T55" s="17">
        <f t="shared" si="24"/>
        <v>225600</v>
      </c>
      <c r="U55" s="17">
        <f t="shared" si="24"/>
        <v>225600</v>
      </c>
      <c r="V55" s="17">
        <f t="shared" si="24"/>
        <v>225600</v>
      </c>
      <c r="W55" s="17">
        <f t="shared" si="24"/>
        <v>225600</v>
      </c>
    </row>
    <row r="56" spans="1:24" hidden="1">
      <c r="A56" s="282" t="s">
        <v>200</v>
      </c>
      <c r="B56" s="282"/>
      <c r="C56" s="287">
        <f>(C55/$C$54)</f>
        <v>885.02839682516912</v>
      </c>
      <c r="D56" s="287">
        <f>(D55/$C54)</f>
        <v>885.02839682516912</v>
      </c>
      <c r="E56" s="287">
        <f t="shared" ref="E56:W56" si="25">(E55/$C54)</f>
        <v>885.02839682516912</v>
      </c>
      <c r="F56" s="287">
        <f t="shared" si="25"/>
        <v>885.02839682516912</v>
      </c>
      <c r="G56" s="287">
        <f t="shared" si="25"/>
        <v>885.02839682516912</v>
      </c>
      <c r="H56" s="287">
        <f t="shared" si="25"/>
        <v>885.02839682516912</v>
      </c>
      <c r="I56" s="287">
        <f t="shared" si="25"/>
        <v>885.02839682516912</v>
      </c>
      <c r="J56" s="287">
        <f t="shared" si="25"/>
        <v>885.02839682516912</v>
      </c>
      <c r="K56" s="287">
        <f t="shared" si="25"/>
        <v>885.02839682516912</v>
      </c>
      <c r="L56" s="287">
        <f t="shared" si="25"/>
        <v>885.02839682516912</v>
      </c>
      <c r="M56" s="287">
        <f t="shared" si="25"/>
        <v>885.02839682516912</v>
      </c>
      <c r="N56" s="287">
        <f t="shared" si="25"/>
        <v>885.02839682516912</v>
      </c>
      <c r="O56" s="287">
        <f t="shared" si="25"/>
        <v>885.02839682516912</v>
      </c>
      <c r="P56" s="287">
        <f t="shared" si="25"/>
        <v>885.02839682516912</v>
      </c>
      <c r="Q56" s="287">
        <f t="shared" si="25"/>
        <v>885.02839682516912</v>
      </c>
      <c r="R56" s="287">
        <f t="shared" si="25"/>
        <v>885.02839682516912</v>
      </c>
      <c r="S56" s="287">
        <f t="shared" si="25"/>
        <v>885.02839682516912</v>
      </c>
      <c r="T56" s="287">
        <f t="shared" si="25"/>
        <v>885.02839682516912</v>
      </c>
      <c r="U56" s="287">
        <f t="shared" si="25"/>
        <v>885.02839682516912</v>
      </c>
      <c r="V56" s="287">
        <f t="shared" si="25"/>
        <v>885.02839682516912</v>
      </c>
      <c r="W56" s="287">
        <f t="shared" si="25"/>
        <v>885.02839682516912</v>
      </c>
    </row>
    <row r="57" spans="1:24" hidden="1">
      <c r="A57" s="282" t="s">
        <v>201</v>
      </c>
      <c r="B57" s="282"/>
      <c r="C57" s="17">
        <f>IF(C56&lt;$M$3, 4+1,4)</f>
        <v>4</v>
      </c>
      <c r="D57" s="17">
        <f t="shared" ref="D57:W57" si="26">IF(D56&lt;$M$3, C57+1,C57)</f>
        <v>4</v>
      </c>
      <c r="E57" s="17">
        <f t="shared" si="26"/>
        <v>4</v>
      </c>
      <c r="F57" s="17">
        <f t="shared" si="26"/>
        <v>4</v>
      </c>
      <c r="G57" s="17">
        <f t="shared" si="26"/>
        <v>4</v>
      </c>
      <c r="H57" s="17">
        <f t="shared" si="26"/>
        <v>4</v>
      </c>
      <c r="I57" s="17">
        <f t="shared" si="26"/>
        <v>4</v>
      </c>
      <c r="J57" s="17">
        <f t="shared" si="26"/>
        <v>4</v>
      </c>
      <c r="K57" s="17">
        <f t="shared" si="26"/>
        <v>4</v>
      </c>
      <c r="L57" s="288">
        <f t="shared" si="26"/>
        <v>4</v>
      </c>
      <c r="M57" s="288">
        <f t="shared" si="26"/>
        <v>4</v>
      </c>
      <c r="N57" s="288">
        <f t="shared" si="26"/>
        <v>4</v>
      </c>
      <c r="O57" s="288">
        <f t="shared" si="26"/>
        <v>4</v>
      </c>
      <c r="P57" s="288">
        <f t="shared" si="26"/>
        <v>4</v>
      </c>
      <c r="Q57" s="288">
        <f t="shared" si="26"/>
        <v>4</v>
      </c>
      <c r="R57" s="288">
        <f t="shared" si="26"/>
        <v>4</v>
      </c>
      <c r="S57" s="288">
        <f t="shared" si="26"/>
        <v>4</v>
      </c>
      <c r="T57" s="288">
        <f t="shared" si="26"/>
        <v>4</v>
      </c>
      <c r="U57" s="288">
        <f t="shared" si="26"/>
        <v>4</v>
      </c>
      <c r="V57" s="288">
        <f t="shared" si="26"/>
        <v>4</v>
      </c>
      <c r="W57" s="267">
        <f t="shared" si="26"/>
        <v>4</v>
      </c>
      <c r="X57" s="267" t="s">
        <v>202</v>
      </c>
    </row>
    <row r="58" spans="1:24" hidden="1">
      <c r="A58" s="282"/>
      <c r="B58" s="282"/>
      <c r="C58" s="286"/>
      <c r="J58" s="287"/>
      <c r="O58" s="277"/>
      <c r="P58" s="277"/>
      <c r="Q58" s="277"/>
      <c r="W58" s="267">
        <f>ROUNDUP(W57/3,0)</f>
        <v>2</v>
      </c>
      <c r="X58" s="267" t="s">
        <v>203</v>
      </c>
    </row>
    <row r="59" spans="1:24" hidden="1">
      <c r="A59" s="266" t="s">
        <v>211</v>
      </c>
      <c r="C59" s="284"/>
      <c r="D59" s="284"/>
      <c r="E59" s="284"/>
      <c r="F59" s="284"/>
      <c r="G59" s="284"/>
      <c r="O59" s="277"/>
      <c r="P59" s="277"/>
      <c r="Q59" s="277"/>
    </row>
    <row r="60" spans="1:24" hidden="1">
      <c r="A60" s="282" t="s">
        <v>198</v>
      </c>
      <c r="B60" s="282"/>
      <c r="C60" s="285">
        <f>J3</f>
        <v>400.24683254540054</v>
      </c>
      <c r="O60" s="277"/>
      <c r="P60" s="277"/>
      <c r="Q60" s="277"/>
    </row>
    <row r="61" spans="1:24" hidden="1">
      <c r="A61" s="282" t="s">
        <v>199</v>
      </c>
      <c r="B61" s="282"/>
      <c r="C61" s="286">
        <f>$M$8*$M$9*$M$7*$M$6</f>
        <v>225600</v>
      </c>
      <c r="D61" s="17">
        <f>$M$8*$M$9*C63</f>
        <v>225600</v>
      </c>
      <c r="E61" s="17">
        <f t="shared" ref="E61:W61" si="27">$M$8*$M$9*D63</f>
        <v>225600</v>
      </c>
      <c r="F61" s="17">
        <f t="shared" si="27"/>
        <v>225600</v>
      </c>
      <c r="G61" s="17">
        <f t="shared" si="27"/>
        <v>225600</v>
      </c>
      <c r="H61" s="17">
        <f t="shared" si="27"/>
        <v>225600</v>
      </c>
      <c r="I61" s="17">
        <f t="shared" si="27"/>
        <v>225600</v>
      </c>
      <c r="J61" s="17">
        <f t="shared" si="27"/>
        <v>225600</v>
      </c>
      <c r="K61" s="17">
        <f t="shared" si="27"/>
        <v>225600</v>
      </c>
      <c r="L61" s="17">
        <f t="shared" si="27"/>
        <v>225600</v>
      </c>
      <c r="M61" s="17">
        <f t="shared" si="27"/>
        <v>225600</v>
      </c>
      <c r="N61" s="17">
        <f t="shared" si="27"/>
        <v>225600</v>
      </c>
      <c r="O61" s="17">
        <f t="shared" si="27"/>
        <v>225600</v>
      </c>
      <c r="P61" s="17">
        <f t="shared" si="27"/>
        <v>225600</v>
      </c>
      <c r="Q61" s="17">
        <f t="shared" si="27"/>
        <v>225600</v>
      </c>
      <c r="R61" s="17">
        <f t="shared" si="27"/>
        <v>225600</v>
      </c>
      <c r="S61" s="17">
        <f t="shared" si="27"/>
        <v>225600</v>
      </c>
      <c r="T61" s="17">
        <f t="shared" si="27"/>
        <v>225600</v>
      </c>
      <c r="U61" s="17">
        <f t="shared" si="27"/>
        <v>225600</v>
      </c>
      <c r="V61" s="17">
        <f t="shared" si="27"/>
        <v>225600</v>
      </c>
      <c r="W61" s="17">
        <f t="shared" si="27"/>
        <v>225600</v>
      </c>
    </row>
    <row r="62" spans="1:24" hidden="1">
      <c r="A62" s="282" t="s">
        <v>200</v>
      </c>
      <c r="B62" s="282"/>
      <c r="C62" s="287">
        <f>(C61/$C$60)</f>
        <v>563.65218074376617</v>
      </c>
      <c r="D62" s="287">
        <f>(D61/$C60)</f>
        <v>563.65218074376617</v>
      </c>
      <c r="E62" s="287">
        <f t="shared" ref="E62:W62" si="28">(E61/$C60)</f>
        <v>563.65218074376617</v>
      </c>
      <c r="F62" s="287">
        <f t="shared" si="28"/>
        <v>563.65218074376617</v>
      </c>
      <c r="G62" s="287">
        <f t="shared" si="28"/>
        <v>563.65218074376617</v>
      </c>
      <c r="H62" s="287">
        <f t="shared" si="28"/>
        <v>563.65218074376617</v>
      </c>
      <c r="I62" s="287">
        <f t="shared" si="28"/>
        <v>563.65218074376617</v>
      </c>
      <c r="J62" s="287">
        <f t="shared" si="28"/>
        <v>563.65218074376617</v>
      </c>
      <c r="K62" s="287">
        <f t="shared" si="28"/>
        <v>563.65218074376617</v>
      </c>
      <c r="L62" s="287">
        <f t="shared" si="28"/>
        <v>563.65218074376617</v>
      </c>
      <c r="M62" s="287">
        <f t="shared" si="28"/>
        <v>563.65218074376617</v>
      </c>
      <c r="N62" s="287">
        <f t="shared" si="28"/>
        <v>563.65218074376617</v>
      </c>
      <c r="O62" s="287">
        <f t="shared" si="28"/>
        <v>563.65218074376617</v>
      </c>
      <c r="P62" s="287">
        <f t="shared" si="28"/>
        <v>563.65218074376617</v>
      </c>
      <c r="Q62" s="287">
        <f t="shared" si="28"/>
        <v>563.65218074376617</v>
      </c>
      <c r="R62" s="287">
        <f t="shared" si="28"/>
        <v>563.65218074376617</v>
      </c>
      <c r="S62" s="287">
        <f t="shared" si="28"/>
        <v>563.65218074376617</v>
      </c>
      <c r="T62" s="287">
        <f t="shared" si="28"/>
        <v>563.65218074376617</v>
      </c>
      <c r="U62" s="287">
        <f t="shared" si="28"/>
        <v>563.65218074376617</v>
      </c>
      <c r="V62" s="287">
        <f t="shared" si="28"/>
        <v>563.65218074376617</v>
      </c>
      <c r="W62" s="287">
        <f t="shared" si="28"/>
        <v>563.65218074376617</v>
      </c>
    </row>
    <row r="63" spans="1:24" hidden="1">
      <c r="A63" s="282" t="s">
        <v>201</v>
      </c>
      <c r="B63" s="282"/>
      <c r="C63" s="17">
        <f>IF(C62&lt;$M$3, 4+1,4)</f>
        <v>4</v>
      </c>
      <c r="D63" s="17">
        <f t="shared" ref="D63:W63" si="29">IF(D62&lt;$M$3, C63+1,C63)</f>
        <v>4</v>
      </c>
      <c r="E63" s="17">
        <f t="shared" si="29"/>
        <v>4</v>
      </c>
      <c r="F63" s="17">
        <f t="shared" si="29"/>
        <v>4</v>
      </c>
      <c r="G63" s="17">
        <f t="shared" si="29"/>
        <v>4</v>
      </c>
      <c r="H63" s="17">
        <f t="shared" si="29"/>
        <v>4</v>
      </c>
      <c r="I63" s="17">
        <f t="shared" si="29"/>
        <v>4</v>
      </c>
      <c r="J63" s="17">
        <f t="shared" si="29"/>
        <v>4</v>
      </c>
      <c r="K63" s="17">
        <f t="shared" si="29"/>
        <v>4</v>
      </c>
      <c r="L63" s="288">
        <f t="shared" si="29"/>
        <v>4</v>
      </c>
      <c r="M63" s="288">
        <f t="shared" si="29"/>
        <v>4</v>
      </c>
      <c r="N63" s="288">
        <f t="shared" si="29"/>
        <v>4</v>
      </c>
      <c r="O63" s="288">
        <f t="shared" si="29"/>
        <v>4</v>
      </c>
      <c r="P63" s="288">
        <f t="shared" si="29"/>
        <v>4</v>
      </c>
      <c r="Q63" s="288">
        <f t="shared" si="29"/>
        <v>4</v>
      </c>
      <c r="R63" s="288">
        <f t="shared" si="29"/>
        <v>4</v>
      </c>
      <c r="S63" s="288">
        <f t="shared" si="29"/>
        <v>4</v>
      </c>
      <c r="T63" s="288">
        <f t="shared" si="29"/>
        <v>4</v>
      </c>
      <c r="U63" s="288">
        <f t="shared" si="29"/>
        <v>4</v>
      </c>
      <c r="V63" s="288">
        <f t="shared" si="29"/>
        <v>4</v>
      </c>
      <c r="W63" s="267">
        <f t="shared" si="29"/>
        <v>4</v>
      </c>
      <c r="X63" s="267" t="s">
        <v>202</v>
      </c>
    </row>
    <row r="64" spans="1:24" hidden="1">
      <c r="A64" s="282"/>
      <c r="B64" s="282"/>
      <c r="C64" s="286"/>
      <c r="J64" s="287"/>
      <c r="O64" s="277"/>
      <c r="P64" s="277"/>
      <c r="Q64" s="277"/>
      <c r="W64" s="267">
        <f>ROUNDUP(W63/3,0)</f>
        <v>2</v>
      </c>
      <c r="X64" s="267" t="s">
        <v>203</v>
      </c>
    </row>
    <row r="65" spans="1:62" hidden="1">
      <c r="A65" s="266" t="s">
        <v>212</v>
      </c>
      <c r="C65" s="284"/>
      <c r="D65" s="284"/>
      <c r="E65" s="284"/>
      <c r="F65" s="284"/>
      <c r="G65" s="284"/>
      <c r="O65" s="277"/>
      <c r="P65" s="277"/>
      <c r="Q65" s="277"/>
    </row>
    <row r="66" spans="1:62" hidden="1">
      <c r="A66" s="282" t="s">
        <v>198</v>
      </c>
      <c r="B66" s="282"/>
      <c r="C66" s="285">
        <f>K3</f>
        <v>622.80545648704344</v>
      </c>
      <c r="O66" s="277"/>
      <c r="P66" s="277"/>
      <c r="Q66" s="277"/>
    </row>
    <row r="67" spans="1:62" hidden="1">
      <c r="A67" s="282" t="s">
        <v>199</v>
      </c>
      <c r="B67" s="282"/>
      <c r="C67" s="286">
        <f>$M$8*$M$9*$M$7*$M$6</f>
        <v>225600</v>
      </c>
      <c r="D67" s="17">
        <f t="shared" ref="D67:W67" si="30">$M$8*$M$9*C69</f>
        <v>282000</v>
      </c>
      <c r="E67" s="17">
        <f t="shared" si="30"/>
        <v>282000</v>
      </c>
      <c r="F67" s="17">
        <f t="shared" si="30"/>
        <v>282000</v>
      </c>
      <c r="G67" s="17">
        <f t="shared" si="30"/>
        <v>282000</v>
      </c>
      <c r="H67" s="17">
        <f t="shared" si="30"/>
        <v>282000</v>
      </c>
      <c r="I67" s="17">
        <f t="shared" si="30"/>
        <v>282000</v>
      </c>
      <c r="J67" s="17">
        <f t="shared" si="30"/>
        <v>282000</v>
      </c>
      <c r="K67" s="17">
        <f t="shared" si="30"/>
        <v>282000</v>
      </c>
      <c r="L67" s="17">
        <f t="shared" si="30"/>
        <v>282000</v>
      </c>
      <c r="M67" s="17">
        <f t="shared" si="30"/>
        <v>282000</v>
      </c>
      <c r="N67" s="17">
        <f t="shared" si="30"/>
        <v>282000</v>
      </c>
      <c r="O67" s="17">
        <f t="shared" si="30"/>
        <v>282000</v>
      </c>
      <c r="P67" s="17">
        <f t="shared" si="30"/>
        <v>282000</v>
      </c>
      <c r="Q67" s="17">
        <f t="shared" si="30"/>
        <v>282000</v>
      </c>
      <c r="R67" s="17">
        <f t="shared" si="30"/>
        <v>282000</v>
      </c>
      <c r="S67" s="17">
        <f t="shared" si="30"/>
        <v>282000</v>
      </c>
      <c r="T67" s="17">
        <f t="shared" si="30"/>
        <v>282000</v>
      </c>
      <c r="U67" s="17">
        <f t="shared" si="30"/>
        <v>282000</v>
      </c>
      <c r="V67" s="17">
        <f t="shared" si="30"/>
        <v>282000</v>
      </c>
      <c r="W67" s="17">
        <f t="shared" si="30"/>
        <v>282000</v>
      </c>
    </row>
    <row r="68" spans="1:62" hidden="1">
      <c r="A68" s="282" t="s">
        <v>200</v>
      </c>
      <c r="B68" s="282"/>
      <c r="C68" s="287">
        <f>(C67/$C$66)</f>
        <v>362.23189384451592</v>
      </c>
      <c r="D68" s="287">
        <f>(D67/$C66)</f>
        <v>452.78986730564492</v>
      </c>
      <c r="E68" s="287">
        <f t="shared" ref="E68:W68" si="31">(E67/$C66)</f>
        <v>452.78986730564492</v>
      </c>
      <c r="F68" s="287">
        <f t="shared" si="31"/>
        <v>452.78986730564492</v>
      </c>
      <c r="G68" s="287">
        <f t="shared" si="31"/>
        <v>452.78986730564492</v>
      </c>
      <c r="H68" s="287">
        <f t="shared" si="31"/>
        <v>452.78986730564492</v>
      </c>
      <c r="I68" s="287">
        <f t="shared" si="31"/>
        <v>452.78986730564492</v>
      </c>
      <c r="J68" s="287">
        <f t="shared" si="31"/>
        <v>452.78986730564492</v>
      </c>
      <c r="K68" s="287">
        <f t="shared" si="31"/>
        <v>452.78986730564492</v>
      </c>
      <c r="L68" s="287">
        <f t="shared" si="31"/>
        <v>452.78986730564492</v>
      </c>
      <c r="M68" s="287">
        <f t="shared" si="31"/>
        <v>452.78986730564492</v>
      </c>
      <c r="N68" s="287">
        <f t="shared" si="31"/>
        <v>452.78986730564492</v>
      </c>
      <c r="O68" s="287">
        <f t="shared" si="31"/>
        <v>452.78986730564492</v>
      </c>
      <c r="P68" s="287">
        <f t="shared" si="31"/>
        <v>452.78986730564492</v>
      </c>
      <c r="Q68" s="287">
        <f t="shared" si="31"/>
        <v>452.78986730564492</v>
      </c>
      <c r="R68" s="287">
        <f t="shared" si="31"/>
        <v>452.78986730564492</v>
      </c>
      <c r="S68" s="287">
        <f t="shared" si="31"/>
        <v>452.78986730564492</v>
      </c>
      <c r="T68" s="287">
        <f t="shared" si="31"/>
        <v>452.78986730564492</v>
      </c>
      <c r="U68" s="287">
        <f t="shared" si="31"/>
        <v>452.78986730564492</v>
      </c>
      <c r="V68" s="287">
        <f t="shared" si="31"/>
        <v>452.78986730564492</v>
      </c>
      <c r="W68" s="287">
        <f t="shared" si="31"/>
        <v>452.78986730564492</v>
      </c>
    </row>
    <row r="69" spans="1:62" hidden="1">
      <c r="A69" s="282" t="s">
        <v>201</v>
      </c>
      <c r="B69" s="282"/>
      <c r="C69" s="17">
        <f>IF(C68&lt;$M$3, 4+1,4)</f>
        <v>5</v>
      </c>
      <c r="D69" s="17">
        <f t="shared" ref="D69:W69" si="32">IF(D68&lt;$M$3, C69+1,C69)</f>
        <v>5</v>
      </c>
      <c r="E69" s="17">
        <f t="shared" si="32"/>
        <v>5</v>
      </c>
      <c r="F69" s="17">
        <f t="shared" si="32"/>
        <v>5</v>
      </c>
      <c r="G69" s="17">
        <f t="shared" si="32"/>
        <v>5</v>
      </c>
      <c r="H69" s="17">
        <f t="shared" si="32"/>
        <v>5</v>
      </c>
      <c r="I69" s="17">
        <f t="shared" si="32"/>
        <v>5</v>
      </c>
      <c r="J69" s="17">
        <f t="shared" si="32"/>
        <v>5</v>
      </c>
      <c r="K69" s="17">
        <f t="shared" si="32"/>
        <v>5</v>
      </c>
      <c r="L69" s="288">
        <f t="shared" si="32"/>
        <v>5</v>
      </c>
      <c r="M69" s="288">
        <f t="shared" si="32"/>
        <v>5</v>
      </c>
      <c r="N69" s="288">
        <f t="shared" si="32"/>
        <v>5</v>
      </c>
      <c r="O69" s="288">
        <f t="shared" si="32"/>
        <v>5</v>
      </c>
      <c r="P69" s="288">
        <f t="shared" si="32"/>
        <v>5</v>
      </c>
      <c r="Q69" s="288">
        <f t="shared" si="32"/>
        <v>5</v>
      </c>
      <c r="R69" s="288">
        <f t="shared" si="32"/>
        <v>5</v>
      </c>
      <c r="S69" s="288">
        <f t="shared" si="32"/>
        <v>5</v>
      </c>
      <c r="T69" s="288">
        <f t="shared" si="32"/>
        <v>5</v>
      </c>
      <c r="U69" s="288">
        <f t="shared" si="32"/>
        <v>5</v>
      </c>
      <c r="V69" s="288">
        <f t="shared" si="32"/>
        <v>5</v>
      </c>
      <c r="W69" s="267">
        <f t="shared" si="32"/>
        <v>5</v>
      </c>
      <c r="X69" s="267" t="s">
        <v>202</v>
      </c>
    </row>
    <row r="70" spans="1:62">
      <c r="A70" s="282"/>
      <c r="B70" s="282"/>
      <c r="C70" s="286"/>
      <c r="J70" s="287"/>
      <c r="O70" s="277"/>
      <c r="P70" s="277"/>
      <c r="Q70" s="277"/>
      <c r="W70" s="267">
        <f>ROUNDUP(W69/3,0)</f>
        <v>2</v>
      </c>
      <c r="X70" s="267" t="s">
        <v>203</v>
      </c>
    </row>
    <row r="71" spans="1:62" ht="18.75">
      <c r="A71" s="289" t="s">
        <v>213</v>
      </c>
      <c r="B71" s="282"/>
      <c r="C71" s="286"/>
      <c r="J71" s="287"/>
      <c r="O71" s="277"/>
      <c r="P71" s="277"/>
      <c r="Q71" s="277"/>
      <c r="W71" s="267"/>
      <c r="X71" s="267"/>
    </row>
    <row r="72" spans="1:62">
      <c r="A72" s="17" t="s">
        <v>214</v>
      </c>
      <c r="B72" s="282"/>
      <c r="C72" s="286"/>
      <c r="G72" s="290"/>
      <c r="H72" s="290"/>
      <c r="I72" s="290"/>
      <c r="J72" s="290"/>
      <c r="K72" s="290"/>
      <c r="L72" s="290"/>
      <c r="O72" s="277"/>
      <c r="P72" s="277"/>
      <c r="Q72" s="277"/>
      <c r="W72" s="267"/>
      <c r="X72" s="267"/>
    </row>
    <row r="73" spans="1:62">
      <c r="B73" s="282"/>
      <c r="C73" s="286"/>
      <c r="G73" s="290"/>
      <c r="H73" s="290"/>
      <c r="I73" s="290"/>
      <c r="J73" s="290"/>
      <c r="K73" s="290"/>
      <c r="L73" s="290"/>
      <c r="O73" s="277"/>
      <c r="P73" s="277"/>
      <c r="Q73" s="277"/>
      <c r="W73" s="267"/>
      <c r="X73" s="267"/>
    </row>
    <row r="74" spans="1:62" ht="15.75">
      <c r="A74" s="282"/>
      <c r="B74" s="291" t="s">
        <v>166</v>
      </c>
      <c r="C74" s="292">
        <v>1</v>
      </c>
      <c r="D74" s="292">
        <v>2</v>
      </c>
      <c r="E74" s="292">
        <v>3</v>
      </c>
      <c r="F74" s="292">
        <v>4</v>
      </c>
      <c r="G74" s="292">
        <v>5</v>
      </c>
      <c r="H74" s="292">
        <v>6</v>
      </c>
      <c r="I74" s="292">
        <v>7</v>
      </c>
      <c r="J74" s="292">
        <v>8</v>
      </c>
      <c r="K74" s="292">
        <v>9</v>
      </c>
      <c r="L74" s="292">
        <v>10</v>
      </c>
      <c r="M74" s="292">
        <v>11</v>
      </c>
      <c r="N74" s="292">
        <v>12</v>
      </c>
      <c r="O74" s="292">
        <v>13</v>
      </c>
      <c r="P74" s="292">
        <v>14</v>
      </c>
      <c r="Q74" s="292">
        <v>15</v>
      </c>
      <c r="R74" s="292">
        <v>16</v>
      </c>
      <c r="S74" s="292">
        <v>17</v>
      </c>
      <c r="T74" s="292">
        <v>18</v>
      </c>
      <c r="U74" s="292">
        <v>19</v>
      </c>
      <c r="V74" s="292">
        <v>20</v>
      </c>
      <c r="W74" s="292">
        <v>21</v>
      </c>
      <c r="X74" s="292">
        <v>22</v>
      </c>
      <c r="Y74" s="292">
        <v>23</v>
      </c>
      <c r="Z74" s="292">
        <v>24</v>
      </c>
      <c r="AA74" s="292">
        <v>25</v>
      </c>
      <c r="AB74" s="292">
        <v>26</v>
      </c>
      <c r="AC74" s="292">
        <v>27</v>
      </c>
      <c r="AD74" s="292">
        <v>28</v>
      </c>
      <c r="AE74" s="292">
        <v>29</v>
      </c>
      <c r="AF74" s="292">
        <v>30</v>
      </c>
      <c r="AG74" s="292">
        <v>31</v>
      </c>
      <c r="AH74" s="292">
        <v>32</v>
      </c>
      <c r="AI74" s="292">
        <v>33</v>
      </c>
      <c r="AJ74" s="292">
        <v>34</v>
      </c>
      <c r="AK74" s="292">
        <v>35</v>
      </c>
      <c r="AL74" s="292">
        <v>36</v>
      </c>
      <c r="AM74" s="292">
        <v>37</v>
      </c>
      <c r="AN74" s="292">
        <v>38</v>
      </c>
      <c r="AO74" s="292">
        <v>39</v>
      </c>
      <c r="AP74" s="292">
        <v>40</v>
      </c>
      <c r="AQ74" s="292">
        <v>41</v>
      </c>
      <c r="AR74" s="292">
        <v>42</v>
      </c>
      <c r="AS74" s="292">
        <v>43</v>
      </c>
      <c r="AT74" s="292">
        <v>44</v>
      </c>
      <c r="AU74" s="292">
        <v>45</v>
      </c>
      <c r="AV74" s="292">
        <v>46</v>
      </c>
      <c r="AW74" s="292">
        <v>47</v>
      </c>
      <c r="AX74" s="292">
        <v>48</v>
      </c>
      <c r="AY74" s="292">
        <v>49</v>
      </c>
      <c r="AZ74" s="292">
        <v>50</v>
      </c>
      <c r="BA74" s="292">
        <v>51</v>
      </c>
      <c r="BB74" s="292">
        <v>52</v>
      </c>
      <c r="BC74" s="292">
        <v>53</v>
      </c>
      <c r="BD74" s="292">
        <v>54</v>
      </c>
      <c r="BE74" s="292">
        <v>55</v>
      </c>
      <c r="BF74" s="292">
        <v>56</v>
      </c>
      <c r="BG74" s="292">
        <v>57</v>
      </c>
      <c r="BH74" s="292">
        <v>58</v>
      </c>
      <c r="BI74" s="292">
        <v>59</v>
      </c>
      <c r="BJ74" s="292">
        <v>60</v>
      </c>
    </row>
    <row r="75" spans="1:62">
      <c r="A75" s="293">
        <f>SUM(C75:BJ75)</f>
        <v>600</v>
      </c>
      <c r="B75" s="267">
        <v>1</v>
      </c>
      <c r="C75" s="290">
        <v>0</v>
      </c>
      <c r="D75" s="290">
        <v>0</v>
      </c>
      <c r="E75" s="290">
        <v>0</v>
      </c>
      <c r="F75" s="290">
        <v>0</v>
      </c>
      <c r="G75" s="290">
        <v>0</v>
      </c>
      <c r="H75" s="290">
        <f>0.1*(B$9/2)</f>
        <v>30</v>
      </c>
      <c r="I75" s="290">
        <f>0.2*(B$9/2)</f>
        <v>60</v>
      </c>
      <c r="J75" s="290">
        <f>0.3*(B$9/2)</f>
        <v>90</v>
      </c>
      <c r="K75" s="290">
        <f>0.4*(B$9/2)</f>
        <v>120</v>
      </c>
      <c r="L75" s="290">
        <f>IF(L$74&lt;B$8+10,B$5,IF(L$74=B$8+10, (0.4*(B$9/2)),IF(L$74=B$8+11,(0.3*(B$9/2)),IF(L$74=B$8+12,(0.2*(B$9/2)),IF(L$74=B$8+13,(0.1*(B$9)/2),0)))))</f>
        <v>120</v>
      </c>
      <c r="M75" s="290">
        <f>IF(M$74&lt;B$8+10,B$5,IF(M$74=B$8+10, (0.4*(B$9/2)),IF(M$74=B$8+11,(0.3*(B$9/2)),IF(M$74=B$8+12,(0.2*(B$9/2)),IF(M$74=B$8+13,(0.1*(B$9)/2),0)))))</f>
        <v>90</v>
      </c>
      <c r="N75" s="290">
        <f>IF(N$74&lt;B$8+10,B$5,IF(N$74=B$8+10, (0.4*(B$9/2)),IF(N$74=B$8+11,(0.3*(B$9/2)),IF(N$74=B$8+12,(0.2*(B$9/2)),IF(N$74=B$8+13,(0.1*(B$9)/2),0)))))</f>
        <v>60</v>
      </c>
      <c r="O75" s="290">
        <f>IF(O$74&lt;B$8+10,B$5,IF(O$74=B$8+10, (0.4*(B$9/2)),IF(O$74=B$8+11,(0.3*(B$9/2)),IF(O$74=B$8+12,(0.2*(B$9/2)),IF(O$74=B$8+13,(0.1*(B$9)/2),0)))))</f>
        <v>30</v>
      </c>
      <c r="P75" s="290">
        <f>IF(P$74&lt;B$8+10,B$5,IF(P$74=B$8+10, (0.4*(B$9/2)),IF(P$74=B$8+11,(0.3*(B$9/2)),IF(P$74=B$8+12,(0.2*(B$9/2)),IF(P$74=B$8+13,(0.1*(B$9)/2),0)))))</f>
        <v>0</v>
      </c>
      <c r="Q75" s="290">
        <f>IF(Q$74&lt;B$8+10,B$5,IF(Q$74=B$8+10, (0.4*(B$9/2)),IF(Q$74=B$8+11,(0.3*(B$9/2)),IF(Q$74=B$8+12,(0.2*(B$9/2)),IF(Q$74=B$8+13,(0.1*(B$9)/2),0)))))</f>
        <v>0</v>
      </c>
      <c r="R75" s="290">
        <f>IF(R$74&lt;B$8+10,B$5,IF(R$74=B$8+10, (0.4*(B$9/2)),IF(R$74=B$8+11,(0.3*(B$9/2)),IF(R$74=B$8+12,(0.2*(B$9/2)),IF(R$74=B$8+13,(0.1*(B$9)/2),0)))))</f>
        <v>0</v>
      </c>
      <c r="S75" s="290">
        <f>IF(S$74&lt;B$8+10,B$5,IF(S$74=B$8+10, (0.4*(B$9/2)),IF(S$74=B$8+11,(0.3*(B$9/2)),IF(S$74=B$8+12,(0.2*(B$9/2)),IF(S$74=B$8+13,(0.1*(B$9)/2),0)))))</f>
        <v>0</v>
      </c>
      <c r="T75" s="290">
        <f>IF(T$74&lt;B$8+10,B$5,IF(T$74=B$8+10, (0.4*(B$9/2)),IF(T$74=B$8+11,(0.3*(B$9/2)),IF(T$74=B$8+12,(0.2*(B$9/2)),IF(T$74=B$8+13,(0.1*(B$9)/2),0)))))</f>
        <v>0</v>
      </c>
      <c r="U75" s="290">
        <f>IF(U$74&lt;B$8+10,B$5,IF(U$74=B$8+10, (0.4*(B$9/2)),IF(U$74=B$8+11,(0.3*(B$9/2)),IF(U$74=B$8+12,(0.2*(B$9/2)),IF(U$74=B$8+13,(0.1*(B$9)/2),0)))))</f>
        <v>0</v>
      </c>
      <c r="V75" s="290">
        <f>IF(V$74&lt;B$8+10,B$5,IF(V$74=B$8+10, (0.4*(B$9/2)),IF(V$74=B$8+11,(0.3*(B$9/2)),IF(V$74=B$8+12,(0.2*(B$9/2)),IF(V$74=B$8+13,(0.1*(B$9)/2),0)))))</f>
        <v>0</v>
      </c>
      <c r="W75" s="290">
        <f t="shared" ref="W75:BJ75" si="33">IF(W74&lt;$B$8+10,$B$5,IF(W74=$B$8+10, (0.4*($B$9/2)),IF(W74=$B$8+11,(0.3*($B$9/2)),IF(W74=$B$8+12,(0.2*($B$9/2)),IF(W74=$B$8+13,(0.1*($B$9)/2),0)))))</f>
        <v>0</v>
      </c>
      <c r="X75" s="290">
        <f t="shared" si="33"/>
        <v>0</v>
      </c>
      <c r="Y75" s="290">
        <f t="shared" si="33"/>
        <v>0</v>
      </c>
      <c r="Z75" s="290">
        <f t="shared" si="33"/>
        <v>0</v>
      </c>
      <c r="AA75" s="290">
        <f t="shared" si="33"/>
        <v>0</v>
      </c>
      <c r="AB75" s="290">
        <f t="shared" si="33"/>
        <v>0</v>
      </c>
      <c r="AC75" s="290">
        <f t="shared" si="33"/>
        <v>0</v>
      </c>
      <c r="AD75" s="290">
        <f t="shared" si="33"/>
        <v>0</v>
      </c>
      <c r="AE75" s="290">
        <f t="shared" si="33"/>
        <v>0</v>
      </c>
      <c r="AF75" s="290">
        <f t="shared" si="33"/>
        <v>0</v>
      </c>
      <c r="AG75" s="290">
        <f t="shared" si="33"/>
        <v>0</v>
      </c>
      <c r="AH75" s="290">
        <f t="shared" si="33"/>
        <v>0</v>
      </c>
      <c r="AI75" s="290">
        <f t="shared" si="33"/>
        <v>0</v>
      </c>
      <c r="AJ75" s="290">
        <f t="shared" si="33"/>
        <v>0</v>
      </c>
      <c r="AK75" s="290">
        <f t="shared" si="33"/>
        <v>0</v>
      </c>
      <c r="AL75" s="290">
        <f t="shared" si="33"/>
        <v>0</v>
      </c>
      <c r="AM75" s="290">
        <f t="shared" si="33"/>
        <v>0</v>
      </c>
      <c r="AN75" s="290">
        <f t="shared" si="33"/>
        <v>0</v>
      </c>
      <c r="AO75" s="290">
        <f t="shared" si="33"/>
        <v>0</v>
      </c>
      <c r="AP75" s="290">
        <f t="shared" si="33"/>
        <v>0</v>
      </c>
      <c r="AQ75" s="290">
        <f t="shared" si="33"/>
        <v>0</v>
      </c>
      <c r="AR75" s="290">
        <f t="shared" si="33"/>
        <v>0</v>
      </c>
      <c r="AS75" s="290">
        <f t="shared" si="33"/>
        <v>0</v>
      </c>
      <c r="AT75" s="290">
        <f t="shared" si="33"/>
        <v>0</v>
      </c>
      <c r="AU75" s="290">
        <f t="shared" si="33"/>
        <v>0</v>
      </c>
      <c r="AV75" s="290">
        <f t="shared" si="33"/>
        <v>0</v>
      </c>
      <c r="AW75" s="290">
        <f t="shared" si="33"/>
        <v>0</v>
      </c>
      <c r="AX75" s="290">
        <f t="shared" si="33"/>
        <v>0</v>
      </c>
      <c r="AY75" s="290">
        <f t="shared" si="33"/>
        <v>0</v>
      </c>
      <c r="AZ75" s="290">
        <f t="shared" si="33"/>
        <v>0</v>
      </c>
      <c r="BA75" s="290">
        <f t="shared" si="33"/>
        <v>0</v>
      </c>
      <c r="BB75" s="290">
        <f t="shared" si="33"/>
        <v>0</v>
      </c>
      <c r="BC75" s="290">
        <f t="shared" si="33"/>
        <v>0</v>
      </c>
      <c r="BD75" s="290">
        <f t="shared" si="33"/>
        <v>0</v>
      </c>
      <c r="BE75" s="290">
        <f t="shared" si="33"/>
        <v>0</v>
      </c>
      <c r="BF75" s="290">
        <f t="shared" si="33"/>
        <v>0</v>
      </c>
      <c r="BG75" s="290">
        <f t="shared" si="33"/>
        <v>0</v>
      </c>
      <c r="BH75" s="290">
        <f t="shared" si="33"/>
        <v>0</v>
      </c>
      <c r="BI75" s="290">
        <f t="shared" si="33"/>
        <v>0</v>
      </c>
      <c r="BJ75" s="290">
        <f t="shared" si="33"/>
        <v>0</v>
      </c>
    </row>
    <row r="76" spans="1:62">
      <c r="A76" s="293">
        <f>SUM(C76:BJ76)</f>
        <v>600</v>
      </c>
      <c r="B76" s="267">
        <v>2</v>
      </c>
      <c r="C76" s="290">
        <v>0</v>
      </c>
      <c r="D76" s="290">
        <v>0</v>
      </c>
      <c r="E76" s="290">
        <v>0</v>
      </c>
      <c r="F76" s="290">
        <v>0</v>
      </c>
      <c r="G76" s="290">
        <v>0</v>
      </c>
      <c r="H76" s="290">
        <f>0.1*(C$9/2)</f>
        <v>30</v>
      </c>
      <c r="I76" s="290">
        <f>0.2*(C$9/2)</f>
        <v>60</v>
      </c>
      <c r="J76" s="290">
        <f>0.3*(C$9/2)</f>
        <v>90</v>
      </c>
      <c r="K76" s="290">
        <f>0.4*(C$9/2)</f>
        <v>120</v>
      </c>
      <c r="L76" s="290">
        <f>IF(L$74&lt;C$8+10,C$5,IF(L$74=C$8+10, (0.4*(C$9/2)),IF(L$74=C$8+11,(0.3*(C$9/2)),IF(L$74=C$8+12,(0.2*(C$9/2)),IF(L$74=C$8+13,(0.1*(C$9)/2),0)))))</f>
        <v>120</v>
      </c>
      <c r="M76" s="290">
        <f>IF(M$74&lt;C$8+10,C$5,IF(M$74=C$8+10, (0.4*(C$9/2)),IF(M$74=C$8+11,(0.3*(C$9/2)),IF(M$74=C$8+12,(0.2*(C$9/2)),IF(M$74=C$8+13,(0.1*(C$9)/2),0)))))</f>
        <v>90</v>
      </c>
      <c r="N76" s="290">
        <f>IF(N$74&lt;C$8+10,C$5,IF(N$74=C$8+10, (0.4*(C$9/2)),IF(N$74=C$8+11,(0.3*(C$9/2)),IF(N$74=C$8+12,(0.2*(C$9/2)),IF(N$74=C$8+13,(0.1*(C$9)/2),0)))))</f>
        <v>60</v>
      </c>
      <c r="O76" s="290">
        <f>IF(O$74&lt;C$8+10,C$5,IF(O$74=C$8+10, (0.4*(C$9/2)),IF(O$74=C$8+11,(0.3*(C$9/2)),IF(O$74=C$8+12,(0.2*(C$9/2)),IF(O$74=C$8+13,(0.1*(C$9)/2),0)))))</f>
        <v>30</v>
      </c>
      <c r="P76" s="290">
        <f>IF(P$74&lt;C$8+10,C$5,IF(P$74=C$8+10, (0.4*(C$9/2)),IF(P$74=C$8+11,(0.3*(C$9/2)),IF(P$74=C$8+12,(0.2*(C$9/2)),IF(P$74=C$8+13,(0.1*(C$9)/2),0)))))</f>
        <v>0</v>
      </c>
      <c r="Q76" s="290">
        <f>IF(Q$74&lt;C$8+10,C$5,IF(Q$74=C$8+10, (0.4*(C$9/2)),IF(Q$74=C$8+11,(0.3*(C$9/2)),IF(Q$74=C$8+12,(0.2*(C$9/2)),IF(Q$74=C$8+13,(0.1*(C$9)/2),0)))))</f>
        <v>0</v>
      </c>
      <c r="R76" s="290">
        <f>IF(R$74&lt;C$8+10,C$5,IF(R$74=C$8+10, (0.4*(C$9/2)),IF(R$74=C$8+11,(0.3*(C$9/2)),IF(R$74=C$8+12,(0.2*(C$9/2)),IF(R$74=C$8+13,(0.1*(C$9)/2),0)))))</f>
        <v>0</v>
      </c>
      <c r="S76" s="290">
        <f>IF(S$74&lt;C$8+10,C$5,IF(S$74=C$8+10, (0.4*(C$9/2)),IF(S$74=C$8+11,(0.3*(C$9/2)),IF(S$74=C$8+12,(0.2*(C$9/2)),IF(S$74=C$8+13,(0.1*(C$9)/2),0)))))</f>
        <v>0</v>
      </c>
      <c r="T76" s="290">
        <f>IF(T$74&lt;C$8+10,C$5,IF(T$74=C$8+10, (0.4*(C$9/2)),IF(T$74=C$8+11,(0.3*(C$9/2)),IF(T$74=C$8+12,(0.2*(C$9/2)),IF(T$74=C$8+13,(0.1*(C$9)/2),0)))))</f>
        <v>0</v>
      </c>
      <c r="U76" s="290">
        <f>IF(U$74&lt;C$8+10,C$5,IF(U$74=C$8+10, (0.4*(C$9/2)),IF(U$74=C$8+11,(0.3*(C$9/2)),IF(U$74=C$8+12,(0.2*(C$9/2)),IF(U$74=C$8+13,(0.1*(C$9)/2),0)))))</f>
        <v>0</v>
      </c>
      <c r="V76" s="290">
        <f>IF(V$74&lt;C$8+10,C$5,IF(V$74=C$8+10, (0.4*(C$9/2)),IF(V$74=C$8+11,(0.3*(C$9/2)),IF(V$74=C$8+12,(0.2*(C$9/2)),IF(V$74=C$8+13,(0.1*(C$9)/2),0)))))</f>
        <v>0</v>
      </c>
      <c r="W76" s="290">
        <f>IF(W$74&lt;C$8+10,C$5,IF(W$74=C$8+10, (0.4*(C$9/2)),IF(W$74=C$8+11,(0.3*(C$9/2)),IF(W$74=C$8+12,(0.2*(C$9/2)),IF(W$74=C$8+13,(0.1*(C$9)/2),0)))))</f>
        <v>0</v>
      </c>
      <c r="X76" s="290">
        <f>IF(X$74&lt;C$8+10,C$5,IF(X$74=C$8+10, (0.4*(C$9/2)),IF(X$74=C$8+11,(0.3*(C$9/2)),IF(X$74=C$8+12,(0.2*(C$9/2)),IF(X$74=C$8+13,(0.1*(C$9)/2),0)))))</f>
        <v>0</v>
      </c>
      <c r="Y76" s="290">
        <f>IF(Y$74&lt;C$8+10,C$5,IF(Y$74=C$8+10, (0.4*(C$9/2)),IF(Y$74=C$8+11,(0.3*(C$9/2)),IF(Y$74=C$8+12,(0.2*(C$9/2)),IF(Y$74=C$8+13,(0.1*(C$9)/2),0)))))</f>
        <v>0</v>
      </c>
      <c r="Z76" s="290">
        <f>IF(Z$74&lt;C$8+10,C$5,IF(Z$74=C$8+10, (0.4*(C$9/2)),IF(Z$74=C$8+11,(0.3*(C$9/2)),IF(Z$74=C$8+12,(0.2*(C$9/2)),IF(Z$74=C$8+13,(0.1*(C$9)/2),0)))))</f>
        <v>0</v>
      </c>
      <c r="AA76" s="290">
        <f>IF(AA$74&lt;C$8+10,C$5,IF(AA$74=C$8+10, (0.4*(C$9/2)),IF(AA$74=C$8+11,(0.3*(C$9/2)),IF(AA$74=C$8+12,(0.2*(C$9/2)),IF(AA$74=C$8+13,(0.1*(C$9)/2),0)))))</f>
        <v>0</v>
      </c>
      <c r="AB76" s="290">
        <f>IF(AB$74&lt;C$8+10,C$5,IF(AB$74=C$8+10, (0.4*(C$9/2)),IF(AB$74=C$8+11,(0.3*(C$9/2)),IF(AB$74=C$8+12,(0.2*(C$9/2)),IF(AB$74=C$8+13,(0.1*(C$9)/2),0)))))</f>
        <v>0</v>
      </c>
      <c r="AC76" s="290">
        <f>IF(AC$74&lt;C$8+10,C$5,IF(AC$74=C$8+10, (0.4*(C$9/2)),IF(AC$74=C$8+11,(0.3*(C$9/2)),IF(AC$74=C$8+12,(0.2*(C$9/2)),IF(AC$74=C$8+13,(0.1*(C$9)/2),0)))))</f>
        <v>0</v>
      </c>
      <c r="AD76" s="290">
        <f>IF(AD$74&lt;C$8+10,C$5,IF(AD$74=C$8+10, (0.4*(C$9/2)),IF(AD$74=C$8+11,(0.3*(C$9/2)),IF(AD$74=C$8+12,(0.2*(C$9/2)),IF(AD$74=C$8+13,(0.1*(C$9)/2),0)))))</f>
        <v>0</v>
      </c>
      <c r="AE76" s="290">
        <f>IF(AE$74&lt;C$8+10,C$5,IF(AE$74=C$8+10, (0.4*(C$9/2)),IF(AE$74=C$8+11,(0.3*(C$9/2)),IF(AE$74=C$8+12,(0.2*(C$9/2)),IF(AE$74=C$8+13,(0.1*(C$9)/2),0)))))</f>
        <v>0</v>
      </c>
      <c r="AF76" s="290">
        <f>IF(AF$74&lt;C$8+10,C$5,IF(AF$74=C$8+10, (0.4*(C$9/2)),IF(AF$74=C$8+11,(0.3*(C$9/2)),IF(AF$74=C$8+12,(0.2*(C$9/2)),IF(AF$74=C$8+13,(0.1*(C$9)/2),0)))))</f>
        <v>0</v>
      </c>
      <c r="AG76" s="290">
        <f>IF(AG$74&lt;C$8+10,C$5,IF(AG$74=C$8+10, (0.4*(C$9/2)),IF(AG$74=C$8+11,(0.3*(C$9/2)),IF(AG$74=C$8+12,(0.2*(C$9/2)),IF(AG$74=C$8+13,(0.1*(C$9)/2),0)))))</f>
        <v>0</v>
      </c>
      <c r="AH76" s="290">
        <f>IF(AH$74&lt;C$8+10,C$5,IF(AH$74=C$8+10, (0.4*(C$9/2)),IF(AH$74=C$8+11,(0.3*(C$9/2)),IF(AH$74=C$8+12,(0.2*(C$9/2)),IF(AH$74=C$8+13,(0.1*(C$9)/2),0)))))</f>
        <v>0</v>
      </c>
      <c r="AI76" s="290">
        <f>IF(AI$74&lt;C$8+10,C$5,IF(AI$74=C$8+10, (0.4*(C$9/2)),IF(AI$74=C$8+11,(0.3*(C$9/2)),IF(AI$74=C$8+12,(0.2*(C$9/2)),IF(AI$74=C$8+13,(0.1*(C$9)/2),0)))))</f>
        <v>0</v>
      </c>
      <c r="AJ76" s="290">
        <f>IF(AJ$74&lt;C$8+10,C$5,IF(AJ$74=C$8+10, (0.4*(C$9/2)),IF(AJ$74=C$8+11,(0.3*(C$9/2)),IF(AJ$74=C$8+12,(0.2*(C$9/2)),IF(AJ$74=C$8+13,(0.1*(C$9)/2),0)))))</f>
        <v>0</v>
      </c>
      <c r="AK76" s="290">
        <f>IF(AK$74&lt;C$8+10,C$5,IF(AK$74=C$8+10, (0.4*(C$9/2)),IF(AK$74=C$8+11,(0.3*(C$9/2)),IF(AK$74=C$8+12,(0.2*(C$9/2)),IF(AK$74=C$8+13,(0.1*(C$9)/2),0)))))</f>
        <v>0</v>
      </c>
      <c r="AL76" s="290">
        <f>IF(AL$74&lt;C$8+10,C$5,IF(AL$74=C$8+10, (0.4*(C$9/2)),IF(AL$74=C$8+11,(0.3*(C$9/2)),IF(AL$74=C$8+12,(0.2*(C$9/2)),IF(AL$74=C$8+13,(0.1*(C$9)/2),0)))))</f>
        <v>0</v>
      </c>
      <c r="AM76" s="290">
        <f>IF(AM$74&lt;C$8+10,C$5,IF(AM$74=C$8+10, (0.4*(C$9/2)),IF(AM$74=C$8+11,(0.3*(C$9/2)),IF(AM$74=C$8+12,(0.2*(C$9/2)),IF(AM$74=C$8+13,(0.1*(C$9)/2),0)))))</f>
        <v>0</v>
      </c>
      <c r="AN76" s="290">
        <f>IF(AN$74&lt;C$8+10,C$5,IF(AN$74=C$8+10, (0.4*(C$9/2)),IF(AN$74=C$8+11,(0.3*(C$9/2)),IF(AN$74=C$8+12,(0.2*(C$9/2)),IF(AN$74=C$8+13,(0.1*(C$9)/2),0)))))</f>
        <v>0</v>
      </c>
      <c r="AO76" s="290">
        <f>IF(AO$74&lt;C$8+10,C$5,IF(AO$74=C$8+10, (0.4*(C$9/2)),IF(AO$74=C$8+11,(0.3*(C$9/2)),IF(AO$74=C$8+12,(0.2*(C$9/2)),IF(AO$74=C$8+13,(0.1*(C$9)/2),0)))))</f>
        <v>0</v>
      </c>
      <c r="AP76" s="290">
        <f>IF(AP$74&lt;C$8+10,C$5,IF(AP$74=C$8+10, (0.4*(C$9/2)),IF(AP$74=C$8+11,(0.3*(C$9/2)),IF(AP$74=C$8+12,(0.2*(C$9/2)),IF(AP$74=C$8+13,(0.1*(C$9)/2),0)))))</f>
        <v>0</v>
      </c>
      <c r="AQ76" s="290">
        <f>IF(AQ$74&lt;C$8+10,C$5,IF(AQ$74=C$8+10, (0.4*(C$9/2)),IF(AQ$74=C$8+11,(0.3*(C$9/2)),IF(AQ$74=C$8+12,(0.2*(C$9/2)),IF(AQ$74=C$8+13,(0.1*(C$9)/2),0)))))</f>
        <v>0</v>
      </c>
      <c r="AR76" s="290">
        <f>IF(AR$74&lt;C$8+10,C$5,IF(AR$74=C$8+10, (0.4*(C$9/2)),IF(AR$74=C$8+11,(0.3*(C$9/2)),IF(AR$74=C$8+12,(0.2*(C$9/2)),IF(AR$74=C$8+13,(0.1*(C$9)/2),0)))))</f>
        <v>0</v>
      </c>
      <c r="AS76" s="290">
        <f>IF(AS$74&lt;C$8+10,C$5,IF(AS$74=C$8+10, (0.4*(C$9/2)),IF(AS$74=C$8+11,(0.3*(C$9/2)),IF(AS$74=C$8+12,(0.2*(C$9/2)),IF(AS$74=C$8+13,(0.1*(C$9)/2),0)))))</f>
        <v>0</v>
      </c>
      <c r="AT76" s="290">
        <f>IF(AT$74&lt;C$8+10,C$5,IF(AT$74=C$8+10, (0.4*(C$9/2)),IF(AT$74=C$8+11,(0.3*(C$9/2)),IF(AT$74=C$8+12,(0.2*(C$9/2)),IF(AT$74=C$8+13,(0.1*(C$9)/2),0)))))</f>
        <v>0</v>
      </c>
      <c r="AU76" s="290">
        <f>IF(AU$74&lt;C$8+10,C$5,IF(AU$74=C$8+10, (0.4*(C$9/2)),IF(AU$74=C$8+11,(0.3*(C$9/2)),IF(AU$74=C$8+12,(0.2*(C$9/2)),IF(AU$74=C$8+13,(0.1*(C$9)/2),0)))))</f>
        <v>0</v>
      </c>
      <c r="AV76" s="290">
        <f>IF(AV$74&lt;C$8+10,C$5,IF(AV$74=C$8+10, (0.4*(C$9/2)),IF(AV$74=C$8+11,(0.3*(C$9/2)),IF(AV$74=C$8+12,(0.2*(C$9/2)),IF(AV$74=C$8+13,(0.1*(C$9)/2),0)))))</f>
        <v>0</v>
      </c>
      <c r="AW76" s="290">
        <f>IF(AW$74&lt;C$8+10,C$5,IF(AW$74=C$8+10, (0.4*(C$9/2)),IF(AW$74=C$8+11,(0.3*(C$9/2)),IF(AW$74=C$8+12,(0.2*(C$9/2)),IF(AW$74=C$8+13,(0.1*(C$9)/2),0)))))</f>
        <v>0</v>
      </c>
      <c r="AX76" s="290">
        <f>IF(AX$74&lt;C$8+10,C$5,IF(AX$74=C$8+10, (0.4*(C$9/2)),IF(AX$74=C$8+11,(0.3*(C$9/2)),IF(AX$74=C$8+12,(0.2*(C$9/2)),IF(AX$74=C$8+13,(0.1*(C$9)/2),0)))))</f>
        <v>0</v>
      </c>
      <c r="AY76" s="290">
        <f>IF(AY$74&lt;C$8+10,C$5,IF(AY$74=C$8+10, (0.4*(C$9/2)),IF(AY$74=C$8+11,(0.3*(C$9/2)),IF(AY$74=C$8+12,(0.2*(C$9/2)),IF(AY$74=C$8+13,(0.1*(C$9)/2),0)))))</f>
        <v>0</v>
      </c>
      <c r="AZ76" s="290">
        <f>IF(AZ$74&lt;C$8+10,C$5,IF(AZ$74=C$8+10, (0.4*(C$9/2)),IF(AZ$74=C$8+11,(0.3*(C$9/2)),IF(AZ$74=C$8+12,(0.2*(C$9/2)),IF(AZ$74=C$8+13,(0.1*(C$9)/2),0)))))</f>
        <v>0</v>
      </c>
      <c r="BA76" s="290">
        <f>IF(BA$74&lt;C$8+10,C$5,IF(BA$74=C$8+10, (0.4*(C$9/2)),IF(BA$74=C$8+11,(0.3*(C$9/2)),IF(BA$74=C$8+12,(0.2*(C$9/2)),IF(BA$74=C$8+13,(0.1*(C$9)/2),0)))))</f>
        <v>0</v>
      </c>
      <c r="BB76" s="290">
        <f>IF(BB$74&lt;C$8+10,C$5,IF(BB$74=C$8+10, (0.4*(C$9/2)),IF(BB$74=C$8+11,(0.3*(C$9/2)),IF(BB$74=C$8+12,(0.2*(C$9/2)),IF(BB$74=C$8+13,(0.1*(C$9)/2),0)))))</f>
        <v>0</v>
      </c>
      <c r="BC76" s="290">
        <f>IF(BC$74&lt;C$8+10,C$5,IF(BC$74=C$8+10, (0.4*(C$9/2)),IF(BC$74=C$8+11,(0.3*(C$9/2)),IF(BC$74=C$8+12,(0.2*(C$9/2)),IF(BC$74=C$8+13,(0.1*(C$9)/2),0)))))</f>
        <v>0</v>
      </c>
      <c r="BD76" s="290">
        <f>IF(BD$74&lt;C$8+10,C$5,IF(BD$74=C$8+10, (0.4*(C$9/2)),IF(BD$74=C$8+11,(0.3*(C$9/2)),IF(BD$74=C$8+12,(0.2*(C$9/2)),IF(BD$74=C$8+13,(0.1*(C$9)/2),0)))))</f>
        <v>0</v>
      </c>
      <c r="BE76" s="290">
        <f>IF(BE$74&lt;C$8+10,C$5,IF(BE$74=C$8+10, (0.4*(C$9/2)),IF(BE$74=C$8+11,(0.3*(C$9/2)),IF(BE$74=C$8+12,(0.2*(C$9/2)),IF(BE$74=C$8+13,(0.1*(C$9)/2),0)))))</f>
        <v>0</v>
      </c>
      <c r="BF76" s="290">
        <f>IF(BF$74&lt;C$8+10,C$5,IF(BF$74=C$8+10, (0.4*(C$9/2)),IF(BF$74=C$8+11,(0.3*(C$9/2)),IF(BF$74=C$8+12,(0.2*(C$9/2)),IF(BF$74=C$8+13,(0.1*(C$9)/2),0)))))</f>
        <v>0</v>
      </c>
      <c r="BG76" s="290">
        <f>IF(BG$74&lt;C$8+10,C$5,IF(BG$74=C$8+10, (0.4*(C$9/2)),IF(BG$74=C$8+11,(0.3*(C$9/2)),IF(BG$74=C$8+12,(0.2*(C$9/2)),IF(BG$74=C$8+13,(0.1*(C$9)/2),0)))))</f>
        <v>0</v>
      </c>
      <c r="BH76" s="290">
        <f>IF(BH$74&lt;C$8+10,C$5,IF(BH$74=C$8+10, (0.4*(C$9/2)),IF(BH$74=C$8+11,(0.3*(C$9/2)),IF(BH$74=C$8+12,(0.2*(C$9/2)),IF(BH$74=C$8+13,(0.1*(C$9)/2),0)))))</f>
        <v>0</v>
      </c>
      <c r="BI76" s="290">
        <f>IF(BI$74&lt;C$8+10,C$5,IF(BI$74=C$8+10, (0.4*(C$9/2)),IF(BI$74=C$8+11,(0.3*(C$9/2)),IF(BI$74=C$8+12,(0.2*(C$9/2)),IF(BI$74=C$8+13,(0.1*(C$9)/2),0)))))</f>
        <v>0</v>
      </c>
      <c r="BJ76" s="290">
        <f>IF(BJ$74&lt;C$8+10,C$5,IF(BJ$74=C$8+10, (0.4*(C$9/2)),IF(BJ$74=C$8+11,(0.3*(C$9/2)),IF(BJ$74=C$8+12,(0.2*(C$9/2)),IF(BJ$74=C$8+13,(0.1*(C$9)/2),0)))))</f>
        <v>0</v>
      </c>
    </row>
    <row r="77" spans="1:62">
      <c r="A77" s="293">
        <f t="shared" ref="A77:A84" si="34">SUM(C77:BJ77)</f>
        <v>600</v>
      </c>
      <c r="B77" s="267">
        <v>3</v>
      </c>
      <c r="C77" s="290">
        <v>0</v>
      </c>
      <c r="D77" s="290">
        <v>0</v>
      </c>
      <c r="E77" s="290">
        <v>0</v>
      </c>
      <c r="F77" s="290">
        <v>0</v>
      </c>
      <c r="G77" s="290">
        <v>0</v>
      </c>
      <c r="H77" s="290">
        <f>0.1*(D$9/2)</f>
        <v>30</v>
      </c>
      <c r="I77" s="290">
        <f>0.2*(D$9/2)</f>
        <v>60</v>
      </c>
      <c r="J77" s="290">
        <f>0.3*(D$9/2)</f>
        <v>90</v>
      </c>
      <c r="K77" s="290">
        <f>0.4*(D$9/2)</f>
        <v>120</v>
      </c>
      <c r="L77" s="290">
        <f>IF(L$74&lt;D$8+10,D$5,IF(L$74=D$8+10, (0.4*(D$9/2)),IF(L$74=D$8+11,(0.3*(D$9/2)),IF(L$74=D$8+12,(0.2*(D$9/2)),IF(L$74=D$8+13,(0.1*(D$9)/2),0)))))</f>
        <v>120</v>
      </c>
      <c r="M77" s="290">
        <f>IF(M$74&lt;D$8+10,D$5,IF(M$74=D$8+10, (0.4*(D$9/2)),IF(M$74=D$8+11,(0.3*(D$9/2)),IF(M$74=D$8+12,(0.2*(D$9/2)),IF(M$74=D$8+13,(0.1*(D$9)/2),0)))))</f>
        <v>90</v>
      </c>
      <c r="N77" s="290">
        <f>IF(N$74&lt;D$8+10,D$5,IF(N$74=D$8+10, (0.4*(D$9/2)),IF(N$74=D$8+11,(0.3*(D$9/2)),IF(N$74=D$8+12,(0.2*(D$9/2)),IF(N$74=D$8+13,(0.1*(D$9)/2),0)))))</f>
        <v>60</v>
      </c>
      <c r="O77" s="290">
        <f>IF(O$74&lt;D$8+10,D$5,IF(O$74=D$8+10, (0.4*(D$9/2)),IF(O$74=D$8+11,(0.3*(D$9/2)),IF(O$74=D$8+12,(0.2*(D$9/2)),IF(O$74=D$8+13,(0.1*(D$9)/2),0)))))</f>
        <v>30</v>
      </c>
      <c r="P77" s="290">
        <f>IF(P$74&lt;D$8+10,D$5,IF(P$74=D$8+10, (0.4*(D$9/2)),IF(P$74=D$8+11,(0.3*(D$9/2)),IF(P$74=D$8+12,(0.2*(D$9/2)),IF(P$74=D$8+13,(0.1*(D$9)/2),0)))))</f>
        <v>0</v>
      </c>
      <c r="Q77" s="290">
        <f>IF(Q$74&lt;D$8+10,D$5,IF(Q$74=D$8+10, (0.4*(D$9/2)),IF(Q$74=D$8+11,(0.3*(D$9/2)),IF(Q$74=D$8+12,(0.2*(D$9/2)),IF(Q$74=D$8+13,(0.1*(D$9)/2),0)))))</f>
        <v>0</v>
      </c>
      <c r="R77" s="290">
        <f>IF(R$74&lt;D$8+10,D$5,IF(R$74=D$8+10, (0.4*(D$9/2)),IF(R$74=D$8+11,(0.3*(D$9/2)),IF(R$74=D$8+12,(0.2*(D$9/2)),IF(R$74=D$8+13,(0.1*(D$9)/2),0)))))</f>
        <v>0</v>
      </c>
      <c r="S77" s="290">
        <f>IF(S$74&lt;D$8+10,D$5,IF(S$74=D$8+10, (0.4*(D$9/2)),IF(S$74=D$8+11,(0.3*(D$9/2)),IF(S$74=D$8+12,(0.2*(D$9/2)),IF(S$74=D$8+13,(0.1*(D$9)/2),0)))))</f>
        <v>0</v>
      </c>
      <c r="T77" s="290">
        <f>IF(T$74&lt;D$8+10,D$5,IF(T$74=D$8+10, (0.4*(D$9/2)),IF(T$74=D$8+11,(0.3*(D$9/2)),IF(T$74=D$8+12,(0.2*(D$9/2)),IF(T$74=D$8+13,(0.1*(D$9)/2),0)))))</f>
        <v>0</v>
      </c>
      <c r="U77" s="290">
        <f>IF(U$74&lt;D$8+10,D$5,IF(U$74=D$8+10, (0.4*(D$9/2)),IF(U$74=D$8+11,(0.3*(D$9/2)),IF(U$74=D$8+12,(0.2*(D$9/2)),IF(U$74=D$8+13,(0.1*(D$9)/2),0)))))</f>
        <v>0</v>
      </c>
      <c r="V77" s="290">
        <f>IF(V$74&lt;D$8+10,D$5,IF(V$74=D$8+10, (0.4*(D$9/2)),IF(V$74=D$8+11,(0.3*(D$9/2)),IF(V$74=D$8+12,(0.2*(D$9/2)),IF(V$74=D$8+13,(0.1*(D$9)/2),0)))))</f>
        <v>0</v>
      </c>
      <c r="W77" s="290">
        <f>IF(W$74&lt;D$8+10,D$5,IF(W$74=D$8+10, (0.4*(D$9/2)),IF(W$74=D$8+11,(0.3*(D$9/2)),IF(W$74=D$8+12,(0.2*(D$9/2)),IF(W$74=D$8+13,(0.1*(D$9)/2),0)))))</f>
        <v>0</v>
      </c>
      <c r="X77" s="290">
        <f>IF(X$74&lt;D$8+10,D$5,IF(X$74=D$8+10, (0.4*(D$9/2)),IF(X$74=D$8+11,(0.3*(D$9/2)),IF(X$74=D$8+12,(0.2*(D$9/2)),IF(X$74=D$8+13,(0.1*(D$9)/2),0)))))</f>
        <v>0</v>
      </c>
      <c r="Y77" s="290">
        <f>IF(Y$74&lt;D$8+10,D$5,IF(Y$74=D$8+10, (0.4*(D$9/2)),IF(Y$74=D$8+11,(0.3*(D$9/2)),IF(Y$74=D$8+12,(0.2*(D$9/2)),IF(Y$74=D$8+13,(0.1*(D$9)/2),0)))))</f>
        <v>0</v>
      </c>
      <c r="Z77" s="290">
        <f>IF(Z$74&lt;D$8+10,D$5,IF(Z$74=D$8+10, (0.4*(D$9/2)),IF(Z$74=D$8+11,(0.3*(D$9/2)),IF(Z$74=D$8+12,(0.2*(D$9/2)),IF(Z$74=D$8+13,(0.1*(D$9)/2),0)))))</f>
        <v>0</v>
      </c>
      <c r="AA77" s="290">
        <f>IF(AA$74&lt;D$8+10,D$5,IF(AA$74=D$8+10, (0.4*(D$9/2)),IF(AA$74=D$8+11,(0.3*(D$9/2)),IF(AA$74=D$8+12,(0.2*(D$9/2)),IF(AA$74=D$8+13,(0.1*(D$9)/2),0)))))</f>
        <v>0</v>
      </c>
      <c r="AB77" s="290">
        <f>IF(AB$74&lt;D$8+10,D$5,IF(AB$74=D$8+10, (0.4*(D$9/2)),IF(AB$74=D$8+11,(0.3*(D$9/2)),IF(AB$74=D$8+12,(0.2*(D$9/2)),IF(AB$74=D$8+13,(0.1*(D$9)/2),0)))))</f>
        <v>0</v>
      </c>
      <c r="AC77" s="290">
        <f>IF(AC$74&lt;D$8+10,D$5,IF(AC$74=D$8+10, (0.4*(D$9/2)),IF(AC$74=D$8+11,(0.3*(D$9/2)),IF(AC$74=D$8+12,(0.2*(D$9/2)),IF(AC$74=D$8+13,(0.1*(D$9)/2),0)))))</f>
        <v>0</v>
      </c>
      <c r="AD77" s="290">
        <f>IF(AD$74&lt;D$8+10,D$5,IF(AD$74=D$8+10, (0.4*(D$9/2)),IF(AD$74=D$8+11,(0.3*(D$9/2)),IF(AD$74=D$8+12,(0.2*(D$9/2)),IF(AD$74=D$8+13,(0.1*(D$9)/2),0)))))</f>
        <v>0</v>
      </c>
      <c r="AE77" s="290">
        <f>IF(AE$74&lt;D$8+10,D$5,IF(AE$74=D$8+10, (0.4*(D$9/2)),IF(AE$74=D$8+11,(0.3*(D$9/2)),IF(AE$74=D$8+12,(0.2*(D$9/2)),IF(AE$74=D$8+13,(0.1*(D$9)/2),0)))))</f>
        <v>0</v>
      </c>
      <c r="AF77" s="290">
        <f>IF(AF$74&lt;D$8+10,D$5,IF(AF$74=D$8+10, (0.4*(D$9/2)),IF(AF$74=D$8+11,(0.3*(D$9/2)),IF(AF$74=D$8+12,(0.2*(D$9/2)),IF(AF$74=D$8+13,(0.1*(D$9)/2),0)))))</f>
        <v>0</v>
      </c>
      <c r="AG77" s="290">
        <f>IF(AG$74&lt;D$8+10,D$5,IF(AG$74=D$8+10, (0.4*(D$9/2)),IF(AG$74=D$8+11,(0.3*(D$9/2)),IF(AG$74=D$8+12,(0.2*(D$9/2)),IF(AG$74=D$8+13,(0.1*(D$9)/2),0)))))</f>
        <v>0</v>
      </c>
      <c r="AH77" s="290">
        <f>IF(AH$74&lt;D$8+10,D$5,IF(AH$74=D$8+10, (0.4*(D$9/2)),IF(AH$74=D$8+11,(0.3*(D$9/2)),IF(AH$74=D$8+12,(0.2*(D$9/2)),IF(AH$74=D$8+13,(0.1*(D$9)/2),0)))))</f>
        <v>0</v>
      </c>
      <c r="AI77" s="290">
        <f>IF(AI$74&lt;D$8+10,D$5,IF(AI$74=D$8+10, (0.4*(D$9/2)),IF(AI$74=D$8+11,(0.3*(D$9/2)),IF(AI$74=D$8+12,(0.2*(D$9/2)),IF(AI$74=D$8+13,(0.1*(D$9)/2),0)))))</f>
        <v>0</v>
      </c>
      <c r="AJ77" s="290">
        <f>IF(AJ$74&lt;D$8+10,D$5,IF(AJ$74=D$8+10, (0.4*(D$9/2)),IF(AJ$74=D$8+11,(0.3*(D$9/2)),IF(AJ$74=D$8+12,(0.2*(D$9/2)),IF(AJ$74=D$8+13,(0.1*(D$9)/2),0)))))</f>
        <v>0</v>
      </c>
      <c r="AK77" s="290">
        <f>IF(AK$74&lt;D$8+10,D$5,IF(AK$74=D$8+10, (0.4*(D$9/2)),IF(AK$74=D$8+11,(0.3*(D$9/2)),IF(AK$74=D$8+12,(0.2*(D$9/2)),IF(AK$74=D$8+13,(0.1*(D$9)/2),0)))))</f>
        <v>0</v>
      </c>
      <c r="AL77" s="290">
        <f>IF(AL$74&lt;D$8+10,D$5,IF(AL$74=D$8+10, (0.4*(D$9/2)),IF(AL$74=D$8+11,(0.3*(D$9/2)),IF(AL$74=D$8+12,(0.2*(D$9/2)),IF(AL$74=D$8+13,(0.1*(D$9)/2),0)))))</f>
        <v>0</v>
      </c>
      <c r="AM77" s="290">
        <f>IF(AM$74&lt;D$8+10,D$5,IF(AM$74=D$8+10, (0.4*(D$9/2)),IF(AM$74=D$8+11,(0.3*(D$9/2)),IF(AM$74=D$8+12,(0.2*(D$9/2)),IF(AM$74=D$8+13,(0.1*(D$9)/2),0)))))</f>
        <v>0</v>
      </c>
      <c r="AN77" s="290">
        <f>IF(AN$74&lt;D$8+10,D$5,IF(AN$74=D$8+10, (0.4*(D$9/2)),IF(AN$74=D$8+11,(0.3*(D$9/2)),IF(AN$74=D$8+12,(0.2*(D$9/2)),IF(AN$74=D$8+13,(0.1*(D$9)/2),0)))))</f>
        <v>0</v>
      </c>
      <c r="AO77" s="290">
        <f>IF(AO$74&lt;D$8+10,D$5,IF(AO$74=D$8+10, (0.4*(D$9/2)),IF(AO$74=D$8+11,(0.3*(D$9/2)),IF(AO$74=D$8+12,(0.2*(D$9/2)),IF(AO$74=D$8+13,(0.1*(D$9)/2),0)))))</f>
        <v>0</v>
      </c>
      <c r="AP77" s="290">
        <f>IF(AP$74&lt;D$8+10,D$5,IF(AP$74=D$8+10, (0.4*(D$9/2)),IF(AP$74=D$8+11,(0.3*(D$9/2)),IF(AP$74=D$8+12,(0.2*(D$9/2)),IF(AP$74=D$8+13,(0.1*(D$9)/2),0)))))</f>
        <v>0</v>
      </c>
      <c r="AQ77" s="290">
        <f>IF(AQ$74&lt;D$8+10,D$5,IF(AQ$74=D$8+10, (0.4*(D$9/2)),IF(AQ$74=D$8+11,(0.3*(D$9/2)),IF(AQ$74=D$8+12,(0.2*(D$9/2)),IF(AQ$74=D$8+13,(0.1*(D$9)/2),0)))))</f>
        <v>0</v>
      </c>
      <c r="AR77" s="290">
        <f>IF(AR$74&lt;D$8+10,D$5,IF(AR$74=D$8+10, (0.4*(D$9/2)),IF(AR$74=D$8+11,(0.3*(D$9/2)),IF(AR$74=D$8+12,(0.2*(D$9/2)),IF(AR$74=D$8+13,(0.1*(D$9)/2),0)))))</f>
        <v>0</v>
      </c>
      <c r="AS77" s="290">
        <f>IF(AS$74&lt;D$8+10,D$5,IF(AS$74=D$8+10, (0.4*(D$9/2)),IF(AS$74=D$8+11,(0.3*(D$9/2)),IF(AS$74=D$8+12,(0.2*(D$9/2)),IF(AS$74=D$8+13,(0.1*(D$9)/2),0)))))</f>
        <v>0</v>
      </c>
      <c r="AT77" s="290">
        <f>IF(AT$74&lt;D$8+10,D$5,IF(AT$74=D$8+10, (0.4*(D$9/2)),IF(AT$74=D$8+11,(0.3*(D$9/2)),IF(AT$74=D$8+12,(0.2*(D$9/2)),IF(AT$74=D$8+13,(0.1*(D$9)/2),0)))))</f>
        <v>0</v>
      </c>
      <c r="AU77" s="290">
        <f>IF(AU$74&lt;D$8+10,D$5,IF(AU$74=D$8+10, (0.4*(D$9/2)),IF(AU$74=D$8+11,(0.3*(D$9/2)),IF(AU$74=D$8+12,(0.2*(D$9/2)),IF(AU$74=D$8+13,(0.1*(D$9)/2),0)))))</f>
        <v>0</v>
      </c>
      <c r="AV77" s="290">
        <f>IF(AV$74&lt;D$8+10,D$5,IF(AV$74=D$8+10, (0.4*(D$9/2)),IF(AV$74=D$8+11,(0.3*(D$9/2)),IF(AV$74=D$8+12,(0.2*(D$9/2)),IF(AV$74=D$8+13,(0.1*(D$9)/2),0)))))</f>
        <v>0</v>
      </c>
      <c r="AW77" s="290">
        <f>IF(AW$74&lt;D$8+10,D$5,IF(AW$74=D$8+10, (0.4*(D$9/2)),IF(AW$74=D$8+11,(0.3*(D$9/2)),IF(AW$74=D$8+12,(0.2*(D$9/2)),IF(AW$74=D$8+13,(0.1*(D$9)/2),0)))))</f>
        <v>0</v>
      </c>
      <c r="AX77" s="290">
        <f>IF(AX$74&lt;D$8+10,D$5,IF(AX$74=D$8+10, (0.4*(D$9/2)),IF(AX$74=D$8+11,(0.3*(D$9/2)),IF(AX$74=D$8+12,(0.2*(D$9/2)),IF(AX$74=D$8+13,(0.1*(D$9)/2),0)))))</f>
        <v>0</v>
      </c>
      <c r="AY77" s="290">
        <f>IF(AY$74&lt;D$8+10,D$5,IF(AY$74=D$8+10, (0.4*(D$9/2)),IF(AY$74=D$8+11,(0.3*(D$9/2)),IF(AY$74=D$8+12,(0.2*(D$9/2)),IF(AY$74=D$8+13,(0.1*(D$9)/2),0)))))</f>
        <v>0</v>
      </c>
      <c r="AZ77" s="290">
        <f>IF(AZ$74&lt;D$8+10,D$5,IF(AZ$74=D$8+10, (0.4*(D$9/2)),IF(AZ$74=D$8+11,(0.3*(D$9/2)),IF(AZ$74=D$8+12,(0.2*(D$9/2)),IF(AZ$74=D$8+13,(0.1*(D$9)/2),0)))))</f>
        <v>0</v>
      </c>
      <c r="BA77" s="290">
        <f>IF(BA$74&lt;D$8+10,D$5,IF(BA$74=D$8+10, (0.4*(D$9/2)),IF(BA$74=D$8+11,(0.3*(D$9/2)),IF(BA$74=D$8+12,(0.2*(D$9/2)),IF(BA$74=D$8+13,(0.1*(D$9)/2),0)))))</f>
        <v>0</v>
      </c>
      <c r="BB77" s="290">
        <f>IF(BB$74&lt;D$8+10,D$5,IF(BB$74=D$8+10, (0.4*(D$9/2)),IF(BB$74=D$8+11,(0.3*(D$9/2)),IF(BB$74=D$8+12,(0.2*(D$9/2)),IF(BB$74=D$8+13,(0.1*(D$9)/2),0)))))</f>
        <v>0</v>
      </c>
      <c r="BC77" s="290">
        <f>IF(BC$74&lt;D$8+10,D$5,IF(BC$74=D$8+10, (0.4*(D$9/2)),IF(BC$74=D$8+11,(0.3*(D$9/2)),IF(BC$74=D$8+12,(0.2*(D$9/2)),IF(BC$74=D$8+13,(0.1*(D$9)/2),0)))))</f>
        <v>0</v>
      </c>
      <c r="BD77" s="290">
        <f>IF(BD$74&lt;D$8+10,D$5,IF(BD$74=D$8+10, (0.4*(D$9/2)),IF(BD$74=D$8+11,(0.3*(D$9/2)),IF(BD$74=D$8+12,(0.2*(D$9/2)),IF(BD$74=D$8+13,(0.1*(D$9)/2),0)))))</f>
        <v>0</v>
      </c>
      <c r="BE77" s="290">
        <f>IF(BE$74&lt;D$8+10,D$5,IF(BE$74=D$8+10, (0.4*(D$9/2)),IF(BE$74=D$8+11,(0.3*(D$9/2)),IF(BE$74=D$8+12,(0.2*(D$9/2)),IF(BE$74=D$8+13,(0.1*(D$9)/2),0)))))</f>
        <v>0</v>
      </c>
      <c r="BF77" s="290">
        <f>IF(BF$74&lt;D$8+10,D$5,IF(BF$74=D$8+10, (0.4*(D$9/2)),IF(BF$74=D$8+11,(0.3*(D$9/2)),IF(BF$74=D$8+12,(0.2*(D$9/2)),IF(BF$74=D$8+13,(0.1*(D$9)/2),0)))))</f>
        <v>0</v>
      </c>
      <c r="BG77" s="290">
        <f>IF(BG$74&lt;D$8+10,D$5,IF(BG$74=D$8+10, (0.4*(D$9/2)),IF(BG$74=D$8+11,(0.3*(D$9/2)),IF(BG$74=D$8+12,(0.2*(D$9/2)),IF(BG$74=D$8+13,(0.1*(D$9)/2),0)))))</f>
        <v>0</v>
      </c>
      <c r="BH77" s="290">
        <f>IF(BH$74&lt;D$8+10,D$5,IF(BH$74=D$8+10, (0.4*(D$9/2)),IF(BH$74=D$8+11,(0.3*(D$9/2)),IF(BH$74=D$8+12,(0.2*(D$9/2)),IF(BH$74=D$8+13,(0.1*(D$9)/2),0)))))</f>
        <v>0</v>
      </c>
      <c r="BI77" s="290">
        <f>IF(BI$74&lt;D$8+10,D$5,IF(BI$74=D$8+10, (0.4*(D$9/2)),IF(BI$74=D$8+11,(0.3*(D$9/2)),IF(BI$74=D$8+12,(0.2*(D$9/2)),IF(BI$74=D$8+13,(0.1*(D$9)/2),0)))))</f>
        <v>0</v>
      </c>
      <c r="BJ77" s="290">
        <f>IF(BJ$74&lt;D$8+10,D$5,IF(BJ$74=D$8+10, (0.4*(D$9/2)),IF(BJ$74=D$8+11,(0.3*(D$9/2)),IF(BJ$74=D$8+12,(0.2*(D$9/2)),IF(BJ$74=D$8+13,(0.1*(D$9)/2),0)))))</f>
        <v>0</v>
      </c>
    </row>
    <row r="78" spans="1:62">
      <c r="A78" s="293">
        <f t="shared" si="34"/>
        <v>600</v>
      </c>
      <c r="B78" s="267">
        <v>4</v>
      </c>
      <c r="C78" s="290">
        <v>0</v>
      </c>
      <c r="D78" s="290">
        <v>0</v>
      </c>
      <c r="E78" s="290">
        <v>0</v>
      </c>
      <c r="F78" s="290">
        <v>0</v>
      </c>
      <c r="G78" s="290">
        <v>0</v>
      </c>
      <c r="H78" s="290">
        <f>0.1*(E$9/2)</f>
        <v>30</v>
      </c>
      <c r="I78" s="290">
        <f>0.2*(E$9/2)</f>
        <v>60</v>
      </c>
      <c r="J78" s="290">
        <f>0.3*(E$9/2)</f>
        <v>90</v>
      </c>
      <c r="K78" s="290">
        <f>0.4*(E$9/2)</f>
        <v>120</v>
      </c>
      <c r="L78" s="290">
        <f>IF(L$74&lt;E$8+10,E$5,IF(L$74=E$8+10, (0.4*(E$9/2)),IF(L$74=E$8+11,(0.3*(E$9/2)),IF(L$74=E$8+12,(0.2*(E$9/2)),IF(L$74=E$8+13,(0.1*(E$9)/2),0)))))</f>
        <v>120</v>
      </c>
      <c r="M78" s="290">
        <f>IF(M$74&lt;E$8+10,E$5,IF(M$74=E$8+10, (0.4*(E$9/2)),IF(M$74=E$8+11,(0.3*(E$9/2)),IF(M$74=E$8+12,(0.2*(E$9/2)),IF(M$74=E$8+13,(0.1*(E$9)/2),0)))))</f>
        <v>90</v>
      </c>
      <c r="N78" s="290">
        <f>IF(N$74&lt;E$8+10,E$5,IF(N$74=E$8+10, (0.4*(E$9/2)),IF(N$74=E$8+11,(0.3*(E$9/2)),IF(N$74=E$8+12,(0.2*(E$9/2)),IF(N$74=E$8+13,(0.1*(E$9)/2),0)))))</f>
        <v>60</v>
      </c>
      <c r="O78" s="290">
        <f>IF(O$74&lt;E$8+10,E$5,IF(O$74=E$8+10, (0.4*(E$9/2)),IF(O$74=E$8+11,(0.3*(E$9/2)),IF(O$74=E$8+12,(0.2*(E$9/2)),IF(O$74=E$8+13,(0.1*(E$9)/2),0)))))</f>
        <v>30</v>
      </c>
      <c r="P78" s="290">
        <f>IF(P$74&lt;E$8+10,E$5,IF(P$74=E$8+10, (0.4*(E$9/2)),IF(P$74=E$8+11,(0.3*(E$9/2)),IF(P$74=E$8+12,(0.2*(E$9/2)),IF(P$74=E$8+13,(0.1*(E$9)/2),0)))))</f>
        <v>0</v>
      </c>
      <c r="Q78" s="290">
        <f>IF(Q$74&lt;E$8+10,E$5,IF(Q$74=E$8+10, (0.4*(E$9/2)),IF(Q$74=E$8+11,(0.3*(E$9/2)),IF(Q$74=E$8+12,(0.2*(E$9/2)),IF(Q$74=E$8+13,(0.1*(E$9)/2),0)))))</f>
        <v>0</v>
      </c>
      <c r="R78" s="290">
        <f>IF(R$74&lt;E$8+10,E$5,IF(R$74=E$8+10, (0.4*(E$9/2)),IF(R$74=E$8+11,(0.3*(E$9/2)),IF(R$74=E$8+12,(0.2*(E$9/2)),IF(R$74=E$8+13,(0.1*(E$9)/2),0)))))</f>
        <v>0</v>
      </c>
      <c r="S78" s="290">
        <f>IF(S$74&lt;E$8+10,E$5,IF(S$74=E$8+10, (0.4*(E$9/2)),IF(S$74=E$8+11,(0.3*(E$9/2)),IF(S$74=E$8+12,(0.2*(E$9/2)),IF(S$74=E$8+13,(0.1*(E$9)/2),0)))))</f>
        <v>0</v>
      </c>
      <c r="T78" s="290">
        <f>IF(T$74&lt;E$8+10,E$5,IF(T$74=E$8+10, (0.4*(E$9/2)),IF(T$74=E$8+11,(0.3*(E$9/2)),IF(T$74=E$8+12,(0.2*(E$9/2)),IF(T$74=E$8+13,(0.1*(E$9)/2),0)))))</f>
        <v>0</v>
      </c>
      <c r="U78" s="290">
        <f>IF(U$74&lt;E$8+10,E$5,IF(U$74=E$8+10, (0.4*(E$9/2)),IF(U$74=E$8+11,(0.3*(E$9/2)),IF(U$74=E$8+12,(0.2*(E$9/2)),IF(U$74=E$8+13,(0.1*(E$9)/2),0)))))</f>
        <v>0</v>
      </c>
      <c r="V78" s="290">
        <f>IF(V$74&lt;E$8+10,E$5,IF(V$74=E$8+10, (0.4*(E$9/2)),IF(V$74=E$8+11,(0.3*(E$9/2)),IF(V$74=E$8+12,(0.2*(E$9/2)),IF(V$74=E$8+13,(0.1*(E$9)/2),0)))))</f>
        <v>0</v>
      </c>
      <c r="W78" s="290">
        <f>IF(W$74&lt;E$8+10,E$5,IF(W$74=E$8+10, (0.4*(E$9/2)),IF(W$74=E$8+11,(0.3*(E$9/2)),IF(W$74=E$8+12,(0.2*(E$9/2)),IF(W$74=E$8+13,(0.1*(E$9)/2),0)))))</f>
        <v>0</v>
      </c>
      <c r="X78" s="290">
        <f>IF(X$74&lt;E$8+10,E$5,IF(X$74=E$8+10, (0.4*(E$9/2)),IF(X$74=E$8+11,(0.3*(E$9/2)),IF(X$74=E$8+12,(0.2*(E$9/2)),IF(X$74=E$8+13,(0.1*(E$9)/2),0)))))</f>
        <v>0</v>
      </c>
      <c r="Y78" s="290">
        <f>IF(Y$74&lt;E$8+10,E$5,IF(Y$74=E$8+10, (0.4*(E$9/2)),IF(Y$74=E$8+11,(0.3*(E$9/2)),IF(Y$74=E$8+12,(0.2*(E$9/2)),IF(Y$74=E$8+13,(0.1*(E$9)/2),0)))))</f>
        <v>0</v>
      </c>
      <c r="Z78" s="290">
        <f>IF(Z$74&lt;E$8+10,E$5,IF(Z$74=E$8+10, (0.4*(E$9/2)),IF(Z$74=E$8+11,(0.3*(E$9/2)),IF(Z$74=E$8+12,(0.2*(E$9/2)),IF(Z$74=E$8+13,(0.1*(E$9)/2),0)))))</f>
        <v>0</v>
      </c>
      <c r="AA78" s="290">
        <f>IF(AA$74&lt;E$8+10,E$5,IF(AA$74=E$8+10, (0.4*(E$9/2)),IF(AA$74=E$8+11,(0.3*(E$9/2)),IF(AA$74=E$8+12,(0.2*(E$9/2)),IF(AA$74=E$8+13,(0.1*(E$9)/2),0)))))</f>
        <v>0</v>
      </c>
      <c r="AB78" s="290">
        <f>IF(AB$74&lt;E$8+10,E$5,IF(AB$74=E$8+10, (0.4*(E$9/2)),IF(AB$74=E$8+11,(0.3*(E$9/2)),IF(AB$74=E$8+12,(0.2*(E$9/2)),IF(AB$74=E$8+13,(0.1*(E$9)/2),0)))))</f>
        <v>0</v>
      </c>
      <c r="AC78" s="290">
        <f>IF(AC$74&lt;E$8+10,E$5,IF(AC$74=E$8+10, (0.4*(E$9/2)),IF(AC$74=E$8+11,(0.3*(E$9/2)),IF(AC$74=E$8+12,(0.2*(E$9/2)),IF(AC$74=E$8+13,(0.1*(E$9)/2),0)))))</f>
        <v>0</v>
      </c>
      <c r="AD78" s="290">
        <f>IF(AD$74&lt;E$8+10,E$5,IF(AD$74=E$8+10, (0.4*(E$9/2)),IF(AD$74=E$8+11,(0.3*(E$9/2)),IF(AD$74=E$8+12,(0.2*(E$9/2)),IF(AD$74=E$8+13,(0.1*(E$9)/2),0)))))</f>
        <v>0</v>
      </c>
      <c r="AE78" s="290">
        <f>IF(AE$74&lt;E$8+10,E$5,IF(AE$74=E$8+10, (0.4*(E$9/2)),IF(AE$74=E$8+11,(0.3*(E$9/2)),IF(AE$74=E$8+12,(0.2*(E$9/2)),IF(AE$74=E$8+13,(0.1*(E$9)/2),0)))))</f>
        <v>0</v>
      </c>
      <c r="AF78" s="290">
        <f>IF(AF$74&lt;E$8+10,E$5,IF(AF$74=E$8+10, (0.4*(E$9/2)),IF(AF$74=E$8+11,(0.3*(E$9/2)),IF(AF$74=E$8+12,(0.2*(E$9/2)),IF(AF$74=E$8+13,(0.1*(E$9)/2),0)))))</f>
        <v>0</v>
      </c>
      <c r="AG78" s="290">
        <f>IF(AG$74&lt;E$8+10,E$5,IF(AG$74=E$8+10, (0.4*(E$9/2)),IF(AG$74=E$8+11,(0.3*(E$9/2)),IF(AG$74=E$8+12,(0.2*(E$9/2)),IF(AG$74=E$8+13,(0.1*(E$9)/2),0)))))</f>
        <v>0</v>
      </c>
      <c r="AH78" s="290">
        <f>IF(AH$74&lt;E$8+10,E$5,IF(AH$74=E$8+10, (0.4*(E$9/2)),IF(AH$74=E$8+11,(0.3*(E$9/2)),IF(AH$74=E$8+12,(0.2*(E$9/2)),IF(AH$74=E$8+13,(0.1*(E$9)/2),0)))))</f>
        <v>0</v>
      </c>
      <c r="AI78" s="290">
        <f>IF(AI$74&lt;E$8+10,E$5,IF(AI$74=E$8+10, (0.4*(E$9/2)),IF(AI$74=E$8+11,(0.3*(E$9/2)),IF(AI$74=E$8+12,(0.2*(E$9/2)),IF(AI$74=E$8+13,(0.1*(E$9)/2),0)))))</f>
        <v>0</v>
      </c>
      <c r="AJ78" s="290">
        <f>IF(AJ$74&lt;E$8+10,E$5,IF(AJ$74=E$8+10, (0.4*(E$9/2)),IF(AJ$74=E$8+11,(0.3*(E$9/2)),IF(AJ$74=E$8+12,(0.2*(E$9/2)),IF(AJ$74=E$8+13,(0.1*(E$9)/2),0)))))</f>
        <v>0</v>
      </c>
      <c r="AK78" s="290">
        <f>IF(AK$74&lt;E$8+10,E$5,IF(AK$74=E$8+10, (0.4*(E$9/2)),IF(AK$74=E$8+11,(0.3*(E$9/2)),IF(AK$74=E$8+12,(0.2*(E$9/2)),IF(AK$74=E$8+13,(0.1*(E$9)/2),0)))))</f>
        <v>0</v>
      </c>
      <c r="AL78" s="290">
        <f>IF(AL$74&lt;E$8+10,E$5,IF(AL$74=E$8+10, (0.4*(E$9/2)),IF(AL$74=E$8+11,(0.3*(E$9/2)),IF(AL$74=E$8+12,(0.2*(E$9/2)),IF(AL$74=E$8+13,(0.1*(E$9)/2),0)))))</f>
        <v>0</v>
      </c>
      <c r="AM78" s="290">
        <f>IF(AM$74&lt;E$8+10,E$5,IF(AM$74=E$8+10, (0.4*(E$9/2)),IF(AM$74=E$8+11,(0.3*(E$9/2)),IF(AM$74=E$8+12,(0.2*(E$9/2)),IF(AM$74=E$8+13,(0.1*(E$9)/2),0)))))</f>
        <v>0</v>
      </c>
      <c r="AN78" s="290">
        <f>IF(AN$74&lt;E$8+10,E$5,IF(AN$74=E$8+10, (0.4*(E$9/2)),IF(AN$74=E$8+11,(0.3*(E$9/2)),IF(AN$74=E$8+12,(0.2*(E$9/2)),IF(AN$74=E$8+13,(0.1*(E$9)/2),0)))))</f>
        <v>0</v>
      </c>
      <c r="AO78" s="290">
        <f>IF(AO$74&lt;E$8+10,E$5,IF(AO$74=E$8+10, (0.4*(E$9/2)),IF(AO$74=E$8+11,(0.3*(E$9/2)),IF(AO$74=E$8+12,(0.2*(E$9/2)),IF(AO$74=E$8+13,(0.1*(E$9)/2),0)))))</f>
        <v>0</v>
      </c>
      <c r="AP78" s="290">
        <f>IF(AP$74&lt;E$8+10,E$5,IF(AP$74=E$8+10, (0.4*(E$9/2)),IF(AP$74=E$8+11,(0.3*(E$9/2)),IF(AP$74=E$8+12,(0.2*(E$9/2)),IF(AP$74=E$8+13,(0.1*(E$9)/2),0)))))</f>
        <v>0</v>
      </c>
      <c r="AQ78" s="290">
        <f>IF(AQ$74&lt;E$8+10,E$5,IF(AQ$74=E$8+10, (0.4*(E$9/2)),IF(AQ$74=E$8+11,(0.3*(E$9/2)),IF(AQ$74=E$8+12,(0.2*(E$9/2)),IF(AQ$74=E$8+13,(0.1*(E$9)/2),0)))))</f>
        <v>0</v>
      </c>
      <c r="AR78" s="290">
        <f>IF(AR$74&lt;E$8+10,E$5,IF(AR$74=E$8+10, (0.4*(E$9/2)),IF(AR$74=E$8+11,(0.3*(E$9/2)),IF(AR$74=E$8+12,(0.2*(E$9/2)),IF(AR$74=E$8+13,(0.1*(E$9)/2),0)))))</f>
        <v>0</v>
      </c>
      <c r="AS78" s="290">
        <f>IF(AS$74&lt;E$8+10,E$5,IF(AS$74=E$8+10, (0.4*(E$9/2)),IF(AS$74=E$8+11,(0.3*(E$9/2)),IF(AS$74=E$8+12,(0.2*(E$9/2)),IF(AS$74=E$8+13,(0.1*(E$9)/2),0)))))</f>
        <v>0</v>
      </c>
      <c r="AT78" s="290">
        <f>IF(AT$74&lt;E$8+10,E$5,IF(AT$74=E$8+10, (0.4*(E$9/2)),IF(AT$74=E$8+11,(0.3*(E$9/2)),IF(AT$74=E$8+12,(0.2*(E$9/2)),IF(AT$74=E$8+13,(0.1*(E$9)/2),0)))))</f>
        <v>0</v>
      </c>
      <c r="AU78" s="290">
        <f>IF(AU$74&lt;E$8+10,E$5,IF(AU$74=E$8+10, (0.4*(E$9/2)),IF(AU$74=E$8+11,(0.3*(E$9/2)),IF(AU$74=E$8+12,(0.2*(E$9/2)),IF(AU$74=E$8+13,(0.1*(E$9)/2),0)))))</f>
        <v>0</v>
      </c>
      <c r="AV78" s="290">
        <f>IF(AV$74&lt;E$8+10,E$5,IF(AV$74=E$8+10, (0.4*(E$9/2)),IF(AV$74=E$8+11,(0.3*(E$9/2)),IF(AV$74=E$8+12,(0.2*(E$9/2)),IF(AV$74=E$8+13,(0.1*(E$9)/2),0)))))</f>
        <v>0</v>
      </c>
      <c r="AW78" s="290">
        <f>IF(AW$74&lt;E$8+10,E$5,IF(AW$74=E$8+10, (0.4*(E$9/2)),IF(AW$74=E$8+11,(0.3*(E$9/2)),IF(AW$74=E$8+12,(0.2*(E$9/2)),IF(AW$74=E$8+13,(0.1*(E$9)/2),0)))))</f>
        <v>0</v>
      </c>
      <c r="AX78" s="290">
        <f>IF(AX$74&lt;E$8+10,E$5,IF(AX$74=E$8+10, (0.4*(E$9/2)),IF(AX$74=E$8+11,(0.3*(E$9/2)),IF(AX$74=E$8+12,(0.2*(E$9/2)),IF(AX$74=E$8+13,(0.1*(E$9)/2),0)))))</f>
        <v>0</v>
      </c>
      <c r="AY78" s="290">
        <f>IF(AY$74&lt;E$8+10,E$5,IF(AY$74=E$8+10, (0.4*(E$9/2)),IF(AY$74=E$8+11,(0.3*(E$9/2)),IF(AY$74=E$8+12,(0.2*(E$9/2)),IF(AY$74=E$8+13,(0.1*(E$9)/2),0)))))</f>
        <v>0</v>
      </c>
      <c r="AZ78" s="290">
        <f>IF(AZ$74&lt;E$8+10,E$5,IF(AZ$74=E$8+10, (0.4*(E$9/2)),IF(AZ$74=E$8+11,(0.3*(E$9/2)),IF(AZ$74=E$8+12,(0.2*(E$9/2)),IF(AZ$74=E$8+13,(0.1*(E$9)/2),0)))))</f>
        <v>0</v>
      </c>
      <c r="BA78" s="290">
        <f>IF(BA$74&lt;E$8+10,E$5,IF(BA$74=E$8+10, (0.4*(E$9/2)),IF(BA$74=E$8+11,(0.3*(E$9/2)),IF(BA$74=E$8+12,(0.2*(E$9/2)),IF(BA$74=E$8+13,(0.1*(E$9)/2),0)))))</f>
        <v>0</v>
      </c>
      <c r="BB78" s="290">
        <f>IF(BB$74&lt;E$8+10,E$5,IF(BB$74=E$8+10, (0.4*(E$9/2)),IF(BB$74=E$8+11,(0.3*(E$9/2)),IF(BB$74=E$8+12,(0.2*(E$9/2)),IF(BB$74=E$8+13,(0.1*(E$9)/2),0)))))</f>
        <v>0</v>
      </c>
      <c r="BC78" s="290">
        <f>IF(BC$74&lt;E$8+10,E$5,IF(BC$74=E$8+10, (0.4*(E$9/2)),IF(BC$74=E$8+11,(0.3*(E$9/2)),IF(BC$74=E$8+12,(0.2*(E$9/2)),IF(BC$74=E$8+13,(0.1*(E$9)/2),0)))))</f>
        <v>0</v>
      </c>
      <c r="BD78" s="290">
        <f>IF(BD$74&lt;E$8+10,E$5,IF(BD$74=E$8+10, (0.4*(E$9/2)),IF(BD$74=E$8+11,(0.3*(E$9/2)),IF(BD$74=E$8+12,(0.2*(E$9/2)),IF(BD$74=E$8+13,(0.1*(E$9)/2),0)))))</f>
        <v>0</v>
      </c>
      <c r="BE78" s="290">
        <f>IF(BE$74&lt;E$8+10,E$5,IF(BE$74=E$8+10, (0.4*(E$9/2)),IF(BE$74=E$8+11,(0.3*(E$9/2)),IF(BE$74=E$8+12,(0.2*(E$9/2)),IF(BE$74=E$8+13,(0.1*(E$9)/2),0)))))</f>
        <v>0</v>
      </c>
      <c r="BF78" s="290">
        <f>IF(BF$74&lt;E$8+10,E$5,IF(BF$74=E$8+10, (0.4*(E$9/2)),IF(BF$74=E$8+11,(0.3*(E$9/2)),IF(BF$74=E$8+12,(0.2*(E$9/2)),IF(BF$74=E$8+13,(0.1*(E$9)/2),0)))))</f>
        <v>0</v>
      </c>
      <c r="BG78" s="290">
        <f>IF(BG$74&lt;E$8+10,E$5,IF(BG$74=E$8+10, (0.4*(E$9/2)),IF(BG$74=E$8+11,(0.3*(E$9/2)),IF(BG$74=E$8+12,(0.2*(E$9/2)),IF(BG$74=E$8+13,(0.1*(E$9)/2),0)))))</f>
        <v>0</v>
      </c>
      <c r="BH78" s="290">
        <f>IF(BH$74&lt;E$8+10,E$5,IF(BH$74=E$8+10, (0.4*(E$9/2)),IF(BH$74=E$8+11,(0.3*(E$9/2)),IF(BH$74=E$8+12,(0.2*(E$9/2)),IF(BH$74=E$8+13,(0.1*(E$9)/2),0)))))</f>
        <v>0</v>
      </c>
      <c r="BI78" s="290">
        <f>IF(BI$74&lt;E$8+10,E$5,IF(BI$74=E$8+10, (0.4*(E$9/2)),IF(BI$74=E$8+11,(0.3*(E$9/2)),IF(BI$74=E$8+12,(0.2*(E$9/2)),IF(BI$74=E$8+13,(0.1*(E$9)/2),0)))))</f>
        <v>0</v>
      </c>
      <c r="BJ78" s="290">
        <f>IF(BJ$74&lt;E$8+10,E$5,IF(BJ$74=E$8+10, (0.4*(E$9/2)),IF(BJ$74=E$8+11,(0.3*(E$9/2)),IF(BJ$74=E$8+12,(0.2*(E$9/2)),IF(BJ$74=E$8+13,(0.1*(E$9)/2),0)))))</f>
        <v>0</v>
      </c>
    </row>
    <row r="79" spans="1:62">
      <c r="A79" s="293">
        <f t="shared" si="34"/>
        <v>600</v>
      </c>
      <c r="B79" s="267">
        <v>5</v>
      </c>
      <c r="C79" s="290">
        <v>0</v>
      </c>
      <c r="D79" s="290">
        <v>0</v>
      </c>
      <c r="E79" s="290">
        <v>0</v>
      </c>
      <c r="F79" s="290">
        <v>0</v>
      </c>
      <c r="G79" s="290">
        <v>0</v>
      </c>
      <c r="H79" s="290">
        <f>0.1*(F$9/2)</f>
        <v>30</v>
      </c>
      <c r="I79" s="290">
        <f>0.2*(F$9/2)</f>
        <v>60</v>
      </c>
      <c r="J79" s="290">
        <f>0.3*(F$9/2)</f>
        <v>90</v>
      </c>
      <c r="K79" s="290">
        <f>0.4*(F$9/2)</f>
        <v>120</v>
      </c>
      <c r="L79" s="290">
        <f>IF(L$74&lt;F$8+10,F$5,IF(L$74=F$8+10, (0.4*(F$9/2)),IF(L$74=F$8+11,(0.3*(F$9/2)),IF(L$74=F$8+12,(0.2*(F$9/2)),IF(L$74=F$8+13,(0.1*(F$9)/2),0)))))</f>
        <v>120</v>
      </c>
      <c r="M79" s="290">
        <f>IF(M$74&lt;F$8+10,F$5,IF(M$74=F$8+10, (0.4*(F$9/2)),IF(M$74=F$8+11,(0.3*(F$9/2)),IF(M$74=F$8+12,(0.2*(F$9/2)),IF(M$74=F$8+13,(0.1*(F$9)/2),0)))))</f>
        <v>90</v>
      </c>
      <c r="N79" s="290">
        <f>IF(N$74&lt;F$8+10,F$5,IF(N$74=F$8+10, (0.4*(F$9/2)),IF(N$74=F$8+11,(0.3*(F$9/2)),IF(N$74=F$8+12,(0.2*(F$9/2)),IF(N$74=F$8+13,(0.1*(F$9)/2),0)))))</f>
        <v>60</v>
      </c>
      <c r="O79" s="290">
        <f>IF(O$74&lt;F$8+10,F$5,IF(O$74=F$8+10, (0.4*(F$9/2)),IF(O$74=F$8+11,(0.3*(F$9/2)),IF(O$74=F$8+12,(0.2*(F$9/2)),IF(O$74=F$8+13,(0.1*(F$9)/2),0)))))</f>
        <v>30</v>
      </c>
      <c r="P79" s="290">
        <f>IF(P$74&lt;F$8+10,F$5,IF(P$74=F$8+10, (0.4*(F$9/2)),IF(P$74=F$8+11,(0.3*(F$9/2)),IF(P$74=F$8+12,(0.2*(F$9/2)),IF(P$74=F$8+13,(0.1*(F$9)/2),0)))))</f>
        <v>0</v>
      </c>
      <c r="Q79" s="290">
        <f>IF(Q$74&lt;F$8+10,F$5,IF(Q$74=F$8+10, (0.4*(F$9/2)),IF(Q$74=F$8+11,(0.3*(F$9/2)),IF(Q$74=F$8+12,(0.2*(F$9/2)),IF(Q$74=F$8+13,(0.1*(F$9)/2),0)))))</f>
        <v>0</v>
      </c>
      <c r="R79" s="290">
        <f>IF(R$74&lt;F$8+10,F$5,IF(R$74=F$8+10, (0.4*(F$9/2)),IF(R$74=F$8+11,(0.3*(F$9/2)),IF(R$74=F$8+12,(0.2*(F$9/2)),IF(R$74=F$8+13,(0.1*(F$9)/2),0)))))</f>
        <v>0</v>
      </c>
      <c r="S79" s="290">
        <f>IF(S$74&lt;F$8+10,F$5,IF(S$74=F$8+10, (0.4*(F$9/2)),IF(S$74=F$8+11,(0.3*(F$9/2)),IF(S$74=F$8+12,(0.2*(F$9/2)),IF(S$74=F$8+13,(0.1*(F$9)/2),0)))))</f>
        <v>0</v>
      </c>
      <c r="T79" s="290">
        <f>IF(T$74&lt;F$8+10,F$5,IF(T$74=F$8+10, (0.4*(F$9/2)),IF(T$74=F$8+11,(0.3*(F$9/2)),IF(T$74=F$8+12,(0.2*(F$9/2)),IF(T$74=F$8+13,(0.1*(F$9)/2),0)))))</f>
        <v>0</v>
      </c>
      <c r="U79" s="290">
        <f>IF(U$74&lt;F$8+10,F$5,IF(U$74=F$8+10, (0.4*(F$9/2)),IF(U$74=F$8+11,(0.3*(F$9/2)),IF(U$74=F$8+12,(0.2*(F$9/2)),IF(U$74=F$8+13,(0.1*(F$9)/2),0)))))</f>
        <v>0</v>
      </c>
      <c r="V79" s="290">
        <f>IF(V$74&lt;F$8+10,F$5,IF(V$74=F$8+10, (0.4*(F$9/2)),IF(V$74=F$8+11,(0.3*(F$9/2)),IF(V$74=F$8+12,(0.2*(F$9/2)),IF(V$74=F$8+13,(0.1*(F$9)/2),0)))))</f>
        <v>0</v>
      </c>
      <c r="W79" s="290">
        <f>IF(W$74&lt;F$8+10,F$5,IF(W$74=F$8+10, (0.4*(F$9/2)),IF(W$74=F$8+11,(0.3*(F$9/2)),IF(W$74=F$8+12,(0.2*(F$9/2)),IF(W$74=F$8+13,(0.1*(F$9)/2),0)))))</f>
        <v>0</v>
      </c>
      <c r="X79" s="290">
        <f>IF(X$74&lt;F$8+10,F$5,IF(X$74=F$8+10, (0.4*(F$9/2)),IF(X$74=F$8+11,(0.3*(F$9/2)),IF(X$74=F$8+12,(0.2*(F$9/2)),IF(X$74=F$8+13,(0.1*(F$9)/2),0)))))</f>
        <v>0</v>
      </c>
      <c r="Y79" s="290">
        <f>IF(Y$74&lt;F$8+10,F$5,IF(Y$74=F$8+10, (0.4*(F$9/2)),IF(Y$74=F$8+11,(0.3*(F$9/2)),IF(Y$74=F$8+12,(0.2*(F$9/2)),IF(Y$74=F$8+13,(0.1*(F$9)/2),0)))))</f>
        <v>0</v>
      </c>
      <c r="Z79" s="290">
        <f>IF(Z$74&lt;F$8+10,F$5,IF(Z$74=F$8+10, (0.4*(F$9/2)),IF(Z$74=F$8+11,(0.3*(F$9/2)),IF(Z$74=F$8+12,(0.2*(F$9/2)),IF(Z$74=F$8+13,(0.1*(F$9)/2),0)))))</f>
        <v>0</v>
      </c>
      <c r="AA79" s="290">
        <f>IF(AA$74&lt;F$8+10,F$5,IF(AA$74=F$8+10, (0.4*(F$9/2)),IF(AA$74=F$8+11,(0.3*(F$9/2)),IF(AA$74=F$8+12,(0.2*(F$9/2)),IF(AA$74=F$8+13,(0.1*(F$9)/2),0)))))</f>
        <v>0</v>
      </c>
      <c r="AB79" s="290">
        <f>IF(AB$74&lt;F$8+10,F$5,IF(AB$74=F$8+10, (0.4*(F$9/2)),IF(AB$74=F$8+11,(0.3*(F$9/2)),IF(AB$74=F$8+12,(0.2*(F$9/2)),IF(AB$74=F$8+13,(0.1*(F$9)/2),0)))))</f>
        <v>0</v>
      </c>
      <c r="AC79" s="290">
        <f>IF(AC$74&lt;F$8+10,F$5,IF(AC$74=F$8+10, (0.4*(F$9/2)),IF(AC$74=F$8+11,(0.3*(F$9/2)),IF(AC$74=F$8+12,(0.2*(F$9/2)),IF(AC$74=F$8+13,(0.1*(F$9)/2),0)))))</f>
        <v>0</v>
      </c>
      <c r="AD79" s="290">
        <f>IF(AD$74&lt;F$8+10,F$5,IF(AD$74=F$8+10, (0.4*(F$9/2)),IF(AD$74=F$8+11,(0.3*(F$9/2)),IF(AD$74=F$8+12,(0.2*(F$9/2)),IF(AD$74=F$8+13,(0.1*(F$9)/2),0)))))</f>
        <v>0</v>
      </c>
      <c r="AE79" s="290">
        <f>IF(AE$74&lt;F$8+10,F$5,IF(AE$74=F$8+10, (0.4*(F$9/2)),IF(AE$74=F$8+11,(0.3*(F$9/2)),IF(AE$74=F$8+12,(0.2*(F$9/2)),IF(AE$74=F$8+13,(0.1*(F$9)/2),0)))))</f>
        <v>0</v>
      </c>
      <c r="AF79" s="290">
        <f>IF(AF$74&lt;F$8+10,F$5,IF(AF$74=F$8+10, (0.4*(F$9/2)),IF(AF$74=F$8+11,(0.3*(F$9/2)),IF(AF$74=F$8+12,(0.2*(F$9/2)),IF(AF$74=F$8+13,(0.1*(F$9)/2),0)))))</f>
        <v>0</v>
      </c>
      <c r="AG79" s="290">
        <f>IF(AG$74&lt;F$8+10,F$5,IF(AG$74=F$8+10, (0.4*(F$9/2)),IF(AG$74=F$8+11,(0.3*(F$9/2)),IF(AG$74=F$8+12,(0.2*(F$9/2)),IF(AG$74=F$8+13,(0.1*(F$9)/2),0)))))</f>
        <v>0</v>
      </c>
      <c r="AH79" s="290">
        <f>IF(AH$74&lt;F$8+10,F$5,IF(AH$74=F$8+10, (0.4*(F$9/2)),IF(AH$74=F$8+11,(0.3*(F$9/2)),IF(AH$74=F$8+12,(0.2*(F$9/2)),IF(AH$74=F$8+13,(0.1*(F$9)/2),0)))))</f>
        <v>0</v>
      </c>
      <c r="AI79" s="290">
        <f>IF(AI$74&lt;F$8+10,F$5,IF(AI$74=F$8+10, (0.4*(F$9/2)),IF(AI$74=F$8+11,(0.3*(F$9/2)),IF(AI$74=F$8+12,(0.2*(F$9/2)),IF(AI$74=F$8+13,(0.1*(F$9)/2),0)))))</f>
        <v>0</v>
      </c>
      <c r="AJ79" s="290">
        <f>IF(AJ$74&lt;F$8+10,F$5,IF(AJ$74=F$8+10, (0.4*(F$9/2)),IF(AJ$74=F$8+11,(0.3*(F$9/2)),IF(AJ$74=F$8+12,(0.2*(F$9/2)),IF(AJ$74=F$8+13,(0.1*(F$9)/2),0)))))</f>
        <v>0</v>
      </c>
      <c r="AK79" s="290">
        <f>IF(AK$74&lt;F$8+10,F$5,IF(AK$74=F$8+10, (0.4*(F$9/2)),IF(AK$74=F$8+11,(0.3*(F$9/2)),IF(AK$74=F$8+12,(0.2*(F$9/2)),IF(AK$74=F$8+13,(0.1*(F$9)/2),0)))))</f>
        <v>0</v>
      </c>
      <c r="AL79" s="290">
        <f>IF(AL$74&lt;F$8+10,F$5,IF(AL$74=F$8+10, (0.4*(F$9/2)),IF(AL$74=F$8+11,(0.3*(F$9/2)),IF(AL$74=F$8+12,(0.2*(F$9/2)),IF(AL$74=F$8+13,(0.1*(F$9)/2),0)))))</f>
        <v>0</v>
      </c>
      <c r="AM79" s="290">
        <f>IF(AM$74&lt;F$8+10,F$5,IF(AM$74=F$8+10, (0.4*(F$9/2)),IF(AM$74=F$8+11,(0.3*(F$9/2)),IF(AM$74=F$8+12,(0.2*(F$9/2)),IF(AM$74=F$8+13,(0.1*(F$9)/2),0)))))</f>
        <v>0</v>
      </c>
      <c r="AN79" s="290">
        <f>IF(AN$74&lt;F$8+10,F$5,IF(AN$74=F$8+10, (0.4*(F$9/2)),IF(AN$74=F$8+11,(0.3*(F$9/2)),IF(AN$74=F$8+12,(0.2*(F$9/2)),IF(AN$74=F$8+13,(0.1*(F$9)/2),0)))))</f>
        <v>0</v>
      </c>
      <c r="AO79" s="290">
        <f>IF(AO$74&lt;F$8+10,F$5,IF(AO$74=F$8+10, (0.4*(F$9/2)),IF(AO$74=F$8+11,(0.3*(F$9/2)),IF(AO$74=F$8+12,(0.2*(F$9/2)),IF(AO$74=F$8+13,(0.1*(F$9)/2),0)))))</f>
        <v>0</v>
      </c>
      <c r="AP79" s="290">
        <f>IF(AP$74&lt;F$8+10,F$5,IF(AP$74=F$8+10, (0.4*(F$9/2)),IF(AP$74=F$8+11,(0.3*(F$9/2)),IF(AP$74=F$8+12,(0.2*(F$9/2)),IF(AP$74=F$8+13,(0.1*(F$9)/2),0)))))</f>
        <v>0</v>
      </c>
      <c r="AQ79" s="290">
        <f>IF(AQ$74&lt;F$8+10,F$5,IF(AQ$74=F$8+10, (0.4*(F$9/2)),IF(AQ$74=F$8+11,(0.3*(F$9/2)),IF(AQ$74=F$8+12,(0.2*(F$9/2)),IF(AQ$74=F$8+13,(0.1*(F$9)/2),0)))))</f>
        <v>0</v>
      </c>
      <c r="AR79" s="290">
        <f>IF(AR$74&lt;F$8+10,F$5,IF(AR$74=F$8+10, (0.4*(F$9/2)),IF(AR$74=F$8+11,(0.3*(F$9/2)),IF(AR$74=F$8+12,(0.2*(F$9/2)),IF(AR$74=F$8+13,(0.1*(F$9)/2),0)))))</f>
        <v>0</v>
      </c>
      <c r="AS79" s="290">
        <f>IF(AS$74&lt;F$8+10,F$5,IF(AS$74=F$8+10, (0.4*(F$9/2)),IF(AS$74=F$8+11,(0.3*(F$9/2)),IF(AS$74=F$8+12,(0.2*(F$9/2)),IF(AS$74=F$8+13,(0.1*(F$9)/2),0)))))</f>
        <v>0</v>
      </c>
      <c r="AT79" s="290">
        <f>IF(AT$74&lt;F$8+10,F$5,IF(AT$74=F$8+10, (0.4*(F$9/2)),IF(AT$74=F$8+11,(0.3*(F$9/2)),IF(AT$74=F$8+12,(0.2*(F$9/2)),IF(AT$74=F$8+13,(0.1*(F$9)/2),0)))))</f>
        <v>0</v>
      </c>
      <c r="AU79" s="290">
        <f>IF(AU$74&lt;F$8+10,F$5,IF(AU$74=F$8+10, (0.4*(F$9/2)),IF(AU$74=F$8+11,(0.3*(F$9/2)),IF(AU$74=F$8+12,(0.2*(F$9/2)),IF(AU$74=F$8+13,(0.1*(F$9)/2),0)))))</f>
        <v>0</v>
      </c>
      <c r="AV79" s="290">
        <f>IF(AV$74&lt;F$8+10,F$5,IF(AV$74=F$8+10, (0.4*(F$9/2)),IF(AV$74=F$8+11,(0.3*(F$9/2)),IF(AV$74=F$8+12,(0.2*(F$9/2)),IF(AV$74=F$8+13,(0.1*(F$9)/2),0)))))</f>
        <v>0</v>
      </c>
      <c r="AW79" s="290">
        <f>IF(AW$74&lt;F$8+10,F$5,IF(AW$74=F$8+10, (0.4*(F$9/2)),IF(AW$74=F$8+11,(0.3*(F$9/2)),IF(AW$74=F$8+12,(0.2*(F$9/2)),IF(AW$74=F$8+13,(0.1*(F$9)/2),0)))))</f>
        <v>0</v>
      </c>
      <c r="AX79" s="290">
        <f>IF(AX$74&lt;F$8+10,F$5,IF(AX$74=F$8+10, (0.4*(F$9/2)),IF(AX$74=F$8+11,(0.3*(F$9/2)),IF(AX$74=F$8+12,(0.2*(F$9/2)),IF(AX$74=F$8+13,(0.1*(F$9)/2),0)))))</f>
        <v>0</v>
      </c>
      <c r="AY79" s="290">
        <f>IF(AY$74&lt;F$8+10,F$5,IF(AY$74=F$8+10, (0.4*(F$9/2)),IF(AY$74=F$8+11,(0.3*(F$9/2)),IF(AY$74=F$8+12,(0.2*(F$9/2)),IF(AY$74=F$8+13,(0.1*(F$9)/2),0)))))</f>
        <v>0</v>
      </c>
      <c r="AZ79" s="290">
        <f>IF(AZ$74&lt;F$8+10,F$5,IF(AZ$74=F$8+10, (0.4*(F$9/2)),IF(AZ$74=F$8+11,(0.3*(F$9/2)),IF(AZ$74=F$8+12,(0.2*(F$9/2)),IF(AZ$74=F$8+13,(0.1*(F$9)/2),0)))))</f>
        <v>0</v>
      </c>
      <c r="BA79" s="290">
        <f>IF(BA$74&lt;F$8+10,F$5,IF(BA$74=F$8+10, (0.4*(F$9/2)),IF(BA$74=F$8+11,(0.3*(F$9/2)),IF(BA$74=F$8+12,(0.2*(F$9/2)),IF(BA$74=F$8+13,(0.1*(F$9)/2),0)))))</f>
        <v>0</v>
      </c>
      <c r="BB79" s="290">
        <f>IF(BB$74&lt;F$8+10,F$5,IF(BB$74=F$8+10, (0.4*(F$9/2)),IF(BB$74=F$8+11,(0.3*(F$9/2)),IF(BB$74=F$8+12,(0.2*(F$9/2)),IF(BB$74=F$8+13,(0.1*(F$9)/2),0)))))</f>
        <v>0</v>
      </c>
      <c r="BC79" s="290">
        <f>IF(BC$74&lt;F$8+10,F$5,IF(BC$74=F$8+10, (0.4*(F$9/2)),IF(BC$74=F$8+11,(0.3*(F$9/2)),IF(BC$74=F$8+12,(0.2*(F$9/2)),IF(BC$74=F$8+13,(0.1*(F$9)/2),0)))))</f>
        <v>0</v>
      </c>
      <c r="BD79" s="290">
        <f>IF(BD$74&lt;F$8+10,F$5,IF(BD$74=F$8+10, (0.4*(F$9/2)),IF(BD$74=F$8+11,(0.3*(F$9/2)),IF(BD$74=F$8+12,(0.2*(F$9/2)),IF(BD$74=F$8+13,(0.1*(F$9)/2),0)))))</f>
        <v>0</v>
      </c>
      <c r="BE79" s="290">
        <f>IF(BE$74&lt;F$8+10,F$5,IF(BE$74=F$8+10, (0.4*(F$9/2)),IF(BE$74=F$8+11,(0.3*(F$9/2)),IF(BE$74=F$8+12,(0.2*(F$9/2)),IF(BE$74=F$8+13,(0.1*(F$9)/2),0)))))</f>
        <v>0</v>
      </c>
      <c r="BF79" s="290">
        <f>IF(BF$74&lt;F$8+10,F$5,IF(BF$74=F$8+10, (0.4*(F$9/2)),IF(BF$74=F$8+11,(0.3*(F$9/2)),IF(BF$74=F$8+12,(0.2*(F$9/2)),IF(BF$74=F$8+13,(0.1*(F$9)/2),0)))))</f>
        <v>0</v>
      </c>
      <c r="BG79" s="290">
        <f>IF(BG$74&lt;F$8+10,F$5,IF(BG$74=F$8+10, (0.4*(F$9/2)),IF(BG$74=F$8+11,(0.3*(F$9/2)),IF(BG$74=F$8+12,(0.2*(F$9/2)),IF(BG$74=F$8+13,(0.1*(F$9)/2),0)))))</f>
        <v>0</v>
      </c>
      <c r="BH79" s="290">
        <f>IF(BH$74&lt;F$8+10,F$5,IF(BH$74=F$8+10, (0.4*(F$9/2)),IF(BH$74=F$8+11,(0.3*(F$9/2)),IF(BH$74=F$8+12,(0.2*(F$9/2)),IF(BH$74=F$8+13,(0.1*(F$9)/2),0)))))</f>
        <v>0</v>
      </c>
      <c r="BI79" s="290">
        <f>IF(BI$74&lt;F$8+10,F$5,IF(BI$74=F$8+10, (0.4*(F$9/2)),IF(BI$74=F$8+11,(0.3*(F$9/2)),IF(BI$74=F$8+12,(0.2*(F$9/2)),IF(BI$74=F$8+13,(0.1*(F$9)/2),0)))))</f>
        <v>0</v>
      </c>
      <c r="BJ79" s="290">
        <f>IF(BJ$74&lt;F$8+10,F$5,IF(BJ$74=F$8+10, (0.4*(F$9/2)),IF(BJ$74=F$8+11,(0.3*(F$9/2)),IF(BJ$74=F$8+12,(0.2*(F$9/2)),IF(BJ$74=F$8+13,(0.1*(F$9)/2),0)))))</f>
        <v>0</v>
      </c>
    </row>
    <row r="80" spans="1:62">
      <c r="A80" s="293">
        <f t="shared" si="34"/>
        <v>600</v>
      </c>
      <c r="B80" s="267">
        <v>6</v>
      </c>
      <c r="C80" s="290">
        <v>0</v>
      </c>
      <c r="D80" s="290">
        <v>0</v>
      </c>
      <c r="E80" s="290">
        <v>0</v>
      </c>
      <c r="F80" s="290">
        <v>0</v>
      </c>
      <c r="G80" s="290">
        <v>0</v>
      </c>
      <c r="H80" s="290">
        <f>0.1*(G$9/2)</f>
        <v>30</v>
      </c>
      <c r="I80" s="290">
        <f>0.2*(G$9/2)</f>
        <v>60</v>
      </c>
      <c r="J80" s="290">
        <f>0.3*(G$9/2)</f>
        <v>90</v>
      </c>
      <c r="K80" s="290">
        <f>0.4*(G$9/2)</f>
        <v>120</v>
      </c>
      <c r="L80" s="290">
        <f>IF(L$74&lt;G$8+10,G$5,IF(L$74=G$8+10, (0.4*(G$9/2)),IF(L$74=G$8+11,(0.3*(G$9/2)),IF(L$74=G$8+12,(0.2*(G$9/2)),IF(L$74=G$8+13,(0.1*(G$9)/2),0)))))</f>
        <v>120</v>
      </c>
      <c r="M80" s="290">
        <f>IF(M$74&lt;G$8+10,G$5,IF(M$74=G$8+10, (0.4*(G$9/2)),IF(M$74=G$8+11,(0.3*(G$9/2)),IF(M$74=G$8+12,(0.2*(G$9/2)),IF(M$74=G$8+13,(0.1*(G$9)/2),0)))))</f>
        <v>90</v>
      </c>
      <c r="N80" s="290">
        <f>IF(N$74&lt;G$8+10,G$5,IF(N$74=G$8+10, (0.4*(G$9/2)),IF(N$74=G$8+11,(0.3*(G$9/2)),IF(N$74=G$8+12,(0.2*(G$9/2)),IF(N$74=G$8+13,(0.1*(G$9)/2),0)))))</f>
        <v>60</v>
      </c>
      <c r="O80" s="290">
        <f>IF(O$74&lt;G$8+10,G$5,IF(O$74=G$8+10, (0.4*(G$9/2)),IF(O$74=G$8+11,(0.3*(G$9/2)),IF(O$74=G$8+12,(0.2*(G$9/2)),IF(O$74=G$8+13,(0.1*(G$9)/2),0)))))</f>
        <v>30</v>
      </c>
      <c r="P80" s="290">
        <f>IF(P$74&lt;G$8+10,G$5,IF(P$74=G$8+10, (0.4*(G$9/2)),IF(P$74=G$8+11,(0.3*(G$9/2)),IF(P$74=G$8+12,(0.2*(G$9/2)),IF(P$74=G$8+13,(0.1*(G$9)/2),0)))))</f>
        <v>0</v>
      </c>
      <c r="Q80" s="290">
        <f>IF(Q$74&lt;G$8+10,G$5,IF(Q$74=G$8+10, (0.4*(G$9/2)),IF(Q$74=G$8+11,(0.3*(G$9/2)),IF(Q$74=G$8+12,(0.2*(G$9/2)),IF(Q$74=G$8+13,(0.1*(G$9)/2),0)))))</f>
        <v>0</v>
      </c>
      <c r="R80" s="290">
        <f>IF(R$74&lt;G$8+10,G$5,IF(R$74=G$8+10, (0.4*(G$9/2)),IF(R$74=G$8+11,(0.3*(G$9/2)),IF(R$74=G$8+12,(0.2*(G$9/2)),IF(R$74=G$8+13,(0.1*(G$9)/2),0)))))</f>
        <v>0</v>
      </c>
      <c r="S80" s="290">
        <f>IF(S$74&lt;G$8+10,G$5,IF(S$74=G$8+10, (0.4*(G$9/2)),IF(S$74=G$8+11,(0.3*(G$9/2)),IF(S$74=G$8+12,(0.2*(G$9/2)),IF(S$74=G$8+13,(0.1*(G$9)/2),0)))))</f>
        <v>0</v>
      </c>
      <c r="T80" s="290">
        <f>IF(T$74&lt;G$8+10,G$5,IF(T$74=G$8+10, (0.4*(G$9/2)),IF(T$74=G$8+11,(0.3*(G$9/2)),IF(T$74=G$8+12,(0.2*(G$9/2)),IF(T$74=G$8+13,(0.1*(G$9)/2),0)))))</f>
        <v>0</v>
      </c>
      <c r="U80" s="290">
        <f>IF(U$74&lt;G$8+10,G$5,IF(U$74=G$8+10, (0.4*(G$9/2)),IF(U$74=G$8+11,(0.3*(G$9/2)),IF(U$74=G$8+12,(0.2*(G$9/2)),IF(U$74=G$8+13,(0.1*(G$9)/2),0)))))</f>
        <v>0</v>
      </c>
      <c r="V80" s="290">
        <f>IF(V$74&lt;G$8+10,G$5,IF(V$74=G$8+10, (0.4*(G$9/2)),IF(V$74=G$8+11,(0.3*(G$9/2)),IF(V$74=G$8+12,(0.2*(G$9/2)),IF(V$74=G$8+13,(0.1*(G$9)/2),0)))))</f>
        <v>0</v>
      </c>
      <c r="W80" s="290">
        <f>IF(W$74&lt;G$8+10,G$5,IF(W$74=G$8+10, (0.4*(G$9/2)),IF(W$74=G$8+11,(0.3*(G$9/2)),IF(W$74=G$8+12,(0.2*(G$9/2)),IF(W$74=G$8+13,(0.1*(G$9)/2),0)))))</f>
        <v>0</v>
      </c>
      <c r="X80" s="290">
        <f>IF(X$74&lt;G$8+10,G$5,IF(X$74=G$8+10, (0.4*(G$9/2)),IF(X$74=G$8+11,(0.3*(G$9/2)),IF(X$74=G$8+12,(0.2*(G$9/2)),IF(X$74=G$8+13,(0.1*(G$9)/2),0)))))</f>
        <v>0</v>
      </c>
      <c r="Y80" s="290">
        <f>IF(Y$74&lt;G$8+10,G$5,IF(Y$74=G$8+10, (0.4*(G$9/2)),IF(Y$74=G$8+11,(0.3*(G$9/2)),IF(Y$74=G$8+12,(0.2*(G$9/2)),IF(Y$74=G$8+13,(0.1*(G$9)/2),0)))))</f>
        <v>0</v>
      </c>
      <c r="Z80" s="290">
        <f>IF(Z$74&lt;G$8+10,G$5,IF(Z$74=G$8+10, (0.4*(G$9/2)),IF(Z$74=G$8+11,(0.3*(G$9/2)),IF(Z$74=G$8+12,(0.2*(G$9/2)),IF(Z$74=G$8+13,(0.1*(G$9)/2),0)))))</f>
        <v>0</v>
      </c>
      <c r="AA80" s="290">
        <f>IF(AA$74&lt;G$8+10,G$5,IF(AA$74=G$8+10, (0.4*(G$9/2)),IF(AA$74=G$8+11,(0.3*(G$9/2)),IF(AA$74=G$8+12,(0.2*(G$9/2)),IF(AA$74=G$8+13,(0.1*(G$9)/2),0)))))</f>
        <v>0</v>
      </c>
      <c r="AB80" s="290">
        <f>IF(AB$74&lt;G$8+10,G$5,IF(AB$74=G$8+10, (0.4*(G$9/2)),IF(AB$74=G$8+11,(0.3*(G$9/2)),IF(AB$74=G$8+12,(0.2*(G$9/2)),IF(AB$74=G$8+13,(0.1*(G$9)/2),0)))))</f>
        <v>0</v>
      </c>
      <c r="AC80" s="290">
        <f>IF(AC$74&lt;G$8+10,G$5,IF(AC$74=G$8+10, (0.4*(G$9/2)),IF(AC$74=G$8+11,(0.3*(G$9/2)),IF(AC$74=G$8+12,(0.2*(G$9/2)),IF(AC$74=G$8+13,(0.1*(G$9)/2),0)))))</f>
        <v>0</v>
      </c>
      <c r="AD80" s="290">
        <f>IF(AD$74&lt;G$8+10,G$5,IF(AD$74=G$8+10, (0.4*(G$9/2)),IF(AD$74=G$8+11,(0.3*(G$9/2)),IF(AD$74=G$8+12,(0.2*(G$9/2)),IF(AD$74=G$8+13,(0.1*(G$9)/2),0)))))</f>
        <v>0</v>
      </c>
      <c r="AE80" s="290">
        <f>IF(AE$74&lt;G$8+10,G$5,IF(AE$74=G$8+10, (0.4*(G$9/2)),IF(AE$74=G$8+11,(0.3*(G$9/2)),IF(AE$74=G$8+12,(0.2*(G$9/2)),IF(AE$74=G$8+13,(0.1*(G$9)/2),0)))))</f>
        <v>0</v>
      </c>
      <c r="AF80" s="290">
        <f>IF(AF$74&lt;G$8+10,G$5,IF(AF$74=G$8+10, (0.4*(G$9/2)),IF(AF$74=G$8+11,(0.3*(G$9/2)),IF(AF$74=G$8+12,(0.2*(G$9/2)),IF(AF$74=G$8+13,(0.1*(G$9)/2),0)))))</f>
        <v>0</v>
      </c>
      <c r="AG80" s="290">
        <f>IF(AG$74&lt;G$8+10,G$5,IF(AG$74=G$8+10, (0.4*(G$9/2)),IF(AG$74=G$8+11,(0.3*(G$9/2)),IF(AG$74=G$8+12,(0.2*(G$9/2)),IF(AG$74=G$8+13,(0.1*(G$9)/2),0)))))</f>
        <v>0</v>
      </c>
      <c r="AH80" s="290">
        <f>IF(AH$74&lt;G$8+10,G$5,IF(AH$74=G$8+10, (0.4*(G$9/2)),IF(AH$74=G$8+11,(0.3*(G$9/2)),IF(AH$74=G$8+12,(0.2*(G$9/2)),IF(AH$74=G$8+13,(0.1*(G$9)/2),0)))))</f>
        <v>0</v>
      </c>
      <c r="AI80" s="290">
        <f>IF(AI$74&lt;G$8+10,G$5,IF(AI$74=G$8+10, (0.4*(G$9/2)),IF(AI$74=G$8+11,(0.3*(G$9/2)),IF(AI$74=G$8+12,(0.2*(G$9/2)),IF(AI$74=G$8+13,(0.1*(G$9)/2),0)))))</f>
        <v>0</v>
      </c>
      <c r="AJ80" s="290">
        <f>IF(AJ$74&lt;G$8+10,G$5,IF(AJ$74=G$8+10, (0.4*(G$9/2)),IF(AJ$74=G$8+11,(0.3*(G$9/2)),IF(AJ$74=G$8+12,(0.2*(G$9/2)),IF(AJ$74=G$8+13,(0.1*(G$9)/2),0)))))</f>
        <v>0</v>
      </c>
      <c r="AK80" s="290">
        <f>IF(AK$74&lt;G$8+10,G$5,IF(AK$74=G$8+10, (0.4*(G$9/2)),IF(AK$74=G$8+11,(0.3*(G$9/2)),IF(AK$74=G$8+12,(0.2*(G$9/2)),IF(AK$74=G$8+13,(0.1*(G$9)/2),0)))))</f>
        <v>0</v>
      </c>
      <c r="AL80" s="290">
        <f>IF(AL$74&lt;G$8+10,G$5,IF(AL$74=G$8+10, (0.4*(G$9/2)),IF(AL$74=G$8+11,(0.3*(G$9/2)),IF(AL$74=G$8+12,(0.2*(G$9/2)),IF(AL$74=G$8+13,(0.1*(G$9)/2),0)))))</f>
        <v>0</v>
      </c>
      <c r="AM80" s="290">
        <f>IF(AM$74&lt;G$8+10,G$5,IF(AM$74=G$8+10, (0.4*(G$9/2)),IF(AM$74=G$8+11,(0.3*(G$9/2)),IF(AM$74=G$8+12,(0.2*(G$9/2)),IF(AM$74=G$8+13,(0.1*(G$9)/2),0)))))</f>
        <v>0</v>
      </c>
      <c r="AN80" s="290">
        <f>IF(AN$74&lt;G$8+10,G$5,IF(AN$74=G$8+10, (0.4*(G$9/2)),IF(AN$74=G$8+11,(0.3*(G$9/2)),IF(AN$74=G$8+12,(0.2*(G$9/2)),IF(AN$74=G$8+13,(0.1*(G$9)/2),0)))))</f>
        <v>0</v>
      </c>
      <c r="AO80" s="290">
        <f>IF(AO$74&lt;G$8+10,G$5,IF(AO$74=G$8+10, (0.4*(G$9/2)),IF(AO$74=G$8+11,(0.3*(G$9/2)),IF(AO$74=G$8+12,(0.2*(G$9/2)),IF(AO$74=G$8+13,(0.1*(G$9)/2),0)))))</f>
        <v>0</v>
      </c>
      <c r="AP80" s="290">
        <f>IF(AP$74&lt;G$8+10,G$5,IF(AP$74=G$8+10, (0.4*(G$9/2)),IF(AP$74=G$8+11,(0.3*(G$9/2)),IF(AP$74=G$8+12,(0.2*(G$9/2)),IF(AP$74=G$8+13,(0.1*(G$9)/2),0)))))</f>
        <v>0</v>
      </c>
      <c r="AQ80" s="290">
        <f>IF(AQ$74&lt;G$8+10,G$5,IF(AQ$74=G$8+10, (0.4*(G$9/2)),IF(AQ$74=G$8+11,(0.3*(G$9/2)),IF(AQ$74=G$8+12,(0.2*(G$9/2)),IF(AQ$74=G$8+13,(0.1*(G$9)/2),0)))))</f>
        <v>0</v>
      </c>
      <c r="AR80" s="290">
        <f>IF(AR$74&lt;G$8+10,G$5,IF(AR$74=G$8+10, (0.4*(G$9/2)),IF(AR$74=G$8+11,(0.3*(G$9/2)),IF(AR$74=G$8+12,(0.2*(G$9/2)),IF(AR$74=G$8+13,(0.1*(G$9)/2),0)))))</f>
        <v>0</v>
      </c>
      <c r="AS80" s="290">
        <f>IF(AS$74&lt;G$8+10,G$5,IF(AS$74=G$8+10, (0.4*(G$9/2)),IF(AS$74=G$8+11,(0.3*(G$9/2)),IF(AS$74=G$8+12,(0.2*(G$9/2)),IF(AS$74=G$8+13,(0.1*(G$9)/2),0)))))</f>
        <v>0</v>
      </c>
      <c r="AT80" s="290">
        <f>IF(AT$74&lt;G$8+10,G$5,IF(AT$74=G$8+10, (0.4*(G$9/2)),IF(AT$74=G$8+11,(0.3*(G$9/2)),IF(AT$74=G$8+12,(0.2*(G$9/2)),IF(AT$74=G$8+13,(0.1*(G$9)/2),0)))))</f>
        <v>0</v>
      </c>
      <c r="AU80" s="290">
        <f>IF(AU$74&lt;G$8+10,G$5,IF(AU$74=G$8+10, (0.4*(G$9/2)),IF(AU$74=G$8+11,(0.3*(G$9/2)),IF(AU$74=G$8+12,(0.2*(G$9/2)),IF(AU$74=G$8+13,(0.1*(G$9)/2),0)))))</f>
        <v>0</v>
      </c>
      <c r="AV80" s="290">
        <f>IF(AV$74&lt;G$8+10,G$5,IF(AV$74=G$8+10, (0.4*(G$9/2)),IF(AV$74=G$8+11,(0.3*(G$9/2)),IF(AV$74=G$8+12,(0.2*(G$9/2)),IF(AV$74=G$8+13,(0.1*(G$9)/2),0)))))</f>
        <v>0</v>
      </c>
      <c r="AW80" s="290">
        <f>IF(AW$74&lt;G$8+10,G$5,IF(AW$74=G$8+10, (0.4*(G$9/2)),IF(AW$74=G$8+11,(0.3*(G$9/2)),IF(AW$74=G$8+12,(0.2*(G$9/2)),IF(AW$74=G$8+13,(0.1*(G$9)/2),0)))))</f>
        <v>0</v>
      </c>
      <c r="AX80" s="290">
        <f>IF(AX$74&lt;G$8+10,G$5,IF(AX$74=G$8+10, (0.4*(G$9/2)),IF(AX$74=G$8+11,(0.3*(G$9/2)),IF(AX$74=G$8+12,(0.2*(G$9/2)),IF(AX$74=G$8+13,(0.1*(G$9)/2),0)))))</f>
        <v>0</v>
      </c>
      <c r="AY80" s="290">
        <f>IF(AY$74&lt;G$8+10,G$5,IF(AY$74=G$8+10, (0.4*(G$9/2)),IF(AY$74=G$8+11,(0.3*(G$9/2)),IF(AY$74=G$8+12,(0.2*(G$9/2)),IF(AY$74=G$8+13,(0.1*(G$9)/2),0)))))</f>
        <v>0</v>
      </c>
      <c r="AZ80" s="290">
        <f>IF(AZ$74&lt;G$8+10,G$5,IF(AZ$74=G$8+10, (0.4*(G$9/2)),IF(AZ$74=G$8+11,(0.3*(G$9/2)),IF(AZ$74=G$8+12,(0.2*(G$9/2)),IF(AZ$74=G$8+13,(0.1*(G$9)/2),0)))))</f>
        <v>0</v>
      </c>
      <c r="BA80" s="290">
        <f>IF(BA$74&lt;G$8+10,G$5,IF(BA$74=G$8+10, (0.4*(G$9/2)),IF(BA$74=G$8+11,(0.3*(G$9/2)),IF(BA$74=G$8+12,(0.2*(G$9/2)),IF(BA$74=G$8+13,(0.1*(G$9)/2),0)))))</f>
        <v>0</v>
      </c>
      <c r="BB80" s="290">
        <f>IF(BB$74&lt;G$8+10,G$5,IF(BB$74=G$8+10, (0.4*(G$9/2)),IF(BB$74=G$8+11,(0.3*(G$9/2)),IF(BB$74=G$8+12,(0.2*(G$9/2)),IF(BB$74=G$8+13,(0.1*(G$9)/2),0)))))</f>
        <v>0</v>
      </c>
      <c r="BC80" s="290">
        <f>IF(BC$74&lt;G$8+10,G$5,IF(BC$74=G$8+10, (0.4*(G$9/2)),IF(BC$74=G$8+11,(0.3*(G$9/2)),IF(BC$74=G$8+12,(0.2*(G$9/2)),IF(BC$74=G$8+13,(0.1*(G$9)/2),0)))))</f>
        <v>0</v>
      </c>
      <c r="BD80" s="290">
        <f>IF(BD$74&lt;G$8+10,G$5,IF(BD$74=G$8+10, (0.4*(G$9/2)),IF(BD$74=G$8+11,(0.3*(G$9/2)),IF(BD$74=G$8+12,(0.2*(G$9/2)),IF(BD$74=G$8+13,(0.1*(G$9)/2),0)))))</f>
        <v>0</v>
      </c>
      <c r="BE80" s="290">
        <f>IF(BE$74&lt;G$8+10,G$5,IF(BE$74=G$8+10, (0.4*(G$9/2)),IF(BE$74=G$8+11,(0.3*(G$9/2)),IF(BE$74=G$8+12,(0.2*(G$9/2)),IF(BE$74=G$8+13,(0.1*(G$9)/2),0)))))</f>
        <v>0</v>
      </c>
      <c r="BF80" s="290">
        <f>IF(BF$74&lt;G$8+10,G$5,IF(BF$74=G$8+10, (0.4*(G$9/2)),IF(BF$74=G$8+11,(0.3*(G$9/2)),IF(BF$74=G$8+12,(0.2*(G$9/2)),IF(BF$74=G$8+13,(0.1*(G$9)/2),0)))))</f>
        <v>0</v>
      </c>
      <c r="BG80" s="290">
        <f>IF(BG$74&lt;G$8+10,G$5,IF(BG$74=G$8+10, (0.4*(G$9/2)),IF(BG$74=G$8+11,(0.3*(G$9/2)),IF(BG$74=G$8+12,(0.2*(G$9/2)),IF(BG$74=G$8+13,(0.1*(G$9)/2),0)))))</f>
        <v>0</v>
      </c>
      <c r="BH80" s="290">
        <f>IF(BH$74&lt;G$8+10,G$5,IF(BH$74=G$8+10, (0.4*(G$9/2)),IF(BH$74=G$8+11,(0.3*(G$9/2)),IF(BH$74=G$8+12,(0.2*(G$9/2)),IF(BH$74=G$8+13,(0.1*(G$9)/2),0)))))</f>
        <v>0</v>
      </c>
      <c r="BI80" s="290">
        <f>IF(BI$74&lt;G$8+10,G$5,IF(BI$74=G$8+10, (0.4*(G$9/2)),IF(BI$74=G$8+11,(0.3*(G$9/2)),IF(BI$74=G$8+12,(0.2*(G$9/2)),IF(BI$74=G$8+13,(0.1*(G$9)/2),0)))))</f>
        <v>0</v>
      </c>
      <c r="BJ80" s="290">
        <f>IF(BJ$74&lt;G$8+10,G$5,IF(BJ$74=G$8+10, (0.4*(G$9/2)),IF(BJ$74=G$8+11,(0.3*(G$9/2)),IF(BJ$74=G$8+12,(0.2*(G$9/2)),IF(BJ$74=G$8+13,(0.1*(G$9)/2),0)))))</f>
        <v>0</v>
      </c>
    </row>
    <row r="81" spans="1:62">
      <c r="A81" s="293">
        <f t="shared" si="34"/>
        <v>600</v>
      </c>
      <c r="B81" s="267">
        <v>7</v>
      </c>
      <c r="C81" s="290">
        <v>0</v>
      </c>
      <c r="D81" s="290">
        <v>0</v>
      </c>
      <c r="E81" s="290">
        <v>0</v>
      </c>
      <c r="F81" s="290">
        <v>0</v>
      </c>
      <c r="G81" s="290">
        <v>0</v>
      </c>
      <c r="H81" s="290">
        <f>0.1*(H$9/2)</f>
        <v>30</v>
      </c>
      <c r="I81" s="290">
        <f>0.2*(H$9/2)</f>
        <v>60</v>
      </c>
      <c r="J81" s="290">
        <f>0.3*(H$9/2)</f>
        <v>90</v>
      </c>
      <c r="K81" s="290">
        <f>0.4*(H$9/2)</f>
        <v>120</v>
      </c>
      <c r="L81" s="290">
        <f>IF(L$74&lt;H$8+10,H$5,IF(L$74=H$8+10, (0.4*(H$9/2)),IF(L$74=H$8+11,(0.3*(H$9/2)),IF(L$74=H$8+12,(0.2*(H$9/2)),IF(L$74=H$8+13,(0.1*(H$9)/2),0)))))</f>
        <v>120</v>
      </c>
      <c r="M81" s="290">
        <f>IF(M$74&lt;H$8+10,H$5,IF(M$74=H$8+10, (0.4*(H$9/2)),IF(M$74=H$8+11,(0.3*(H$9/2)),IF(M$74=H$8+12,(0.2*(H$9/2)),IF(M$74=H$8+13,(0.1*(H$9)/2),0)))))</f>
        <v>90</v>
      </c>
      <c r="N81" s="290">
        <f>IF(N$74&lt;H$8+10,H$5,IF(N$74=H$8+10, (0.4*(H$9/2)),IF(N$74=H$8+11,(0.3*(H$9/2)),IF(N$74=H$8+12,(0.2*(H$9/2)),IF(N$74=H$8+13,(0.1*(H$9)/2),0)))))</f>
        <v>60</v>
      </c>
      <c r="O81" s="290">
        <f>IF(O$74&lt;H$8+10,H$5,IF(O$74=H$8+10, (0.4*(H$9/2)),IF(O$74=H$8+11,(0.3*(H$9/2)),IF(O$74=H$8+12,(0.2*(H$9/2)),IF(O$74=H$8+13,(0.1*(H$9)/2),0)))))</f>
        <v>30</v>
      </c>
      <c r="P81" s="290">
        <f>IF(P$74&lt;H$8+10,H$5,IF(P$74=H$8+10, (0.4*(H$9/2)),IF(P$74=H$8+11,(0.3*(H$9/2)),IF(P$74=H$8+12,(0.2*(H$9/2)),IF(P$74=H$8+13,(0.1*(H$9)/2),0)))))</f>
        <v>0</v>
      </c>
      <c r="Q81" s="290">
        <f>IF(Q$74&lt;H$8+10,H$5,IF(Q$74=H$8+10, (0.4*(H$9/2)),IF(Q$74=H$8+11,(0.3*(H$9/2)),IF(Q$74=H$8+12,(0.2*(H$9/2)),IF(Q$74=H$8+13,(0.1*(H$9)/2),0)))))</f>
        <v>0</v>
      </c>
      <c r="R81" s="290">
        <f>IF(R$74&lt;H$8+10,H$5,IF(R$74=H$8+10, (0.4*(H$9/2)),IF(R$74=H$8+11,(0.3*(H$9/2)),IF(R$74=H$8+12,(0.2*(H$9/2)),IF(R$74=H$8+13,(0.1*(H$9)/2),0)))))</f>
        <v>0</v>
      </c>
      <c r="S81" s="290">
        <f>IF(S$74&lt;H$8+10,H$5,IF(S$74=H$8+10, (0.4*(H$9/2)),IF(S$74=H$8+11,(0.3*(H$9/2)),IF(S$74=H$8+12,(0.2*(H$9/2)),IF(S$74=H$8+13,(0.1*(H$9)/2),0)))))</f>
        <v>0</v>
      </c>
      <c r="T81" s="290">
        <f>IF(T$74&lt;H$8+10,H$5,IF(T$74=H$8+10, (0.4*(H$9/2)),IF(T$74=H$8+11,(0.3*(H$9/2)),IF(T$74=H$8+12,(0.2*(H$9/2)),IF(T$74=H$8+13,(0.1*(H$9)/2),0)))))</f>
        <v>0</v>
      </c>
      <c r="U81" s="290">
        <f>IF(U$74&lt;H$8+10,H$5,IF(U$74=H$8+10, (0.4*(H$9/2)),IF(U$74=H$8+11,(0.3*(H$9/2)),IF(U$74=H$8+12,(0.2*(H$9/2)),IF(U$74=H$8+13,(0.1*(H$9)/2),0)))))</f>
        <v>0</v>
      </c>
      <c r="V81" s="290">
        <f>IF(V$74&lt;H$8+10,H$5,IF(V$74=H$8+10, (0.4*(H$9/2)),IF(V$74=H$8+11,(0.3*(H$9/2)),IF(V$74=H$8+12,(0.2*(H$9/2)),IF(V$74=H$8+13,(0.1*(H$9)/2),0)))))</f>
        <v>0</v>
      </c>
      <c r="W81" s="290">
        <f>IF(W$74&lt;H$8+10,H$5,IF(W$74=H$8+10, (0.4*(H$9/2)),IF(W$74=H$8+11,(0.3*(H$9/2)),IF(W$74=H$8+12,(0.2*(H$9/2)),IF(W$74=H$8+13,(0.1*(H$9)/2),0)))))</f>
        <v>0</v>
      </c>
      <c r="X81" s="290">
        <f>IF(X$74&lt;H$8+10,H$5,IF(X$74=H$8+10, (0.4*(H$9/2)),IF(X$74=H$8+11,(0.3*(H$9/2)),IF(X$74=H$8+12,(0.2*(H$9/2)),IF(X$74=H$8+13,(0.1*(H$9)/2),0)))))</f>
        <v>0</v>
      </c>
      <c r="Y81" s="290">
        <f>IF(Y$74&lt;H$8+10,H$5,IF(Y$74=H$8+10, (0.4*(H$9/2)),IF(Y$74=H$8+11,(0.3*(H$9/2)),IF(Y$74=H$8+12,(0.2*(H$9/2)),IF(Y$74=H$8+13,(0.1*(H$9)/2),0)))))</f>
        <v>0</v>
      </c>
      <c r="Z81" s="290">
        <f>IF(Z$74&lt;H$8+10,H$5,IF(Z$74=H$8+10, (0.4*(H$9/2)),IF(Z$74=H$8+11,(0.3*(H$9/2)),IF(Z$74=H$8+12,(0.2*(H$9/2)),IF(Z$74=H$8+13,(0.1*(H$9)/2),0)))))</f>
        <v>0</v>
      </c>
      <c r="AA81" s="290">
        <f>IF(AA$74&lt;H$8+10,H$5,IF(AA$74=H$8+10, (0.4*(H$9/2)),IF(AA$74=H$8+11,(0.3*(H$9/2)),IF(AA$74=H$8+12,(0.2*(H$9/2)),IF(AA$74=H$8+13,(0.1*(H$9)/2),0)))))</f>
        <v>0</v>
      </c>
      <c r="AB81" s="290">
        <f>IF(AB$74&lt;H$8+10,H$5,IF(AB$74=H$8+10, (0.4*(H$9/2)),IF(AB$74=H$8+11,(0.3*(H$9/2)),IF(AB$74=H$8+12,(0.2*(H$9/2)),IF(AB$74=H$8+13,(0.1*(H$9)/2),0)))))</f>
        <v>0</v>
      </c>
      <c r="AC81" s="290">
        <f>IF(AC$74&lt;H$8+10,H$5,IF(AC$74=H$8+10, (0.4*(H$9/2)),IF(AC$74=H$8+11,(0.3*(H$9/2)),IF(AC$74=H$8+12,(0.2*(H$9/2)),IF(AC$74=H$8+13,(0.1*(H$9)/2),0)))))</f>
        <v>0</v>
      </c>
      <c r="AD81" s="290">
        <f>IF(AD$74&lt;H$8+10,H$5,IF(AD$74=H$8+10, (0.4*(H$9/2)),IF(AD$74=H$8+11,(0.3*(H$9/2)),IF(AD$74=H$8+12,(0.2*(H$9/2)),IF(AD$74=H$8+13,(0.1*(H$9)/2),0)))))</f>
        <v>0</v>
      </c>
      <c r="AE81" s="290">
        <f>IF(AE$74&lt;H$8+10,H$5,IF(AE$74=H$8+10, (0.4*(H$9/2)),IF(AE$74=H$8+11,(0.3*(H$9/2)),IF(AE$74=H$8+12,(0.2*(H$9/2)),IF(AE$74=H$8+13,(0.1*(H$9)/2),0)))))</f>
        <v>0</v>
      </c>
      <c r="AF81" s="290">
        <f>IF(AF$74&lt;H$8+10,H$5,IF(AF$74=H$8+10, (0.4*(H$9/2)),IF(AF$74=H$8+11,(0.3*(H$9/2)),IF(AF$74=H$8+12,(0.2*(H$9/2)),IF(AF$74=H$8+13,(0.1*(H$9)/2),0)))))</f>
        <v>0</v>
      </c>
      <c r="AG81" s="290">
        <f>IF(AG$74&lt;H$8+10,H$5,IF(AG$74=H$8+10, (0.4*(H$9/2)),IF(AG$74=H$8+11,(0.3*(H$9/2)),IF(AG$74=H$8+12,(0.2*(H$9/2)),IF(AG$74=H$8+13,(0.1*(H$9)/2),0)))))</f>
        <v>0</v>
      </c>
      <c r="AH81" s="290">
        <f>IF(AH$74&lt;H$8+10,H$5,IF(AH$74=H$8+10, (0.4*(H$9/2)),IF(AH$74=H$8+11,(0.3*(H$9/2)),IF(AH$74=H$8+12,(0.2*(H$9/2)),IF(AH$74=H$8+13,(0.1*(H$9)/2),0)))))</f>
        <v>0</v>
      </c>
      <c r="AI81" s="290">
        <f>IF(AI$74&lt;H$8+10,H$5,IF(AI$74=H$8+10, (0.4*(H$9/2)),IF(AI$74=H$8+11,(0.3*(H$9/2)),IF(AI$74=H$8+12,(0.2*(H$9/2)),IF(AI$74=H$8+13,(0.1*(H$9)/2),0)))))</f>
        <v>0</v>
      </c>
      <c r="AJ81" s="290">
        <f>IF(AJ$74&lt;H$8+10,H$5,IF(AJ$74=H$8+10, (0.4*(H$9/2)),IF(AJ$74=H$8+11,(0.3*(H$9/2)),IF(AJ$74=H$8+12,(0.2*(H$9/2)),IF(AJ$74=H$8+13,(0.1*(H$9)/2),0)))))</f>
        <v>0</v>
      </c>
      <c r="AK81" s="290">
        <f>IF(AK$74&lt;H$8+10,H$5,IF(AK$74=H$8+10, (0.4*(H$9/2)),IF(AK$74=H$8+11,(0.3*(H$9/2)),IF(AK$74=H$8+12,(0.2*(H$9/2)),IF(AK$74=H$8+13,(0.1*(H$9)/2),0)))))</f>
        <v>0</v>
      </c>
      <c r="AL81" s="290">
        <f>IF(AL$74&lt;H$8+10,H$5,IF(AL$74=H$8+10, (0.4*(H$9/2)),IF(AL$74=H$8+11,(0.3*(H$9/2)),IF(AL$74=H$8+12,(0.2*(H$9/2)),IF(AL$74=H$8+13,(0.1*(H$9)/2),0)))))</f>
        <v>0</v>
      </c>
      <c r="AM81" s="290">
        <f>IF(AM$74&lt;H$8+10,H$5,IF(AM$74=H$8+10, (0.4*(H$9/2)),IF(AM$74=H$8+11,(0.3*(H$9/2)),IF(AM$74=H$8+12,(0.2*(H$9/2)),IF(AM$74=H$8+13,(0.1*(H$9)/2),0)))))</f>
        <v>0</v>
      </c>
      <c r="AN81" s="290">
        <f>IF(AN$74&lt;H$8+10,H$5,IF(AN$74=H$8+10, (0.4*(H$9/2)),IF(AN$74=H$8+11,(0.3*(H$9/2)),IF(AN$74=H$8+12,(0.2*(H$9/2)),IF(AN$74=H$8+13,(0.1*(H$9)/2),0)))))</f>
        <v>0</v>
      </c>
      <c r="AO81" s="290">
        <f>IF(AO$74&lt;H$8+10,H$5,IF(AO$74=H$8+10, (0.4*(H$9/2)),IF(AO$74=H$8+11,(0.3*(H$9/2)),IF(AO$74=H$8+12,(0.2*(H$9/2)),IF(AO$74=H$8+13,(0.1*(H$9)/2),0)))))</f>
        <v>0</v>
      </c>
      <c r="AP81" s="290">
        <f>IF(AP$74&lt;H$8+10,H$5,IF(AP$74=H$8+10, (0.4*(H$9/2)),IF(AP$74=H$8+11,(0.3*(H$9/2)),IF(AP$74=H$8+12,(0.2*(H$9/2)),IF(AP$74=H$8+13,(0.1*(H$9)/2),0)))))</f>
        <v>0</v>
      </c>
      <c r="AQ81" s="290">
        <f>IF(AQ$74&lt;H$8+10,H$5,IF(AQ$74=H$8+10, (0.4*(H$9/2)),IF(AQ$74=H$8+11,(0.3*(H$9/2)),IF(AQ$74=H$8+12,(0.2*(H$9/2)),IF(AQ$74=H$8+13,(0.1*(H$9)/2),0)))))</f>
        <v>0</v>
      </c>
      <c r="AR81" s="290">
        <f>IF(AR$74&lt;H$8+10,H$5,IF(AR$74=H$8+10, (0.4*(H$9/2)),IF(AR$74=H$8+11,(0.3*(H$9/2)),IF(AR$74=H$8+12,(0.2*(H$9/2)),IF(AR$74=H$8+13,(0.1*(H$9)/2),0)))))</f>
        <v>0</v>
      </c>
      <c r="AS81" s="290">
        <f>IF(AS$74&lt;H$8+10,H$5,IF(AS$74=H$8+10, (0.4*(H$9/2)),IF(AS$74=H$8+11,(0.3*(H$9/2)),IF(AS$74=H$8+12,(0.2*(H$9/2)),IF(AS$74=H$8+13,(0.1*(H$9)/2),0)))))</f>
        <v>0</v>
      </c>
      <c r="AT81" s="290">
        <f>IF(AT$74&lt;H$8+10,H$5,IF(AT$74=H$8+10, (0.4*(H$9/2)),IF(AT$74=H$8+11,(0.3*(H$9/2)),IF(AT$74=H$8+12,(0.2*(H$9/2)),IF(AT$74=H$8+13,(0.1*(H$9)/2),0)))))</f>
        <v>0</v>
      </c>
      <c r="AU81" s="290">
        <f>IF(AU$74&lt;H$8+10,H$5,IF(AU$74=H$8+10, (0.4*(H$9/2)),IF(AU$74=H$8+11,(0.3*(H$9/2)),IF(AU$74=H$8+12,(0.2*(H$9/2)),IF(AU$74=H$8+13,(0.1*(H$9)/2),0)))))</f>
        <v>0</v>
      </c>
      <c r="AV81" s="290">
        <f>IF(AV$74&lt;H$8+10,H$5,IF(AV$74=H$8+10, (0.4*(H$9/2)),IF(AV$74=H$8+11,(0.3*(H$9/2)),IF(AV$74=H$8+12,(0.2*(H$9/2)),IF(AV$74=H$8+13,(0.1*(H$9)/2),0)))))</f>
        <v>0</v>
      </c>
      <c r="AW81" s="290">
        <f>IF(AW$74&lt;H$8+10,H$5,IF(AW$74=H$8+10, (0.4*(H$9/2)),IF(AW$74=H$8+11,(0.3*(H$9/2)),IF(AW$74=H$8+12,(0.2*(H$9/2)),IF(AW$74=H$8+13,(0.1*(H$9)/2),0)))))</f>
        <v>0</v>
      </c>
      <c r="AX81" s="290">
        <f>IF(AX$74&lt;H$8+10,H$5,IF(AX$74=H$8+10, (0.4*(H$9/2)),IF(AX$74=H$8+11,(0.3*(H$9/2)),IF(AX$74=H$8+12,(0.2*(H$9/2)),IF(AX$74=H$8+13,(0.1*(H$9)/2),0)))))</f>
        <v>0</v>
      </c>
      <c r="AY81" s="290">
        <f>IF(AY$74&lt;H$8+10,H$5,IF(AY$74=H$8+10, (0.4*(H$9/2)),IF(AY$74=H$8+11,(0.3*(H$9/2)),IF(AY$74=H$8+12,(0.2*(H$9/2)),IF(AY$74=H$8+13,(0.1*(H$9)/2),0)))))</f>
        <v>0</v>
      </c>
      <c r="AZ81" s="290">
        <f>IF(AZ$74&lt;H$8+10,H$5,IF(AZ$74=H$8+10, (0.4*(H$9/2)),IF(AZ$74=H$8+11,(0.3*(H$9/2)),IF(AZ$74=H$8+12,(0.2*(H$9/2)),IF(AZ$74=H$8+13,(0.1*(H$9)/2),0)))))</f>
        <v>0</v>
      </c>
      <c r="BA81" s="290">
        <f>IF(BA$74&lt;H$8+10,H$5,IF(BA$74=H$8+10, (0.4*(H$9/2)),IF(BA$74=H$8+11,(0.3*(H$9/2)),IF(BA$74=H$8+12,(0.2*(H$9/2)),IF(BA$74=H$8+13,(0.1*(H$9)/2),0)))))</f>
        <v>0</v>
      </c>
      <c r="BB81" s="290">
        <f>IF(BB$74&lt;H$8+10,H$5,IF(BB$74=H$8+10, (0.4*(H$9/2)),IF(BB$74=H$8+11,(0.3*(H$9/2)),IF(BB$74=H$8+12,(0.2*(H$9/2)),IF(BB$74=H$8+13,(0.1*(H$9)/2),0)))))</f>
        <v>0</v>
      </c>
      <c r="BC81" s="290">
        <f>IF(BC$74&lt;H$8+10,H$5,IF(BC$74=H$8+10, (0.4*(H$9/2)),IF(BC$74=H$8+11,(0.3*(H$9/2)),IF(BC$74=H$8+12,(0.2*(H$9/2)),IF(BC$74=H$8+13,(0.1*(H$9)/2),0)))))</f>
        <v>0</v>
      </c>
      <c r="BD81" s="290">
        <f>IF(BD$74&lt;H$8+10,H$5,IF(BD$74=H$8+10, (0.4*(H$9/2)),IF(BD$74=H$8+11,(0.3*(H$9/2)),IF(BD$74=H$8+12,(0.2*(H$9/2)),IF(BD$74=H$8+13,(0.1*(H$9)/2),0)))))</f>
        <v>0</v>
      </c>
      <c r="BE81" s="290">
        <f>IF(BE$74&lt;H$8+10,H$5,IF(BE$74=H$8+10, (0.4*(H$9/2)),IF(BE$74=H$8+11,(0.3*(H$9/2)),IF(BE$74=H$8+12,(0.2*(H$9/2)),IF(BE$74=H$8+13,(0.1*(H$9)/2),0)))))</f>
        <v>0</v>
      </c>
      <c r="BF81" s="290">
        <f>IF(BF$74&lt;H$8+10,H$5,IF(BF$74=H$8+10, (0.4*(H$9/2)),IF(BF$74=H$8+11,(0.3*(H$9/2)),IF(BF$74=H$8+12,(0.2*(H$9/2)),IF(BF$74=H$8+13,(0.1*(H$9)/2),0)))))</f>
        <v>0</v>
      </c>
      <c r="BG81" s="290">
        <f>IF(BG$74&lt;H$8+10,H$5,IF(BG$74=H$8+10, (0.4*(H$9/2)),IF(BG$74=H$8+11,(0.3*(H$9/2)),IF(BG$74=H$8+12,(0.2*(H$9/2)),IF(BG$74=H$8+13,(0.1*(H$9)/2),0)))))</f>
        <v>0</v>
      </c>
      <c r="BH81" s="290">
        <f>IF(BH$74&lt;H$8+10,H$5,IF(BH$74=H$8+10, (0.4*(H$9/2)),IF(BH$74=H$8+11,(0.3*(H$9/2)),IF(BH$74=H$8+12,(0.2*(H$9/2)),IF(BH$74=H$8+13,(0.1*(H$9)/2),0)))))</f>
        <v>0</v>
      </c>
      <c r="BI81" s="290">
        <f>IF(BI$74&lt;H$8+10,H$5,IF(BI$74=H$8+10, (0.4*(H$9/2)),IF(BI$74=H$8+11,(0.3*(H$9/2)),IF(BI$74=H$8+12,(0.2*(H$9/2)),IF(BI$74=H$8+13,(0.1*(H$9)/2),0)))))</f>
        <v>0</v>
      </c>
      <c r="BJ81" s="290">
        <f>IF(BJ$74&lt;H$8+10,H$5,IF(BJ$74=H$8+10, (0.4*(H$9/2)),IF(BJ$74=H$8+11,(0.3*(H$9/2)),IF(BJ$74=H$8+12,(0.2*(H$9/2)),IF(BJ$74=H$8+13,(0.1*(H$9)/2),0)))))</f>
        <v>0</v>
      </c>
    </row>
    <row r="82" spans="1:62">
      <c r="A82" s="293">
        <f t="shared" si="34"/>
        <v>600</v>
      </c>
      <c r="B82" s="267">
        <v>8</v>
      </c>
      <c r="C82" s="290">
        <v>0</v>
      </c>
      <c r="D82" s="290">
        <v>0</v>
      </c>
      <c r="E82" s="290">
        <v>0</v>
      </c>
      <c r="F82" s="290">
        <v>0</v>
      </c>
      <c r="G82" s="290">
        <v>0</v>
      </c>
      <c r="H82" s="290">
        <f>0.1*(I$9/2)</f>
        <v>30</v>
      </c>
      <c r="I82" s="290">
        <f>0.2*(I$9/2)</f>
        <v>60</v>
      </c>
      <c r="J82" s="290">
        <f>0.3*(I$9/2)</f>
        <v>90</v>
      </c>
      <c r="K82" s="290">
        <f>0.4*(I$9/2)</f>
        <v>120</v>
      </c>
      <c r="L82" s="290">
        <f>IF(L$74&lt;I$8+10,I$5,IF(L$74=I$8+10, (0.4*(I$9/2)),IF(L$74=I$8+11,(0.3*(I$9/2)),IF(L$74=I$8+12,(0.2*(I$9/2)),IF(L$74=I$8+13,(0.1*(I$9)/2),0)))))</f>
        <v>120</v>
      </c>
      <c r="M82" s="290">
        <f>IF(M$74&lt;I$8+10,I$5,IF(M$74=I$8+10, (0.4*(I$9/2)),IF(M$74=I$8+11,(0.3*(I$9/2)),IF(M$74=I$8+12,(0.2*(I$9/2)),IF(M$74=I$8+13,(0.1*(I$9)/2),0)))))</f>
        <v>90</v>
      </c>
      <c r="N82" s="290">
        <f>IF(N$74&lt;I$8+10,I$5,IF(N$74=I$8+10, (0.4*(I$9/2)),IF(N$74=I$8+11,(0.3*(I$9/2)),IF(N$74=I$8+12,(0.2*(I$9/2)),IF(N$74=I$8+13,(0.1*(I$9)/2),0)))))</f>
        <v>60</v>
      </c>
      <c r="O82" s="290">
        <f>IF(O$74&lt;I$8+10,I$5,IF(O$74=I$8+10, (0.4*(I$9/2)),IF(O$74=I$8+11,(0.3*(I$9/2)),IF(O$74=I$8+12,(0.2*(I$9/2)),IF(O$74=I$8+13,(0.1*(I$9)/2),0)))))</f>
        <v>30</v>
      </c>
      <c r="P82" s="290">
        <f>IF(P$74&lt;I$8+10,I$5,IF(P$74=I$8+10, (0.4*(I$9/2)),IF(P$74=I$8+11,(0.3*(I$9/2)),IF(P$74=I$8+12,(0.2*(I$9/2)),IF(P$74=I$8+13,(0.1*(I$9)/2),0)))))</f>
        <v>0</v>
      </c>
      <c r="Q82" s="290">
        <f>IF(Q$74&lt;I$8+10,I$5,IF(Q$74=I$8+10, (0.4*(I$9/2)),IF(Q$74=I$8+11,(0.3*(I$9/2)),IF(Q$74=I$8+12,(0.2*(I$9/2)),IF(Q$74=I$8+13,(0.1*(I$9)/2),0)))))</f>
        <v>0</v>
      </c>
      <c r="R82" s="290">
        <f>IF(R$74&lt;I$8+10,I$5,IF(R$74=I$8+10, (0.4*(I$9/2)),IF(R$74=I$8+11,(0.3*(I$9/2)),IF(R$74=I$8+12,(0.2*(I$9/2)),IF(R$74=I$8+13,(0.1*(I$9)/2),0)))))</f>
        <v>0</v>
      </c>
      <c r="S82" s="290">
        <f>IF(S$74&lt;I$8+10,I$5,IF(S$74=I$8+10, (0.4*(I$9/2)),IF(S$74=I$8+11,(0.3*(I$9/2)),IF(S$74=I$8+12,(0.2*(I$9/2)),IF(S$74=I$8+13,(0.1*(I$9)/2),0)))))</f>
        <v>0</v>
      </c>
      <c r="T82" s="290">
        <f>IF(T$74&lt;I$8+10,I$5,IF(T$74=I$8+10, (0.4*(I$9/2)),IF(T$74=I$8+11,(0.3*(I$9/2)),IF(T$74=I$8+12,(0.2*(I$9/2)),IF(T$74=I$8+13,(0.1*(I$9)/2),0)))))</f>
        <v>0</v>
      </c>
      <c r="U82" s="290">
        <f>IF(U$74&lt;I$8+10,I$5,IF(U$74=I$8+10, (0.4*(I$9/2)),IF(U$74=I$8+11,(0.3*(I$9/2)),IF(U$74=I$8+12,(0.2*(I$9/2)),IF(U$74=I$8+13,(0.1*(I$9)/2),0)))))</f>
        <v>0</v>
      </c>
      <c r="V82" s="290">
        <f>IF(V$74&lt;I$8+10,I$5,IF(V$74=I$8+10, (0.4*(I$9/2)),IF(V$74=I$8+11,(0.3*(I$9/2)),IF(V$74=I$8+12,(0.2*(I$9/2)),IF(V$74=I$8+13,(0.1*(I$9)/2),0)))))</f>
        <v>0</v>
      </c>
      <c r="W82" s="290">
        <f>IF(W$74&lt;I$8+10,I$5,IF(W$74=I$8+10, (0.4*(I$9/2)),IF(W$74=I$8+11,(0.3*(I$9/2)),IF(W$74=I$8+12,(0.2*(I$9/2)),IF(W$74=I$8+13,(0.1*(I$9)/2),0)))))</f>
        <v>0</v>
      </c>
      <c r="X82" s="290">
        <f>IF(X$74&lt;I$8+10,I$5,IF(X$74=I$8+10, (0.4*(I$9/2)),IF(X$74=I$8+11,(0.3*(I$9/2)),IF(X$74=I$8+12,(0.2*(I$9/2)),IF(X$74=I$8+13,(0.1*(I$9)/2),0)))))</f>
        <v>0</v>
      </c>
      <c r="Y82" s="290">
        <f>IF(Y$74&lt;I$8+10,I$5,IF(Y$74=I$8+10, (0.4*(I$9/2)),IF(Y$74=I$8+11,(0.3*(I$9/2)),IF(Y$74=I$8+12,(0.2*(I$9/2)),IF(Y$74=I$8+13,(0.1*(I$9)/2),0)))))</f>
        <v>0</v>
      </c>
      <c r="Z82" s="290">
        <f>IF(Z$74&lt;I$8+10,I$5,IF(Z$74=I$8+10, (0.4*(I$9/2)),IF(Z$74=I$8+11,(0.3*(I$9/2)),IF(Z$74=I$8+12,(0.2*(I$9/2)),IF(Z$74=I$8+13,(0.1*(I$9)/2),0)))))</f>
        <v>0</v>
      </c>
      <c r="AA82" s="290">
        <f>IF(AA$74&lt;I$8+10,I$5,IF(AA$74=I$8+10, (0.4*(I$9/2)),IF(AA$74=I$8+11,(0.3*(I$9/2)),IF(AA$74=I$8+12,(0.2*(I$9/2)),IF(AA$74=I$8+13,(0.1*(I$9)/2),0)))))</f>
        <v>0</v>
      </c>
      <c r="AB82" s="290">
        <f>IF(AB$74&lt;I$8+10,I$5,IF(AB$74=I$8+10, (0.4*(I$9/2)),IF(AB$74=I$8+11,(0.3*(I$9/2)),IF(AB$74=I$8+12,(0.2*(I$9/2)),IF(AB$74=I$8+13,(0.1*(I$9)/2),0)))))</f>
        <v>0</v>
      </c>
      <c r="AC82" s="290">
        <f>IF(AC$74&lt;I$8+10,I$5,IF(AC$74=I$8+10, (0.4*(I$9/2)),IF(AC$74=I$8+11,(0.3*(I$9/2)),IF(AC$74=I$8+12,(0.2*(I$9/2)),IF(AC$74=I$8+13,(0.1*(I$9)/2),0)))))</f>
        <v>0</v>
      </c>
      <c r="AD82" s="290">
        <f>IF(AD$74&lt;I$8+10,I$5,IF(AD$74=I$8+10, (0.4*(I$9/2)),IF(AD$74=I$8+11,(0.3*(I$9/2)),IF(AD$74=I$8+12,(0.2*(I$9/2)),IF(AD$74=I$8+13,(0.1*(I$9)/2),0)))))</f>
        <v>0</v>
      </c>
      <c r="AE82" s="290">
        <f>IF(AE$74&lt;I$8+10,I$5,IF(AE$74=I$8+10, (0.4*(I$9/2)),IF(AE$74=I$8+11,(0.3*(I$9/2)),IF(AE$74=I$8+12,(0.2*(I$9/2)),IF(AE$74=I$8+13,(0.1*(I$9)/2),0)))))</f>
        <v>0</v>
      </c>
      <c r="AF82" s="290">
        <f>IF(AF$74&lt;I$8+10,I$5,IF(AF$74=I$8+10, (0.4*(I$9/2)),IF(AF$74=I$8+11,(0.3*(I$9/2)),IF(AF$74=I$8+12,(0.2*(I$9/2)),IF(AF$74=I$8+13,(0.1*(I$9)/2),0)))))</f>
        <v>0</v>
      </c>
      <c r="AG82" s="290">
        <f>IF(AG$74&lt;I$8+10,I$5,IF(AG$74=I$8+10, (0.4*(I$9/2)),IF(AG$74=I$8+11,(0.3*(I$9/2)),IF(AG$74=I$8+12,(0.2*(I$9/2)),IF(AG$74=I$8+13,(0.1*(I$9)/2),0)))))</f>
        <v>0</v>
      </c>
      <c r="AH82" s="290">
        <f>IF(AH$74&lt;I$8+10,I$5,IF(AH$74=I$8+10, (0.4*(I$9/2)),IF(AH$74=I$8+11,(0.3*(I$9/2)),IF(AH$74=I$8+12,(0.2*(I$9/2)),IF(AH$74=I$8+13,(0.1*(I$9)/2),0)))))</f>
        <v>0</v>
      </c>
      <c r="AI82" s="290">
        <f>IF(AI$74&lt;I$8+10,I$5,IF(AI$74=I$8+10, (0.4*(I$9/2)),IF(AI$74=I$8+11,(0.3*(I$9/2)),IF(AI$74=I$8+12,(0.2*(I$9/2)),IF(AI$74=I$8+13,(0.1*(I$9)/2),0)))))</f>
        <v>0</v>
      </c>
      <c r="AJ82" s="290">
        <f>IF(AJ$74&lt;I$8+10,I$5,IF(AJ$74=I$8+10, (0.4*(I$9/2)),IF(AJ$74=I$8+11,(0.3*(I$9/2)),IF(AJ$74=I$8+12,(0.2*(I$9/2)),IF(AJ$74=I$8+13,(0.1*(I$9)/2),0)))))</f>
        <v>0</v>
      </c>
      <c r="AK82" s="290">
        <f>IF(AK$74&lt;I$8+10,I$5,IF(AK$74=I$8+10, (0.4*(I$9/2)),IF(AK$74=I$8+11,(0.3*(I$9/2)),IF(AK$74=I$8+12,(0.2*(I$9/2)),IF(AK$74=I$8+13,(0.1*(I$9)/2),0)))))</f>
        <v>0</v>
      </c>
      <c r="AL82" s="290">
        <f>IF(AL$74&lt;I$8+10,I$5,IF(AL$74=I$8+10, (0.4*(I$9/2)),IF(AL$74=I$8+11,(0.3*(I$9/2)),IF(AL$74=I$8+12,(0.2*(I$9/2)),IF(AL$74=I$8+13,(0.1*(I$9)/2),0)))))</f>
        <v>0</v>
      </c>
      <c r="AM82" s="290">
        <f>IF(AM$74&lt;I$8+10,I$5,IF(AM$74=I$8+10, (0.4*(I$9/2)),IF(AM$74=I$8+11,(0.3*(I$9/2)),IF(AM$74=I$8+12,(0.2*(I$9/2)),IF(AM$74=I$8+13,(0.1*(I$9)/2),0)))))</f>
        <v>0</v>
      </c>
      <c r="AN82" s="290">
        <f>IF(AN$74&lt;I$8+10,I$5,IF(AN$74=I$8+10, (0.4*(I$9/2)),IF(AN$74=I$8+11,(0.3*(I$9/2)),IF(AN$74=I$8+12,(0.2*(I$9/2)),IF(AN$74=I$8+13,(0.1*(I$9)/2),0)))))</f>
        <v>0</v>
      </c>
      <c r="AO82" s="290">
        <f>IF(AO$74&lt;I$8+10,I$5,IF(AO$74=I$8+10, (0.4*(I$9/2)),IF(AO$74=I$8+11,(0.3*(I$9/2)),IF(AO$74=I$8+12,(0.2*(I$9/2)),IF(AO$74=I$8+13,(0.1*(I$9)/2),0)))))</f>
        <v>0</v>
      </c>
      <c r="AP82" s="290">
        <f>IF(AP$74&lt;I$8+10,I$5,IF(AP$74=I$8+10, (0.4*(I$9/2)),IF(AP$74=I$8+11,(0.3*(I$9/2)),IF(AP$74=I$8+12,(0.2*(I$9/2)),IF(AP$74=I$8+13,(0.1*(I$9)/2),0)))))</f>
        <v>0</v>
      </c>
      <c r="AQ82" s="290">
        <f>IF(AQ$74&lt;I$8+10,I$5,IF(AQ$74=I$8+10, (0.4*(I$9/2)),IF(AQ$74=I$8+11,(0.3*(I$9/2)),IF(AQ$74=I$8+12,(0.2*(I$9/2)),IF(AQ$74=I$8+13,(0.1*(I$9)/2),0)))))</f>
        <v>0</v>
      </c>
      <c r="AR82" s="290">
        <f>IF(AR$74&lt;I$8+10,I$5,IF(AR$74=I$8+10, (0.4*(I$9/2)),IF(AR$74=I$8+11,(0.3*(I$9/2)),IF(AR$74=I$8+12,(0.2*(I$9/2)),IF(AR$74=I$8+13,(0.1*(I$9)/2),0)))))</f>
        <v>0</v>
      </c>
      <c r="AS82" s="290">
        <f>IF(AS$74&lt;I$8+10,I$5,IF(AS$74=I$8+10, (0.4*(I$9/2)),IF(AS$74=I$8+11,(0.3*(I$9/2)),IF(AS$74=I$8+12,(0.2*(I$9/2)),IF(AS$74=I$8+13,(0.1*(I$9)/2),0)))))</f>
        <v>0</v>
      </c>
      <c r="AT82" s="290">
        <f>IF(AT$74&lt;I$8+10,I$5,IF(AT$74=I$8+10, (0.4*(I$9/2)),IF(AT$74=I$8+11,(0.3*(I$9/2)),IF(AT$74=I$8+12,(0.2*(I$9/2)),IF(AT$74=I$8+13,(0.1*(I$9)/2),0)))))</f>
        <v>0</v>
      </c>
      <c r="AU82" s="290">
        <f>IF(AU$74&lt;I$8+10,I$5,IF(AU$74=I$8+10, (0.4*(I$9/2)),IF(AU$74=I$8+11,(0.3*(I$9/2)),IF(AU$74=I$8+12,(0.2*(I$9/2)),IF(AU$74=I$8+13,(0.1*(I$9)/2),0)))))</f>
        <v>0</v>
      </c>
      <c r="AV82" s="290">
        <f>IF(AV$74&lt;I$8+10,I$5,IF(AV$74=I$8+10, (0.4*(I$9/2)),IF(AV$74=I$8+11,(0.3*(I$9/2)),IF(AV$74=I$8+12,(0.2*(I$9/2)),IF(AV$74=I$8+13,(0.1*(I$9)/2),0)))))</f>
        <v>0</v>
      </c>
      <c r="AW82" s="290">
        <f>IF(AW$74&lt;I$8+10,I$5,IF(AW$74=I$8+10, (0.4*(I$9/2)),IF(AW$74=I$8+11,(0.3*(I$9/2)),IF(AW$74=I$8+12,(0.2*(I$9/2)),IF(AW$74=I$8+13,(0.1*(I$9)/2),0)))))</f>
        <v>0</v>
      </c>
      <c r="AX82" s="290">
        <f>IF(AX$74&lt;I$8+10,I$5,IF(AX$74=I$8+10, (0.4*(I$9/2)),IF(AX$74=I$8+11,(0.3*(I$9/2)),IF(AX$74=I$8+12,(0.2*(I$9/2)),IF(AX$74=I$8+13,(0.1*(I$9)/2),0)))))</f>
        <v>0</v>
      </c>
      <c r="AY82" s="290">
        <f>IF(AY$74&lt;I$8+10,I$5,IF(AY$74=I$8+10, (0.4*(I$9/2)),IF(AY$74=I$8+11,(0.3*(I$9/2)),IF(AY$74=I$8+12,(0.2*(I$9/2)),IF(AY$74=I$8+13,(0.1*(I$9)/2),0)))))</f>
        <v>0</v>
      </c>
      <c r="AZ82" s="290">
        <f>IF(AZ$74&lt;I$8+10,I$5,IF(AZ$74=I$8+10, (0.4*(I$9/2)),IF(AZ$74=I$8+11,(0.3*(I$9/2)),IF(AZ$74=I$8+12,(0.2*(I$9/2)),IF(AZ$74=I$8+13,(0.1*(I$9)/2),0)))))</f>
        <v>0</v>
      </c>
      <c r="BA82" s="290">
        <f>IF(BA$74&lt;I$8+10,I$5,IF(BA$74=I$8+10, (0.4*(I$9/2)),IF(BA$74=I$8+11,(0.3*(I$9/2)),IF(BA$74=I$8+12,(0.2*(I$9/2)),IF(BA$74=I$8+13,(0.1*(I$9)/2),0)))))</f>
        <v>0</v>
      </c>
      <c r="BB82" s="290">
        <f>IF(BB$74&lt;I$8+10,I$5,IF(BB$74=I$8+10, (0.4*(I$9/2)),IF(BB$74=I$8+11,(0.3*(I$9/2)),IF(BB$74=I$8+12,(0.2*(I$9/2)),IF(BB$74=I$8+13,(0.1*(I$9)/2),0)))))</f>
        <v>0</v>
      </c>
      <c r="BC82" s="290">
        <f>IF(BC$74&lt;I$8+10,I$5,IF(BC$74=I$8+10, (0.4*(I$9/2)),IF(BC$74=I$8+11,(0.3*(I$9/2)),IF(BC$74=I$8+12,(0.2*(I$9/2)),IF(BC$74=I$8+13,(0.1*(I$9)/2),0)))))</f>
        <v>0</v>
      </c>
      <c r="BD82" s="290">
        <f>IF(BD$74&lt;I$8+10,I$5,IF(BD$74=I$8+10, (0.4*(I$9/2)),IF(BD$74=I$8+11,(0.3*(I$9/2)),IF(BD$74=I$8+12,(0.2*(I$9/2)),IF(BD$74=I$8+13,(0.1*(I$9)/2),0)))))</f>
        <v>0</v>
      </c>
      <c r="BE82" s="290">
        <f>IF(BE$74&lt;I$8+10,I$5,IF(BE$74=I$8+10, (0.4*(I$9/2)),IF(BE$74=I$8+11,(0.3*(I$9/2)),IF(BE$74=I$8+12,(0.2*(I$9/2)),IF(BE$74=I$8+13,(0.1*(I$9)/2),0)))))</f>
        <v>0</v>
      </c>
      <c r="BF82" s="290">
        <f>IF(BF$74&lt;I$8+10,I$5,IF(BF$74=I$8+10, (0.4*(I$9/2)),IF(BF$74=I$8+11,(0.3*(I$9/2)),IF(BF$74=I$8+12,(0.2*(I$9/2)),IF(BF$74=I$8+13,(0.1*(I$9)/2),0)))))</f>
        <v>0</v>
      </c>
      <c r="BG82" s="290">
        <f>IF(BG$74&lt;I$8+10,I$5,IF(BG$74=I$8+10, (0.4*(I$9/2)),IF(BG$74=I$8+11,(0.3*(I$9/2)),IF(BG$74=I$8+12,(0.2*(I$9/2)),IF(BG$74=I$8+13,(0.1*(I$9)/2),0)))))</f>
        <v>0</v>
      </c>
      <c r="BH82" s="290">
        <f>IF(BH$74&lt;I$8+10,I$5,IF(BH$74=I$8+10, (0.4*(I$9/2)),IF(BH$74=I$8+11,(0.3*(I$9/2)),IF(BH$74=I$8+12,(0.2*(I$9/2)),IF(BH$74=I$8+13,(0.1*(I$9)/2),0)))))</f>
        <v>0</v>
      </c>
      <c r="BI82" s="290">
        <f>IF(BI$74&lt;I$8+10,I$5,IF(BI$74=I$8+10, (0.4*(I$9/2)),IF(BI$74=I$8+11,(0.3*(I$9/2)),IF(BI$74=I$8+12,(0.2*(I$9/2)),IF(BI$74=I$8+13,(0.1*(I$9)/2),0)))))</f>
        <v>0</v>
      </c>
      <c r="BJ82" s="290">
        <f>IF(BJ$74&lt;I$8+10,I$5,IF(BJ$74=I$8+10, (0.4*(I$9/2)),IF(BJ$74=I$8+11,(0.3*(I$9/2)),IF(BJ$74=I$8+12,(0.2*(I$9/2)),IF(BJ$74=I$8+13,(0.1*(I$9)/2),0)))))</f>
        <v>0</v>
      </c>
    </row>
    <row r="83" spans="1:62">
      <c r="A83" s="293">
        <f t="shared" si="34"/>
        <v>600</v>
      </c>
      <c r="B83" s="267">
        <v>9</v>
      </c>
      <c r="C83" s="290">
        <v>0</v>
      </c>
      <c r="D83" s="290">
        <v>0</v>
      </c>
      <c r="E83" s="290">
        <v>0</v>
      </c>
      <c r="F83" s="290">
        <v>0</v>
      </c>
      <c r="G83" s="290">
        <v>0</v>
      </c>
      <c r="H83" s="290">
        <f>0.1*(J$9/2)</f>
        <v>30</v>
      </c>
      <c r="I83" s="290">
        <f>0.2*(J$9/2)</f>
        <v>60</v>
      </c>
      <c r="J83" s="290">
        <f>0.3*(J$9/2)</f>
        <v>90</v>
      </c>
      <c r="K83" s="290">
        <f>0.4*(J$9/2)</f>
        <v>120</v>
      </c>
      <c r="L83" s="290">
        <f>IF(L$74&lt;J$8+10,J$5,IF(L$74=J$8+10, (0.4*(J$9/2)),IF(L$74=J$8+11,(0.3*(J$9/2)),IF(L$74=J$8+12,(0.2*(J$9/2)),IF(L$74=J$8+13,(0.1*(J$9)/2),0)))))</f>
        <v>120</v>
      </c>
      <c r="M83" s="290">
        <f>IF(M$74&lt;J$8+10,J$5,IF(M$74=J$8+10, (0.4*(J$9/2)),IF(M$74=J$8+11,(0.3*(J$9/2)),IF(M$74=J$8+12,(0.2*(J$9/2)),IF(M$74=J$8+13,(0.1*(J$9)/2),0)))))</f>
        <v>90</v>
      </c>
      <c r="N83" s="290">
        <f>IF(N$74&lt;J$8+10,J$5,IF(N$74=J$8+10, (0.4*(J$9/2)),IF(N$74=J$8+11,(0.3*(J$9/2)),IF(N$74=J$8+12,(0.2*(J$9/2)),IF(N$74=J$8+13,(0.1*(J$9)/2),0)))))</f>
        <v>60</v>
      </c>
      <c r="O83" s="290">
        <f>IF(O$74&lt;J$8+10,J$5,IF(O$74=J$8+10, (0.4*(J$9/2)),IF(O$74=J$8+11,(0.3*(J$9/2)),IF(O$74=J$8+12,(0.2*(J$9/2)),IF(O$74=J$8+13,(0.1*(J$9)/2),0)))))</f>
        <v>30</v>
      </c>
      <c r="P83" s="290">
        <f>IF(P$74&lt;J$8+10,J$5,IF(P$74=J$8+10, (0.4*(J$9/2)),IF(P$74=J$8+11,(0.3*(J$9/2)),IF(P$74=J$8+12,(0.2*(J$9/2)),IF(P$74=J$8+13,(0.1*(J$9)/2),0)))))</f>
        <v>0</v>
      </c>
      <c r="Q83" s="290">
        <f>IF(Q$74&lt;J$8+10,J$5,IF(Q$74=J$8+10, (0.4*(J$9/2)),IF(Q$74=J$8+11,(0.3*(J$9/2)),IF(Q$74=J$8+12,(0.2*(J$9/2)),IF(Q$74=J$8+13,(0.1*(J$9)/2),0)))))</f>
        <v>0</v>
      </c>
      <c r="R83" s="290">
        <f>IF(R$74&lt;J$8+10,J$5,IF(R$74=J$8+10, (0.4*(J$9/2)),IF(R$74=J$8+11,(0.3*(J$9/2)),IF(R$74=J$8+12,(0.2*(J$9/2)),IF(R$74=J$8+13,(0.1*(J$9)/2),0)))))</f>
        <v>0</v>
      </c>
      <c r="S83" s="290">
        <f>IF(S$74&lt;J$8+10,J$5,IF(S$74=J$8+10, (0.4*(J$9/2)),IF(S$74=J$8+11,(0.3*(J$9/2)),IF(S$74=J$8+12,(0.2*(J$9/2)),IF(S$74=J$8+13,(0.1*(J$9)/2),0)))))</f>
        <v>0</v>
      </c>
      <c r="T83" s="290">
        <f>IF(T$74&lt;J$8+10,J$5,IF(T$74=J$8+10, (0.4*(J$9/2)),IF(T$74=J$8+11,(0.3*(J$9/2)),IF(T$74=J$8+12,(0.2*(J$9/2)),IF(T$74=J$8+13,(0.1*(J$9)/2),0)))))</f>
        <v>0</v>
      </c>
      <c r="U83" s="290">
        <f>IF(U$74&lt;J$8+10,J$5,IF(U$74=J$8+10, (0.4*(J$9/2)),IF(U$74=J$8+11,(0.3*(J$9/2)),IF(U$74=J$8+12,(0.2*(J$9/2)),IF(U$74=J$8+13,(0.1*(J$9)/2),0)))))</f>
        <v>0</v>
      </c>
      <c r="V83" s="290">
        <f>IF(V$74&lt;J$8+10,J$5,IF(V$74=J$8+10, (0.4*(J$9/2)),IF(V$74=J$8+11,(0.3*(J$9/2)),IF(V$74=J$8+12,(0.2*(J$9/2)),IF(V$74=J$8+13,(0.1*(J$9)/2),0)))))</f>
        <v>0</v>
      </c>
      <c r="W83" s="290">
        <f>IF(W$74&lt;J$8+10,J$5,IF(W$74=J$8+10, (0.4*(J$9/2)),IF(W$74=J$8+11,(0.3*(J$9/2)),IF(W$74=J$8+12,(0.2*(J$9/2)),IF(W$74=J$8+13,(0.1*(J$9)/2),0)))))</f>
        <v>0</v>
      </c>
      <c r="X83" s="290">
        <f>IF(X$74&lt;J$8+10,J$5,IF(X$74=J$8+10, (0.4*(J$9/2)),IF(X$74=J$8+11,(0.3*(J$9/2)),IF(X$74=J$8+12,(0.2*(J$9/2)),IF(X$74=J$8+13,(0.1*(J$9)/2),0)))))</f>
        <v>0</v>
      </c>
      <c r="Y83" s="290">
        <f>IF(Y$74&lt;J$8+10,J$5,IF(Y$74=J$8+10, (0.4*(J$9/2)),IF(Y$74=J$8+11,(0.3*(J$9/2)),IF(Y$74=J$8+12,(0.2*(J$9/2)),IF(Y$74=J$8+13,(0.1*(J$9)/2),0)))))</f>
        <v>0</v>
      </c>
      <c r="Z83" s="290">
        <f>IF(Z$74&lt;J$8+10,J$5,IF(Z$74=J$8+10, (0.4*(J$9/2)),IF(Z$74=J$8+11,(0.3*(J$9/2)),IF(Z$74=J$8+12,(0.2*(J$9/2)),IF(Z$74=J$8+13,(0.1*(J$9)/2),0)))))</f>
        <v>0</v>
      </c>
      <c r="AA83" s="290">
        <f>IF(AA$74&lt;J$8+10,J$5,IF(AA$74=J$8+10, (0.4*(J$9/2)),IF(AA$74=J$8+11,(0.3*(J$9/2)),IF(AA$74=J$8+12,(0.2*(J$9/2)),IF(AA$74=J$8+13,(0.1*(J$9)/2),0)))))</f>
        <v>0</v>
      </c>
      <c r="AB83" s="290">
        <f>IF(AB$74&lt;J$8+10,J$5,IF(AB$74=J$8+10, (0.4*(J$9/2)),IF(AB$74=J$8+11,(0.3*(J$9/2)),IF(AB$74=J$8+12,(0.2*(J$9/2)),IF(AB$74=J$8+13,(0.1*(J$9)/2),0)))))</f>
        <v>0</v>
      </c>
      <c r="AC83" s="290">
        <f>IF(AC$74&lt;J$8+10,J$5,IF(AC$74=J$8+10, (0.4*(J$9/2)),IF(AC$74=J$8+11,(0.3*(J$9/2)),IF(AC$74=J$8+12,(0.2*(J$9/2)),IF(AC$74=J$8+13,(0.1*(J$9)/2),0)))))</f>
        <v>0</v>
      </c>
      <c r="AD83" s="290">
        <f>IF(AD$74&lt;J$8+10,J$5,IF(AD$74=J$8+10, (0.4*(J$9/2)),IF(AD$74=J$8+11,(0.3*(J$9/2)),IF(AD$74=J$8+12,(0.2*(J$9/2)),IF(AD$74=J$8+13,(0.1*(J$9)/2),0)))))</f>
        <v>0</v>
      </c>
      <c r="AE83" s="290">
        <f>IF(AE$74&lt;J$8+10,J$5,IF(AE$74=J$8+10, (0.4*(J$9/2)),IF(AE$74=J$8+11,(0.3*(J$9/2)),IF(AE$74=J$8+12,(0.2*(J$9/2)),IF(AE$74=J$8+13,(0.1*(J$9)/2),0)))))</f>
        <v>0</v>
      </c>
      <c r="AF83" s="290">
        <f>IF(AF$74&lt;J$8+10,J$5,IF(AF$74=J$8+10, (0.4*(J$9/2)),IF(AF$74=J$8+11,(0.3*(J$9/2)),IF(AF$74=J$8+12,(0.2*(J$9/2)),IF(AF$74=J$8+13,(0.1*(J$9)/2),0)))))</f>
        <v>0</v>
      </c>
      <c r="AG83" s="290">
        <f>IF(AG$74&lt;J$8+10,J$5,IF(AG$74=J$8+10, (0.4*(J$9/2)),IF(AG$74=J$8+11,(0.3*(J$9/2)),IF(AG$74=J$8+12,(0.2*(J$9/2)),IF(AG$74=J$8+13,(0.1*(J$9)/2),0)))))</f>
        <v>0</v>
      </c>
      <c r="AH83" s="290">
        <f>IF(AH$74&lt;J$8+10,J$5,IF(AH$74=J$8+10, (0.4*(J$9/2)),IF(AH$74=J$8+11,(0.3*(J$9/2)),IF(AH$74=J$8+12,(0.2*(J$9/2)),IF(AH$74=J$8+13,(0.1*(J$9)/2),0)))))</f>
        <v>0</v>
      </c>
      <c r="AI83" s="290">
        <f>IF(AI$74&lt;J$8+10,J$5,IF(AI$74=J$8+10, (0.4*(J$9/2)),IF(AI$74=J$8+11,(0.3*(J$9/2)),IF(AI$74=J$8+12,(0.2*(J$9/2)),IF(AI$74=J$8+13,(0.1*(J$9)/2),0)))))</f>
        <v>0</v>
      </c>
      <c r="AJ83" s="290">
        <f>IF(AJ$74&lt;J$8+10,J$5,IF(AJ$74=J$8+10, (0.4*(J$9/2)),IF(AJ$74=J$8+11,(0.3*(J$9/2)),IF(AJ$74=J$8+12,(0.2*(J$9/2)),IF(AJ$74=J$8+13,(0.1*(J$9)/2),0)))))</f>
        <v>0</v>
      </c>
      <c r="AK83" s="290">
        <f>IF(AK$74&lt;J$8+10,J$5,IF(AK$74=J$8+10, (0.4*(J$9/2)),IF(AK$74=J$8+11,(0.3*(J$9/2)),IF(AK$74=J$8+12,(0.2*(J$9/2)),IF(AK$74=J$8+13,(0.1*(J$9)/2),0)))))</f>
        <v>0</v>
      </c>
      <c r="AL83" s="290">
        <f>IF(AL$74&lt;J$8+10,J$5,IF(AL$74=J$8+10, (0.4*(J$9/2)),IF(AL$74=J$8+11,(0.3*(J$9/2)),IF(AL$74=J$8+12,(0.2*(J$9/2)),IF(AL$74=J$8+13,(0.1*(J$9)/2),0)))))</f>
        <v>0</v>
      </c>
      <c r="AM83" s="290">
        <f>IF(AM$74&lt;J$8+10,J$5,IF(AM$74=J$8+10, (0.4*(J$9/2)),IF(AM$74=J$8+11,(0.3*(J$9/2)),IF(AM$74=J$8+12,(0.2*(J$9/2)),IF(AM$74=J$8+13,(0.1*(J$9)/2),0)))))</f>
        <v>0</v>
      </c>
      <c r="AN83" s="290">
        <f>IF(AN$74&lt;J$8+10,J$5,IF(AN$74=J$8+10, (0.4*(J$9/2)),IF(AN$74=J$8+11,(0.3*(J$9/2)),IF(AN$74=J$8+12,(0.2*(J$9/2)),IF(AN$74=J$8+13,(0.1*(J$9)/2),0)))))</f>
        <v>0</v>
      </c>
      <c r="AO83" s="290">
        <f>IF(AO$74&lt;J$8+10,J$5,IF(AO$74=J$8+10, (0.4*(J$9/2)),IF(AO$74=J$8+11,(0.3*(J$9/2)),IF(AO$74=J$8+12,(0.2*(J$9/2)),IF(AO$74=J$8+13,(0.1*(J$9)/2),0)))))</f>
        <v>0</v>
      </c>
      <c r="AP83" s="290">
        <f>IF(AP$74&lt;J$8+10,J$5,IF(AP$74=J$8+10, (0.4*(J$9/2)),IF(AP$74=J$8+11,(0.3*(J$9/2)),IF(AP$74=J$8+12,(0.2*(J$9/2)),IF(AP$74=J$8+13,(0.1*(J$9)/2),0)))))</f>
        <v>0</v>
      </c>
      <c r="AQ83" s="290">
        <f>IF(AQ$74&lt;J$8+10,J$5,IF(AQ$74=J$8+10, (0.4*(J$9/2)),IF(AQ$74=J$8+11,(0.3*(J$9/2)),IF(AQ$74=J$8+12,(0.2*(J$9/2)),IF(AQ$74=J$8+13,(0.1*(J$9)/2),0)))))</f>
        <v>0</v>
      </c>
      <c r="AR83" s="290">
        <f>IF(AR$74&lt;J$8+10,J$5,IF(AR$74=J$8+10, (0.4*(J$9/2)),IF(AR$74=J$8+11,(0.3*(J$9/2)),IF(AR$74=J$8+12,(0.2*(J$9/2)),IF(AR$74=J$8+13,(0.1*(J$9)/2),0)))))</f>
        <v>0</v>
      </c>
      <c r="AS83" s="290">
        <f>IF(AS$74&lt;J$8+10,J$5,IF(AS$74=J$8+10, (0.4*(J$9/2)),IF(AS$74=J$8+11,(0.3*(J$9/2)),IF(AS$74=J$8+12,(0.2*(J$9/2)),IF(AS$74=J$8+13,(0.1*(J$9)/2),0)))))</f>
        <v>0</v>
      </c>
      <c r="AT83" s="290">
        <f>IF(AT$74&lt;J$8+10,J$5,IF(AT$74=J$8+10, (0.4*(J$9/2)),IF(AT$74=J$8+11,(0.3*(J$9/2)),IF(AT$74=J$8+12,(0.2*(J$9/2)),IF(AT$74=J$8+13,(0.1*(J$9)/2),0)))))</f>
        <v>0</v>
      </c>
      <c r="AU83" s="290">
        <f>IF(AU$74&lt;J$8+10,J$5,IF(AU$74=J$8+10, (0.4*(J$9/2)),IF(AU$74=J$8+11,(0.3*(J$9/2)),IF(AU$74=J$8+12,(0.2*(J$9/2)),IF(AU$74=J$8+13,(0.1*(J$9)/2),0)))))</f>
        <v>0</v>
      </c>
      <c r="AV83" s="290">
        <f>IF(AV$74&lt;J$8+10,J$5,IF(AV$74=J$8+10, (0.4*(J$9/2)),IF(AV$74=J$8+11,(0.3*(J$9/2)),IF(AV$74=J$8+12,(0.2*(J$9/2)),IF(AV$74=J$8+13,(0.1*(J$9)/2),0)))))</f>
        <v>0</v>
      </c>
      <c r="AW83" s="290">
        <f>IF(AW$74&lt;J$8+10,J$5,IF(AW$74=J$8+10, (0.4*(J$9/2)),IF(AW$74=J$8+11,(0.3*(J$9/2)),IF(AW$74=J$8+12,(0.2*(J$9/2)),IF(AW$74=J$8+13,(0.1*(J$9)/2),0)))))</f>
        <v>0</v>
      </c>
      <c r="AX83" s="290">
        <f>IF(AX$74&lt;J$8+10,J$5,IF(AX$74=J$8+10, (0.4*(J$9/2)),IF(AX$74=J$8+11,(0.3*(J$9/2)),IF(AX$74=J$8+12,(0.2*(J$9/2)),IF(AX$74=J$8+13,(0.1*(J$9)/2),0)))))</f>
        <v>0</v>
      </c>
      <c r="AY83" s="290">
        <f>IF(AY$74&lt;J$8+10,J$5,IF(AY$74=J$8+10, (0.4*(J$9/2)),IF(AY$74=J$8+11,(0.3*(J$9/2)),IF(AY$74=J$8+12,(0.2*(J$9/2)),IF(AY$74=J$8+13,(0.1*(J$9)/2),0)))))</f>
        <v>0</v>
      </c>
      <c r="AZ83" s="290">
        <f>IF(AZ$74&lt;J$8+10,J$5,IF(AZ$74=J$8+10, (0.4*(J$9/2)),IF(AZ$74=J$8+11,(0.3*(J$9/2)),IF(AZ$74=J$8+12,(0.2*(J$9/2)),IF(AZ$74=J$8+13,(0.1*(J$9)/2),0)))))</f>
        <v>0</v>
      </c>
      <c r="BA83" s="290">
        <f>IF(BA$74&lt;J$8+10,J$5,IF(BA$74=J$8+10, (0.4*(J$9/2)),IF(BA$74=J$8+11,(0.3*(J$9/2)),IF(BA$74=J$8+12,(0.2*(J$9/2)),IF(BA$74=J$8+13,(0.1*(J$9)/2),0)))))</f>
        <v>0</v>
      </c>
      <c r="BB83" s="290">
        <f>IF(BB$74&lt;J$8+10,J$5,IF(BB$74=J$8+10, (0.4*(J$9/2)),IF(BB$74=J$8+11,(0.3*(J$9/2)),IF(BB$74=J$8+12,(0.2*(J$9/2)),IF(BB$74=J$8+13,(0.1*(J$9)/2),0)))))</f>
        <v>0</v>
      </c>
      <c r="BC83" s="290">
        <f>IF(BC$74&lt;J$8+10,J$5,IF(BC$74=J$8+10, (0.4*(J$9/2)),IF(BC$74=J$8+11,(0.3*(J$9/2)),IF(BC$74=J$8+12,(0.2*(J$9/2)),IF(BC$74=J$8+13,(0.1*(J$9)/2),0)))))</f>
        <v>0</v>
      </c>
      <c r="BD83" s="290">
        <f>IF(BD$74&lt;J$8+10,J$5,IF(BD$74=J$8+10, (0.4*(J$9/2)),IF(BD$74=J$8+11,(0.3*(J$9/2)),IF(BD$74=J$8+12,(0.2*(J$9/2)),IF(BD$74=J$8+13,(0.1*(J$9)/2),0)))))</f>
        <v>0</v>
      </c>
      <c r="BE83" s="290">
        <f>IF(BE$74&lt;J$8+10,J$5,IF(BE$74=J$8+10, (0.4*(J$9/2)),IF(BE$74=J$8+11,(0.3*(J$9/2)),IF(BE$74=J$8+12,(0.2*(J$9/2)),IF(BE$74=J$8+13,(0.1*(J$9)/2),0)))))</f>
        <v>0</v>
      </c>
      <c r="BF83" s="290">
        <f>IF(BF$74&lt;J$8+10,J$5,IF(BF$74=J$8+10, (0.4*(J$9/2)),IF(BF$74=J$8+11,(0.3*(J$9/2)),IF(BF$74=J$8+12,(0.2*(J$9/2)),IF(BF$74=J$8+13,(0.1*(J$9)/2),0)))))</f>
        <v>0</v>
      </c>
      <c r="BG83" s="290">
        <f>IF(BG$74&lt;J$8+10,J$5,IF(BG$74=J$8+10, (0.4*(J$9/2)),IF(BG$74=J$8+11,(0.3*(J$9/2)),IF(BG$74=J$8+12,(0.2*(J$9/2)),IF(BG$74=J$8+13,(0.1*(J$9)/2),0)))))</f>
        <v>0</v>
      </c>
      <c r="BH83" s="290">
        <f>IF(BH$74&lt;J$8+10,J$5,IF(BH$74=J$8+10, (0.4*(J$9/2)),IF(BH$74=J$8+11,(0.3*(J$9/2)),IF(BH$74=J$8+12,(0.2*(J$9/2)),IF(BH$74=J$8+13,(0.1*(J$9)/2),0)))))</f>
        <v>0</v>
      </c>
      <c r="BI83" s="290">
        <f>IF(BI$74&lt;J$8+10,J$5,IF(BI$74=J$8+10, (0.4*(J$9/2)),IF(BI$74=J$8+11,(0.3*(J$9/2)),IF(BI$74=J$8+12,(0.2*(J$9/2)),IF(BI$74=J$8+13,(0.1*(J$9)/2),0)))))</f>
        <v>0</v>
      </c>
      <c r="BJ83" s="290">
        <f>IF(BJ$74&lt;J$8+10,J$5,IF(BJ$74=J$8+10, (0.4*(J$9/2)),IF(BJ$74=J$8+11,(0.3*(J$9/2)),IF(BJ$74=J$8+12,(0.2*(J$9/2)),IF(BJ$74=J$8+13,(0.1*(J$9)/2),0)))))</f>
        <v>0</v>
      </c>
    </row>
    <row r="84" spans="1:62">
      <c r="A84" s="293">
        <f t="shared" si="34"/>
        <v>600</v>
      </c>
      <c r="B84" s="267">
        <v>10</v>
      </c>
      <c r="C84" s="290">
        <v>0</v>
      </c>
      <c r="D84" s="290">
        <v>0</v>
      </c>
      <c r="E84" s="290">
        <v>0</v>
      </c>
      <c r="F84" s="290">
        <v>0</v>
      </c>
      <c r="G84" s="290">
        <v>0</v>
      </c>
      <c r="H84" s="290">
        <f>0.1*(K$9/2)</f>
        <v>30</v>
      </c>
      <c r="I84" s="290">
        <f>0.2*(K$9/2)</f>
        <v>60</v>
      </c>
      <c r="J84" s="290">
        <f>0.3*(K$9/2)</f>
        <v>90</v>
      </c>
      <c r="K84" s="290">
        <f>0.4*(K$9/2)</f>
        <v>120</v>
      </c>
      <c r="L84" s="290">
        <f>IF(L$74&lt;K$8+10,K$5,IF(L$74=K$8+10, (0.4*(K$9/2)),IF(L$74=K$8+11,(0.3*(K$9/2)),IF(L$74=K$8+12,(0.2*(K$9/2)),IF(L$74=K$8+13,(0.1*(K$9)/2),0)))))</f>
        <v>120</v>
      </c>
      <c r="M84" s="290">
        <f>IF(M$74&lt;K$8+10,K$5,IF(M$74=K$8+10, (0.4*(K$9/2)),IF(M$74=K$8+11,(0.3*(K$9/2)),IF(M$74=K$8+12,(0.2*(K$9/2)),IF(M$74=K$8+13,(0.1*(K$9)/2),0)))))</f>
        <v>90</v>
      </c>
      <c r="N84" s="290">
        <f>IF(N$74&lt;K$8+10,K$5,IF(N$74=K$8+10, (0.4*(K$9/2)),IF(N$74=K$8+11,(0.3*(K$9/2)),IF(N$74=K$8+12,(0.2*(K$9/2)),IF(N$74=K$8+13,(0.1*(K$9)/2),0)))))</f>
        <v>60</v>
      </c>
      <c r="O84" s="290">
        <f>IF(O$74&lt;K$8+10,K$5,IF(O$74=K$8+10, (0.4*(K$9/2)),IF(O$74=K$8+11,(0.3*(K$9/2)),IF(O$74=K$8+12,(0.2*(K$9/2)),IF(O$74=K$8+13,(0.1*(K$9)/2),0)))))</f>
        <v>30</v>
      </c>
      <c r="P84" s="290">
        <f>IF(P$74&lt;K$8+10,K$5,IF(P$74=K$8+10, (0.4*(K$9/2)),IF(P$74=K$8+11,(0.3*(K$9/2)),IF(P$74=K$8+12,(0.2*(K$9/2)),IF(P$74=K$8+13,(0.1*(K$9)/2),0)))))</f>
        <v>0</v>
      </c>
      <c r="Q84" s="290">
        <f>IF(Q$74&lt;K$8+10,K$5,IF(Q$74=K$8+10, (0.4*(K$9/2)),IF(Q$74=K$8+11,(0.3*(K$9/2)),IF(Q$74=K$8+12,(0.2*(K$9/2)),IF(Q$74=K$8+13,(0.1*(K$9)/2),0)))))</f>
        <v>0</v>
      </c>
      <c r="R84" s="290">
        <f>IF(R$74&lt;K$8+10,K$5,IF(R$74=K$8+10, (0.4*(K$9/2)),IF(R$74=K$8+11,(0.3*(K$9/2)),IF(R$74=K$8+12,(0.2*(K$9/2)),IF(R$74=K$8+13,(0.1*(K$9)/2),0)))))</f>
        <v>0</v>
      </c>
      <c r="S84" s="290">
        <f>IF(S$74&lt;K$8+10,K$5,IF(S$74=K$8+10, (0.4*(K$9/2)),IF(S$74=K$8+11,(0.3*(K$9/2)),IF(S$74=K$8+12,(0.2*(K$9/2)),IF(S$74=K$8+13,(0.1*(K$9)/2),0)))))</f>
        <v>0</v>
      </c>
      <c r="T84" s="290">
        <f>IF(T$74&lt;K$8+10,K$5,IF(T$74=K$8+10, (0.4*(K$9/2)),IF(T$74=K$8+11,(0.3*(K$9/2)),IF(T$74=K$8+12,(0.2*(K$9/2)),IF(T$74=K$8+13,(0.1*(K$9)/2),0)))))</f>
        <v>0</v>
      </c>
      <c r="U84" s="290">
        <f>IF(U$74&lt;K$8+10,K$5,IF(U$74=K$8+10, (0.4*(K$9/2)),IF(U$74=K$8+11,(0.3*(K$9/2)),IF(U$74=K$8+12,(0.2*(K$9/2)),IF(U$74=K$8+13,(0.1*(K$9)/2),0)))))</f>
        <v>0</v>
      </c>
      <c r="V84" s="290">
        <f>IF(V$74&lt;K$8+10,K$5,IF(V$74=K$8+10, (0.4*(K$9/2)),IF(V$74=K$8+11,(0.3*(K$9/2)),IF(V$74=K$8+12,(0.2*(K$9/2)),IF(V$74=K$8+13,(0.1*(K$9)/2),0)))))</f>
        <v>0</v>
      </c>
      <c r="W84" s="290">
        <f>IF(W$74&lt;K$8+10,K$5,IF(W$74=K$8+10, (0.4*(K$9/2)),IF(W$74=K$8+11,(0.3*(K$9/2)),IF(W$74=K$8+12,(0.2*(K$9/2)),IF(W$74=K$8+13,(0.1*(K$9)/2),0)))))</f>
        <v>0</v>
      </c>
      <c r="X84" s="290">
        <f>IF(X$74&lt;K$8+10,K$5,IF(X$74=K$8+10, (0.4*(K$9/2)),IF(X$74=K$8+11,(0.3*(K$9/2)),IF(X$74=K$8+12,(0.2*(K$9/2)),IF(X$74=K$8+13,(0.1*(K$9)/2),0)))))</f>
        <v>0</v>
      </c>
      <c r="Y84" s="290">
        <f>IF(Y$74&lt;K$8+10,K$5,IF(Y$74=K$8+10, (0.4*(K$9/2)),IF(Y$74=K$8+11,(0.3*(K$9/2)),IF(Y$74=K$8+12,(0.2*(K$9/2)),IF(Y$74=K$8+13,(0.1*(K$9)/2),0)))))</f>
        <v>0</v>
      </c>
      <c r="Z84" s="290">
        <f>IF(Z$74&lt;K$8+10,K$5,IF(Z$74=K$8+10, (0.4*(K$9/2)),IF(Z$74=K$8+11,(0.3*(K$9/2)),IF(Z$74=K$8+12,(0.2*(K$9/2)),IF(Z$74=K$8+13,(0.1*(K$9)/2),0)))))</f>
        <v>0</v>
      </c>
      <c r="AA84" s="290">
        <f>IF(AA$74&lt;K$8+10,K$5,IF(AA$74=K$8+10, (0.4*(K$9/2)),IF(AA$74=K$8+11,(0.3*(K$9/2)),IF(AA$74=K$8+12,(0.2*(K$9/2)),IF(AA$74=K$8+13,(0.1*(K$9)/2),0)))))</f>
        <v>0</v>
      </c>
      <c r="AB84" s="290">
        <f>IF(AB$74&lt;K$8+10,K$5,IF(AB$74=K$8+10, (0.4*(K$9/2)),IF(AB$74=K$8+11,(0.3*(K$9/2)),IF(AB$74=K$8+12,(0.2*(K$9/2)),IF(AB$74=K$8+13,(0.1*(K$9)/2),0)))))</f>
        <v>0</v>
      </c>
      <c r="AC84" s="290">
        <f>IF(AC$74&lt;K$8+10,K$5,IF(AC$74=K$8+10, (0.4*(K$9/2)),IF(AC$74=K$8+11,(0.3*(K$9/2)),IF(AC$74=K$8+12,(0.2*(K$9/2)),IF(AC$74=K$8+13,(0.1*(K$9)/2),0)))))</f>
        <v>0</v>
      </c>
      <c r="AD84" s="290">
        <f>IF(AD$74&lt;K$8+10,K$5,IF(AD$74=K$8+10, (0.4*(K$9/2)),IF(AD$74=K$8+11,(0.3*(K$9/2)),IF(AD$74=K$8+12,(0.2*(K$9/2)),IF(AD$74=K$8+13,(0.1*(K$9)/2),0)))))</f>
        <v>0</v>
      </c>
      <c r="AE84" s="290">
        <f>IF(AE$74&lt;K$8+10,K$5,IF(AE$74=K$8+10, (0.4*(K$9/2)),IF(AE$74=K$8+11,(0.3*(K$9/2)),IF(AE$74=K$8+12,(0.2*(K$9/2)),IF(AE$74=K$8+13,(0.1*(K$9)/2),0)))))</f>
        <v>0</v>
      </c>
      <c r="AF84" s="290">
        <f>IF(AF$74&lt;K$8+10,K$5,IF(AF$74=K$8+10, (0.4*(K$9/2)),IF(AF$74=K$8+11,(0.3*(K$9/2)),IF(AF$74=K$8+12,(0.2*(K$9/2)),IF(AF$74=K$8+13,(0.1*(K$9)/2),0)))))</f>
        <v>0</v>
      </c>
      <c r="AG84" s="290">
        <f>IF(AG$74&lt;K$8+10,K$5,IF(AG$74=K$8+10, (0.4*(K$9/2)),IF(AG$74=K$8+11,(0.3*(K$9/2)),IF(AG$74=K$8+12,(0.2*(K$9/2)),IF(AG$74=K$8+13,(0.1*(K$9)/2),0)))))</f>
        <v>0</v>
      </c>
      <c r="AH84" s="290">
        <f>IF(AH$74&lt;K$8+10,K$5,IF(AH$74=K$8+10, (0.4*(K$9/2)),IF(AH$74=K$8+11,(0.3*(K$9/2)),IF(AH$74=K$8+12,(0.2*(K$9/2)),IF(AH$74=K$8+13,(0.1*(K$9)/2),0)))))</f>
        <v>0</v>
      </c>
      <c r="AI84" s="290">
        <f>IF(AI$74&lt;K$8+10,K$5,IF(AI$74=K$8+10, (0.4*(K$9/2)),IF(AI$74=K$8+11,(0.3*(K$9/2)),IF(AI$74=K$8+12,(0.2*(K$9/2)),IF(AI$74=K$8+13,(0.1*(K$9)/2),0)))))</f>
        <v>0</v>
      </c>
      <c r="AJ84" s="290">
        <f>IF(AJ$74&lt;K$8+10,K$5,IF(AJ$74=K$8+10, (0.4*(K$9/2)),IF(AJ$74=K$8+11,(0.3*(K$9/2)),IF(AJ$74=K$8+12,(0.2*(K$9/2)),IF(AJ$74=K$8+13,(0.1*(K$9)/2),0)))))</f>
        <v>0</v>
      </c>
      <c r="AK84" s="290">
        <f>IF(AK$74&lt;K$8+10,K$5,IF(AK$74=K$8+10, (0.4*(K$9/2)),IF(AK$74=K$8+11,(0.3*(K$9/2)),IF(AK$74=K$8+12,(0.2*(K$9/2)),IF(AK$74=K$8+13,(0.1*(K$9)/2),0)))))</f>
        <v>0</v>
      </c>
      <c r="AL84" s="290">
        <f>IF(AL$74&lt;K$8+10,K$5,IF(AL$74=K$8+10, (0.4*(K$9/2)),IF(AL$74=K$8+11,(0.3*(K$9/2)),IF(AL$74=K$8+12,(0.2*(K$9/2)),IF(AL$74=K$8+13,(0.1*(K$9)/2),0)))))</f>
        <v>0</v>
      </c>
      <c r="AM84" s="290">
        <f>IF(AM$74&lt;K$8+10,K$5,IF(AM$74=K$8+10, (0.4*(K$9/2)),IF(AM$74=K$8+11,(0.3*(K$9/2)),IF(AM$74=K$8+12,(0.2*(K$9/2)),IF(AM$74=K$8+13,(0.1*(K$9)/2),0)))))</f>
        <v>0</v>
      </c>
      <c r="AN84" s="290">
        <f>IF(AN$74&lt;K$8+10,K$5,IF(AN$74=K$8+10, (0.4*(K$9/2)),IF(AN$74=K$8+11,(0.3*(K$9/2)),IF(AN$74=K$8+12,(0.2*(K$9/2)),IF(AN$74=K$8+13,(0.1*(K$9)/2),0)))))</f>
        <v>0</v>
      </c>
      <c r="AO84" s="290">
        <f>IF(AO$74&lt;K$8+10,K$5,IF(AO$74=K$8+10, (0.4*(K$9/2)),IF(AO$74=K$8+11,(0.3*(K$9/2)),IF(AO$74=K$8+12,(0.2*(K$9/2)),IF(AO$74=K$8+13,(0.1*(K$9)/2),0)))))</f>
        <v>0</v>
      </c>
      <c r="AP84" s="290">
        <f>IF(AP$74&lt;K$8+10,K$5,IF(AP$74=K$8+10, (0.4*(K$9/2)),IF(AP$74=K$8+11,(0.3*(K$9/2)),IF(AP$74=K$8+12,(0.2*(K$9/2)),IF(AP$74=K$8+13,(0.1*(K$9)/2),0)))))</f>
        <v>0</v>
      </c>
      <c r="AQ84" s="290">
        <f>IF(AQ$74&lt;K$8+10,K$5,IF(AQ$74=K$8+10, (0.4*(K$9/2)),IF(AQ$74=K$8+11,(0.3*(K$9/2)),IF(AQ$74=K$8+12,(0.2*(K$9/2)),IF(AQ$74=K$8+13,(0.1*(K$9)/2),0)))))</f>
        <v>0</v>
      </c>
      <c r="AR84" s="290">
        <f>IF(AR$74&lt;K$8+10,K$5,IF(AR$74=K$8+10, (0.4*(K$9/2)),IF(AR$74=K$8+11,(0.3*(K$9/2)),IF(AR$74=K$8+12,(0.2*(K$9/2)),IF(AR$74=K$8+13,(0.1*(K$9)/2),0)))))</f>
        <v>0</v>
      </c>
      <c r="AS84" s="290">
        <f>IF(AS$74&lt;K$8+10,K$5,IF(AS$74=K$8+10, (0.4*(K$9/2)),IF(AS$74=K$8+11,(0.3*(K$9/2)),IF(AS$74=K$8+12,(0.2*(K$9/2)),IF(AS$74=K$8+13,(0.1*(K$9)/2),0)))))</f>
        <v>0</v>
      </c>
      <c r="AT84" s="290">
        <f>IF(AT$74&lt;K$8+10,K$5,IF(AT$74=K$8+10, (0.4*(K$9/2)),IF(AT$74=K$8+11,(0.3*(K$9/2)),IF(AT$74=K$8+12,(0.2*(K$9/2)),IF(AT$74=K$8+13,(0.1*(K$9)/2),0)))))</f>
        <v>0</v>
      </c>
      <c r="AU84" s="290">
        <f>IF(AU$74&lt;K$8+10,K$5,IF(AU$74=K$8+10, (0.4*(K$9/2)),IF(AU$74=K$8+11,(0.3*(K$9/2)),IF(AU$74=K$8+12,(0.2*(K$9/2)),IF(AU$74=K$8+13,(0.1*(K$9)/2),0)))))</f>
        <v>0</v>
      </c>
      <c r="AV84" s="290">
        <f>IF(AV$74&lt;K$8+10,K$5,IF(AV$74=K$8+10, (0.4*(K$9/2)),IF(AV$74=K$8+11,(0.3*(K$9/2)),IF(AV$74=K$8+12,(0.2*(K$9/2)),IF(AV$74=K$8+13,(0.1*(K$9)/2),0)))))</f>
        <v>0</v>
      </c>
      <c r="AW84" s="290">
        <f>IF(AW$74&lt;K$8+10,K$5,IF(AW$74=K$8+10, (0.4*(K$9/2)),IF(AW$74=K$8+11,(0.3*(K$9/2)),IF(AW$74=K$8+12,(0.2*(K$9/2)),IF(AW$74=K$8+13,(0.1*(K$9)/2),0)))))</f>
        <v>0</v>
      </c>
      <c r="AX84" s="290">
        <f>IF(AX$74&lt;K$8+10,K$5,IF(AX$74=K$8+10, (0.4*(K$9/2)),IF(AX$74=K$8+11,(0.3*(K$9/2)),IF(AX$74=K$8+12,(0.2*(K$9/2)),IF(AX$74=K$8+13,(0.1*(K$9)/2),0)))))</f>
        <v>0</v>
      </c>
      <c r="AY84" s="290">
        <f>IF(AY$74&lt;K$8+10,K$5,IF(AY$74=K$8+10, (0.4*(K$9/2)),IF(AY$74=K$8+11,(0.3*(K$9/2)),IF(AY$74=K$8+12,(0.2*(K$9/2)),IF(AY$74=K$8+13,(0.1*(K$9)/2),0)))))</f>
        <v>0</v>
      </c>
      <c r="AZ84" s="290">
        <f>IF(AZ$74&lt;K$8+10,K$5,IF(AZ$74=K$8+10, (0.4*(K$9/2)),IF(AZ$74=K$8+11,(0.3*(K$9/2)),IF(AZ$74=K$8+12,(0.2*(K$9/2)),IF(AZ$74=K$8+13,(0.1*(K$9)/2),0)))))</f>
        <v>0</v>
      </c>
      <c r="BA84" s="290">
        <f>IF(BA$74&lt;K$8+10,K$5,IF(BA$74=K$8+10, (0.4*(K$9/2)),IF(BA$74=K$8+11,(0.3*(K$9/2)),IF(BA$74=K$8+12,(0.2*(K$9/2)),IF(BA$74=K$8+13,(0.1*(K$9)/2),0)))))</f>
        <v>0</v>
      </c>
      <c r="BB84" s="290">
        <f>IF(BB$74&lt;K$8+10,K$5,IF(BB$74=K$8+10, (0.4*(K$9/2)),IF(BB$74=K$8+11,(0.3*(K$9/2)),IF(BB$74=K$8+12,(0.2*(K$9/2)),IF(BB$74=K$8+13,(0.1*(K$9)/2),0)))))</f>
        <v>0</v>
      </c>
      <c r="BC84" s="290">
        <f>IF(BC$74&lt;K$8+10,K$5,IF(BC$74=K$8+10, (0.4*(K$9/2)),IF(BC$74=K$8+11,(0.3*(K$9/2)),IF(BC$74=K$8+12,(0.2*(K$9/2)),IF(BC$74=K$8+13,(0.1*(K$9)/2),0)))))</f>
        <v>0</v>
      </c>
      <c r="BD84" s="290">
        <f>IF(BD$74&lt;K$8+10,K$5,IF(BD$74=K$8+10, (0.4*(K$9/2)),IF(BD$74=K$8+11,(0.3*(K$9/2)),IF(BD$74=K$8+12,(0.2*(K$9/2)),IF(BD$74=K$8+13,(0.1*(K$9)/2),0)))))</f>
        <v>0</v>
      </c>
      <c r="BE84" s="290">
        <f>IF(BE$74&lt;K$8+10,K$5,IF(BE$74=K$8+10, (0.4*(K$9/2)),IF(BE$74=K$8+11,(0.3*(K$9/2)),IF(BE$74=K$8+12,(0.2*(K$9/2)),IF(BE$74=K$8+13,(0.1*(K$9)/2),0)))))</f>
        <v>0</v>
      </c>
      <c r="BF84" s="290">
        <f>IF(BF$74&lt;K$8+10,K$5,IF(BF$74=K$8+10, (0.4*(K$9/2)),IF(BF$74=K$8+11,(0.3*(K$9/2)),IF(BF$74=K$8+12,(0.2*(K$9/2)),IF(BF$74=K$8+13,(0.1*(K$9)/2),0)))))</f>
        <v>0</v>
      </c>
      <c r="BG84" s="290">
        <f>IF(BG$74&lt;K$8+10,K$5,IF(BG$74=K$8+10, (0.4*(K$9/2)),IF(BG$74=K$8+11,(0.3*(K$9/2)),IF(BG$74=K$8+12,(0.2*(K$9/2)),IF(BG$74=K$8+13,(0.1*(K$9)/2),0)))))</f>
        <v>0</v>
      </c>
      <c r="BH84" s="290">
        <f>IF(BH$74&lt;K$8+10,K$5,IF(BH$74=K$8+10, (0.4*(K$9/2)),IF(BH$74=K$8+11,(0.3*(K$9/2)),IF(BH$74=K$8+12,(0.2*(K$9/2)),IF(BH$74=K$8+13,(0.1*(K$9)/2),0)))))</f>
        <v>0</v>
      </c>
      <c r="BI84" s="290">
        <f>IF(BI$74&lt;K$8+10,K$5,IF(BI$74=K$8+10, (0.4*(K$9/2)),IF(BI$74=K$8+11,(0.3*(K$9/2)),IF(BI$74=K$8+12,(0.2*(K$9/2)),IF(BI$74=K$8+13,(0.1*(K$9)/2),0)))))</f>
        <v>0</v>
      </c>
      <c r="BJ84" s="290">
        <f>IF(BJ$74&lt;K$8+10,K$5,IF(BJ$74=K$8+10, (0.4*(K$9/2)),IF(BJ$74=K$8+11,(0.3*(K$9/2)),IF(BJ$74=K$8+12,(0.2*(K$9/2)),IF(BJ$74=K$8+13,(0.1*(K$9)/2),0)))))</f>
        <v>0</v>
      </c>
    </row>
    <row r="85" spans="1:62">
      <c r="A85" s="293"/>
      <c r="B85" s="267"/>
      <c r="C85" s="290"/>
      <c r="D85" s="290"/>
      <c r="E85" s="290"/>
      <c r="F85" s="290"/>
      <c r="G85" s="290"/>
      <c r="H85" s="290"/>
      <c r="I85" s="290"/>
      <c r="J85" s="290"/>
      <c r="K85" s="290"/>
      <c r="L85" s="290"/>
      <c r="M85" s="290"/>
      <c r="N85" s="290"/>
      <c r="O85" s="290"/>
      <c r="P85" s="290"/>
      <c r="Q85" s="290"/>
      <c r="R85" s="290"/>
      <c r="S85" s="290"/>
      <c r="T85" s="290"/>
      <c r="U85" s="290"/>
      <c r="V85" s="290"/>
      <c r="W85" s="290"/>
      <c r="X85" s="290"/>
      <c r="Y85" s="290"/>
      <c r="Z85" s="290"/>
      <c r="AA85" s="290"/>
      <c r="AB85" s="290"/>
      <c r="AC85" s="290"/>
      <c r="AD85" s="290"/>
      <c r="AE85" s="290"/>
      <c r="AF85" s="290"/>
      <c r="AG85" s="290"/>
      <c r="AH85" s="290"/>
      <c r="AI85" s="290"/>
      <c r="AJ85" s="290"/>
      <c r="AK85" s="290"/>
      <c r="AL85" s="290"/>
      <c r="AM85" s="290"/>
      <c r="AN85" s="290"/>
      <c r="AO85" s="290"/>
      <c r="AP85" s="290"/>
      <c r="AQ85" s="290"/>
      <c r="AR85" s="290"/>
      <c r="AS85" s="290"/>
      <c r="AT85" s="290"/>
      <c r="AU85" s="290"/>
      <c r="AV85" s="290"/>
      <c r="AW85" s="290"/>
      <c r="AX85" s="290"/>
      <c r="AY85" s="290"/>
      <c r="AZ85" s="290"/>
      <c r="BA85" s="290"/>
      <c r="BB85" s="290"/>
      <c r="BC85" s="290"/>
      <c r="BD85" s="290"/>
      <c r="BE85" s="290"/>
      <c r="BF85" s="290"/>
      <c r="BG85" s="290"/>
      <c r="BH85" s="290"/>
      <c r="BI85" s="290"/>
      <c r="BJ85" s="290"/>
    </row>
    <row r="86" spans="1:62" ht="18.75">
      <c r="A86" s="289" t="s">
        <v>213</v>
      </c>
      <c r="B86" s="267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  <c r="Q86" s="290"/>
      <c r="R86" s="290"/>
      <c r="S86" s="290"/>
      <c r="T86" s="290"/>
      <c r="U86" s="290"/>
      <c r="V86" s="290"/>
      <c r="W86" s="290"/>
      <c r="X86" s="290"/>
      <c r="Y86" s="290"/>
      <c r="Z86" s="290"/>
      <c r="AA86" s="290"/>
      <c r="AB86" s="290"/>
      <c r="AC86" s="290"/>
      <c r="AD86" s="290"/>
      <c r="AE86" s="290"/>
      <c r="AF86" s="290"/>
      <c r="AG86" s="290"/>
      <c r="AH86" s="290"/>
      <c r="AI86" s="290"/>
      <c r="AJ86" s="290"/>
      <c r="AK86" s="290"/>
      <c r="AL86" s="290"/>
      <c r="AM86" s="290"/>
      <c r="AN86" s="290"/>
      <c r="AO86" s="290"/>
      <c r="AP86" s="290"/>
      <c r="AQ86" s="290"/>
      <c r="AR86" s="290"/>
      <c r="AS86" s="290"/>
      <c r="AT86" s="290"/>
      <c r="AU86" s="290"/>
      <c r="AV86" s="290"/>
      <c r="AW86" s="290"/>
      <c r="AX86" s="290"/>
      <c r="AY86" s="290"/>
      <c r="AZ86" s="290"/>
      <c r="BA86" s="290"/>
      <c r="BB86" s="290"/>
      <c r="BC86" s="290"/>
      <c r="BD86" s="290"/>
      <c r="BE86" s="290"/>
      <c r="BF86" s="290"/>
      <c r="BG86" s="290"/>
      <c r="BH86" s="290"/>
      <c r="BI86" s="290"/>
      <c r="BJ86" s="290"/>
    </row>
    <row r="87" spans="1:62">
      <c r="A87" s="17" t="s">
        <v>215</v>
      </c>
      <c r="B87" s="292" t="s">
        <v>166</v>
      </c>
      <c r="C87" s="267">
        <f t="shared" ref="C87:BJ97" si="35">C74</f>
        <v>1</v>
      </c>
      <c r="D87" s="267">
        <f t="shared" si="35"/>
        <v>2</v>
      </c>
      <c r="E87" s="267">
        <f t="shared" si="35"/>
        <v>3</v>
      </c>
      <c r="F87" s="267">
        <f t="shared" si="35"/>
        <v>4</v>
      </c>
      <c r="G87" s="267">
        <f t="shared" si="35"/>
        <v>5</v>
      </c>
      <c r="H87" s="267">
        <f t="shared" si="35"/>
        <v>6</v>
      </c>
      <c r="I87" s="267">
        <f t="shared" si="35"/>
        <v>7</v>
      </c>
      <c r="J87" s="267">
        <f t="shared" si="35"/>
        <v>8</v>
      </c>
      <c r="K87" s="267">
        <f t="shared" si="35"/>
        <v>9</v>
      </c>
      <c r="L87" s="267">
        <f t="shared" si="35"/>
        <v>10</v>
      </c>
      <c r="M87" s="267">
        <f t="shared" si="35"/>
        <v>11</v>
      </c>
      <c r="N87" s="267">
        <f t="shared" si="35"/>
        <v>12</v>
      </c>
      <c r="O87" s="267">
        <f t="shared" si="35"/>
        <v>13</v>
      </c>
      <c r="P87" s="267">
        <f t="shared" si="35"/>
        <v>14</v>
      </c>
      <c r="Q87" s="267">
        <f t="shared" si="35"/>
        <v>15</v>
      </c>
      <c r="R87" s="267">
        <f t="shared" si="35"/>
        <v>16</v>
      </c>
      <c r="S87" s="267">
        <f t="shared" si="35"/>
        <v>17</v>
      </c>
      <c r="T87" s="267">
        <f t="shared" si="35"/>
        <v>18</v>
      </c>
      <c r="U87" s="267">
        <f t="shared" si="35"/>
        <v>19</v>
      </c>
      <c r="V87" s="267">
        <f t="shared" si="35"/>
        <v>20</v>
      </c>
      <c r="W87" s="267">
        <f t="shared" si="35"/>
        <v>21</v>
      </c>
      <c r="X87" s="267">
        <f t="shared" si="35"/>
        <v>22</v>
      </c>
      <c r="Y87" s="267">
        <f t="shared" si="35"/>
        <v>23</v>
      </c>
      <c r="Z87" s="267">
        <f t="shared" si="35"/>
        <v>24</v>
      </c>
      <c r="AA87" s="267">
        <f t="shared" si="35"/>
        <v>25</v>
      </c>
      <c r="AB87" s="267">
        <f t="shared" si="35"/>
        <v>26</v>
      </c>
      <c r="AC87" s="267">
        <f t="shared" si="35"/>
        <v>27</v>
      </c>
      <c r="AD87" s="267">
        <f t="shared" si="35"/>
        <v>28</v>
      </c>
      <c r="AE87" s="267">
        <f t="shared" si="35"/>
        <v>29</v>
      </c>
      <c r="AF87" s="267">
        <f t="shared" si="35"/>
        <v>30</v>
      </c>
      <c r="AG87" s="267">
        <f t="shared" si="35"/>
        <v>31</v>
      </c>
      <c r="AH87" s="267">
        <f t="shared" si="35"/>
        <v>32</v>
      </c>
      <c r="AI87" s="267">
        <f t="shared" si="35"/>
        <v>33</v>
      </c>
      <c r="AJ87" s="267">
        <f t="shared" si="35"/>
        <v>34</v>
      </c>
      <c r="AK87" s="267">
        <f t="shared" si="35"/>
        <v>35</v>
      </c>
      <c r="AL87" s="267">
        <f t="shared" si="35"/>
        <v>36</v>
      </c>
      <c r="AM87" s="267">
        <f t="shared" si="35"/>
        <v>37</v>
      </c>
      <c r="AN87" s="267">
        <f t="shared" si="35"/>
        <v>38</v>
      </c>
      <c r="AO87" s="267">
        <f t="shared" si="35"/>
        <v>39</v>
      </c>
      <c r="AP87" s="267">
        <f t="shared" si="35"/>
        <v>40</v>
      </c>
      <c r="AQ87" s="267">
        <f t="shared" si="35"/>
        <v>41</v>
      </c>
      <c r="AR87" s="267">
        <f t="shared" si="35"/>
        <v>42</v>
      </c>
      <c r="AS87" s="267">
        <f t="shared" si="35"/>
        <v>43</v>
      </c>
      <c r="AT87" s="267">
        <f t="shared" si="35"/>
        <v>44</v>
      </c>
      <c r="AU87" s="267">
        <f t="shared" si="35"/>
        <v>45</v>
      </c>
      <c r="AV87" s="267">
        <f t="shared" si="35"/>
        <v>46</v>
      </c>
      <c r="AW87" s="267">
        <f t="shared" si="35"/>
        <v>47</v>
      </c>
      <c r="AX87" s="267">
        <f t="shared" si="35"/>
        <v>48</v>
      </c>
      <c r="AY87" s="267">
        <f t="shared" si="35"/>
        <v>49</v>
      </c>
      <c r="AZ87" s="267">
        <f t="shared" si="35"/>
        <v>50</v>
      </c>
      <c r="BA87" s="267">
        <f t="shared" si="35"/>
        <v>51</v>
      </c>
      <c r="BB87" s="267">
        <f t="shared" si="35"/>
        <v>52</v>
      </c>
      <c r="BC87" s="267">
        <f t="shared" si="35"/>
        <v>53</v>
      </c>
      <c r="BD87" s="267">
        <f t="shared" si="35"/>
        <v>54</v>
      </c>
      <c r="BE87" s="267">
        <f t="shared" si="35"/>
        <v>55</v>
      </c>
      <c r="BF87" s="267">
        <f t="shared" si="35"/>
        <v>56</v>
      </c>
      <c r="BG87" s="267">
        <f t="shared" si="35"/>
        <v>57</v>
      </c>
      <c r="BH87" s="267">
        <f t="shared" si="35"/>
        <v>58</v>
      </c>
      <c r="BI87" s="267">
        <f t="shared" si="35"/>
        <v>59</v>
      </c>
      <c r="BJ87" s="267">
        <f t="shared" si="35"/>
        <v>60</v>
      </c>
    </row>
    <row r="88" spans="1:62">
      <c r="A88" s="282"/>
      <c r="B88" s="267">
        <v>1</v>
      </c>
      <c r="C88" s="290">
        <f t="shared" si="35"/>
        <v>0</v>
      </c>
      <c r="D88" s="290">
        <f t="shared" ref="D88:G97" si="36">C88+D75</f>
        <v>0</v>
      </c>
      <c r="E88" s="290">
        <f t="shared" si="36"/>
        <v>0</v>
      </c>
      <c r="F88" s="290">
        <f t="shared" si="36"/>
        <v>0</v>
      </c>
      <c r="G88" s="290">
        <f t="shared" si="36"/>
        <v>0</v>
      </c>
      <c r="H88" s="290">
        <f t="shared" ref="H88:BJ92" si="37">IF(H75=0,0,G88+H75)</f>
        <v>30</v>
      </c>
      <c r="I88" s="290">
        <f t="shared" si="37"/>
        <v>90</v>
      </c>
      <c r="J88" s="290">
        <f t="shared" si="37"/>
        <v>180</v>
      </c>
      <c r="K88" s="290">
        <f t="shared" si="37"/>
        <v>300</v>
      </c>
      <c r="L88" s="290">
        <f t="shared" si="37"/>
        <v>420</v>
      </c>
      <c r="M88" s="290">
        <f t="shared" si="37"/>
        <v>510</v>
      </c>
      <c r="N88" s="290">
        <f t="shared" si="37"/>
        <v>570</v>
      </c>
      <c r="O88" s="290">
        <f t="shared" si="37"/>
        <v>600</v>
      </c>
      <c r="P88" s="290">
        <f t="shared" si="37"/>
        <v>0</v>
      </c>
      <c r="Q88" s="290">
        <f t="shared" si="37"/>
        <v>0</v>
      </c>
      <c r="R88" s="290">
        <f t="shared" si="37"/>
        <v>0</v>
      </c>
      <c r="S88" s="290">
        <f t="shared" si="37"/>
        <v>0</v>
      </c>
      <c r="T88" s="290">
        <f t="shared" si="37"/>
        <v>0</v>
      </c>
      <c r="U88" s="290">
        <f t="shared" si="37"/>
        <v>0</v>
      </c>
      <c r="V88" s="290">
        <f t="shared" si="37"/>
        <v>0</v>
      </c>
      <c r="W88" s="290">
        <f t="shared" si="37"/>
        <v>0</v>
      </c>
      <c r="X88" s="290">
        <f t="shared" si="37"/>
        <v>0</v>
      </c>
      <c r="Y88" s="290">
        <f t="shared" si="37"/>
        <v>0</v>
      </c>
      <c r="Z88" s="290">
        <f t="shared" si="37"/>
        <v>0</v>
      </c>
      <c r="AA88" s="290">
        <f t="shared" si="37"/>
        <v>0</v>
      </c>
      <c r="AB88" s="290">
        <f t="shared" si="37"/>
        <v>0</v>
      </c>
      <c r="AC88" s="290">
        <f t="shared" si="37"/>
        <v>0</v>
      </c>
      <c r="AD88" s="290">
        <f t="shared" si="37"/>
        <v>0</v>
      </c>
      <c r="AE88" s="290">
        <f t="shared" si="37"/>
        <v>0</v>
      </c>
      <c r="AF88" s="290">
        <f t="shared" si="37"/>
        <v>0</v>
      </c>
      <c r="AG88" s="290">
        <f t="shared" si="37"/>
        <v>0</v>
      </c>
      <c r="AH88" s="290">
        <f t="shared" si="37"/>
        <v>0</v>
      </c>
      <c r="AI88" s="290">
        <f t="shared" si="37"/>
        <v>0</v>
      </c>
      <c r="AJ88" s="290">
        <f t="shared" si="37"/>
        <v>0</v>
      </c>
      <c r="AK88" s="290">
        <f t="shared" si="37"/>
        <v>0</v>
      </c>
      <c r="AL88" s="290">
        <f t="shared" si="37"/>
        <v>0</v>
      </c>
      <c r="AM88" s="290">
        <f t="shared" si="37"/>
        <v>0</v>
      </c>
      <c r="AN88" s="290">
        <f t="shared" si="37"/>
        <v>0</v>
      </c>
      <c r="AO88" s="290">
        <f t="shared" si="37"/>
        <v>0</v>
      </c>
      <c r="AP88" s="290">
        <f t="shared" si="37"/>
        <v>0</v>
      </c>
      <c r="AQ88" s="290">
        <f t="shared" si="37"/>
        <v>0</v>
      </c>
      <c r="AR88" s="290">
        <f t="shared" si="37"/>
        <v>0</v>
      </c>
      <c r="AS88" s="290">
        <f t="shared" si="37"/>
        <v>0</v>
      </c>
      <c r="AT88" s="290">
        <f t="shared" si="37"/>
        <v>0</v>
      </c>
      <c r="AU88" s="290">
        <f t="shared" si="37"/>
        <v>0</v>
      </c>
      <c r="AV88" s="290">
        <f t="shared" si="37"/>
        <v>0</v>
      </c>
      <c r="AW88" s="290">
        <f t="shared" si="37"/>
        <v>0</v>
      </c>
      <c r="AX88" s="290">
        <f t="shared" si="37"/>
        <v>0</v>
      </c>
      <c r="AY88" s="290">
        <f t="shared" si="37"/>
        <v>0</v>
      </c>
      <c r="AZ88" s="290">
        <f t="shared" si="37"/>
        <v>0</v>
      </c>
      <c r="BA88" s="290">
        <f t="shared" si="37"/>
        <v>0</v>
      </c>
      <c r="BB88" s="290">
        <f t="shared" si="37"/>
        <v>0</v>
      </c>
      <c r="BC88" s="290">
        <f t="shared" si="37"/>
        <v>0</v>
      </c>
      <c r="BD88" s="290">
        <f t="shared" si="37"/>
        <v>0</v>
      </c>
      <c r="BE88" s="290">
        <f t="shared" si="37"/>
        <v>0</v>
      </c>
      <c r="BF88" s="290">
        <f t="shared" si="37"/>
        <v>0</v>
      </c>
      <c r="BG88" s="290">
        <f t="shared" si="37"/>
        <v>0</v>
      </c>
      <c r="BH88" s="290">
        <f t="shared" si="37"/>
        <v>0</v>
      </c>
      <c r="BI88" s="290">
        <f t="shared" si="37"/>
        <v>0</v>
      </c>
      <c r="BJ88" s="290">
        <f t="shared" si="37"/>
        <v>0</v>
      </c>
    </row>
    <row r="89" spans="1:62">
      <c r="A89" s="282"/>
      <c r="B89" s="267">
        <v>2</v>
      </c>
      <c r="C89" s="290">
        <f t="shared" si="35"/>
        <v>0</v>
      </c>
      <c r="D89" s="290">
        <f t="shared" si="36"/>
        <v>0</v>
      </c>
      <c r="E89" s="290">
        <f t="shared" si="36"/>
        <v>0</v>
      </c>
      <c r="F89" s="290">
        <f t="shared" si="36"/>
        <v>0</v>
      </c>
      <c r="G89" s="290">
        <f t="shared" si="36"/>
        <v>0</v>
      </c>
      <c r="H89" s="290">
        <f t="shared" si="37"/>
        <v>30</v>
      </c>
      <c r="I89" s="290">
        <f t="shared" si="37"/>
        <v>90</v>
      </c>
      <c r="J89" s="290">
        <f t="shared" si="37"/>
        <v>180</v>
      </c>
      <c r="K89" s="290">
        <f t="shared" si="37"/>
        <v>300</v>
      </c>
      <c r="L89" s="290">
        <f t="shared" si="37"/>
        <v>420</v>
      </c>
      <c r="M89" s="290">
        <f t="shared" si="37"/>
        <v>510</v>
      </c>
      <c r="N89" s="290">
        <f t="shared" si="37"/>
        <v>570</v>
      </c>
      <c r="O89" s="290">
        <f t="shared" si="37"/>
        <v>600</v>
      </c>
      <c r="P89" s="290">
        <f t="shared" si="37"/>
        <v>0</v>
      </c>
      <c r="Q89" s="290">
        <f t="shared" si="37"/>
        <v>0</v>
      </c>
      <c r="R89" s="290">
        <f t="shared" si="37"/>
        <v>0</v>
      </c>
      <c r="S89" s="290">
        <f t="shared" si="37"/>
        <v>0</v>
      </c>
      <c r="T89" s="290">
        <f t="shared" si="37"/>
        <v>0</v>
      </c>
      <c r="U89" s="290">
        <f t="shared" si="37"/>
        <v>0</v>
      </c>
      <c r="V89" s="290">
        <f t="shared" si="37"/>
        <v>0</v>
      </c>
      <c r="W89" s="290">
        <f t="shared" si="37"/>
        <v>0</v>
      </c>
      <c r="X89" s="290">
        <f t="shared" si="37"/>
        <v>0</v>
      </c>
      <c r="Y89" s="290">
        <f t="shared" si="37"/>
        <v>0</v>
      </c>
      <c r="Z89" s="290">
        <f t="shared" si="37"/>
        <v>0</v>
      </c>
      <c r="AA89" s="290">
        <f t="shared" si="37"/>
        <v>0</v>
      </c>
      <c r="AB89" s="290">
        <f t="shared" si="37"/>
        <v>0</v>
      </c>
      <c r="AC89" s="290">
        <f t="shared" si="37"/>
        <v>0</v>
      </c>
      <c r="AD89" s="290">
        <f t="shared" si="37"/>
        <v>0</v>
      </c>
      <c r="AE89" s="290">
        <f t="shared" si="37"/>
        <v>0</v>
      </c>
      <c r="AF89" s="290">
        <f t="shared" si="37"/>
        <v>0</v>
      </c>
      <c r="AG89" s="290">
        <f t="shared" si="37"/>
        <v>0</v>
      </c>
      <c r="AH89" s="290">
        <f t="shared" si="37"/>
        <v>0</v>
      </c>
      <c r="AI89" s="290">
        <f t="shared" si="37"/>
        <v>0</v>
      </c>
      <c r="AJ89" s="290">
        <f t="shared" si="37"/>
        <v>0</v>
      </c>
      <c r="AK89" s="290">
        <f t="shared" si="37"/>
        <v>0</v>
      </c>
      <c r="AL89" s="290">
        <f t="shared" si="37"/>
        <v>0</v>
      </c>
      <c r="AM89" s="290">
        <f t="shared" si="37"/>
        <v>0</v>
      </c>
      <c r="AN89" s="290">
        <f t="shared" si="37"/>
        <v>0</v>
      </c>
      <c r="AO89" s="290">
        <f t="shared" si="37"/>
        <v>0</v>
      </c>
      <c r="AP89" s="290">
        <f t="shared" si="37"/>
        <v>0</v>
      </c>
      <c r="AQ89" s="290">
        <f t="shared" si="37"/>
        <v>0</v>
      </c>
      <c r="AR89" s="290">
        <f t="shared" si="37"/>
        <v>0</v>
      </c>
      <c r="AS89" s="290">
        <f t="shared" si="37"/>
        <v>0</v>
      </c>
      <c r="AT89" s="290">
        <f t="shared" si="37"/>
        <v>0</v>
      </c>
      <c r="AU89" s="290">
        <f t="shared" si="37"/>
        <v>0</v>
      </c>
      <c r="AV89" s="290">
        <f t="shared" si="37"/>
        <v>0</v>
      </c>
      <c r="AW89" s="290">
        <f t="shared" si="37"/>
        <v>0</v>
      </c>
      <c r="AX89" s="290">
        <f t="shared" si="37"/>
        <v>0</v>
      </c>
      <c r="AY89" s="290">
        <f t="shared" si="37"/>
        <v>0</v>
      </c>
      <c r="AZ89" s="290">
        <f t="shared" si="37"/>
        <v>0</v>
      </c>
      <c r="BA89" s="290">
        <f t="shared" si="37"/>
        <v>0</v>
      </c>
      <c r="BB89" s="290">
        <f t="shared" si="37"/>
        <v>0</v>
      </c>
      <c r="BC89" s="290">
        <f t="shared" si="37"/>
        <v>0</v>
      </c>
      <c r="BD89" s="290">
        <f t="shared" si="37"/>
        <v>0</v>
      </c>
      <c r="BE89" s="290">
        <f t="shared" si="37"/>
        <v>0</v>
      </c>
      <c r="BF89" s="290">
        <f t="shared" si="37"/>
        <v>0</v>
      </c>
      <c r="BG89" s="290">
        <f t="shared" si="37"/>
        <v>0</v>
      </c>
      <c r="BH89" s="290">
        <f t="shared" si="37"/>
        <v>0</v>
      </c>
      <c r="BI89" s="290">
        <f t="shared" si="37"/>
        <v>0</v>
      </c>
      <c r="BJ89" s="290">
        <f t="shared" si="37"/>
        <v>0</v>
      </c>
    </row>
    <row r="90" spans="1:62">
      <c r="A90" s="282"/>
      <c r="B90" s="267">
        <v>3</v>
      </c>
      <c r="C90" s="290">
        <f t="shared" si="35"/>
        <v>0</v>
      </c>
      <c r="D90" s="290">
        <f t="shared" si="36"/>
        <v>0</v>
      </c>
      <c r="E90" s="290">
        <f t="shared" si="36"/>
        <v>0</v>
      </c>
      <c r="F90" s="290">
        <f t="shared" si="36"/>
        <v>0</v>
      </c>
      <c r="G90" s="290">
        <f t="shared" si="36"/>
        <v>0</v>
      </c>
      <c r="H90" s="290">
        <f t="shared" si="37"/>
        <v>30</v>
      </c>
      <c r="I90" s="290">
        <f t="shared" si="37"/>
        <v>90</v>
      </c>
      <c r="J90" s="290">
        <f t="shared" si="37"/>
        <v>180</v>
      </c>
      <c r="K90" s="290">
        <f t="shared" si="37"/>
        <v>300</v>
      </c>
      <c r="L90" s="290">
        <f t="shared" si="37"/>
        <v>420</v>
      </c>
      <c r="M90" s="290">
        <f t="shared" si="37"/>
        <v>510</v>
      </c>
      <c r="N90" s="290">
        <f t="shared" si="37"/>
        <v>570</v>
      </c>
      <c r="O90" s="290">
        <f t="shared" si="37"/>
        <v>600</v>
      </c>
      <c r="P90" s="290">
        <f t="shared" si="37"/>
        <v>0</v>
      </c>
      <c r="Q90" s="290">
        <f t="shared" si="37"/>
        <v>0</v>
      </c>
      <c r="R90" s="290">
        <f t="shared" si="37"/>
        <v>0</v>
      </c>
      <c r="S90" s="290">
        <f t="shared" si="37"/>
        <v>0</v>
      </c>
      <c r="T90" s="290">
        <f t="shared" si="37"/>
        <v>0</v>
      </c>
      <c r="U90" s="290">
        <f t="shared" si="37"/>
        <v>0</v>
      </c>
      <c r="V90" s="290">
        <f t="shared" si="37"/>
        <v>0</v>
      </c>
      <c r="W90" s="290">
        <f t="shared" si="37"/>
        <v>0</v>
      </c>
      <c r="X90" s="290">
        <f t="shared" si="37"/>
        <v>0</v>
      </c>
      <c r="Y90" s="290">
        <f t="shared" si="37"/>
        <v>0</v>
      </c>
      <c r="Z90" s="290">
        <f t="shared" si="37"/>
        <v>0</v>
      </c>
      <c r="AA90" s="290">
        <f t="shared" si="37"/>
        <v>0</v>
      </c>
      <c r="AB90" s="290">
        <f t="shared" si="37"/>
        <v>0</v>
      </c>
      <c r="AC90" s="290">
        <f t="shared" si="37"/>
        <v>0</v>
      </c>
      <c r="AD90" s="290">
        <f t="shared" si="37"/>
        <v>0</v>
      </c>
      <c r="AE90" s="290">
        <f t="shared" si="37"/>
        <v>0</v>
      </c>
      <c r="AF90" s="290">
        <f t="shared" si="37"/>
        <v>0</v>
      </c>
      <c r="AG90" s="290">
        <f t="shared" si="37"/>
        <v>0</v>
      </c>
      <c r="AH90" s="290">
        <f t="shared" si="37"/>
        <v>0</v>
      </c>
      <c r="AI90" s="290">
        <f t="shared" si="37"/>
        <v>0</v>
      </c>
      <c r="AJ90" s="290">
        <f t="shared" si="37"/>
        <v>0</v>
      </c>
      <c r="AK90" s="290">
        <f t="shared" si="37"/>
        <v>0</v>
      </c>
      <c r="AL90" s="290">
        <f t="shared" si="37"/>
        <v>0</v>
      </c>
      <c r="AM90" s="290">
        <f t="shared" si="37"/>
        <v>0</v>
      </c>
      <c r="AN90" s="290">
        <f t="shared" si="37"/>
        <v>0</v>
      </c>
      <c r="AO90" s="290">
        <f t="shared" si="37"/>
        <v>0</v>
      </c>
      <c r="AP90" s="290">
        <f t="shared" si="37"/>
        <v>0</v>
      </c>
      <c r="AQ90" s="290">
        <f t="shared" si="37"/>
        <v>0</v>
      </c>
      <c r="AR90" s="290">
        <f t="shared" si="37"/>
        <v>0</v>
      </c>
      <c r="AS90" s="290">
        <f t="shared" si="37"/>
        <v>0</v>
      </c>
      <c r="AT90" s="290">
        <f t="shared" si="37"/>
        <v>0</v>
      </c>
      <c r="AU90" s="290">
        <f t="shared" si="37"/>
        <v>0</v>
      </c>
      <c r="AV90" s="290">
        <f t="shared" si="37"/>
        <v>0</v>
      </c>
      <c r="AW90" s="290">
        <f t="shared" si="37"/>
        <v>0</v>
      </c>
      <c r="AX90" s="290">
        <f t="shared" si="37"/>
        <v>0</v>
      </c>
      <c r="AY90" s="290">
        <f t="shared" si="37"/>
        <v>0</v>
      </c>
      <c r="AZ90" s="290">
        <f t="shared" si="37"/>
        <v>0</v>
      </c>
      <c r="BA90" s="290">
        <f t="shared" si="37"/>
        <v>0</v>
      </c>
      <c r="BB90" s="290">
        <f t="shared" si="37"/>
        <v>0</v>
      </c>
      <c r="BC90" s="290">
        <f t="shared" si="37"/>
        <v>0</v>
      </c>
      <c r="BD90" s="290">
        <f t="shared" si="37"/>
        <v>0</v>
      </c>
      <c r="BE90" s="290">
        <f t="shared" si="37"/>
        <v>0</v>
      </c>
      <c r="BF90" s="290">
        <f t="shared" si="37"/>
        <v>0</v>
      </c>
      <c r="BG90" s="290">
        <f t="shared" si="37"/>
        <v>0</v>
      </c>
      <c r="BH90" s="290">
        <f t="shared" si="37"/>
        <v>0</v>
      </c>
      <c r="BI90" s="290">
        <f t="shared" si="37"/>
        <v>0</v>
      </c>
      <c r="BJ90" s="290">
        <f t="shared" si="37"/>
        <v>0</v>
      </c>
    </row>
    <row r="91" spans="1:62">
      <c r="A91" s="282"/>
      <c r="B91" s="267">
        <v>4</v>
      </c>
      <c r="C91" s="290">
        <f t="shared" si="35"/>
        <v>0</v>
      </c>
      <c r="D91" s="290">
        <f t="shared" si="36"/>
        <v>0</v>
      </c>
      <c r="E91" s="290">
        <f t="shared" si="36"/>
        <v>0</v>
      </c>
      <c r="F91" s="290">
        <f t="shared" si="36"/>
        <v>0</v>
      </c>
      <c r="G91" s="290">
        <f t="shared" si="36"/>
        <v>0</v>
      </c>
      <c r="H91" s="290">
        <f t="shared" si="37"/>
        <v>30</v>
      </c>
      <c r="I91" s="290">
        <f t="shared" si="37"/>
        <v>90</v>
      </c>
      <c r="J91" s="290">
        <f t="shared" si="37"/>
        <v>180</v>
      </c>
      <c r="K91" s="290">
        <f t="shared" si="37"/>
        <v>300</v>
      </c>
      <c r="L91" s="290">
        <f t="shared" si="37"/>
        <v>420</v>
      </c>
      <c r="M91" s="290">
        <f t="shared" si="37"/>
        <v>510</v>
      </c>
      <c r="N91" s="290">
        <f t="shared" si="37"/>
        <v>570</v>
      </c>
      <c r="O91" s="290">
        <f t="shared" si="37"/>
        <v>600</v>
      </c>
      <c r="P91" s="290">
        <f t="shared" si="37"/>
        <v>0</v>
      </c>
      <c r="Q91" s="290">
        <f t="shared" si="37"/>
        <v>0</v>
      </c>
      <c r="R91" s="290">
        <f t="shared" si="37"/>
        <v>0</v>
      </c>
      <c r="S91" s="290">
        <f t="shared" si="37"/>
        <v>0</v>
      </c>
      <c r="T91" s="290">
        <f t="shared" si="37"/>
        <v>0</v>
      </c>
      <c r="U91" s="290">
        <f t="shared" si="37"/>
        <v>0</v>
      </c>
      <c r="V91" s="290">
        <f t="shared" si="37"/>
        <v>0</v>
      </c>
      <c r="W91" s="290">
        <f t="shared" si="37"/>
        <v>0</v>
      </c>
      <c r="X91" s="290">
        <f t="shared" si="37"/>
        <v>0</v>
      </c>
      <c r="Y91" s="290">
        <f t="shared" si="37"/>
        <v>0</v>
      </c>
      <c r="Z91" s="290">
        <f t="shared" si="37"/>
        <v>0</v>
      </c>
      <c r="AA91" s="290">
        <f t="shared" si="37"/>
        <v>0</v>
      </c>
      <c r="AB91" s="290">
        <f t="shared" si="37"/>
        <v>0</v>
      </c>
      <c r="AC91" s="290">
        <f t="shared" si="37"/>
        <v>0</v>
      </c>
      <c r="AD91" s="290">
        <f t="shared" si="37"/>
        <v>0</v>
      </c>
      <c r="AE91" s="290">
        <f t="shared" si="37"/>
        <v>0</v>
      </c>
      <c r="AF91" s="290">
        <f t="shared" si="37"/>
        <v>0</v>
      </c>
      <c r="AG91" s="290">
        <f t="shared" si="37"/>
        <v>0</v>
      </c>
      <c r="AH91" s="290">
        <f t="shared" si="37"/>
        <v>0</v>
      </c>
      <c r="AI91" s="290">
        <f t="shared" si="37"/>
        <v>0</v>
      </c>
      <c r="AJ91" s="290">
        <f t="shared" si="37"/>
        <v>0</v>
      </c>
      <c r="AK91" s="290">
        <f t="shared" si="37"/>
        <v>0</v>
      </c>
      <c r="AL91" s="290">
        <f t="shared" si="37"/>
        <v>0</v>
      </c>
      <c r="AM91" s="290">
        <f t="shared" si="37"/>
        <v>0</v>
      </c>
      <c r="AN91" s="290">
        <f t="shared" si="37"/>
        <v>0</v>
      </c>
      <c r="AO91" s="290">
        <f t="shared" si="37"/>
        <v>0</v>
      </c>
      <c r="AP91" s="290">
        <f t="shared" si="37"/>
        <v>0</v>
      </c>
      <c r="AQ91" s="290">
        <f t="shared" si="37"/>
        <v>0</v>
      </c>
      <c r="AR91" s="290">
        <f t="shared" si="37"/>
        <v>0</v>
      </c>
      <c r="AS91" s="290">
        <f t="shared" si="37"/>
        <v>0</v>
      </c>
      <c r="AT91" s="290">
        <f t="shared" si="37"/>
        <v>0</v>
      </c>
      <c r="AU91" s="290">
        <f t="shared" si="37"/>
        <v>0</v>
      </c>
      <c r="AV91" s="290">
        <f t="shared" si="37"/>
        <v>0</v>
      </c>
      <c r="AW91" s="290">
        <f t="shared" si="37"/>
        <v>0</v>
      </c>
      <c r="AX91" s="290">
        <f t="shared" si="37"/>
        <v>0</v>
      </c>
      <c r="AY91" s="290">
        <f t="shared" si="37"/>
        <v>0</v>
      </c>
      <c r="AZ91" s="290">
        <f t="shared" si="37"/>
        <v>0</v>
      </c>
      <c r="BA91" s="290">
        <f t="shared" si="37"/>
        <v>0</v>
      </c>
      <c r="BB91" s="290">
        <f t="shared" si="37"/>
        <v>0</v>
      </c>
      <c r="BC91" s="290">
        <f t="shared" si="37"/>
        <v>0</v>
      </c>
      <c r="BD91" s="290">
        <f t="shared" si="37"/>
        <v>0</v>
      </c>
      <c r="BE91" s="290">
        <f t="shared" si="37"/>
        <v>0</v>
      </c>
      <c r="BF91" s="290">
        <f t="shared" si="37"/>
        <v>0</v>
      </c>
      <c r="BG91" s="290">
        <f t="shared" si="37"/>
        <v>0</v>
      </c>
      <c r="BH91" s="290">
        <f t="shared" si="37"/>
        <v>0</v>
      </c>
      <c r="BI91" s="290">
        <f t="shared" si="37"/>
        <v>0</v>
      </c>
      <c r="BJ91" s="290">
        <f t="shared" si="37"/>
        <v>0</v>
      </c>
    </row>
    <row r="92" spans="1:62">
      <c r="A92" s="282"/>
      <c r="B92" s="267">
        <v>5</v>
      </c>
      <c r="C92" s="290">
        <f t="shared" si="35"/>
        <v>0</v>
      </c>
      <c r="D92" s="290">
        <f t="shared" si="36"/>
        <v>0</v>
      </c>
      <c r="E92" s="290">
        <f t="shared" si="36"/>
        <v>0</v>
      </c>
      <c r="F92" s="290">
        <f t="shared" si="36"/>
        <v>0</v>
      </c>
      <c r="G92" s="290">
        <f t="shared" si="36"/>
        <v>0</v>
      </c>
      <c r="H92" s="290">
        <f t="shared" si="37"/>
        <v>30</v>
      </c>
      <c r="I92" s="290">
        <f t="shared" si="37"/>
        <v>90</v>
      </c>
      <c r="J92" s="290">
        <f t="shared" si="37"/>
        <v>180</v>
      </c>
      <c r="K92" s="290">
        <f t="shared" si="37"/>
        <v>300</v>
      </c>
      <c r="L92" s="290">
        <f t="shared" si="37"/>
        <v>420</v>
      </c>
      <c r="M92" s="290">
        <f t="shared" si="37"/>
        <v>510</v>
      </c>
      <c r="N92" s="290">
        <f t="shared" si="37"/>
        <v>570</v>
      </c>
      <c r="O92" s="290">
        <f t="shared" si="37"/>
        <v>600</v>
      </c>
      <c r="P92" s="290">
        <f t="shared" si="37"/>
        <v>0</v>
      </c>
      <c r="Q92" s="290">
        <f t="shared" si="37"/>
        <v>0</v>
      </c>
      <c r="R92" s="290">
        <f t="shared" si="37"/>
        <v>0</v>
      </c>
      <c r="S92" s="290">
        <f t="shared" si="37"/>
        <v>0</v>
      </c>
      <c r="T92" s="290">
        <f t="shared" si="37"/>
        <v>0</v>
      </c>
      <c r="U92" s="290">
        <f t="shared" si="37"/>
        <v>0</v>
      </c>
      <c r="V92" s="290">
        <f t="shared" si="37"/>
        <v>0</v>
      </c>
      <c r="W92" s="290">
        <f t="shared" si="37"/>
        <v>0</v>
      </c>
      <c r="X92" s="290">
        <f t="shared" si="37"/>
        <v>0</v>
      </c>
      <c r="Y92" s="290">
        <f t="shared" si="37"/>
        <v>0</v>
      </c>
      <c r="Z92" s="290">
        <f t="shared" si="37"/>
        <v>0</v>
      </c>
      <c r="AA92" s="290">
        <f t="shared" si="37"/>
        <v>0</v>
      </c>
      <c r="AB92" s="290">
        <f t="shared" si="37"/>
        <v>0</v>
      </c>
      <c r="AC92" s="290">
        <f t="shared" si="37"/>
        <v>0</v>
      </c>
      <c r="AD92" s="290">
        <f t="shared" si="37"/>
        <v>0</v>
      </c>
      <c r="AE92" s="290">
        <f t="shared" si="37"/>
        <v>0</v>
      </c>
      <c r="AF92" s="290">
        <f t="shared" si="37"/>
        <v>0</v>
      </c>
      <c r="AG92" s="290">
        <f t="shared" si="37"/>
        <v>0</v>
      </c>
      <c r="AH92" s="290">
        <f t="shared" si="37"/>
        <v>0</v>
      </c>
      <c r="AI92" s="290">
        <f t="shared" si="37"/>
        <v>0</v>
      </c>
      <c r="AJ92" s="290">
        <f t="shared" si="37"/>
        <v>0</v>
      </c>
      <c r="AK92" s="290">
        <f t="shared" si="37"/>
        <v>0</v>
      </c>
      <c r="AL92" s="290">
        <f t="shared" si="37"/>
        <v>0</v>
      </c>
      <c r="AM92" s="290">
        <f t="shared" si="37"/>
        <v>0</v>
      </c>
      <c r="AN92" s="290">
        <f t="shared" si="37"/>
        <v>0</v>
      </c>
      <c r="AO92" s="290">
        <f t="shared" si="37"/>
        <v>0</v>
      </c>
      <c r="AP92" s="290">
        <f t="shared" si="37"/>
        <v>0</v>
      </c>
      <c r="AQ92" s="290">
        <f t="shared" ref="AQ92:BJ92" si="38">IF(AQ79=0,0,AP92+AQ79)</f>
        <v>0</v>
      </c>
      <c r="AR92" s="290">
        <f t="shared" si="38"/>
        <v>0</v>
      </c>
      <c r="AS92" s="290">
        <f t="shared" si="38"/>
        <v>0</v>
      </c>
      <c r="AT92" s="290">
        <f t="shared" si="38"/>
        <v>0</v>
      </c>
      <c r="AU92" s="290">
        <f t="shared" si="38"/>
        <v>0</v>
      </c>
      <c r="AV92" s="290">
        <f t="shared" si="38"/>
        <v>0</v>
      </c>
      <c r="AW92" s="290">
        <f t="shared" si="38"/>
        <v>0</v>
      </c>
      <c r="AX92" s="290">
        <f t="shared" si="38"/>
        <v>0</v>
      </c>
      <c r="AY92" s="290">
        <f t="shared" si="38"/>
        <v>0</v>
      </c>
      <c r="AZ92" s="290">
        <f t="shared" si="38"/>
        <v>0</v>
      </c>
      <c r="BA92" s="290">
        <f t="shared" si="38"/>
        <v>0</v>
      </c>
      <c r="BB92" s="290">
        <f t="shared" si="38"/>
        <v>0</v>
      </c>
      <c r="BC92" s="290">
        <f t="shared" si="38"/>
        <v>0</v>
      </c>
      <c r="BD92" s="290">
        <f t="shared" si="38"/>
        <v>0</v>
      </c>
      <c r="BE92" s="290">
        <f t="shared" si="38"/>
        <v>0</v>
      </c>
      <c r="BF92" s="290">
        <f t="shared" si="38"/>
        <v>0</v>
      </c>
      <c r="BG92" s="290">
        <f t="shared" si="38"/>
        <v>0</v>
      </c>
      <c r="BH92" s="290">
        <f t="shared" si="38"/>
        <v>0</v>
      </c>
      <c r="BI92" s="290">
        <f t="shared" si="38"/>
        <v>0</v>
      </c>
      <c r="BJ92" s="290">
        <f t="shared" si="38"/>
        <v>0</v>
      </c>
    </row>
    <row r="93" spans="1:62">
      <c r="A93" s="282"/>
      <c r="B93" s="267">
        <v>6</v>
      </c>
      <c r="C93" s="290">
        <f t="shared" si="35"/>
        <v>0</v>
      </c>
      <c r="D93" s="290">
        <f t="shared" si="36"/>
        <v>0</v>
      </c>
      <c r="E93" s="290">
        <f t="shared" si="36"/>
        <v>0</v>
      </c>
      <c r="F93" s="290">
        <f t="shared" si="36"/>
        <v>0</v>
      </c>
      <c r="G93" s="290">
        <f t="shared" si="36"/>
        <v>0</v>
      </c>
      <c r="H93" s="290">
        <f t="shared" ref="H93:BJ97" si="39">IF(H80=0,0,G93+H80)</f>
        <v>30</v>
      </c>
      <c r="I93" s="290">
        <f t="shared" si="39"/>
        <v>90</v>
      </c>
      <c r="J93" s="290">
        <f t="shared" si="39"/>
        <v>180</v>
      </c>
      <c r="K93" s="290">
        <f t="shared" si="39"/>
        <v>300</v>
      </c>
      <c r="L93" s="290">
        <f t="shared" si="39"/>
        <v>420</v>
      </c>
      <c r="M93" s="290">
        <f t="shared" si="39"/>
        <v>510</v>
      </c>
      <c r="N93" s="290">
        <f t="shared" si="39"/>
        <v>570</v>
      </c>
      <c r="O93" s="290">
        <f t="shared" si="39"/>
        <v>600</v>
      </c>
      <c r="P93" s="290">
        <f t="shared" si="39"/>
        <v>0</v>
      </c>
      <c r="Q93" s="290">
        <f t="shared" si="39"/>
        <v>0</v>
      </c>
      <c r="R93" s="290">
        <f t="shared" si="39"/>
        <v>0</v>
      </c>
      <c r="S93" s="290">
        <f t="shared" si="39"/>
        <v>0</v>
      </c>
      <c r="T93" s="290">
        <f t="shared" si="39"/>
        <v>0</v>
      </c>
      <c r="U93" s="290">
        <f t="shared" si="39"/>
        <v>0</v>
      </c>
      <c r="V93" s="290">
        <f t="shared" si="39"/>
        <v>0</v>
      </c>
      <c r="W93" s="290">
        <f t="shared" si="39"/>
        <v>0</v>
      </c>
      <c r="X93" s="290">
        <f t="shared" si="39"/>
        <v>0</v>
      </c>
      <c r="Y93" s="290">
        <f t="shared" si="39"/>
        <v>0</v>
      </c>
      <c r="Z93" s="290">
        <f t="shared" si="39"/>
        <v>0</v>
      </c>
      <c r="AA93" s="290">
        <f t="shared" si="39"/>
        <v>0</v>
      </c>
      <c r="AB93" s="290">
        <f t="shared" si="39"/>
        <v>0</v>
      </c>
      <c r="AC93" s="290">
        <f t="shared" si="39"/>
        <v>0</v>
      </c>
      <c r="AD93" s="290">
        <f t="shared" si="39"/>
        <v>0</v>
      </c>
      <c r="AE93" s="290">
        <f t="shared" si="39"/>
        <v>0</v>
      </c>
      <c r="AF93" s="290">
        <f t="shared" si="39"/>
        <v>0</v>
      </c>
      <c r="AG93" s="290">
        <f t="shared" si="39"/>
        <v>0</v>
      </c>
      <c r="AH93" s="290">
        <f t="shared" si="39"/>
        <v>0</v>
      </c>
      <c r="AI93" s="290">
        <f t="shared" si="39"/>
        <v>0</v>
      </c>
      <c r="AJ93" s="290">
        <f t="shared" si="39"/>
        <v>0</v>
      </c>
      <c r="AK93" s="290">
        <f t="shared" si="39"/>
        <v>0</v>
      </c>
      <c r="AL93" s="290">
        <f t="shared" si="39"/>
        <v>0</v>
      </c>
      <c r="AM93" s="290">
        <f t="shared" si="39"/>
        <v>0</v>
      </c>
      <c r="AN93" s="290">
        <f t="shared" si="39"/>
        <v>0</v>
      </c>
      <c r="AO93" s="290">
        <f t="shared" si="39"/>
        <v>0</v>
      </c>
      <c r="AP93" s="290">
        <f t="shared" si="39"/>
        <v>0</v>
      </c>
      <c r="AQ93" s="290">
        <f t="shared" si="39"/>
        <v>0</v>
      </c>
      <c r="AR93" s="290">
        <f t="shared" si="39"/>
        <v>0</v>
      </c>
      <c r="AS93" s="290">
        <f t="shared" si="39"/>
        <v>0</v>
      </c>
      <c r="AT93" s="290">
        <f t="shared" si="39"/>
        <v>0</v>
      </c>
      <c r="AU93" s="290">
        <f t="shared" si="39"/>
        <v>0</v>
      </c>
      <c r="AV93" s="290">
        <f t="shared" si="39"/>
        <v>0</v>
      </c>
      <c r="AW93" s="290">
        <f t="shared" si="39"/>
        <v>0</v>
      </c>
      <c r="AX93" s="290">
        <f t="shared" si="39"/>
        <v>0</v>
      </c>
      <c r="AY93" s="290">
        <f t="shared" si="39"/>
        <v>0</v>
      </c>
      <c r="AZ93" s="290">
        <f t="shared" si="39"/>
        <v>0</v>
      </c>
      <c r="BA93" s="290">
        <f t="shared" si="39"/>
        <v>0</v>
      </c>
      <c r="BB93" s="290">
        <f t="shared" si="39"/>
        <v>0</v>
      </c>
      <c r="BC93" s="290">
        <f t="shared" si="39"/>
        <v>0</v>
      </c>
      <c r="BD93" s="290">
        <f t="shared" si="39"/>
        <v>0</v>
      </c>
      <c r="BE93" s="290">
        <f t="shared" si="39"/>
        <v>0</v>
      </c>
      <c r="BF93" s="290">
        <f t="shared" si="39"/>
        <v>0</v>
      </c>
      <c r="BG93" s="290">
        <f t="shared" si="39"/>
        <v>0</v>
      </c>
      <c r="BH93" s="290">
        <f t="shared" si="39"/>
        <v>0</v>
      </c>
      <c r="BI93" s="290">
        <f t="shared" si="39"/>
        <v>0</v>
      </c>
      <c r="BJ93" s="290">
        <f t="shared" si="39"/>
        <v>0</v>
      </c>
    </row>
    <row r="94" spans="1:62">
      <c r="A94" s="282"/>
      <c r="B94" s="267">
        <v>7</v>
      </c>
      <c r="C94" s="290">
        <f t="shared" si="35"/>
        <v>0</v>
      </c>
      <c r="D94" s="290">
        <f t="shared" si="36"/>
        <v>0</v>
      </c>
      <c r="E94" s="290">
        <f t="shared" si="36"/>
        <v>0</v>
      </c>
      <c r="F94" s="290">
        <f t="shared" si="36"/>
        <v>0</v>
      </c>
      <c r="G94" s="290">
        <f t="shared" si="36"/>
        <v>0</v>
      </c>
      <c r="H94" s="290">
        <f t="shared" si="39"/>
        <v>30</v>
      </c>
      <c r="I94" s="290">
        <f t="shared" si="39"/>
        <v>90</v>
      </c>
      <c r="J94" s="290">
        <f t="shared" si="39"/>
        <v>180</v>
      </c>
      <c r="K94" s="290">
        <f t="shared" si="39"/>
        <v>300</v>
      </c>
      <c r="L94" s="290">
        <f t="shared" si="39"/>
        <v>420</v>
      </c>
      <c r="M94" s="290">
        <f t="shared" si="39"/>
        <v>510</v>
      </c>
      <c r="N94" s="290">
        <f t="shared" si="39"/>
        <v>570</v>
      </c>
      <c r="O94" s="290">
        <f t="shared" si="39"/>
        <v>600</v>
      </c>
      <c r="P94" s="290">
        <f t="shared" si="39"/>
        <v>0</v>
      </c>
      <c r="Q94" s="290">
        <f t="shared" si="39"/>
        <v>0</v>
      </c>
      <c r="R94" s="290">
        <f t="shared" si="39"/>
        <v>0</v>
      </c>
      <c r="S94" s="290">
        <f t="shared" si="39"/>
        <v>0</v>
      </c>
      <c r="T94" s="290">
        <f t="shared" si="39"/>
        <v>0</v>
      </c>
      <c r="U94" s="290">
        <f t="shared" si="39"/>
        <v>0</v>
      </c>
      <c r="V94" s="290">
        <f t="shared" si="39"/>
        <v>0</v>
      </c>
      <c r="W94" s="290">
        <f t="shared" si="39"/>
        <v>0</v>
      </c>
      <c r="X94" s="290">
        <f t="shared" si="39"/>
        <v>0</v>
      </c>
      <c r="Y94" s="290">
        <f t="shared" si="39"/>
        <v>0</v>
      </c>
      <c r="Z94" s="290">
        <f t="shared" si="39"/>
        <v>0</v>
      </c>
      <c r="AA94" s="290">
        <f t="shared" si="39"/>
        <v>0</v>
      </c>
      <c r="AB94" s="290">
        <f t="shared" si="39"/>
        <v>0</v>
      </c>
      <c r="AC94" s="290">
        <f t="shared" si="39"/>
        <v>0</v>
      </c>
      <c r="AD94" s="290">
        <f t="shared" si="39"/>
        <v>0</v>
      </c>
      <c r="AE94" s="290">
        <f t="shared" si="39"/>
        <v>0</v>
      </c>
      <c r="AF94" s="290">
        <f t="shared" si="39"/>
        <v>0</v>
      </c>
      <c r="AG94" s="290">
        <f t="shared" si="39"/>
        <v>0</v>
      </c>
      <c r="AH94" s="290">
        <f t="shared" si="39"/>
        <v>0</v>
      </c>
      <c r="AI94" s="290">
        <f t="shared" si="39"/>
        <v>0</v>
      </c>
      <c r="AJ94" s="290">
        <f t="shared" si="39"/>
        <v>0</v>
      </c>
      <c r="AK94" s="290">
        <f t="shared" si="39"/>
        <v>0</v>
      </c>
      <c r="AL94" s="290">
        <f t="shared" si="39"/>
        <v>0</v>
      </c>
      <c r="AM94" s="290">
        <f t="shared" si="39"/>
        <v>0</v>
      </c>
      <c r="AN94" s="290">
        <f t="shared" si="39"/>
        <v>0</v>
      </c>
      <c r="AO94" s="290">
        <f t="shared" si="39"/>
        <v>0</v>
      </c>
      <c r="AP94" s="290">
        <f t="shared" si="39"/>
        <v>0</v>
      </c>
      <c r="AQ94" s="290">
        <f t="shared" si="39"/>
        <v>0</v>
      </c>
      <c r="AR94" s="290">
        <f t="shared" si="39"/>
        <v>0</v>
      </c>
      <c r="AS94" s="290">
        <f t="shared" si="39"/>
        <v>0</v>
      </c>
      <c r="AT94" s="290">
        <f t="shared" si="39"/>
        <v>0</v>
      </c>
      <c r="AU94" s="290">
        <f t="shared" si="39"/>
        <v>0</v>
      </c>
      <c r="AV94" s="290">
        <f t="shared" si="39"/>
        <v>0</v>
      </c>
      <c r="AW94" s="290">
        <f t="shared" si="39"/>
        <v>0</v>
      </c>
      <c r="AX94" s="290">
        <f t="shared" si="39"/>
        <v>0</v>
      </c>
      <c r="AY94" s="290">
        <f t="shared" si="39"/>
        <v>0</v>
      </c>
      <c r="AZ94" s="290">
        <f t="shared" si="39"/>
        <v>0</v>
      </c>
      <c r="BA94" s="290">
        <f t="shared" si="39"/>
        <v>0</v>
      </c>
      <c r="BB94" s="290">
        <f t="shared" si="39"/>
        <v>0</v>
      </c>
      <c r="BC94" s="290">
        <f t="shared" si="39"/>
        <v>0</v>
      </c>
      <c r="BD94" s="290">
        <f t="shared" si="39"/>
        <v>0</v>
      </c>
      <c r="BE94" s="290">
        <f t="shared" si="39"/>
        <v>0</v>
      </c>
      <c r="BF94" s="290">
        <f t="shared" si="39"/>
        <v>0</v>
      </c>
      <c r="BG94" s="290">
        <f t="shared" si="39"/>
        <v>0</v>
      </c>
      <c r="BH94" s="290">
        <f t="shared" si="39"/>
        <v>0</v>
      </c>
      <c r="BI94" s="290">
        <f t="shared" si="39"/>
        <v>0</v>
      </c>
      <c r="BJ94" s="290">
        <f t="shared" si="39"/>
        <v>0</v>
      </c>
    </row>
    <row r="95" spans="1:62">
      <c r="A95" s="282"/>
      <c r="B95" s="267">
        <v>8</v>
      </c>
      <c r="C95" s="290">
        <f t="shared" si="35"/>
        <v>0</v>
      </c>
      <c r="D95" s="290">
        <f t="shared" si="36"/>
        <v>0</v>
      </c>
      <c r="E95" s="290">
        <f t="shared" si="36"/>
        <v>0</v>
      </c>
      <c r="F95" s="290">
        <f t="shared" si="36"/>
        <v>0</v>
      </c>
      <c r="G95" s="290">
        <f t="shared" si="36"/>
        <v>0</v>
      </c>
      <c r="H95" s="290">
        <f t="shared" si="39"/>
        <v>30</v>
      </c>
      <c r="I95" s="290">
        <f t="shared" si="39"/>
        <v>90</v>
      </c>
      <c r="J95" s="290">
        <f t="shared" si="39"/>
        <v>180</v>
      </c>
      <c r="K95" s="290">
        <f t="shared" si="39"/>
        <v>300</v>
      </c>
      <c r="L95" s="290">
        <f t="shared" si="39"/>
        <v>420</v>
      </c>
      <c r="M95" s="290">
        <f t="shared" si="39"/>
        <v>510</v>
      </c>
      <c r="N95" s="290">
        <f t="shared" si="39"/>
        <v>570</v>
      </c>
      <c r="O95" s="290">
        <f t="shared" si="39"/>
        <v>600</v>
      </c>
      <c r="P95" s="290">
        <f t="shared" si="39"/>
        <v>0</v>
      </c>
      <c r="Q95" s="290">
        <f t="shared" si="39"/>
        <v>0</v>
      </c>
      <c r="R95" s="290">
        <f t="shared" si="39"/>
        <v>0</v>
      </c>
      <c r="S95" s="290">
        <f t="shared" si="39"/>
        <v>0</v>
      </c>
      <c r="T95" s="290">
        <f t="shared" si="39"/>
        <v>0</v>
      </c>
      <c r="U95" s="290">
        <f t="shared" si="39"/>
        <v>0</v>
      </c>
      <c r="V95" s="290">
        <f t="shared" si="39"/>
        <v>0</v>
      </c>
      <c r="W95" s="290">
        <f t="shared" si="39"/>
        <v>0</v>
      </c>
      <c r="X95" s="290">
        <f t="shared" si="39"/>
        <v>0</v>
      </c>
      <c r="Y95" s="290">
        <f t="shared" si="39"/>
        <v>0</v>
      </c>
      <c r="Z95" s="290">
        <f t="shared" si="39"/>
        <v>0</v>
      </c>
      <c r="AA95" s="290">
        <f t="shared" si="39"/>
        <v>0</v>
      </c>
      <c r="AB95" s="290">
        <f t="shared" si="39"/>
        <v>0</v>
      </c>
      <c r="AC95" s="290">
        <f t="shared" si="39"/>
        <v>0</v>
      </c>
      <c r="AD95" s="290">
        <f t="shared" si="39"/>
        <v>0</v>
      </c>
      <c r="AE95" s="290">
        <f t="shared" si="39"/>
        <v>0</v>
      </c>
      <c r="AF95" s="290">
        <f t="shared" si="39"/>
        <v>0</v>
      </c>
      <c r="AG95" s="290">
        <f t="shared" si="39"/>
        <v>0</v>
      </c>
      <c r="AH95" s="290">
        <f t="shared" si="39"/>
        <v>0</v>
      </c>
      <c r="AI95" s="290">
        <f t="shared" si="39"/>
        <v>0</v>
      </c>
      <c r="AJ95" s="290">
        <f t="shared" si="39"/>
        <v>0</v>
      </c>
      <c r="AK95" s="290">
        <f t="shared" si="39"/>
        <v>0</v>
      </c>
      <c r="AL95" s="290">
        <f t="shared" si="39"/>
        <v>0</v>
      </c>
      <c r="AM95" s="290">
        <f t="shared" si="39"/>
        <v>0</v>
      </c>
      <c r="AN95" s="290">
        <f t="shared" si="39"/>
        <v>0</v>
      </c>
      <c r="AO95" s="290">
        <f t="shared" si="39"/>
        <v>0</v>
      </c>
      <c r="AP95" s="290">
        <f t="shared" si="39"/>
        <v>0</v>
      </c>
      <c r="AQ95" s="290">
        <f t="shared" si="39"/>
        <v>0</v>
      </c>
      <c r="AR95" s="290">
        <f t="shared" si="39"/>
        <v>0</v>
      </c>
      <c r="AS95" s="290">
        <f t="shared" si="39"/>
        <v>0</v>
      </c>
      <c r="AT95" s="290">
        <f t="shared" si="39"/>
        <v>0</v>
      </c>
      <c r="AU95" s="290">
        <f t="shared" si="39"/>
        <v>0</v>
      </c>
      <c r="AV95" s="290">
        <f t="shared" si="39"/>
        <v>0</v>
      </c>
      <c r="AW95" s="290">
        <f t="shared" si="39"/>
        <v>0</v>
      </c>
      <c r="AX95" s="290">
        <f t="shared" si="39"/>
        <v>0</v>
      </c>
      <c r="AY95" s="290">
        <f t="shared" si="39"/>
        <v>0</v>
      </c>
      <c r="AZ95" s="290">
        <f t="shared" si="39"/>
        <v>0</v>
      </c>
      <c r="BA95" s="290">
        <f t="shared" si="39"/>
        <v>0</v>
      </c>
      <c r="BB95" s="290">
        <f t="shared" si="39"/>
        <v>0</v>
      </c>
      <c r="BC95" s="290">
        <f t="shared" si="39"/>
        <v>0</v>
      </c>
      <c r="BD95" s="290">
        <f t="shared" si="39"/>
        <v>0</v>
      </c>
      <c r="BE95" s="290">
        <f t="shared" si="39"/>
        <v>0</v>
      </c>
      <c r="BF95" s="290">
        <f t="shared" si="39"/>
        <v>0</v>
      </c>
      <c r="BG95" s="290">
        <f t="shared" si="39"/>
        <v>0</v>
      </c>
      <c r="BH95" s="290">
        <f t="shared" si="39"/>
        <v>0</v>
      </c>
      <c r="BI95" s="290">
        <f t="shared" si="39"/>
        <v>0</v>
      </c>
      <c r="BJ95" s="290">
        <f t="shared" si="39"/>
        <v>0</v>
      </c>
    </row>
    <row r="96" spans="1:62">
      <c r="A96" s="282"/>
      <c r="B96" s="267">
        <v>9</v>
      </c>
      <c r="C96" s="290">
        <f t="shared" si="35"/>
        <v>0</v>
      </c>
      <c r="D96" s="290">
        <f t="shared" si="36"/>
        <v>0</v>
      </c>
      <c r="E96" s="290">
        <f t="shared" si="36"/>
        <v>0</v>
      </c>
      <c r="F96" s="290">
        <f t="shared" si="36"/>
        <v>0</v>
      </c>
      <c r="G96" s="290">
        <f t="shared" si="36"/>
        <v>0</v>
      </c>
      <c r="H96" s="290">
        <f t="shared" si="39"/>
        <v>30</v>
      </c>
      <c r="I96" s="290">
        <f t="shared" si="39"/>
        <v>90</v>
      </c>
      <c r="J96" s="290">
        <f t="shared" si="39"/>
        <v>180</v>
      </c>
      <c r="K96" s="290">
        <f t="shared" si="39"/>
        <v>300</v>
      </c>
      <c r="L96" s="290">
        <f t="shared" si="39"/>
        <v>420</v>
      </c>
      <c r="M96" s="290">
        <f t="shared" si="39"/>
        <v>510</v>
      </c>
      <c r="N96" s="290">
        <f t="shared" si="39"/>
        <v>570</v>
      </c>
      <c r="O96" s="290">
        <f t="shared" si="39"/>
        <v>600</v>
      </c>
      <c r="P96" s="290">
        <f t="shared" si="39"/>
        <v>0</v>
      </c>
      <c r="Q96" s="290">
        <f t="shared" si="39"/>
        <v>0</v>
      </c>
      <c r="R96" s="290">
        <f t="shared" si="39"/>
        <v>0</v>
      </c>
      <c r="S96" s="290">
        <f t="shared" si="39"/>
        <v>0</v>
      </c>
      <c r="T96" s="290">
        <f t="shared" si="39"/>
        <v>0</v>
      </c>
      <c r="U96" s="290">
        <f t="shared" si="39"/>
        <v>0</v>
      </c>
      <c r="V96" s="290">
        <f t="shared" si="39"/>
        <v>0</v>
      </c>
      <c r="W96" s="290">
        <f t="shared" si="39"/>
        <v>0</v>
      </c>
      <c r="X96" s="290">
        <f t="shared" si="39"/>
        <v>0</v>
      </c>
      <c r="Y96" s="290">
        <f t="shared" si="39"/>
        <v>0</v>
      </c>
      <c r="Z96" s="290">
        <f t="shared" si="39"/>
        <v>0</v>
      </c>
      <c r="AA96" s="290">
        <f t="shared" si="39"/>
        <v>0</v>
      </c>
      <c r="AB96" s="290">
        <f t="shared" si="39"/>
        <v>0</v>
      </c>
      <c r="AC96" s="290">
        <f t="shared" si="39"/>
        <v>0</v>
      </c>
      <c r="AD96" s="290">
        <f t="shared" si="39"/>
        <v>0</v>
      </c>
      <c r="AE96" s="290">
        <f t="shared" si="39"/>
        <v>0</v>
      </c>
      <c r="AF96" s="290">
        <f t="shared" si="39"/>
        <v>0</v>
      </c>
      <c r="AG96" s="290">
        <f t="shared" si="39"/>
        <v>0</v>
      </c>
      <c r="AH96" s="290">
        <f t="shared" si="39"/>
        <v>0</v>
      </c>
      <c r="AI96" s="290">
        <f t="shared" si="39"/>
        <v>0</v>
      </c>
      <c r="AJ96" s="290">
        <f t="shared" si="39"/>
        <v>0</v>
      </c>
      <c r="AK96" s="290">
        <f t="shared" si="39"/>
        <v>0</v>
      </c>
      <c r="AL96" s="290">
        <f t="shared" si="39"/>
        <v>0</v>
      </c>
      <c r="AM96" s="290">
        <f t="shared" si="39"/>
        <v>0</v>
      </c>
      <c r="AN96" s="290">
        <f t="shared" si="39"/>
        <v>0</v>
      </c>
      <c r="AO96" s="290">
        <f t="shared" si="39"/>
        <v>0</v>
      </c>
      <c r="AP96" s="290">
        <f t="shared" si="39"/>
        <v>0</v>
      </c>
      <c r="AQ96" s="290">
        <f t="shared" si="39"/>
        <v>0</v>
      </c>
      <c r="AR96" s="290">
        <f t="shared" si="39"/>
        <v>0</v>
      </c>
      <c r="AS96" s="290">
        <f t="shared" si="39"/>
        <v>0</v>
      </c>
      <c r="AT96" s="290">
        <f t="shared" si="39"/>
        <v>0</v>
      </c>
      <c r="AU96" s="290">
        <f t="shared" si="39"/>
        <v>0</v>
      </c>
      <c r="AV96" s="290">
        <f t="shared" si="39"/>
        <v>0</v>
      </c>
      <c r="AW96" s="290">
        <f t="shared" si="39"/>
        <v>0</v>
      </c>
      <c r="AX96" s="290">
        <f t="shared" si="39"/>
        <v>0</v>
      </c>
      <c r="AY96" s="290">
        <f t="shared" si="39"/>
        <v>0</v>
      </c>
      <c r="AZ96" s="290">
        <f t="shared" si="39"/>
        <v>0</v>
      </c>
      <c r="BA96" s="290">
        <f t="shared" si="39"/>
        <v>0</v>
      </c>
      <c r="BB96" s="290">
        <f t="shared" si="39"/>
        <v>0</v>
      </c>
      <c r="BC96" s="290">
        <f t="shared" si="39"/>
        <v>0</v>
      </c>
      <c r="BD96" s="290">
        <f t="shared" si="39"/>
        <v>0</v>
      </c>
      <c r="BE96" s="290">
        <f t="shared" si="39"/>
        <v>0</v>
      </c>
      <c r="BF96" s="290">
        <f t="shared" si="39"/>
        <v>0</v>
      </c>
      <c r="BG96" s="290">
        <f t="shared" si="39"/>
        <v>0</v>
      </c>
      <c r="BH96" s="290">
        <f t="shared" si="39"/>
        <v>0</v>
      </c>
      <c r="BI96" s="290">
        <f t="shared" si="39"/>
        <v>0</v>
      </c>
      <c r="BJ96" s="290">
        <f t="shared" si="39"/>
        <v>0</v>
      </c>
    </row>
    <row r="97" spans="1:62">
      <c r="A97" s="282"/>
      <c r="B97" s="267">
        <v>10</v>
      </c>
      <c r="C97" s="290">
        <f t="shared" si="35"/>
        <v>0</v>
      </c>
      <c r="D97" s="290">
        <f t="shared" si="36"/>
        <v>0</v>
      </c>
      <c r="E97" s="290">
        <f t="shared" si="36"/>
        <v>0</v>
      </c>
      <c r="F97" s="290">
        <f t="shared" si="36"/>
        <v>0</v>
      </c>
      <c r="G97" s="290">
        <f t="shared" si="36"/>
        <v>0</v>
      </c>
      <c r="H97" s="290">
        <f t="shared" si="39"/>
        <v>30</v>
      </c>
      <c r="I97" s="290">
        <f t="shared" si="39"/>
        <v>90</v>
      </c>
      <c r="J97" s="290">
        <f t="shared" si="39"/>
        <v>180</v>
      </c>
      <c r="K97" s="290">
        <f t="shared" si="39"/>
        <v>300</v>
      </c>
      <c r="L97" s="290">
        <f t="shared" si="39"/>
        <v>420</v>
      </c>
      <c r="M97" s="290">
        <f t="shared" si="39"/>
        <v>510</v>
      </c>
      <c r="N97" s="290">
        <f t="shared" si="39"/>
        <v>570</v>
      </c>
      <c r="O97" s="290">
        <f t="shared" si="39"/>
        <v>600</v>
      </c>
      <c r="P97" s="290">
        <f t="shared" si="39"/>
        <v>0</v>
      </c>
      <c r="Q97" s="290">
        <f t="shared" si="39"/>
        <v>0</v>
      </c>
      <c r="R97" s="290">
        <f t="shared" si="39"/>
        <v>0</v>
      </c>
      <c r="S97" s="290">
        <f t="shared" si="39"/>
        <v>0</v>
      </c>
      <c r="T97" s="290">
        <f t="shared" si="39"/>
        <v>0</v>
      </c>
      <c r="U97" s="290">
        <f t="shared" si="39"/>
        <v>0</v>
      </c>
      <c r="V97" s="290">
        <f t="shared" si="39"/>
        <v>0</v>
      </c>
      <c r="W97" s="290">
        <f t="shared" si="39"/>
        <v>0</v>
      </c>
      <c r="X97" s="290">
        <f t="shared" si="39"/>
        <v>0</v>
      </c>
      <c r="Y97" s="290">
        <f t="shared" si="39"/>
        <v>0</v>
      </c>
      <c r="Z97" s="290">
        <f t="shared" si="39"/>
        <v>0</v>
      </c>
      <c r="AA97" s="290">
        <f t="shared" si="39"/>
        <v>0</v>
      </c>
      <c r="AB97" s="290">
        <f t="shared" si="39"/>
        <v>0</v>
      </c>
      <c r="AC97" s="290">
        <f t="shared" si="39"/>
        <v>0</v>
      </c>
      <c r="AD97" s="290">
        <f t="shared" si="39"/>
        <v>0</v>
      </c>
      <c r="AE97" s="290">
        <f t="shared" si="39"/>
        <v>0</v>
      </c>
      <c r="AF97" s="290">
        <f t="shared" si="39"/>
        <v>0</v>
      </c>
      <c r="AG97" s="290">
        <f t="shared" si="39"/>
        <v>0</v>
      </c>
      <c r="AH97" s="290">
        <f t="shared" si="39"/>
        <v>0</v>
      </c>
      <c r="AI97" s="290">
        <f t="shared" si="39"/>
        <v>0</v>
      </c>
      <c r="AJ97" s="290">
        <f t="shared" si="39"/>
        <v>0</v>
      </c>
      <c r="AK97" s="290">
        <f t="shared" si="39"/>
        <v>0</v>
      </c>
      <c r="AL97" s="290">
        <f t="shared" si="39"/>
        <v>0</v>
      </c>
      <c r="AM97" s="290">
        <f t="shared" si="39"/>
        <v>0</v>
      </c>
      <c r="AN97" s="290">
        <f t="shared" si="39"/>
        <v>0</v>
      </c>
      <c r="AO97" s="290">
        <f t="shared" si="39"/>
        <v>0</v>
      </c>
      <c r="AP97" s="290">
        <f t="shared" si="39"/>
        <v>0</v>
      </c>
      <c r="AQ97" s="290">
        <f t="shared" ref="AQ97:BJ97" si="40">IF(AQ84=0,0,AP97+AQ84)</f>
        <v>0</v>
      </c>
      <c r="AR97" s="290">
        <f t="shared" si="40"/>
        <v>0</v>
      </c>
      <c r="AS97" s="290">
        <f t="shared" si="40"/>
        <v>0</v>
      </c>
      <c r="AT97" s="290">
        <f t="shared" si="40"/>
        <v>0</v>
      </c>
      <c r="AU97" s="290">
        <f t="shared" si="40"/>
        <v>0</v>
      </c>
      <c r="AV97" s="290">
        <f t="shared" si="40"/>
        <v>0</v>
      </c>
      <c r="AW97" s="290">
        <f t="shared" si="40"/>
        <v>0</v>
      </c>
      <c r="AX97" s="290">
        <f t="shared" si="40"/>
        <v>0</v>
      </c>
      <c r="AY97" s="290">
        <f t="shared" si="40"/>
        <v>0</v>
      </c>
      <c r="AZ97" s="290">
        <f t="shared" si="40"/>
        <v>0</v>
      </c>
      <c r="BA97" s="290">
        <f t="shared" si="40"/>
        <v>0</v>
      </c>
      <c r="BB97" s="290">
        <f t="shared" si="40"/>
        <v>0</v>
      </c>
      <c r="BC97" s="290">
        <f t="shared" si="40"/>
        <v>0</v>
      </c>
      <c r="BD97" s="290">
        <f t="shared" si="40"/>
        <v>0</v>
      </c>
      <c r="BE97" s="290">
        <f t="shared" si="40"/>
        <v>0</v>
      </c>
      <c r="BF97" s="290">
        <f t="shared" si="40"/>
        <v>0</v>
      </c>
      <c r="BG97" s="290">
        <f t="shared" si="40"/>
        <v>0</v>
      </c>
      <c r="BH97" s="290">
        <f t="shared" si="40"/>
        <v>0</v>
      </c>
      <c r="BI97" s="290">
        <f t="shared" si="40"/>
        <v>0</v>
      </c>
      <c r="BJ97" s="290">
        <f t="shared" si="40"/>
        <v>0</v>
      </c>
    </row>
    <row r="100" spans="1:62" ht="18.75">
      <c r="A100" s="289" t="s">
        <v>216</v>
      </c>
      <c r="B100" s="292" t="s">
        <v>166</v>
      </c>
      <c r="C100" s="267">
        <v>1</v>
      </c>
      <c r="D100" s="267">
        <v>2</v>
      </c>
      <c r="E100" s="267">
        <v>3</v>
      </c>
      <c r="F100" s="267">
        <v>4</v>
      </c>
      <c r="G100" s="267">
        <v>5</v>
      </c>
      <c r="H100" s="267">
        <v>6</v>
      </c>
      <c r="I100" s="267">
        <v>7</v>
      </c>
      <c r="J100" s="267">
        <v>8</v>
      </c>
      <c r="K100" s="267">
        <v>9</v>
      </c>
      <c r="L100" s="267">
        <v>10</v>
      </c>
      <c r="M100" s="267">
        <v>11</v>
      </c>
      <c r="N100" s="267">
        <v>12</v>
      </c>
      <c r="O100" s="267">
        <v>13</v>
      </c>
      <c r="P100" s="267">
        <v>14</v>
      </c>
      <c r="Q100" s="267">
        <v>15</v>
      </c>
      <c r="R100" s="267">
        <v>16</v>
      </c>
      <c r="S100" s="267">
        <v>17</v>
      </c>
      <c r="T100" s="267">
        <v>18</v>
      </c>
      <c r="U100" s="267">
        <v>19</v>
      </c>
      <c r="V100" s="267">
        <v>20</v>
      </c>
      <c r="W100" s="267">
        <v>21</v>
      </c>
      <c r="X100" s="267">
        <v>22</v>
      </c>
      <c r="Y100" s="267">
        <v>23</v>
      </c>
      <c r="Z100" s="267">
        <v>24</v>
      </c>
      <c r="AA100" s="267">
        <v>25</v>
      </c>
      <c r="AB100" s="267">
        <v>26</v>
      </c>
      <c r="AC100" s="267">
        <v>27</v>
      </c>
      <c r="AD100" s="267">
        <v>28</v>
      </c>
      <c r="AE100" s="267">
        <v>29</v>
      </c>
      <c r="AF100" s="267">
        <v>30</v>
      </c>
      <c r="AG100" s="267">
        <v>31</v>
      </c>
      <c r="AH100" s="267">
        <v>32</v>
      </c>
      <c r="AI100" s="267">
        <v>33</v>
      </c>
      <c r="AJ100" s="267">
        <v>34</v>
      </c>
      <c r="AK100" s="267">
        <v>35</v>
      </c>
      <c r="AL100" s="267">
        <v>36</v>
      </c>
      <c r="AM100" s="267">
        <v>37</v>
      </c>
      <c r="AN100" s="267">
        <v>38</v>
      </c>
      <c r="AO100" s="267">
        <v>39</v>
      </c>
      <c r="AP100" s="267">
        <v>40</v>
      </c>
      <c r="AQ100" s="267">
        <v>41</v>
      </c>
      <c r="AR100" s="267">
        <v>42</v>
      </c>
      <c r="AS100" s="267">
        <v>43</v>
      </c>
      <c r="AT100" s="267">
        <v>44</v>
      </c>
      <c r="AU100" s="267">
        <v>45</v>
      </c>
      <c r="AV100" s="267">
        <v>46</v>
      </c>
      <c r="AW100" s="267">
        <v>47</v>
      </c>
      <c r="AX100" s="267">
        <v>48</v>
      </c>
      <c r="AY100" s="267">
        <v>49</v>
      </c>
      <c r="AZ100" s="267">
        <v>50</v>
      </c>
      <c r="BA100" s="267">
        <v>51</v>
      </c>
      <c r="BB100" s="267">
        <v>52</v>
      </c>
      <c r="BC100" s="267">
        <v>53</v>
      </c>
      <c r="BD100" s="267">
        <v>54</v>
      </c>
      <c r="BE100" s="267">
        <v>55</v>
      </c>
      <c r="BF100" s="267">
        <v>56</v>
      </c>
      <c r="BG100" s="267">
        <v>57</v>
      </c>
      <c r="BH100" s="267">
        <v>58</v>
      </c>
      <c r="BI100" s="267">
        <v>59</v>
      </c>
      <c r="BJ100" s="267">
        <v>60</v>
      </c>
    </row>
    <row r="101" spans="1:62">
      <c r="A101" s="17">
        <v>1</v>
      </c>
      <c r="B101" s="16" t="s">
        <v>178</v>
      </c>
      <c r="C101" s="17">
        <v>0</v>
      </c>
      <c r="D101" s="17">
        <v>0</v>
      </c>
      <c r="E101" s="17">
        <v>0</v>
      </c>
      <c r="F101" s="17">
        <v>0</v>
      </c>
      <c r="G101" s="17">
        <v>0</v>
      </c>
      <c r="H101" s="17">
        <v>50.149999999999991</v>
      </c>
      <c r="I101" s="17">
        <v>100.29999999999998</v>
      </c>
      <c r="J101" s="17">
        <v>150.44999999999996</v>
      </c>
      <c r="K101" s="17">
        <v>200.59999999999997</v>
      </c>
      <c r="L101" s="17">
        <v>333</v>
      </c>
      <c r="M101" s="17">
        <v>333</v>
      </c>
      <c r="N101" s="17">
        <v>333</v>
      </c>
      <c r="O101" s="17">
        <v>333</v>
      </c>
      <c r="P101" s="17">
        <v>333</v>
      </c>
      <c r="Q101" s="17">
        <v>333</v>
      </c>
      <c r="R101" s="17">
        <v>333</v>
      </c>
      <c r="S101" s="17">
        <v>333</v>
      </c>
      <c r="T101" s="17">
        <v>333</v>
      </c>
      <c r="U101" s="17">
        <v>200.59999999999997</v>
      </c>
      <c r="V101" s="17">
        <v>150.44999999999996</v>
      </c>
      <c r="W101" s="17">
        <v>100.29999999999998</v>
      </c>
      <c r="X101" s="17">
        <v>50.149999999999991</v>
      </c>
      <c r="Y101" s="17">
        <v>0</v>
      </c>
      <c r="Z101" s="17">
        <v>0</v>
      </c>
      <c r="AA101" s="17">
        <v>0</v>
      </c>
      <c r="AB101" s="17">
        <v>0</v>
      </c>
      <c r="AC101" s="17">
        <v>0</v>
      </c>
      <c r="AD101" s="17">
        <v>0</v>
      </c>
      <c r="AE101" s="17">
        <v>0</v>
      </c>
      <c r="AF101" s="17">
        <v>0</v>
      </c>
      <c r="AG101" s="17">
        <v>0</v>
      </c>
      <c r="AH101" s="17">
        <v>0</v>
      </c>
      <c r="AI101" s="17">
        <v>0</v>
      </c>
      <c r="AJ101" s="17">
        <v>0</v>
      </c>
      <c r="AK101" s="17">
        <v>0</v>
      </c>
      <c r="AL101" s="17">
        <v>0</v>
      </c>
      <c r="AM101" s="17">
        <v>0</v>
      </c>
      <c r="AN101" s="17">
        <v>0</v>
      </c>
      <c r="AO101" s="17">
        <v>0</v>
      </c>
      <c r="AP101" s="17">
        <v>0</v>
      </c>
      <c r="AQ101" s="17">
        <v>0</v>
      </c>
      <c r="AR101" s="17">
        <v>0</v>
      </c>
      <c r="AS101" s="17">
        <v>0</v>
      </c>
      <c r="AT101" s="17">
        <v>0</v>
      </c>
      <c r="AU101" s="17">
        <v>0</v>
      </c>
      <c r="AV101" s="17">
        <v>0</v>
      </c>
      <c r="AW101" s="17">
        <v>0</v>
      </c>
      <c r="AX101" s="17">
        <v>0</v>
      </c>
      <c r="AY101" s="17">
        <v>0</v>
      </c>
      <c r="AZ101" s="17">
        <v>0</v>
      </c>
      <c r="BA101" s="17">
        <v>0</v>
      </c>
      <c r="BB101" s="17">
        <v>0</v>
      </c>
      <c r="BC101" s="17">
        <v>0</v>
      </c>
      <c r="BD101" s="17">
        <v>0</v>
      </c>
      <c r="BE101" s="17">
        <v>0</v>
      </c>
      <c r="BF101" s="17">
        <v>0</v>
      </c>
      <c r="BG101" s="17">
        <v>0</v>
      </c>
      <c r="BH101" s="17">
        <v>0</v>
      </c>
      <c r="BI101" s="17">
        <v>0</v>
      </c>
      <c r="BJ101" s="17">
        <v>0</v>
      </c>
    </row>
    <row r="102" spans="1:62">
      <c r="A102" s="17">
        <v>2</v>
      </c>
      <c r="B102" s="16" t="s">
        <v>61</v>
      </c>
      <c r="C102" s="17">
        <v>0</v>
      </c>
      <c r="D102" s="17">
        <v>0</v>
      </c>
      <c r="E102" s="17">
        <v>0</v>
      </c>
      <c r="F102" s="17">
        <v>0</v>
      </c>
      <c r="G102" s="17">
        <v>0</v>
      </c>
      <c r="H102" s="17">
        <v>60.349999999999994</v>
      </c>
      <c r="I102" s="17">
        <v>120.69999999999999</v>
      </c>
      <c r="J102" s="17">
        <v>181.04999999999995</v>
      </c>
      <c r="K102" s="17">
        <v>241.39999999999998</v>
      </c>
      <c r="L102" s="17">
        <v>399</v>
      </c>
      <c r="M102" s="17">
        <v>399</v>
      </c>
      <c r="N102" s="17">
        <v>399</v>
      </c>
      <c r="O102" s="17">
        <v>399</v>
      </c>
      <c r="P102" s="17">
        <v>399</v>
      </c>
      <c r="Q102" s="17">
        <v>399</v>
      </c>
      <c r="R102" s="17">
        <v>399</v>
      </c>
      <c r="S102" s="17">
        <v>241.39999999999998</v>
      </c>
      <c r="T102" s="17">
        <v>181.04999999999995</v>
      </c>
      <c r="U102" s="17">
        <v>120.69999999999999</v>
      </c>
      <c r="V102" s="17">
        <v>60.349999999999994</v>
      </c>
      <c r="W102" s="17">
        <v>0</v>
      </c>
      <c r="X102" s="17">
        <v>0</v>
      </c>
      <c r="Y102" s="17">
        <v>0</v>
      </c>
      <c r="Z102" s="17">
        <v>0</v>
      </c>
      <c r="AA102" s="17">
        <v>0</v>
      </c>
      <c r="AB102" s="17">
        <v>0</v>
      </c>
      <c r="AC102" s="17">
        <v>0</v>
      </c>
      <c r="AD102" s="17">
        <v>0</v>
      </c>
      <c r="AE102" s="17">
        <v>0</v>
      </c>
      <c r="AF102" s="17">
        <v>0</v>
      </c>
      <c r="AG102" s="17">
        <v>0</v>
      </c>
      <c r="AH102" s="17">
        <v>0</v>
      </c>
      <c r="AI102" s="17">
        <v>0</v>
      </c>
      <c r="AJ102" s="17">
        <v>0</v>
      </c>
      <c r="AK102" s="17">
        <v>0</v>
      </c>
      <c r="AL102" s="17">
        <v>0</v>
      </c>
      <c r="AM102" s="17">
        <v>0</v>
      </c>
      <c r="AN102" s="17">
        <v>0</v>
      </c>
      <c r="AO102" s="17">
        <v>0</v>
      </c>
      <c r="AP102" s="17">
        <v>0</v>
      </c>
      <c r="AQ102" s="17">
        <v>0</v>
      </c>
      <c r="AR102" s="17">
        <v>0</v>
      </c>
      <c r="AS102" s="17">
        <v>0</v>
      </c>
      <c r="AT102" s="17">
        <v>0</v>
      </c>
      <c r="AU102" s="17">
        <v>0</v>
      </c>
      <c r="AV102" s="17">
        <v>0</v>
      </c>
      <c r="AW102" s="17">
        <v>0</v>
      </c>
      <c r="AX102" s="17">
        <v>0</v>
      </c>
      <c r="AY102" s="17">
        <v>0</v>
      </c>
      <c r="AZ102" s="17">
        <v>0</v>
      </c>
      <c r="BA102" s="17">
        <v>0</v>
      </c>
      <c r="BB102" s="17">
        <v>0</v>
      </c>
      <c r="BC102" s="17">
        <v>0</v>
      </c>
      <c r="BD102" s="17">
        <v>0</v>
      </c>
      <c r="BE102" s="17">
        <v>0</v>
      </c>
      <c r="BF102" s="17">
        <v>0</v>
      </c>
      <c r="BG102" s="17">
        <v>0</v>
      </c>
      <c r="BH102" s="17">
        <v>0</v>
      </c>
      <c r="BI102" s="17">
        <v>0</v>
      </c>
      <c r="BJ102" s="17">
        <v>0</v>
      </c>
    </row>
    <row r="103" spans="1:62">
      <c r="A103" s="17">
        <v>7</v>
      </c>
      <c r="B103" s="16" t="s">
        <v>62</v>
      </c>
      <c r="C103" s="17">
        <v>0</v>
      </c>
      <c r="D103" s="17">
        <v>0</v>
      </c>
      <c r="E103" s="17">
        <v>0</v>
      </c>
      <c r="F103" s="17">
        <v>0</v>
      </c>
      <c r="G103" s="17">
        <v>0</v>
      </c>
      <c r="H103" s="17">
        <v>75.199999999999989</v>
      </c>
      <c r="I103" s="17">
        <v>150.39999999999998</v>
      </c>
      <c r="J103" s="17">
        <v>225.59999999999997</v>
      </c>
      <c r="K103" s="17">
        <v>300.79999999999995</v>
      </c>
      <c r="L103" s="17">
        <v>416</v>
      </c>
      <c r="M103" s="17">
        <v>416</v>
      </c>
      <c r="N103" s="17">
        <v>416</v>
      </c>
      <c r="O103" s="17">
        <v>416</v>
      </c>
      <c r="P103" s="17">
        <v>416</v>
      </c>
      <c r="Q103" s="17">
        <v>416</v>
      </c>
      <c r="R103" s="17">
        <v>300.79999999999995</v>
      </c>
      <c r="S103" s="17">
        <v>225.59999999999997</v>
      </c>
      <c r="T103" s="17">
        <v>150.39999999999998</v>
      </c>
      <c r="U103" s="17">
        <v>75.199999999999989</v>
      </c>
      <c r="V103" s="17">
        <v>0</v>
      </c>
      <c r="W103" s="17">
        <v>0</v>
      </c>
      <c r="X103" s="17">
        <v>0</v>
      </c>
      <c r="Y103" s="17">
        <v>0</v>
      </c>
      <c r="Z103" s="17">
        <v>0</v>
      </c>
      <c r="AA103" s="17">
        <v>0</v>
      </c>
      <c r="AB103" s="17">
        <v>0</v>
      </c>
      <c r="AC103" s="17">
        <v>0</v>
      </c>
      <c r="AD103" s="17">
        <v>0</v>
      </c>
      <c r="AE103" s="17">
        <v>0</v>
      </c>
      <c r="AF103" s="17">
        <v>0</v>
      </c>
      <c r="AG103" s="17">
        <v>0</v>
      </c>
      <c r="AH103" s="17">
        <v>0</v>
      </c>
      <c r="AI103" s="17">
        <v>0</v>
      </c>
      <c r="AJ103" s="17">
        <v>0</v>
      </c>
      <c r="AK103" s="17">
        <v>0</v>
      </c>
      <c r="AL103" s="17">
        <v>0</v>
      </c>
      <c r="AM103" s="17">
        <v>0</v>
      </c>
      <c r="AN103" s="17">
        <v>0</v>
      </c>
      <c r="AO103" s="17">
        <v>0</v>
      </c>
      <c r="AP103" s="17">
        <v>0</v>
      </c>
      <c r="AQ103" s="17">
        <v>0</v>
      </c>
      <c r="AR103" s="17">
        <v>0</v>
      </c>
      <c r="AS103" s="17">
        <v>0</v>
      </c>
      <c r="AT103" s="17">
        <v>0</v>
      </c>
      <c r="AU103" s="17">
        <v>0</v>
      </c>
      <c r="AV103" s="17">
        <v>0</v>
      </c>
      <c r="AW103" s="17">
        <v>0</v>
      </c>
      <c r="AX103" s="17">
        <v>0</v>
      </c>
      <c r="AY103" s="17">
        <v>0</v>
      </c>
      <c r="AZ103" s="17">
        <v>0</v>
      </c>
      <c r="BA103" s="17">
        <v>0</v>
      </c>
      <c r="BB103" s="17">
        <v>0</v>
      </c>
      <c r="BC103" s="17">
        <v>0</v>
      </c>
      <c r="BD103" s="17">
        <v>0</v>
      </c>
      <c r="BE103" s="17">
        <v>0</v>
      </c>
      <c r="BF103" s="17">
        <v>0</v>
      </c>
      <c r="BG103" s="17">
        <v>0</v>
      </c>
      <c r="BH103" s="17">
        <v>0</v>
      </c>
      <c r="BI103" s="17">
        <v>0</v>
      </c>
      <c r="BJ103" s="17">
        <v>0</v>
      </c>
    </row>
    <row r="104" spans="1:62">
      <c r="A104" s="17">
        <v>4</v>
      </c>
      <c r="B104" s="16" t="s">
        <v>63</v>
      </c>
      <c r="C104" s="17">
        <v>0</v>
      </c>
      <c r="D104" s="17">
        <v>0</v>
      </c>
      <c r="E104" s="17">
        <v>0</v>
      </c>
      <c r="F104" s="17">
        <v>0</v>
      </c>
      <c r="G104" s="17">
        <v>0</v>
      </c>
      <c r="H104" s="17">
        <v>51.950000000000017</v>
      </c>
      <c r="I104" s="17">
        <v>103.90000000000003</v>
      </c>
      <c r="J104" s="17">
        <v>155.85000000000002</v>
      </c>
      <c r="K104" s="17">
        <v>207.80000000000007</v>
      </c>
      <c r="L104" s="17">
        <v>329</v>
      </c>
      <c r="M104" s="17">
        <v>329</v>
      </c>
      <c r="N104" s="17">
        <v>329</v>
      </c>
      <c r="O104" s="17">
        <v>329</v>
      </c>
      <c r="P104" s="17">
        <v>329</v>
      </c>
      <c r="Q104" s="17">
        <v>329</v>
      </c>
      <c r="R104" s="17">
        <v>329</v>
      </c>
      <c r="S104" s="17">
        <v>329</v>
      </c>
      <c r="T104" s="17">
        <v>329</v>
      </c>
      <c r="U104" s="17">
        <v>207.80000000000007</v>
      </c>
      <c r="V104" s="17">
        <v>155.85000000000002</v>
      </c>
      <c r="W104" s="17">
        <v>103.90000000000003</v>
      </c>
      <c r="X104" s="17">
        <v>51.950000000000017</v>
      </c>
      <c r="Y104" s="17">
        <v>0</v>
      </c>
      <c r="Z104" s="17">
        <v>0</v>
      </c>
      <c r="AA104" s="17">
        <v>0</v>
      </c>
      <c r="AB104" s="17">
        <v>0</v>
      </c>
      <c r="AC104" s="17">
        <v>0</v>
      </c>
      <c r="AD104" s="17">
        <v>0</v>
      </c>
      <c r="AE104" s="17">
        <v>0</v>
      </c>
      <c r="AF104" s="17">
        <v>0</v>
      </c>
      <c r="AG104" s="17">
        <v>0</v>
      </c>
      <c r="AH104" s="17">
        <v>0</v>
      </c>
      <c r="AI104" s="17">
        <v>0</v>
      </c>
      <c r="AJ104" s="17">
        <v>0</v>
      </c>
      <c r="AK104" s="17">
        <v>0</v>
      </c>
      <c r="AL104" s="17">
        <v>0</v>
      </c>
      <c r="AM104" s="17">
        <v>0</v>
      </c>
      <c r="AN104" s="17">
        <v>0</v>
      </c>
      <c r="AO104" s="17">
        <v>0</v>
      </c>
      <c r="AP104" s="17">
        <v>0</v>
      </c>
      <c r="AQ104" s="17">
        <v>0</v>
      </c>
      <c r="AR104" s="17">
        <v>0</v>
      </c>
      <c r="AS104" s="17">
        <v>0</v>
      </c>
      <c r="AT104" s="17">
        <v>0</v>
      </c>
      <c r="AU104" s="17">
        <v>0</v>
      </c>
      <c r="AV104" s="17">
        <v>0</v>
      </c>
      <c r="AW104" s="17">
        <v>0</v>
      </c>
      <c r="AX104" s="17">
        <v>0</v>
      </c>
      <c r="AY104" s="17">
        <v>0</v>
      </c>
      <c r="AZ104" s="17">
        <v>0</v>
      </c>
      <c r="BA104" s="17">
        <v>0</v>
      </c>
      <c r="BB104" s="17">
        <v>0</v>
      </c>
      <c r="BC104" s="17">
        <v>0</v>
      </c>
      <c r="BD104" s="17">
        <v>0</v>
      </c>
      <c r="BE104" s="17">
        <v>0</v>
      </c>
      <c r="BF104" s="17">
        <v>0</v>
      </c>
      <c r="BG104" s="17">
        <v>0</v>
      </c>
      <c r="BH104" s="17">
        <v>0</v>
      </c>
      <c r="BI104" s="17">
        <v>0</v>
      </c>
      <c r="BJ104" s="17">
        <v>0</v>
      </c>
    </row>
    <row r="105" spans="1:62">
      <c r="A105" s="17">
        <v>5</v>
      </c>
      <c r="B105" s="16" t="s">
        <v>64</v>
      </c>
      <c r="C105" s="17">
        <v>0</v>
      </c>
      <c r="D105" s="17">
        <v>0</v>
      </c>
      <c r="E105" s="17">
        <v>0</v>
      </c>
      <c r="F105" s="17">
        <v>0</v>
      </c>
      <c r="G105" s="17">
        <v>0</v>
      </c>
      <c r="H105" s="17">
        <v>60.79999999999999</v>
      </c>
      <c r="I105" s="17">
        <v>121.59999999999998</v>
      </c>
      <c r="J105" s="17">
        <v>182.39999999999995</v>
      </c>
      <c r="K105" s="17">
        <v>243.19999999999996</v>
      </c>
      <c r="L105" s="17">
        <v>348</v>
      </c>
      <c r="M105" s="17">
        <v>348</v>
      </c>
      <c r="N105" s="17">
        <v>348</v>
      </c>
      <c r="O105" s="17">
        <v>348</v>
      </c>
      <c r="P105" s="17">
        <v>348</v>
      </c>
      <c r="Q105" s="17">
        <v>348</v>
      </c>
      <c r="R105" s="17">
        <v>348</v>
      </c>
      <c r="S105" s="17">
        <v>348</v>
      </c>
      <c r="T105" s="17">
        <v>243.19999999999996</v>
      </c>
      <c r="U105" s="17">
        <v>182.39999999999995</v>
      </c>
      <c r="V105" s="17">
        <v>121.59999999999998</v>
      </c>
      <c r="W105" s="17">
        <v>60.79999999999999</v>
      </c>
      <c r="X105" s="17">
        <v>0</v>
      </c>
      <c r="Y105" s="17">
        <v>0</v>
      </c>
      <c r="Z105" s="17">
        <v>0</v>
      </c>
      <c r="AA105" s="17">
        <v>0</v>
      </c>
      <c r="AB105" s="17">
        <v>0</v>
      </c>
      <c r="AC105" s="17">
        <v>0</v>
      </c>
      <c r="AD105" s="17">
        <v>0</v>
      </c>
      <c r="AE105" s="17">
        <v>0</v>
      </c>
      <c r="AF105" s="17">
        <v>0</v>
      </c>
      <c r="AG105" s="17">
        <v>0</v>
      </c>
      <c r="AH105" s="17">
        <v>0</v>
      </c>
      <c r="AI105" s="17">
        <v>0</v>
      </c>
      <c r="AJ105" s="17">
        <v>0</v>
      </c>
      <c r="AK105" s="17">
        <v>0</v>
      </c>
      <c r="AL105" s="17">
        <v>0</v>
      </c>
      <c r="AM105" s="17">
        <v>0</v>
      </c>
      <c r="AN105" s="17">
        <v>0</v>
      </c>
      <c r="AO105" s="17">
        <v>0</v>
      </c>
      <c r="AP105" s="17">
        <v>0</v>
      </c>
      <c r="AQ105" s="17">
        <v>0</v>
      </c>
      <c r="AR105" s="17">
        <v>0</v>
      </c>
      <c r="AS105" s="17">
        <v>0</v>
      </c>
      <c r="AT105" s="17">
        <v>0</v>
      </c>
      <c r="AU105" s="17">
        <v>0</v>
      </c>
      <c r="AV105" s="17">
        <v>0</v>
      </c>
      <c r="AW105" s="17">
        <v>0</v>
      </c>
      <c r="AX105" s="17">
        <v>0</v>
      </c>
      <c r="AY105" s="17">
        <v>0</v>
      </c>
      <c r="AZ105" s="17">
        <v>0</v>
      </c>
      <c r="BA105" s="17">
        <v>0</v>
      </c>
      <c r="BB105" s="17">
        <v>0</v>
      </c>
      <c r="BC105" s="17">
        <v>0</v>
      </c>
      <c r="BD105" s="17">
        <v>0</v>
      </c>
      <c r="BE105" s="17">
        <v>0</v>
      </c>
      <c r="BF105" s="17">
        <v>0</v>
      </c>
      <c r="BG105" s="17">
        <v>0</v>
      </c>
      <c r="BH105" s="17">
        <v>0</v>
      </c>
      <c r="BI105" s="17">
        <v>0</v>
      </c>
      <c r="BJ105" s="17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O1280"/>
  <sheetViews>
    <sheetView zoomScale="70" zoomScaleNormal="70" workbookViewId="0">
      <selection activeCell="B361" sqref="B361"/>
    </sheetView>
  </sheetViews>
  <sheetFormatPr defaultRowHeight="15.75"/>
  <cols>
    <col min="1" max="1" width="45" style="160" bestFit="1" customWidth="1"/>
    <col min="2" max="2" width="33.5703125" style="160" bestFit="1" customWidth="1"/>
    <col min="3" max="3" width="32.140625" style="89" customWidth="1"/>
    <col min="4" max="7" width="32.140625" style="89" bestFit="1" customWidth="1"/>
    <col min="8" max="8" width="28.140625" style="89" bestFit="1" customWidth="1"/>
    <col min="9" max="10" width="28.7109375" style="89" bestFit="1" customWidth="1"/>
    <col min="11" max="11" width="29.28515625" style="89" bestFit="1" customWidth="1"/>
    <col min="12" max="12" width="28.42578125" style="89" bestFit="1" customWidth="1"/>
    <col min="13" max="13" width="27.28515625" style="89" bestFit="1" customWidth="1"/>
    <col min="14" max="14" width="26.42578125" style="89" bestFit="1" customWidth="1"/>
    <col min="15" max="15" width="26.7109375" style="89" bestFit="1" customWidth="1"/>
    <col min="16" max="35" width="23.7109375" style="89" bestFit="1" customWidth="1"/>
    <col min="36" max="36" width="25" style="89" bestFit="1" customWidth="1"/>
    <col min="37" max="41" width="19.5703125" style="89" bestFit="1" customWidth="1"/>
    <col min="42" max="42" width="20.85546875" style="89" bestFit="1" customWidth="1"/>
    <col min="43" max="44" width="19.5703125" style="89" bestFit="1" customWidth="1"/>
    <col min="45" max="61" width="17" style="89" bestFit="1" customWidth="1"/>
    <col min="62" max="62" width="16.42578125" style="89" bestFit="1" customWidth="1"/>
    <col min="63" max="16384" width="9.140625" style="89"/>
  </cols>
  <sheetData>
    <row r="1" spans="1:13" s="43" customFormat="1" ht="26.25">
      <c r="A1" s="41" t="s">
        <v>114</v>
      </c>
      <c r="B1" s="42"/>
      <c r="C1" s="42"/>
      <c r="D1" s="42"/>
      <c r="E1" s="42"/>
      <c r="F1" s="42"/>
      <c r="G1" s="42"/>
    </row>
    <row r="2" spans="1:13" s="48" customFormat="1" ht="18.75">
      <c r="A2" s="44" t="s">
        <v>59</v>
      </c>
      <c r="B2" s="45">
        <v>1</v>
      </c>
      <c r="C2" s="46">
        <v>2</v>
      </c>
      <c r="D2" s="46">
        <v>3</v>
      </c>
      <c r="E2" s="46">
        <v>4</v>
      </c>
      <c r="F2" s="46">
        <v>5</v>
      </c>
      <c r="G2" s="46">
        <v>6</v>
      </c>
      <c r="H2" s="46">
        <v>7</v>
      </c>
      <c r="I2" s="46">
        <v>8</v>
      </c>
      <c r="J2" s="46">
        <v>9</v>
      </c>
      <c r="K2" s="47">
        <v>10</v>
      </c>
    </row>
    <row r="3" spans="1:13" s="52" customFormat="1" ht="18.75">
      <c r="A3" s="49" t="s">
        <v>115</v>
      </c>
      <c r="B3" s="50" t="e">
        <f>B113</f>
        <v>#REF!</v>
      </c>
      <c r="C3" s="50">
        <f>B229</f>
        <v>3676931987.2043514</v>
      </c>
      <c r="D3" s="50">
        <f>B345</f>
        <v>6988017012.4579849</v>
      </c>
      <c r="E3" s="50">
        <f>B461</f>
        <v>6691557121.5367661</v>
      </c>
      <c r="F3" s="50">
        <f>B577</f>
        <v>4971925309.6851168</v>
      </c>
      <c r="G3" s="50">
        <f>B693</f>
        <v>3690773859.6414256</v>
      </c>
      <c r="H3" s="50">
        <f>B809</f>
        <v>4379220435.2011471</v>
      </c>
      <c r="I3" s="50">
        <f>B925</f>
        <v>3118154039.1398473</v>
      </c>
      <c r="J3" s="50">
        <f>B1041</f>
        <v>7259546882.9380398</v>
      </c>
      <c r="K3" s="51">
        <f>B1157</f>
        <v>6325032620.9662361</v>
      </c>
    </row>
    <row r="4" spans="1:13" s="52" customFormat="1" ht="18.75">
      <c r="A4" s="53" t="s">
        <v>116</v>
      </c>
      <c r="B4" s="50" t="e">
        <f t="shared" ref="B4:B47" si="0">B114</f>
        <v>#REF!</v>
      </c>
      <c r="C4" s="50">
        <f t="shared" ref="C4:C47" si="1">B230</f>
        <v>580416619.48353922</v>
      </c>
      <c r="D4" s="50">
        <f t="shared" ref="D4:D47" si="2">B346</f>
        <v>2305970822.5538502</v>
      </c>
      <c r="E4" s="50">
        <f>B462</f>
        <v>1739463494.7192543</v>
      </c>
      <c r="F4" s="50">
        <f t="shared" ref="F4:F47" si="3">B578</f>
        <v>1752149837.8155913</v>
      </c>
      <c r="G4" s="50">
        <f t="shared" ref="G4:G47" si="4">B694</f>
        <v>580848071.05950189</v>
      </c>
      <c r="H4" s="50">
        <f t="shared" ref="H4:H47" si="5">B810</f>
        <v>1590252929.6290019</v>
      </c>
      <c r="I4" s="50">
        <f t="shared" ref="I4:I47" si="6">B926</f>
        <v>1220958298.6496944</v>
      </c>
      <c r="J4" s="50">
        <f t="shared" ref="J4:J47" si="7">B1042</f>
        <v>2280947940.7148023</v>
      </c>
      <c r="K4" s="51">
        <f t="shared" ref="K4:K47" si="8">B1158</f>
        <v>2077631839.1476707</v>
      </c>
    </row>
    <row r="5" spans="1:13" s="55" customFormat="1" ht="18.75">
      <c r="A5" s="54" t="s">
        <v>117</v>
      </c>
      <c r="B5" s="50" t="e">
        <f t="shared" si="0"/>
        <v>#REF!</v>
      </c>
      <c r="C5" s="50">
        <f t="shared" si="1"/>
        <v>148732169.66643324</v>
      </c>
      <c r="D5" s="50">
        <f t="shared" si="2"/>
        <v>1468686102.3809173</v>
      </c>
      <c r="E5" s="50">
        <f t="shared" ref="E5:E47" si="9">B463</f>
        <v>1182441262.9281545</v>
      </c>
      <c r="F5" s="50">
        <f t="shared" si="3"/>
        <v>1468686102.3809173</v>
      </c>
      <c r="G5" s="50">
        <f t="shared" si="4"/>
        <v>148769847.33109486</v>
      </c>
      <c r="H5" s="50">
        <f t="shared" si="5"/>
        <v>1408580725.1904728</v>
      </c>
      <c r="I5" s="50">
        <f t="shared" si="6"/>
        <v>1051498666.9034307</v>
      </c>
      <c r="J5" s="50">
        <f t="shared" si="7"/>
        <v>1734713254.4535322</v>
      </c>
      <c r="K5" s="51">
        <f t="shared" si="8"/>
        <v>1276752776.3315358</v>
      </c>
    </row>
    <row r="6" spans="1:13" s="55" customFormat="1" ht="18.75">
      <c r="A6" s="54" t="s">
        <v>118</v>
      </c>
      <c r="B6" s="50" t="e">
        <f>B116</f>
        <v>#REF!</v>
      </c>
      <c r="C6" s="50">
        <f t="shared" si="1"/>
        <v>401731339.08797181</v>
      </c>
      <c r="D6" s="50">
        <f t="shared" si="2"/>
        <v>773064604.44946909</v>
      </c>
      <c r="E6" s="50">
        <f t="shared" si="9"/>
        <v>489532457.99521613</v>
      </c>
      <c r="F6" s="50">
        <f t="shared" si="3"/>
        <v>219243619.71121037</v>
      </c>
      <c r="G6" s="50">
        <f t="shared" si="4"/>
        <v>401808407.67412645</v>
      </c>
      <c r="H6" s="50">
        <f t="shared" si="5"/>
        <v>117470781.99838519</v>
      </c>
      <c r="I6" s="50">
        <f t="shared" si="6"/>
        <v>101969857.95038006</v>
      </c>
      <c r="J6" s="50">
        <f t="shared" si="7"/>
        <v>470844200.53920484</v>
      </c>
      <c r="K6" s="51">
        <f t="shared" si="8"/>
        <v>744196496.93438244</v>
      </c>
    </row>
    <row r="7" spans="1:13" s="57" customFormat="1" ht="18.75">
      <c r="A7" s="56" t="s">
        <v>119</v>
      </c>
      <c r="B7" s="50" t="e">
        <f t="shared" si="0"/>
        <v>#REF!</v>
      </c>
      <c r="C7" s="50">
        <f t="shared" si="1"/>
        <v>145321679.33089703</v>
      </c>
      <c r="D7" s="50">
        <f t="shared" si="2"/>
        <v>358336192.50498122</v>
      </c>
      <c r="E7" s="50">
        <f t="shared" si="9"/>
        <v>172772075.55647919</v>
      </c>
      <c r="F7" s="50">
        <f t="shared" si="3"/>
        <v>94112398.526538372</v>
      </c>
      <c r="G7" s="50">
        <f t="shared" si="4"/>
        <v>145234186.63689634</v>
      </c>
      <c r="H7" s="50">
        <f t="shared" si="5"/>
        <v>50425444.832640894</v>
      </c>
      <c r="I7" s="50">
        <f t="shared" si="6"/>
        <v>36280823.28669858</v>
      </c>
      <c r="J7" s="50">
        <f t="shared" si="7"/>
        <v>206147669.97115827</v>
      </c>
      <c r="K7" s="51">
        <f t="shared" si="8"/>
        <v>357272016.54717249</v>
      </c>
    </row>
    <row r="8" spans="1:13" s="57" customFormat="1" ht="18.75">
      <c r="A8" s="56" t="s">
        <v>120</v>
      </c>
      <c r="B8" s="50" t="e">
        <f t="shared" si="0"/>
        <v>#REF!</v>
      </c>
      <c r="C8" s="50">
        <f t="shared" si="1"/>
        <v>207306258.4777936</v>
      </c>
      <c r="D8" s="50">
        <f t="shared" si="2"/>
        <v>322391074.35696226</v>
      </c>
      <c r="E8" s="50">
        <f t="shared" si="9"/>
        <v>247788721.10892642</v>
      </c>
      <c r="F8" s="50">
        <f t="shared" si="3"/>
        <v>100347427.71059178</v>
      </c>
      <c r="G8" s="50">
        <f t="shared" si="4"/>
        <v>207478194.01764768</v>
      </c>
      <c r="H8" s="50">
        <f t="shared" si="5"/>
        <v>53766174.907241344</v>
      </c>
      <c r="I8" s="50">
        <f t="shared" si="6"/>
        <v>52924521.503814273</v>
      </c>
      <c r="J8" s="50">
        <f t="shared" si="7"/>
        <v>206743988.3576825</v>
      </c>
      <c r="K8" s="51">
        <f t="shared" si="8"/>
        <v>300265231.62171823</v>
      </c>
    </row>
    <row r="9" spans="1:13" s="57" customFormat="1" ht="18.75">
      <c r="A9" s="56" t="s">
        <v>121</v>
      </c>
      <c r="B9" s="50" t="e">
        <f t="shared" si="0"/>
        <v>#REF!</v>
      </c>
      <c r="C9" s="50">
        <f t="shared" si="1"/>
        <v>42027186.626316153</v>
      </c>
      <c r="D9" s="50">
        <f t="shared" si="2"/>
        <v>77936382.393930182</v>
      </c>
      <c r="E9" s="50">
        <f t="shared" si="9"/>
        <v>58504402.136900589</v>
      </c>
      <c r="F9" s="50">
        <f t="shared" si="3"/>
        <v>20697995.490419406</v>
      </c>
      <c r="G9" s="50">
        <f t="shared" si="4"/>
        <v>42018122.944474198</v>
      </c>
      <c r="H9" s="50">
        <f t="shared" si="5"/>
        <v>11089990.756681077</v>
      </c>
      <c r="I9" s="50">
        <f t="shared" si="6"/>
        <v>10722103.119394379</v>
      </c>
      <c r="J9" s="50">
        <f t="shared" si="7"/>
        <v>49175500.248549461</v>
      </c>
      <c r="K9" s="51">
        <f t="shared" si="8"/>
        <v>72758870.076876536</v>
      </c>
    </row>
    <row r="10" spans="1:13" s="57" customFormat="1" ht="18.75">
      <c r="A10" s="56" t="s">
        <v>122</v>
      </c>
      <c r="B10" s="50" t="e">
        <f t="shared" si="0"/>
        <v>#REF!</v>
      </c>
      <c r="C10" s="50">
        <f t="shared" si="1"/>
        <v>7076214.6529649803</v>
      </c>
      <c r="D10" s="50">
        <f t="shared" si="2"/>
        <v>14400955.193595409</v>
      </c>
      <c r="E10" s="50">
        <f t="shared" si="9"/>
        <v>10467259.192909904</v>
      </c>
      <c r="F10" s="50">
        <f t="shared" si="3"/>
        <v>4085797.983660779</v>
      </c>
      <c r="G10" s="50">
        <f t="shared" si="4"/>
        <v>7077904.0751082078</v>
      </c>
      <c r="H10" s="50">
        <f t="shared" si="5"/>
        <v>2189171.501821883</v>
      </c>
      <c r="I10" s="50">
        <f t="shared" si="6"/>
        <v>2042410.0404728241</v>
      </c>
      <c r="J10" s="50">
        <f t="shared" si="7"/>
        <v>8777041.961814642</v>
      </c>
      <c r="K10" s="51">
        <f t="shared" si="8"/>
        <v>13900378.688615244</v>
      </c>
    </row>
    <row r="11" spans="1:13" s="55" customFormat="1" ht="18.75">
      <c r="A11" s="58" t="s">
        <v>123</v>
      </c>
      <c r="B11" s="50">
        <f t="shared" si="0"/>
        <v>35840143.720307097</v>
      </c>
      <c r="C11" s="50">
        <f t="shared" si="1"/>
        <v>29953110.729134198</v>
      </c>
      <c r="D11" s="50">
        <f t="shared" si="2"/>
        <v>64220115.723463491</v>
      </c>
      <c r="E11" s="50">
        <f t="shared" si="9"/>
        <v>67489773.795883745</v>
      </c>
      <c r="F11" s="50">
        <f t="shared" si="3"/>
        <v>64220115.723463491</v>
      </c>
      <c r="G11" s="50">
        <f t="shared" si="4"/>
        <v>30269816.05428065</v>
      </c>
      <c r="H11" s="50">
        <f t="shared" si="5"/>
        <v>64201422.440143839</v>
      </c>
      <c r="I11" s="50">
        <f t="shared" si="6"/>
        <v>67489773.795883745</v>
      </c>
      <c r="J11" s="50">
        <f t="shared" si="7"/>
        <v>75390485.72206521</v>
      </c>
      <c r="K11" s="51">
        <f t="shared" si="8"/>
        <v>56682565.881752387</v>
      </c>
    </row>
    <row r="12" spans="1:13" s="52" customFormat="1" ht="22.5" customHeight="1">
      <c r="A12" s="59" t="s">
        <v>124</v>
      </c>
      <c r="B12" s="50" t="e">
        <f t="shared" si="0"/>
        <v>#REF!</v>
      </c>
      <c r="C12" s="50">
        <f t="shared" si="1"/>
        <v>3096515367.7208123</v>
      </c>
      <c r="D12" s="50">
        <f t="shared" si="2"/>
        <v>4682046189.9041357</v>
      </c>
      <c r="E12" s="50">
        <f t="shared" si="9"/>
        <v>4952093626.8175116</v>
      </c>
      <c r="F12" s="50">
        <f t="shared" si="3"/>
        <v>3219775471.8695254</v>
      </c>
      <c r="G12" s="50">
        <f t="shared" si="4"/>
        <v>3109925788.5819235</v>
      </c>
      <c r="H12" s="50">
        <f t="shared" si="5"/>
        <v>2788967505.5721459</v>
      </c>
      <c r="I12" s="50">
        <f t="shared" si="6"/>
        <v>1897195740.4901528</v>
      </c>
      <c r="J12" s="50">
        <f t="shared" si="7"/>
        <v>4978598942.2232361</v>
      </c>
      <c r="K12" s="51">
        <f t="shared" si="8"/>
        <v>4247400781.8185658</v>
      </c>
      <c r="L12" s="60"/>
      <c r="M12" s="60"/>
    </row>
    <row r="13" spans="1:13" s="55" customFormat="1" ht="18.75">
      <c r="A13" s="61" t="s">
        <v>125</v>
      </c>
      <c r="B13" s="50" t="e">
        <f t="shared" si="0"/>
        <v>#REF!</v>
      </c>
      <c r="C13" s="50">
        <f t="shared" si="1"/>
        <v>329468094.5503394</v>
      </c>
      <c r="D13" s="50">
        <f t="shared" si="2"/>
        <v>267717260.37150487</v>
      </c>
      <c r="E13" s="50">
        <f t="shared" si="9"/>
        <v>342510468.7574535</v>
      </c>
      <c r="F13" s="50">
        <f t="shared" si="3"/>
        <v>165937626.09747234</v>
      </c>
      <c r="G13" s="50">
        <f t="shared" si="4"/>
        <v>330986323.28250426</v>
      </c>
      <c r="H13" s="50">
        <f t="shared" si="5"/>
        <v>165937626.09747234</v>
      </c>
      <c r="I13" s="50">
        <f t="shared" si="6"/>
        <v>119306951.1595085</v>
      </c>
      <c r="J13" s="50">
        <f t="shared" si="7"/>
        <v>331030870.51285362</v>
      </c>
      <c r="K13" s="51">
        <f t="shared" si="8"/>
        <v>244283341.71659705</v>
      </c>
    </row>
    <row r="14" spans="1:13" s="64" customFormat="1" ht="18.75">
      <c r="A14" s="62" t="s">
        <v>126</v>
      </c>
      <c r="B14" s="50" t="e">
        <f t="shared" si="0"/>
        <v>#REF!</v>
      </c>
      <c r="C14" s="50">
        <f t="shared" si="1"/>
        <v>10215749.973938264</v>
      </c>
      <c r="D14" s="50">
        <f>B356</f>
        <v>64110364.311337672</v>
      </c>
      <c r="E14" s="50">
        <f t="shared" si="9"/>
        <v>17616947.768139075</v>
      </c>
      <c r="F14" s="50">
        <f t="shared" si="3"/>
        <v>64110364.311337672</v>
      </c>
      <c r="G14" s="50">
        <f t="shared" si="4"/>
        <v>10217770.425815737</v>
      </c>
      <c r="H14" s="50">
        <f t="shared" si="5"/>
        <v>64110364.311337672</v>
      </c>
      <c r="I14" s="50">
        <f t="shared" si="6"/>
        <v>17616947.768139075</v>
      </c>
      <c r="J14" s="50">
        <f t="shared" si="7"/>
        <v>65568462.488083437</v>
      </c>
      <c r="K14" s="51">
        <f t="shared" si="8"/>
        <v>65910514.501458749</v>
      </c>
      <c r="L14" s="63"/>
      <c r="M14" s="63"/>
    </row>
    <row r="15" spans="1:13" s="64" customFormat="1" ht="18.75">
      <c r="A15" s="62" t="s">
        <v>127</v>
      </c>
      <c r="B15" s="50">
        <f t="shared" si="0"/>
        <v>0</v>
      </c>
      <c r="C15" s="50">
        <f t="shared" si="1"/>
        <v>135052902.40000001</v>
      </c>
      <c r="D15" s="50">
        <f t="shared" si="2"/>
        <v>9003526.8266666681</v>
      </c>
      <c r="E15" s="50">
        <f t="shared" si="9"/>
        <v>130551138.98666668</v>
      </c>
      <c r="F15" s="50">
        <f t="shared" si="3"/>
        <v>0</v>
      </c>
      <c r="G15" s="50">
        <f t="shared" si="4"/>
        <v>135052902.40000001</v>
      </c>
      <c r="H15" s="50">
        <f t="shared" si="5"/>
        <v>0</v>
      </c>
      <c r="I15" s="50">
        <f t="shared" si="6"/>
        <v>0</v>
      </c>
      <c r="J15" s="50">
        <f t="shared" si="7"/>
        <v>9003526.8266666681</v>
      </c>
      <c r="K15" s="51">
        <f t="shared" si="8"/>
        <v>9003526.8266666681</v>
      </c>
      <c r="L15" s="63"/>
      <c r="M15" s="63"/>
    </row>
    <row r="16" spans="1:13" s="64" customFormat="1" ht="18.75">
      <c r="A16" s="62" t="s">
        <v>128</v>
      </c>
      <c r="B16" s="50">
        <f t="shared" si="0"/>
        <v>193850673.51544362</v>
      </c>
      <c r="C16" s="50">
        <f t="shared" si="1"/>
        <v>175701203.87430328</v>
      </c>
      <c r="D16" s="50">
        <f t="shared" si="2"/>
        <v>185571543.2504499</v>
      </c>
      <c r="E16" s="50">
        <f t="shared" si="9"/>
        <v>185324059.80143398</v>
      </c>
      <c r="F16" s="50">
        <f t="shared" si="3"/>
        <v>92795435.803084031</v>
      </c>
      <c r="G16" s="50">
        <f t="shared" si="4"/>
        <v>177139847.12380481</v>
      </c>
      <c r="H16" s="50">
        <f t="shared" si="5"/>
        <v>92795435.803084031</v>
      </c>
      <c r="I16" s="50">
        <f t="shared" si="6"/>
        <v>92671681.19015567</v>
      </c>
      <c r="J16" s="50">
        <f t="shared" si="7"/>
        <v>244227794.85319927</v>
      </c>
      <c r="K16" s="51">
        <f t="shared" si="8"/>
        <v>161623072.9133319</v>
      </c>
      <c r="L16" s="63"/>
      <c r="M16" s="63"/>
    </row>
    <row r="17" spans="1:13" s="64" customFormat="1" ht="18.75">
      <c r="A17" s="62" t="s">
        <v>129</v>
      </c>
      <c r="B17" s="50">
        <f t="shared" si="0"/>
        <v>9475553.8239187542</v>
      </c>
      <c r="C17" s="50">
        <f t="shared" si="1"/>
        <v>8498238.3020978458</v>
      </c>
      <c r="D17" s="50">
        <f t="shared" si="2"/>
        <v>9031825.9830506314</v>
      </c>
      <c r="E17" s="50">
        <f t="shared" si="9"/>
        <v>9018322.201213751</v>
      </c>
      <c r="F17" s="50">
        <f t="shared" si="3"/>
        <v>9031825.9830506314</v>
      </c>
      <c r="G17" s="50">
        <f t="shared" si="4"/>
        <v>8575803.3328837119</v>
      </c>
      <c r="H17" s="50">
        <f t="shared" si="5"/>
        <v>9031825.9830506314</v>
      </c>
      <c r="I17" s="50">
        <f t="shared" si="6"/>
        <v>9018322.201213751</v>
      </c>
      <c r="J17" s="50">
        <f t="shared" si="7"/>
        <v>12231086.344904229</v>
      </c>
      <c r="K17" s="51">
        <f t="shared" si="8"/>
        <v>7746227.4751397306</v>
      </c>
      <c r="L17" s="63"/>
      <c r="M17" s="63"/>
    </row>
    <row r="18" spans="1:13" s="55" customFormat="1" ht="18.75" hidden="1">
      <c r="A18" s="54" t="s">
        <v>130</v>
      </c>
      <c r="B18" s="50" t="e">
        <f t="shared" si="0"/>
        <v>#REF!</v>
      </c>
      <c r="C18" s="50">
        <f t="shared" si="1"/>
        <v>615939919.1231246</v>
      </c>
      <c r="D18" s="50">
        <f t="shared" si="2"/>
        <v>500496862.75735718</v>
      </c>
      <c r="E18" s="50">
        <f t="shared" si="9"/>
        <v>640322610.64069712</v>
      </c>
      <c r="F18" s="50">
        <f t="shared" si="3"/>
        <v>310220047.67245865</v>
      </c>
      <c r="G18" s="50">
        <f t="shared" si="4"/>
        <v>618778244.58761692</v>
      </c>
      <c r="H18" s="50">
        <f t="shared" si="5"/>
        <v>310220047.67245865</v>
      </c>
      <c r="I18" s="50">
        <f t="shared" si="6"/>
        <v>223044097.6335156</v>
      </c>
      <c r="J18" s="50">
        <f t="shared" si="7"/>
        <v>618861525.54232061</v>
      </c>
      <c r="K18" s="51">
        <f t="shared" si="8"/>
        <v>456687200.45685035</v>
      </c>
      <c r="L18" s="65"/>
      <c r="M18" s="65"/>
    </row>
    <row r="19" spans="1:13" s="64" customFormat="1" ht="18.75" hidden="1">
      <c r="A19" s="62" t="s">
        <v>126</v>
      </c>
      <c r="B19" s="50" t="e">
        <f t="shared" si="0"/>
        <v>#REF!</v>
      </c>
      <c r="C19" s="50">
        <f t="shared" si="1"/>
        <v>19098323.378830839</v>
      </c>
      <c r="D19" s="50">
        <f t="shared" si="2"/>
        <v>119854193.05251114</v>
      </c>
      <c r="E19" s="50">
        <f t="shared" si="9"/>
        <v>32934847.297773689</v>
      </c>
      <c r="F19" s="50">
        <f t="shared" si="3"/>
        <v>119854193.05251114</v>
      </c>
      <c r="G19" s="50">
        <f t="shared" si="4"/>
        <v>19102100.609423388</v>
      </c>
      <c r="H19" s="50">
        <f t="shared" si="5"/>
        <v>119854193.05251114</v>
      </c>
      <c r="I19" s="50">
        <f t="shared" si="6"/>
        <v>32934847.297773689</v>
      </c>
      <c r="J19" s="50">
        <f t="shared" si="7"/>
        <v>122580104.5684171</v>
      </c>
      <c r="K19" s="51">
        <f t="shared" si="8"/>
        <v>123219570.09767218</v>
      </c>
      <c r="L19" s="63"/>
      <c r="M19" s="63"/>
    </row>
    <row r="20" spans="1:13" s="64" customFormat="1" ht="18.75" hidden="1">
      <c r="A20" s="62" t="s">
        <v>127</v>
      </c>
      <c r="B20" s="50">
        <f t="shared" si="0"/>
        <v>0</v>
      </c>
      <c r="C20" s="50">
        <f t="shared" si="1"/>
        <v>252481120.80512699</v>
      </c>
      <c r="D20" s="50">
        <f t="shared" si="2"/>
        <v>16832074.720341802</v>
      </c>
      <c r="E20" s="50">
        <f t="shared" si="9"/>
        <v>244065083.444956</v>
      </c>
      <c r="F20" s="50">
        <f t="shared" si="3"/>
        <v>0</v>
      </c>
      <c r="G20" s="50">
        <f t="shared" si="4"/>
        <v>252481120.80512699</v>
      </c>
      <c r="H20" s="50">
        <f t="shared" si="5"/>
        <v>0</v>
      </c>
      <c r="I20" s="50">
        <f t="shared" si="6"/>
        <v>0</v>
      </c>
      <c r="J20" s="50">
        <f t="shared" si="7"/>
        <v>16832074.720341802</v>
      </c>
      <c r="K20" s="51">
        <f t="shared" si="8"/>
        <v>16832074.720341802</v>
      </c>
      <c r="L20" s="63"/>
      <c r="M20" s="63"/>
    </row>
    <row r="21" spans="1:13" s="64" customFormat="1" ht="18.75" hidden="1">
      <c r="A21" s="62" t="s">
        <v>128</v>
      </c>
      <c r="B21" s="50">
        <f t="shared" si="0"/>
        <v>362403431.90142328</v>
      </c>
      <c r="C21" s="50">
        <f t="shared" si="1"/>
        <v>328473036.0670442</v>
      </c>
      <c r="D21" s="50">
        <f t="shared" si="2"/>
        <v>346925615.05002272</v>
      </c>
      <c r="E21" s="50">
        <f t="shared" si="9"/>
        <v>346462945.25560999</v>
      </c>
      <c r="F21" s="50">
        <f t="shared" si="3"/>
        <v>173480874.68546599</v>
      </c>
      <c r="G21" s="50">
        <f t="shared" si="4"/>
        <v>331162576.63683558</v>
      </c>
      <c r="H21" s="50">
        <f t="shared" si="5"/>
        <v>173480874.68546599</v>
      </c>
      <c r="I21" s="50">
        <f t="shared" si="6"/>
        <v>173249515.69338438</v>
      </c>
      <c r="J21" s="50">
        <f t="shared" si="7"/>
        <v>456583355.71098667</v>
      </c>
      <c r="K21" s="51">
        <f t="shared" si="8"/>
        <v>302153999.44730687</v>
      </c>
      <c r="L21" s="63"/>
      <c r="M21" s="63"/>
    </row>
    <row r="22" spans="1:13" s="64" customFormat="1" ht="18.75" hidden="1">
      <c r="A22" s="62" t="s">
        <v>129</v>
      </c>
      <c r="B22" s="50">
        <f t="shared" si="0"/>
        <v>17714528.212259389</v>
      </c>
      <c r="C22" s="50">
        <f t="shared" si="1"/>
        <v>15887438.87212248</v>
      </c>
      <c r="D22" s="50">
        <f t="shared" si="2"/>
        <v>16884979.934481524</v>
      </c>
      <c r="E22" s="50">
        <f t="shared" si="9"/>
        <v>16859734.642357513</v>
      </c>
      <c r="F22" s="50">
        <f t="shared" si="3"/>
        <v>16884979.934481524</v>
      </c>
      <c r="G22" s="50">
        <f t="shared" si="4"/>
        <v>16032446.536231</v>
      </c>
      <c r="H22" s="50">
        <f t="shared" si="5"/>
        <v>16884979.934481524</v>
      </c>
      <c r="I22" s="50">
        <f t="shared" si="6"/>
        <v>16859734.642357513</v>
      </c>
      <c r="J22" s="50">
        <f t="shared" si="7"/>
        <v>22865990.542574987</v>
      </c>
      <c r="K22" s="51">
        <f t="shared" si="8"/>
        <v>14481556.191529488</v>
      </c>
      <c r="L22" s="63"/>
      <c r="M22" s="63"/>
    </row>
    <row r="23" spans="1:13" s="67" customFormat="1" ht="18.75" hidden="1">
      <c r="A23" s="54" t="s">
        <v>131</v>
      </c>
      <c r="B23" s="50">
        <f t="shared" si="0"/>
        <v>0</v>
      </c>
      <c r="C23" s="50">
        <f t="shared" si="1"/>
        <v>0</v>
      </c>
      <c r="D23" s="50">
        <f t="shared" si="2"/>
        <v>0</v>
      </c>
      <c r="E23" s="50">
        <f t="shared" si="9"/>
        <v>0</v>
      </c>
      <c r="F23" s="50">
        <f t="shared" si="3"/>
        <v>0</v>
      </c>
      <c r="G23" s="50">
        <f t="shared" si="4"/>
        <v>0</v>
      </c>
      <c r="H23" s="50">
        <f t="shared" si="5"/>
        <v>0</v>
      </c>
      <c r="I23" s="50">
        <f t="shared" si="6"/>
        <v>0</v>
      </c>
      <c r="J23" s="50">
        <f t="shared" si="7"/>
        <v>0</v>
      </c>
      <c r="K23" s="51">
        <f t="shared" si="8"/>
        <v>0</v>
      </c>
      <c r="L23" s="66"/>
      <c r="M23" s="66"/>
    </row>
    <row r="24" spans="1:13" s="67" customFormat="1" ht="18.75" hidden="1">
      <c r="A24" s="62" t="s">
        <v>126</v>
      </c>
      <c r="B24" s="50">
        <f t="shared" si="0"/>
        <v>0</v>
      </c>
      <c r="C24" s="50">
        <f t="shared" si="1"/>
        <v>0</v>
      </c>
      <c r="D24" s="50">
        <f t="shared" si="2"/>
        <v>0</v>
      </c>
      <c r="E24" s="50">
        <f t="shared" si="9"/>
        <v>0</v>
      </c>
      <c r="F24" s="50">
        <f t="shared" si="3"/>
        <v>0</v>
      </c>
      <c r="G24" s="50">
        <f t="shared" si="4"/>
        <v>0</v>
      </c>
      <c r="H24" s="50">
        <f t="shared" si="5"/>
        <v>0</v>
      </c>
      <c r="I24" s="50">
        <f t="shared" si="6"/>
        <v>0</v>
      </c>
      <c r="J24" s="50">
        <f t="shared" si="7"/>
        <v>0</v>
      </c>
      <c r="K24" s="51">
        <f t="shared" si="8"/>
        <v>0</v>
      </c>
      <c r="L24" s="66"/>
      <c r="M24" s="66"/>
    </row>
    <row r="25" spans="1:13" s="67" customFormat="1" ht="18.75" hidden="1">
      <c r="A25" s="62" t="s">
        <v>127</v>
      </c>
      <c r="B25" s="50">
        <f t="shared" si="0"/>
        <v>0</v>
      </c>
      <c r="C25" s="50">
        <f t="shared" si="1"/>
        <v>0</v>
      </c>
      <c r="D25" s="50">
        <f t="shared" si="2"/>
        <v>0</v>
      </c>
      <c r="E25" s="50">
        <f t="shared" si="9"/>
        <v>0</v>
      </c>
      <c r="F25" s="50">
        <f t="shared" si="3"/>
        <v>0</v>
      </c>
      <c r="G25" s="50">
        <f t="shared" si="4"/>
        <v>0</v>
      </c>
      <c r="H25" s="50">
        <f t="shared" si="5"/>
        <v>0</v>
      </c>
      <c r="I25" s="50">
        <f t="shared" si="6"/>
        <v>0</v>
      </c>
      <c r="J25" s="50">
        <f t="shared" si="7"/>
        <v>0</v>
      </c>
      <c r="K25" s="51">
        <f t="shared" si="8"/>
        <v>0</v>
      </c>
      <c r="L25" s="66"/>
      <c r="M25" s="66"/>
    </row>
    <row r="26" spans="1:13" s="67" customFormat="1" ht="18.75" hidden="1">
      <c r="A26" s="62" t="s">
        <v>128</v>
      </c>
      <c r="B26" s="50">
        <f t="shared" si="0"/>
        <v>0</v>
      </c>
      <c r="C26" s="50">
        <f t="shared" si="1"/>
        <v>0</v>
      </c>
      <c r="D26" s="50">
        <f t="shared" si="2"/>
        <v>0</v>
      </c>
      <c r="E26" s="50">
        <f t="shared" si="9"/>
        <v>0</v>
      </c>
      <c r="F26" s="50">
        <f t="shared" si="3"/>
        <v>0</v>
      </c>
      <c r="G26" s="50">
        <f t="shared" si="4"/>
        <v>0</v>
      </c>
      <c r="H26" s="50">
        <f t="shared" si="5"/>
        <v>0</v>
      </c>
      <c r="I26" s="50">
        <f t="shared" si="6"/>
        <v>0</v>
      </c>
      <c r="J26" s="50">
        <f t="shared" si="7"/>
        <v>0</v>
      </c>
      <c r="K26" s="51">
        <f t="shared" si="8"/>
        <v>0</v>
      </c>
      <c r="L26" s="66"/>
      <c r="M26" s="66"/>
    </row>
    <row r="27" spans="1:13" s="67" customFormat="1" ht="18.75" hidden="1">
      <c r="A27" s="62" t="s">
        <v>129</v>
      </c>
      <c r="B27" s="50">
        <f t="shared" si="0"/>
        <v>0</v>
      </c>
      <c r="C27" s="50">
        <f t="shared" si="1"/>
        <v>0</v>
      </c>
      <c r="D27" s="50">
        <f t="shared" si="2"/>
        <v>0</v>
      </c>
      <c r="E27" s="50">
        <f t="shared" si="9"/>
        <v>0</v>
      </c>
      <c r="F27" s="50">
        <f t="shared" si="3"/>
        <v>0</v>
      </c>
      <c r="G27" s="50">
        <f t="shared" si="4"/>
        <v>0</v>
      </c>
      <c r="H27" s="50">
        <f t="shared" si="5"/>
        <v>0</v>
      </c>
      <c r="I27" s="50">
        <f t="shared" si="6"/>
        <v>0</v>
      </c>
      <c r="J27" s="50">
        <f t="shared" si="7"/>
        <v>0</v>
      </c>
      <c r="K27" s="51">
        <f t="shared" si="8"/>
        <v>0</v>
      </c>
      <c r="L27" s="66"/>
      <c r="M27" s="66"/>
    </row>
    <row r="28" spans="1:13" s="55" customFormat="1" ht="18.75" hidden="1">
      <c r="A28" s="54" t="s">
        <v>132</v>
      </c>
      <c r="B28" s="50" t="e">
        <f t="shared" si="0"/>
        <v>#REF!</v>
      </c>
      <c r="C28" s="50">
        <f t="shared" si="1"/>
        <v>610946657.32540143</v>
      </c>
      <c r="D28" s="50">
        <f t="shared" si="2"/>
        <v>526036702.432908</v>
      </c>
      <c r="E28" s="50">
        <f t="shared" si="9"/>
        <v>690740314.72363794</v>
      </c>
      <c r="F28" s="50">
        <f t="shared" si="3"/>
        <v>322816262.23067242</v>
      </c>
      <c r="G28" s="50">
        <f t="shared" si="4"/>
        <v>613876714.54474986</v>
      </c>
      <c r="H28" s="50">
        <f t="shared" si="5"/>
        <v>295072008.2204439</v>
      </c>
      <c r="I28" s="50">
        <f t="shared" si="6"/>
        <v>184964400.32411751</v>
      </c>
      <c r="J28" s="50">
        <f t="shared" si="7"/>
        <v>626122180.01885843</v>
      </c>
      <c r="K28" s="51">
        <f t="shared" si="8"/>
        <v>478612804.30402702</v>
      </c>
      <c r="L28" s="65"/>
      <c r="M28" s="65"/>
    </row>
    <row r="29" spans="1:13" s="64" customFormat="1" ht="18.75" hidden="1">
      <c r="A29" s="62" t="s">
        <v>126</v>
      </c>
      <c r="B29" s="50" t="e">
        <f t="shared" si="0"/>
        <v>#REF!</v>
      </c>
      <c r="C29" s="50">
        <f t="shared" si="1"/>
        <v>17960831.676065028</v>
      </c>
      <c r="D29" s="50">
        <f t="shared" si="2"/>
        <v>118124424.579171</v>
      </c>
      <c r="E29" s="50">
        <f t="shared" si="9"/>
        <v>33886339.028466173</v>
      </c>
      <c r="F29" s="50">
        <f t="shared" si="3"/>
        <v>118124424.579171</v>
      </c>
      <c r="G29" s="50">
        <f t="shared" si="4"/>
        <v>17964383.935681161</v>
      </c>
      <c r="H29" s="50">
        <f t="shared" si="5"/>
        <v>107114960.20658058</v>
      </c>
      <c r="I29" s="50">
        <f t="shared" si="6"/>
        <v>24561099.492133562</v>
      </c>
      <c r="J29" s="50">
        <f t="shared" si="7"/>
        <v>115279262.02297714</v>
      </c>
      <c r="K29" s="51">
        <f t="shared" si="8"/>
        <v>121441231.58297291</v>
      </c>
      <c r="L29" s="63"/>
      <c r="M29" s="63"/>
    </row>
    <row r="30" spans="1:13" s="64" customFormat="1" ht="18.75" hidden="1">
      <c r="A30" s="62" t="s">
        <v>127</v>
      </c>
      <c r="B30" s="50">
        <f t="shared" si="0"/>
        <v>0</v>
      </c>
      <c r="C30" s="50">
        <f t="shared" si="1"/>
        <v>237443403.91636702</v>
      </c>
      <c r="D30" s="50">
        <f t="shared" si="2"/>
        <v>16589149.61734271</v>
      </c>
      <c r="E30" s="50">
        <f t="shared" si="9"/>
        <v>251116153.2904914</v>
      </c>
      <c r="F30" s="50">
        <f t="shared" si="3"/>
        <v>0</v>
      </c>
      <c r="G30" s="50">
        <f t="shared" si="4"/>
        <v>237443403.91636702</v>
      </c>
      <c r="H30" s="50">
        <f t="shared" si="5"/>
        <v>0</v>
      </c>
      <c r="I30" s="50">
        <f t="shared" si="6"/>
        <v>0</v>
      </c>
      <c r="J30" s="50">
        <f t="shared" si="7"/>
        <v>15829560.261091126</v>
      </c>
      <c r="K30" s="51">
        <f t="shared" si="8"/>
        <v>16589149.61734271</v>
      </c>
      <c r="L30" s="63"/>
      <c r="M30" s="63"/>
    </row>
    <row r="31" spans="1:13" s="64" customFormat="1" ht="18.75" hidden="1">
      <c r="A31" s="62" t="s">
        <v>128</v>
      </c>
      <c r="B31" s="50">
        <f t="shared" si="0"/>
        <v>404908191.9038794</v>
      </c>
      <c r="C31" s="50">
        <f t="shared" si="1"/>
        <v>339230323.31195861</v>
      </c>
      <c r="D31" s="50">
        <f t="shared" si="2"/>
        <v>373301462.68865734</v>
      </c>
      <c r="E31" s="50">
        <f t="shared" si="9"/>
        <v>387098113.25214124</v>
      </c>
      <c r="F31" s="50">
        <f t="shared" si="3"/>
        <v>186670172.1037645</v>
      </c>
      <c r="G31" s="50">
        <f t="shared" si="4"/>
        <v>342007944.65943742</v>
      </c>
      <c r="H31" s="50">
        <f t="shared" si="5"/>
        <v>171341528.8984682</v>
      </c>
      <c r="I31" s="50">
        <f t="shared" si="6"/>
        <v>146147785.17140535</v>
      </c>
      <c r="J31" s="50">
        <f t="shared" si="7"/>
        <v>471536176.09295428</v>
      </c>
      <c r="K31" s="51">
        <f t="shared" si="8"/>
        <v>325125978.1859687</v>
      </c>
      <c r="L31" s="63"/>
      <c r="M31" s="63"/>
    </row>
    <row r="32" spans="1:13" s="64" customFormat="1" ht="18.75" hidden="1">
      <c r="A32" s="62" t="s">
        <v>129</v>
      </c>
      <c r="B32" s="50">
        <f t="shared" si="0"/>
        <v>19584747.96046932</v>
      </c>
      <c r="C32" s="50">
        <f t="shared" si="1"/>
        <v>16312098.421010729</v>
      </c>
      <c r="D32" s="50">
        <f t="shared" si="2"/>
        <v>18021665.547736932</v>
      </c>
      <c r="E32" s="50">
        <f t="shared" si="9"/>
        <v>18639709.15253919</v>
      </c>
      <c r="F32" s="50">
        <f t="shared" si="3"/>
        <v>18021665.547736932</v>
      </c>
      <c r="G32" s="50">
        <f t="shared" si="4"/>
        <v>16460982.033264272</v>
      </c>
      <c r="H32" s="50">
        <f t="shared" si="5"/>
        <v>16615519.115395151</v>
      </c>
      <c r="I32" s="50">
        <f t="shared" si="6"/>
        <v>14255515.660578616</v>
      </c>
      <c r="J32" s="50">
        <f t="shared" si="7"/>
        <v>23477181.641835917</v>
      </c>
      <c r="K32" s="51">
        <f t="shared" si="8"/>
        <v>15456444.917742653</v>
      </c>
      <c r="L32" s="63"/>
      <c r="M32" s="63"/>
    </row>
    <row r="33" spans="1:13" s="55" customFormat="1" ht="18.75">
      <c r="A33" s="54" t="s">
        <v>133</v>
      </c>
      <c r="B33" s="50" t="e">
        <f t="shared" si="0"/>
        <v>#REF!</v>
      </c>
      <c r="C33" s="50">
        <f t="shared" si="1"/>
        <v>272403546.81774133</v>
      </c>
      <c r="D33" s="50">
        <f t="shared" si="2"/>
        <v>242282918.52720344</v>
      </c>
      <c r="E33" s="50">
        <f t="shared" si="9"/>
        <v>329798983.15384144</v>
      </c>
      <c r="F33" s="50">
        <f t="shared" si="3"/>
        <v>149270060.44766653</v>
      </c>
      <c r="G33" s="50">
        <f t="shared" si="4"/>
        <v>273704541.86173457</v>
      </c>
      <c r="H33" s="50">
        <f t="shared" si="5"/>
        <v>127576092.70806062</v>
      </c>
      <c r="I33" s="50">
        <f t="shared" si="6"/>
        <v>72245605.739889249</v>
      </c>
      <c r="J33" s="50">
        <f t="shared" si="7"/>
        <v>278548061.58592063</v>
      </c>
      <c r="K33" s="51">
        <f t="shared" si="8"/>
        <v>220488793.14796877</v>
      </c>
      <c r="L33" s="65"/>
      <c r="M33" s="65"/>
    </row>
    <row r="34" spans="1:13" s="64" customFormat="1" ht="18.75">
      <c r="A34" s="62" t="s">
        <v>126</v>
      </c>
      <c r="B34" s="50" t="e">
        <f t="shared" si="0"/>
        <v>#REF!</v>
      </c>
      <c r="C34" s="50">
        <f t="shared" si="1"/>
        <v>8061095.7852543918</v>
      </c>
      <c r="D34" s="50">
        <f t="shared" si="2"/>
        <v>54749084.719298922</v>
      </c>
      <c r="E34" s="50">
        <f t="shared" si="9"/>
        <v>16233566.584475512</v>
      </c>
      <c r="F34" s="50">
        <f t="shared" si="3"/>
        <v>54749084.719298922</v>
      </c>
      <c r="G34" s="50">
        <f t="shared" si="4"/>
        <v>8062690.09366595</v>
      </c>
      <c r="H34" s="50">
        <f t="shared" si="5"/>
        <v>46587999.210547291</v>
      </c>
      <c r="I34" s="50">
        <f t="shared" si="6"/>
        <v>9751275.1028272659</v>
      </c>
      <c r="J34" s="50">
        <f t="shared" si="7"/>
        <v>51739094.824825458</v>
      </c>
      <c r="K34" s="51">
        <f t="shared" si="8"/>
        <v>56286380.230330214</v>
      </c>
      <c r="L34" s="63"/>
      <c r="M34" s="63"/>
    </row>
    <row r="35" spans="1:13" s="64" customFormat="1" ht="18.75">
      <c r="A35" s="62" t="s">
        <v>127</v>
      </c>
      <c r="B35" s="50">
        <f t="shared" si="0"/>
        <v>0</v>
      </c>
      <c r="C35" s="50">
        <f t="shared" si="1"/>
        <v>106568228.97000864</v>
      </c>
      <c r="D35" s="50">
        <f t="shared" si="2"/>
        <v>7688848.1028094897</v>
      </c>
      <c r="E35" s="50">
        <f t="shared" si="9"/>
        <v>120299534.02325597</v>
      </c>
      <c r="F35" s="50">
        <f t="shared" si="3"/>
        <v>0</v>
      </c>
      <c r="G35" s="50">
        <f t="shared" si="4"/>
        <v>106568228.97000864</v>
      </c>
      <c r="H35" s="50">
        <f t="shared" si="5"/>
        <v>0</v>
      </c>
      <c r="I35" s="50">
        <f t="shared" si="6"/>
        <v>0</v>
      </c>
      <c r="J35" s="50">
        <f t="shared" si="7"/>
        <v>7104548.5980005777</v>
      </c>
      <c r="K35" s="51">
        <f t="shared" si="8"/>
        <v>7688848.1028094897</v>
      </c>
      <c r="L35" s="63"/>
      <c r="M35" s="63"/>
    </row>
    <row r="36" spans="1:13" s="64" customFormat="1" ht="18.75">
      <c r="A36" s="62" t="s">
        <v>128</v>
      </c>
      <c r="B36" s="50">
        <f t="shared" si="0"/>
        <v>191872803.53397337</v>
      </c>
      <c r="C36" s="50">
        <f t="shared" si="1"/>
        <v>149741893.63018462</v>
      </c>
      <c r="D36" s="50">
        <f t="shared" si="2"/>
        <v>170665795.78886667</v>
      </c>
      <c r="E36" s="50">
        <f t="shared" si="9"/>
        <v>183433187.36814192</v>
      </c>
      <c r="F36" s="50">
        <f t="shared" si="3"/>
        <v>85341785.812139243</v>
      </c>
      <c r="G36" s="50">
        <f t="shared" si="4"/>
        <v>150967981.7826184</v>
      </c>
      <c r="H36" s="50">
        <f t="shared" si="5"/>
        <v>73069245.72626619</v>
      </c>
      <c r="I36" s="50">
        <f t="shared" si="6"/>
        <v>56299251.45073697</v>
      </c>
      <c r="J36" s="50">
        <f t="shared" si="7"/>
        <v>208143892.42662972</v>
      </c>
      <c r="K36" s="51">
        <f t="shared" si="8"/>
        <v>148640949.32577407</v>
      </c>
      <c r="L36" s="63"/>
      <c r="M36" s="63"/>
    </row>
    <row r="37" spans="1:13" s="64" customFormat="1" ht="18.75">
      <c r="A37" s="62" t="s">
        <v>129</v>
      </c>
      <c r="B37" s="50">
        <f t="shared" si="0"/>
        <v>10331215.753245423</v>
      </c>
      <c r="C37" s="50">
        <f t="shared" si="1"/>
        <v>8032328.4322936991</v>
      </c>
      <c r="D37" s="50">
        <f t="shared" si="2"/>
        <v>9179189.9162283596</v>
      </c>
      <c r="E37" s="50">
        <f t="shared" si="9"/>
        <v>9832695.1779680289</v>
      </c>
      <c r="F37" s="50">
        <f t="shared" si="3"/>
        <v>9179189.9162283596</v>
      </c>
      <c r="G37" s="50">
        <f t="shared" si="4"/>
        <v>8105641.0154415797</v>
      </c>
      <c r="H37" s="50">
        <f t="shared" si="5"/>
        <v>7918847.7712471476</v>
      </c>
      <c r="I37" s="50">
        <f t="shared" si="6"/>
        <v>6195079.1863250108</v>
      </c>
      <c r="J37" s="50">
        <f t="shared" si="7"/>
        <v>11560525.736464843</v>
      </c>
      <c r="K37" s="51">
        <f t="shared" si="8"/>
        <v>7872615.4890549853</v>
      </c>
      <c r="L37" s="63"/>
      <c r="M37" s="63"/>
    </row>
    <row r="38" spans="1:13" s="69" customFormat="1" ht="18.75">
      <c r="A38" s="59" t="s">
        <v>134</v>
      </c>
      <c r="B38" s="50" t="e">
        <f t="shared" si="0"/>
        <v>#REF!</v>
      </c>
      <c r="C38" s="50">
        <f t="shared" si="1"/>
        <v>2494643726.3527317</v>
      </c>
      <c r="D38" s="50">
        <f t="shared" si="2"/>
        <v>4172046011.0054278</v>
      </c>
      <c r="E38" s="50">
        <f t="shared" si="9"/>
        <v>4279784174.9062161</v>
      </c>
      <c r="F38" s="50">
        <f t="shared" si="3"/>
        <v>2904567785.3243871</v>
      </c>
      <c r="G38" s="50">
        <f t="shared" si="4"/>
        <v>2505234923.4376845</v>
      </c>
      <c r="H38" s="50">
        <f t="shared" si="5"/>
        <v>2495453786.766613</v>
      </c>
      <c r="I38" s="50">
        <f t="shared" si="6"/>
        <v>1705643183.590755</v>
      </c>
      <c r="J38" s="50">
        <f t="shared" si="7"/>
        <v>4369020010.1244621</v>
      </c>
      <c r="K38" s="51">
        <f t="shared" si="8"/>
        <v>3782628646.9540005</v>
      </c>
      <c r="L38" s="68"/>
      <c r="M38" s="68"/>
    </row>
    <row r="39" spans="1:13" s="69" customFormat="1" ht="18.75">
      <c r="A39" s="59" t="s">
        <v>135</v>
      </c>
      <c r="B39" s="50" t="e">
        <f t="shared" si="0"/>
        <v>#REF!</v>
      </c>
      <c r="C39" s="50">
        <f t="shared" si="1"/>
        <v>853732329.73707318</v>
      </c>
      <c r="D39" s="50">
        <f t="shared" si="2"/>
        <v>1334895326.6433263</v>
      </c>
      <c r="E39" s="50">
        <f t="shared" si="9"/>
        <v>1390930680.8994753</v>
      </c>
      <c r="F39" s="50">
        <f t="shared" si="3"/>
        <v>614053023.26615715</v>
      </c>
      <c r="G39" s="50">
        <f t="shared" si="4"/>
        <v>857469926.16267323</v>
      </c>
      <c r="H39" s="50">
        <f t="shared" si="5"/>
        <v>532231125.03331703</v>
      </c>
      <c r="I39" s="50">
        <f t="shared" si="6"/>
        <v>364153318.66546369</v>
      </c>
      <c r="J39" s="50">
        <f t="shared" si="7"/>
        <v>1414156794.9782557</v>
      </c>
      <c r="K39" s="51">
        <f t="shared" si="8"/>
        <v>1210824957.3530712</v>
      </c>
      <c r="L39" s="68"/>
      <c r="M39" s="68"/>
    </row>
    <row r="40" spans="1:13" s="52" customFormat="1" ht="18.75">
      <c r="A40" s="70" t="s">
        <v>136</v>
      </c>
      <c r="B40" s="50" t="e">
        <f t="shared" si="0"/>
        <v>#REF!</v>
      </c>
      <c r="C40" s="50">
        <f t="shared" si="1"/>
        <v>1640911396.6156588</v>
      </c>
      <c r="D40" s="50">
        <f t="shared" si="2"/>
        <v>2837150684.3621016</v>
      </c>
      <c r="E40" s="50">
        <f t="shared" si="9"/>
        <v>2888853494.006741</v>
      </c>
      <c r="F40" s="50">
        <f t="shared" si="3"/>
        <v>2290514762.0582299</v>
      </c>
      <c r="G40" s="50">
        <f t="shared" si="4"/>
        <v>1647764997.2750115</v>
      </c>
      <c r="H40" s="50">
        <f t="shared" si="5"/>
        <v>1963222661.7332959</v>
      </c>
      <c r="I40" s="50">
        <f t="shared" si="6"/>
        <v>1341489864.9252913</v>
      </c>
      <c r="J40" s="50">
        <f t="shared" si="7"/>
        <v>2954863215.1462059</v>
      </c>
      <c r="K40" s="51">
        <f t="shared" si="8"/>
        <v>2571803689.6009293</v>
      </c>
      <c r="L40" s="60"/>
      <c r="M40" s="60"/>
    </row>
    <row r="41" spans="1:13" s="43" customFormat="1" ht="18.75">
      <c r="A41" s="71" t="s">
        <v>137</v>
      </c>
      <c r="B41" s="50">
        <f t="shared" si="0"/>
        <v>0</v>
      </c>
      <c r="C41" s="50">
        <f t="shared" si="1"/>
        <v>0</v>
      </c>
      <c r="D41" s="50">
        <f t="shared" si="2"/>
        <v>0</v>
      </c>
      <c r="E41" s="50">
        <f t="shared" si="9"/>
        <v>0</v>
      </c>
      <c r="F41" s="50">
        <f t="shared" si="3"/>
        <v>0</v>
      </c>
      <c r="G41" s="50">
        <f t="shared" si="4"/>
        <v>0</v>
      </c>
      <c r="H41" s="50">
        <f t="shared" si="5"/>
        <v>0</v>
      </c>
      <c r="I41" s="50">
        <f t="shared" si="6"/>
        <v>0</v>
      </c>
      <c r="J41" s="50">
        <f t="shared" si="7"/>
        <v>0</v>
      </c>
      <c r="K41" s="51">
        <f t="shared" si="8"/>
        <v>0</v>
      </c>
    </row>
    <row r="42" spans="1:13" s="43" customFormat="1" ht="18.75" hidden="1">
      <c r="A42" s="56" t="s">
        <v>138</v>
      </c>
      <c r="B42" s="50" t="e">
        <f t="shared" si="0"/>
        <v>#REF!</v>
      </c>
      <c r="C42" s="50">
        <f t="shared" si="1"/>
        <v>57064547.732598074</v>
      </c>
      <c r="D42" s="50">
        <f t="shared" si="2"/>
        <v>25434341.844301425</v>
      </c>
      <c r="E42" s="50">
        <f t="shared" si="9"/>
        <v>12711485.603612065</v>
      </c>
      <c r="F42" s="50">
        <f t="shared" si="3"/>
        <v>16667565.649805816</v>
      </c>
      <c r="G42" s="50">
        <f t="shared" si="4"/>
        <v>57281781.420769662</v>
      </c>
      <c r="H42" s="50">
        <f t="shared" si="5"/>
        <v>38361533.389411695</v>
      </c>
      <c r="I42" s="50">
        <f t="shared" si="6"/>
        <v>47061345.419619262</v>
      </c>
      <c r="J42" s="50">
        <f t="shared" si="7"/>
        <v>52482808.926932991</v>
      </c>
      <c r="K42" s="51">
        <f t="shared" si="8"/>
        <v>23794548.568628293</v>
      </c>
      <c r="L42" s="72"/>
      <c r="M42" s="72"/>
    </row>
    <row r="43" spans="1:13" s="43" customFormat="1" ht="18.75">
      <c r="A43" s="56" t="s">
        <v>139</v>
      </c>
      <c r="B43" s="50" t="e">
        <f t="shared" si="0"/>
        <v>#REF!</v>
      </c>
      <c r="C43" s="50">
        <f t="shared" si="1"/>
        <v>272403546.81774139</v>
      </c>
      <c r="D43" s="50">
        <f t="shared" si="2"/>
        <v>242282918.52720338</v>
      </c>
      <c r="E43" s="50">
        <f t="shared" si="9"/>
        <v>329798983.1538415</v>
      </c>
      <c r="F43" s="50">
        <f t="shared" si="3"/>
        <v>149270060.44766653</v>
      </c>
      <c r="G43" s="50">
        <f t="shared" si="4"/>
        <v>273704541.86173463</v>
      </c>
      <c r="H43" s="50">
        <f t="shared" si="5"/>
        <v>127576092.70806064</v>
      </c>
      <c r="I43" s="50">
        <f t="shared" si="6"/>
        <v>72245605.739889234</v>
      </c>
      <c r="J43" s="50">
        <f t="shared" si="7"/>
        <v>278548061.58592063</v>
      </c>
      <c r="K43" s="51">
        <f t="shared" si="8"/>
        <v>220488793.1479688</v>
      </c>
      <c r="L43" s="72"/>
      <c r="M43" s="72"/>
    </row>
    <row r="44" spans="1:13" s="43" customFormat="1" ht="18.75" hidden="1">
      <c r="A44" s="56" t="s">
        <v>140</v>
      </c>
      <c r="B44" s="50" t="e">
        <f t="shared" si="0"/>
        <v>#REF!</v>
      </c>
      <c r="C44" s="50" t="e">
        <f t="shared" si="1"/>
        <v>#REF!</v>
      </c>
      <c r="D44" s="50" t="e">
        <f t="shared" si="2"/>
        <v>#REF!</v>
      </c>
      <c r="E44" s="50" t="e">
        <f t="shared" si="9"/>
        <v>#REF!</v>
      </c>
      <c r="F44" s="50" t="e">
        <f t="shared" si="3"/>
        <v>#REF!</v>
      </c>
      <c r="G44" s="50" t="e">
        <f t="shared" si="4"/>
        <v>#REF!</v>
      </c>
      <c r="H44" s="50" t="e">
        <f t="shared" si="5"/>
        <v>#REF!</v>
      </c>
      <c r="I44" s="50" t="e">
        <f t="shared" si="6"/>
        <v>#REF!</v>
      </c>
      <c r="J44" s="50" t="e">
        <f t="shared" si="7"/>
        <v>#REF!</v>
      </c>
      <c r="K44" s="51" t="e">
        <f t="shared" si="8"/>
        <v>#REF!</v>
      </c>
      <c r="L44" s="72"/>
      <c r="M44" s="72"/>
    </row>
    <row r="45" spans="1:13" s="69" customFormat="1" ht="18.75">
      <c r="A45" s="73" t="s">
        <v>141</v>
      </c>
      <c r="B45" s="50" t="e">
        <f t="shared" si="0"/>
        <v>#REF!</v>
      </c>
      <c r="C45" s="50">
        <f t="shared" si="1"/>
        <v>1913314943.4333997</v>
      </c>
      <c r="D45" s="50">
        <f t="shared" si="2"/>
        <v>3079433602.8893046</v>
      </c>
      <c r="E45" s="50">
        <f t="shared" si="9"/>
        <v>3218652477.1605825</v>
      </c>
      <c r="F45" s="50">
        <f t="shared" si="3"/>
        <v>2439784822.5058966</v>
      </c>
      <c r="G45" s="50">
        <f t="shared" si="4"/>
        <v>1921469539.1367462</v>
      </c>
      <c r="H45" s="50">
        <f t="shared" si="5"/>
        <v>2090798754.4413564</v>
      </c>
      <c r="I45" s="50">
        <f t="shared" si="6"/>
        <v>1413735470.6651804</v>
      </c>
      <c r="J45" s="50">
        <f t="shared" si="7"/>
        <v>3233411276.7321272</v>
      </c>
      <c r="K45" s="51">
        <f t="shared" si="8"/>
        <v>2792292482.7488971</v>
      </c>
    </row>
    <row r="46" spans="1:13" s="74" customFormat="1" ht="18.75">
      <c r="A46" s="73" t="s">
        <v>142</v>
      </c>
      <c r="B46" s="50" t="e">
        <f t="shared" si="0"/>
        <v>#REF!</v>
      </c>
      <c r="C46" s="50">
        <f t="shared" si="1"/>
        <v>340134313.48154175</v>
      </c>
      <c r="D46" s="50">
        <f t="shared" si="2"/>
        <v>632717939.25380826</v>
      </c>
      <c r="E46" s="50">
        <f t="shared" si="9"/>
        <v>586925526.63957679</v>
      </c>
      <c r="F46" s="50">
        <f t="shared" si="3"/>
        <v>528709981.07925117</v>
      </c>
      <c r="G46" s="50">
        <f t="shared" si="4"/>
        <v>341290565.25817537</v>
      </c>
      <c r="H46" s="50">
        <f t="shared" si="5"/>
        <v>504696441.87853497</v>
      </c>
      <c r="I46" s="50">
        <f t="shared" si="6"/>
        <v>411891382.39763623</v>
      </c>
      <c r="J46" s="50">
        <f t="shared" si="7"/>
        <v>685885228.59920943</v>
      </c>
      <c r="K46" s="51">
        <f t="shared" si="8"/>
        <v>572447511.03087974</v>
      </c>
    </row>
    <row r="47" spans="1:13" s="74" customFormat="1" ht="18.75">
      <c r="A47" s="75" t="s">
        <v>143</v>
      </c>
      <c r="B47" s="50">
        <f t="shared" si="0"/>
        <v>0</v>
      </c>
      <c r="C47" s="50">
        <f t="shared" si="1"/>
        <v>0</v>
      </c>
      <c r="D47" s="50">
        <f t="shared" si="2"/>
        <v>0</v>
      </c>
      <c r="E47" s="50">
        <f t="shared" si="9"/>
        <v>0</v>
      </c>
      <c r="F47" s="50">
        <f t="shared" si="3"/>
        <v>0</v>
      </c>
      <c r="G47" s="50">
        <f t="shared" si="4"/>
        <v>0</v>
      </c>
      <c r="H47" s="50">
        <f t="shared" si="5"/>
        <v>0</v>
      </c>
      <c r="I47" s="50">
        <f t="shared" si="6"/>
        <v>0</v>
      </c>
      <c r="J47" s="50">
        <f t="shared" si="7"/>
        <v>0</v>
      </c>
      <c r="K47" s="51">
        <f t="shared" si="8"/>
        <v>0</v>
      </c>
    </row>
    <row r="48" spans="1:13" s="74" customFormat="1" ht="18.75">
      <c r="A48" s="75" t="s">
        <v>144</v>
      </c>
      <c r="B48" s="76" t="e">
        <f>B165</f>
        <v>#REF!</v>
      </c>
      <c r="C48" s="76">
        <f>B281</f>
        <v>233585.2371941052</v>
      </c>
      <c r="D48" s="76">
        <f>B397</f>
        <v>646147.12878608541</v>
      </c>
      <c r="E48" s="76">
        <f>B513</f>
        <v>521855.43575527822</v>
      </c>
      <c r="F48" s="76">
        <f>B629</f>
        <v>480563.58883137855</v>
      </c>
      <c r="G48" s="50">
        <f>B745</f>
        <v>234095.9323091555</v>
      </c>
      <c r="H48" s="76">
        <f>B861</f>
        <v>441445.23476845684</v>
      </c>
      <c r="I48" s="76">
        <f>B977</f>
        <v>338007.646541027</v>
      </c>
      <c r="J48" s="76">
        <f>B1093</f>
        <v>658617.86090622831</v>
      </c>
      <c r="K48" s="76">
        <f>B1209</f>
        <v>583028.21113413398</v>
      </c>
    </row>
    <row r="49" spans="1:67" s="74" customFormat="1" ht="18.75">
      <c r="A49" s="75" t="s">
        <v>145</v>
      </c>
      <c r="B49" s="76" t="e">
        <f>B162</f>
        <v>#REF!</v>
      </c>
      <c r="C49" s="76">
        <f>B278</f>
        <v>447362.84748045518</v>
      </c>
      <c r="D49" s="76">
        <f>B394</f>
        <v>831069.06472690764</v>
      </c>
      <c r="E49" s="76">
        <f>B510</f>
        <v>778648.56653630757</v>
      </c>
      <c r="F49" s="76">
        <f>B626</f>
        <v>588533.48311776877</v>
      </c>
      <c r="G49" s="50">
        <f>B742</f>
        <v>449048.64273922303</v>
      </c>
      <c r="H49" s="76">
        <f>B858</f>
        <v>539304.77849102777</v>
      </c>
      <c r="I49" s="76">
        <f>B974</f>
        <v>404900.02684324468</v>
      </c>
      <c r="J49" s="76">
        <f>B1090</f>
        <v>880212.22923711129</v>
      </c>
      <c r="K49" s="76">
        <f>B1206</f>
        <v>752857.03502607008</v>
      </c>
    </row>
    <row r="50" spans="1:67" s="74" customFormat="1" ht="18.75">
      <c r="A50" s="75" t="s">
        <v>146</v>
      </c>
      <c r="B50" s="77">
        <f>B166</f>
        <v>12</v>
      </c>
      <c r="C50" s="77">
        <f>B282</f>
        <v>11</v>
      </c>
      <c r="D50" s="77">
        <f>B398</f>
        <v>10</v>
      </c>
      <c r="E50" s="77">
        <f>B514</f>
        <v>10</v>
      </c>
      <c r="F50" s="77">
        <f>B630</f>
        <v>9</v>
      </c>
      <c r="G50" s="77">
        <f>B746</f>
        <v>11</v>
      </c>
      <c r="H50" s="77">
        <f>B862</f>
        <v>9</v>
      </c>
      <c r="I50" s="77">
        <f>B978</f>
        <v>8</v>
      </c>
      <c r="J50" s="77">
        <f>B1094</f>
        <v>10</v>
      </c>
      <c r="K50" s="77">
        <f>B1210</f>
        <v>10</v>
      </c>
    </row>
    <row r="51" spans="1:67" s="80" customFormat="1">
      <c r="A51" s="78"/>
      <c r="B51" s="79"/>
      <c r="C51" s="79"/>
      <c r="D51" s="79"/>
      <c r="E51" s="79"/>
      <c r="F51" s="79"/>
      <c r="G51" s="79"/>
      <c r="H51" s="79"/>
      <c r="I51" s="79"/>
      <c r="J51" s="79"/>
      <c r="K51" s="79"/>
    </row>
    <row r="52" spans="1:67" s="83" customFormat="1">
      <c r="A52" s="78"/>
      <c r="B52" s="81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2"/>
      <c r="AX52" s="82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</row>
    <row r="53" spans="1:67" ht="28.5">
      <c r="A53" s="84">
        <v>1</v>
      </c>
      <c r="B53" s="85" t="s">
        <v>147</v>
      </c>
      <c r="C53" s="86">
        <v>0.12</v>
      </c>
      <c r="D53" s="85" t="s">
        <v>148</v>
      </c>
      <c r="E53" s="86">
        <v>0.25</v>
      </c>
      <c r="F53" s="85" t="s">
        <v>149</v>
      </c>
      <c r="G53" s="86">
        <v>0.04</v>
      </c>
      <c r="H53" s="85" t="s">
        <v>150</v>
      </c>
      <c r="I53" s="87">
        <v>0.1</v>
      </c>
      <c r="J53" s="85" t="s">
        <v>151</v>
      </c>
      <c r="K53" s="86">
        <v>0.3</v>
      </c>
      <c r="L53" s="85" t="s">
        <v>152</v>
      </c>
      <c r="M53" s="87">
        <v>0.26</v>
      </c>
      <c r="N53" s="85" t="s">
        <v>153</v>
      </c>
      <c r="O53" s="88">
        <v>30</v>
      </c>
    </row>
    <row r="54" spans="1:67" s="94" customFormat="1">
      <c r="A54" s="90" t="s">
        <v>154</v>
      </c>
      <c r="B54" s="91" t="s">
        <v>155</v>
      </c>
      <c r="C54" s="91">
        <v>1</v>
      </c>
      <c r="D54" s="92">
        <v>2</v>
      </c>
      <c r="E54" s="92">
        <v>3</v>
      </c>
      <c r="F54" s="92">
        <v>4</v>
      </c>
      <c r="G54" s="92">
        <v>5</v>
      </c>
      <c r="H54" s="92">
        <v>6</v>
      </c>
      <c r="I54" s="92">
        <v>7</v>
      </c>
      <c r="J54" s="92">
        <v>8</v>
      </c>
      <c r="K54" s="92">
        <v>9</v>
      </c>
      <c r="L54" s="92">
        <v>10</v>
      </c>
      <c r="M54" s="92">
        <v>11</v>
      </c>
      <c r="N54" s="92">
        <v>12</v>
      </c>
      <c r="O54" s="92">
        <v>13</v>
      </c>
      <c r="P54" s="92">
        <v>14</v>
      </c>
      <c r="Q54" s="92">
        <v>15</v>
      </c>
      <c r="R54" s="92">
        <v>16</v>
      </c>
      <c r="S54" s="92">
        <v>17</v>
      </c>
      <c r="T54" s="92">
        <v>18</v>
      </c>
      <c r="U54" s="92">
        <v>19</v>
      </c>
      <c r="V54" s="92">
        <v>20</v>
      </c>
      <c r="W54" s="92">
        <v>21</v>
      </c>
      <c r="X54" s="92">
        <v>22</v>
      </c>
      <c r="Y54" s="92">
        <v>23</v>
      </c>
      <c r="Z54" s="92">
        <v>24</v>
      </c>
      <c r="AA54" s="92">
        <v>25</v>
      </c>
      <c r="AB54" s="92">
        <v>26</v>
      </c>
      <c r="AC54" s="92">
        <v>27</v>
      </c>
      <c r="AD54" s="92">
        <v>28</v>
      </c>
      <c r="AE54" s="92">
        <v>29</v>
      </c>
      <c r="AF54" s="92">
        <v>30</v>
      </c>
      <c r="AG54" s="92">
        <v>31</v>
      </c>
      <c r="AH54" s="92">
        <v>32</v>
      </c>
      <c r="AI54" s="92">
        <v>33</v>
      </c>
      <c r="AJ54" s="92">
        <v>34</v>
      </c>
      <c r="AK54" s="92">
        <v>35</v>
      </c>
      <c r="AL54" s="92">
        <v>36</v>
      </c>
      <c r="AM54" s="92">
        <v>37</v>
      </c>
      <c r="AN54" s="92">
        <v>38</v>
      </c>
      <c r="AO54" s="92">
        <v>39</v>
      </c>
      <c r="AP54" s="92">
        <v>40</v>
      </c>
      <c r="AQ54" s="92">
        <v>41</v>
      </c>
      <c r="AR54" s="92">
        <v>42</v>
      </c>
      <c r="AS54" s="92">
        <v>43</v>
      </c>
      <c r="AT54" s="92">
        <v>44</v>
      </c>
      <c r="AU54" s="92">
        <v>45</v>
      </c>
      <c r="AV54" s="92">
        <v>46</v>
      </c>
      <c r="AW54" s="92">
        <v>47</v>
      </c>
      <c r="AX54" s="92">
        <v>48</v>
      </c>
      <c r="AY54" s="92">
        <v>49</v>
      </c>
      <c r="AZ54" s="92">
        <v>50</v>
      </c>
      <c r="BA54" s="92">
        <v>51</v>
      </c>
      <c r="BB54" s="92">
        <v>52</v>
      </c>
      <c r="BC54" s="92">
        <v>53</v>
      </c>
      <c r="BD54" s="92">
        <v>54</v>
      </c>
      <c r="BE54" s="92">
        <v>55</v>
      </c>
      <c r="BF54" s="92">
        <v>56</v>
      </c>
      <c r="BG54" s="92">
        <v>57</v>
      </c>
      <c r="BH54" s="92">
        <v>58</v>
      </c>
      <c r="BI54" s="92">
        <v>59</v>
      </c>
      <c r="BJ54" s="93">
        <v>60</v>
      </c>
    </row>
    <row r="55" spans="1:67" s="100" customFormat="1">
      <c r="A55" s="95" t="s">
        <v>156</v>
      </c>
      <c r="B55" s="96">
        <f>SUM(C55:BJ55)</f>
        <v>4000</v>
      </c>
      <c r="C55" s="97">
        <v>0</v>
      </c>
      <c r="D55" s="98">
        <v>0</v>
      </c>
      <c r="E55" s="98">
        <v>0</v>
      </c>
      <c r="F55" s="98">
        <v>0</v>
      </c>
      <c r="G55" s="98">
        <v>0</v>
      </c>
      <c r="H55" s="98">
        <v>50.149999999999991</v>
      </c>
      <c r="I55" s="98">
        <v>100.29999999999998</v>
      </c>
      <c r="J55" s="98">
        <v>150.44999999999996</v>
      </c>
      <c r="K55" s="98">
        <v>200.59999999999997</v>
      </c>
      <c r="L55" s="98">
        <v>333</v>
      </c>
      <c r="M55" s="98">
        <v>333</v>
      </c>
      <c r="N55" s="98">
        <v>333</v>
      </c>
      <c r="O55" s="98">
        <v>333</v>
      </c>
      <c r="P55" s="98">
        <v>333</v>
      </c>
      <c r="Q55" s="98">
        <v>333</v>
      </c>
      <c r="R55" s="98">
        <v>333</v>
      </c>
      <c r="S55" s="98">
        <v>333</v>
      </c>
      <c r="T55" s="98">
        <v>333</v>
      </c>
      <c r="U55" s="98">
        <v>200.59999999999997</v>
      </c>
      <c r="V55" s="98">
        <v>150.44999999999996</v>
      </c>
      <c r="W55" s="98">
        <v>100.29999999999998</v>
      </c>
      <c r="X55" s="98">
        <v>50.149999999999991</v>
      </c>
      <c r="Y55" s="98">
        <v>0</v>
      </c>
      <c r="Z55" s="98">
        <v>0</v>
      </c>
      <c r="AA55" s="98">
        <v>0</v>
      </c>
      <c r="AB55" s="98">
        <v>0</v>
      </c>
      <c r="AC55" s="98">
        <v>0</v>
      </c>
      <c r="AD55" s="98">
        <v>0</v>
      </c>
      <c r="AE55" s="98">
        <v>0</v>
      </c>
      <c r="AF55" s="98">
        <v>0</v>
      </c>
      <c r="AG55" s="98">
        <v>0</v>
      </c>
      <c r="AH55" s="98">
        <v>0</v>
      </c>
      <c r="AI55" s="98">
        <v>0</v>
      </c>
      <c r="AJ55" s="98">
        <v>0</v>
      </c>
      <c r="AK55" s="98">
        <v>0</v>
      </c>
      <c r="AL55" s="98">
        <v>0</v>
      </c>
      <c r="AM55" s="98">
        <v>0</v>
      </c>
      <c r="AN55" s="98">
        <v>0</v>
      </c>
      <c r="AO55" s="98">
        <v>0</v>
      </c>
      <c r="AP55" s="98">
        <v>0</v>
      </c>
      <c r="AQ55" s="98">
        <v>0</v>
      </c>
      <c r="AR55" s="98">
        <v>0</v>
      </c>
      <c r="AS55" s="98">
        <v>0</v>
      </c>
      <c r="AT55" s="98">
        <v>0</v>
      </c>
      <c r="AU55" s="98">
        <v>0</v>
      </c>
      <c r="AV55" s="98">
        <v>0</v>
      </c>
      <c r="AW55" s="98">
        <v>0</v>
      </c>
      <c r="AX55" s="98">
        <v>0</v>
      </c>
      <c r="AY55" s="98">
        <v>0</v>
      </c>
      <c r="AZ55" s="98">
        <v>0</v>
      </c>
      <c r="BA55" s="98">
        <v>0</v>
      </c>
      <c r="BB55" s="98">
        <v>0</v>
      </c>
      <c r="BC55" s="98">
        <v>0</v>
      </c>
      <c r="BD55" s="98">
        <v>0</v>
      </c>
      <c r="BE55" s="98">
        <v>0</v>
      </c>
      <c r="BF55" s="98">
        <v>0</v>
      </c>
      <c r="BG55" s="98">
        <v>0</v>
      </c>
      <c r="BH55" s="98">
        <v>0</v>
      </c>
      <c r="BI55" s="98">
        <v>0</v>
      </c>
      <c r="BJ55" s="99">
        <v>0</v>
      </c>
    </row>
    <row r="56" spans="1:67" s="105" customFormat="1">
      <c r="A56" s="101" t="s">
        <v>115</v>
      </c>
      <c r="B56" s="102" t="e">
        <f>SUM(C56:BJ56)</f>
        <v>#REF!</v>
      </c>
      <c r="C56" s="102" t="e">
        <f>(C64*(1+$E$53))+(C55*$B$105)+(C55*$B$105*$M$53)</f>
        <v>#REF!</v>
      </c>
      <c r="D56" s="103" t="e">
        <f t="shared" ref="D56:BJ56" si="10">(D64*(1+$E$53))+(D55*$B$105)+(D55*$B$105*$M$53)</f>
        <v>#REF!</v>
      </c>
      <c r="E56" s="103" t="e">
        <f t="shared" si="10"/>
        <v>#REF!</v>
      </c>
      <c r="F56" s="103" t="e">
        <f t="shared" si="10"/>
        <v>#REF!</v>
      </c>
      <c r="G56" s="103" t="e">
        <f t="shared" si="10"/>
        <v>#REF!</v>
      </c>
      <c r="H56" s="103" t="e">
        <f t="shared" si="10"/>
        <v>#REF!</v>
      </c>
      <c r="I56" s="103" t="e">
        <f t="shared" si="10"/>
        <v>#REF!</v>
      </c>
      <c r="J56" s="103" t="e">
        <f t="shared" si="10"/>
        <v>#REF!</v>
      </c>
      <c r="K56" s="103" t="e">
        <f t="shared" si="10"/>
        <v>#REF!</v>
      </c>
      <c r="L56" s="103" t="e">
        <f t="shared" si="10"/>
        <v>#REF!</v>
      </c>
      <c r="M56" s="103" t="e">
        <f t="shared" si="10"/>
        <v>#REF!</v>
      </c>
      <c r="N56" s="103" t="e">
        <f t="shared" si="10"/>
        <v>#REF!</v>
      </c>
      <c r="O56" s="103" t="e">
        <f t="shared" si="10"/>
        <v>#REF!</v>
      </c>
      <c r="P56" s="103" t="e">
        <f t="shared" si="10"/>
        <v>#REF!</v>
      </c>
      <c r="Q56" s="103" t="e">
        <f t="shared" si="10"/>
        <v>#REF!</v>
      </c>
      <c r="R56" s="103" t="e">
        <f t="shared" si="10"/>
        <v>#REF!</v>
      </c>
      <c r="S56" s="103" t="e">
        <f t="shared" si="10"/>
        <v>#REF!</v>
      </c>
      <c r="T56" s="103" t="e">
        <f t="shared" si="10"/>
        <v>#REF!</v>
      </c>
      <c r="U56" s="103" t="e">
        <f t="shared" si="10"/>
        <v>#REF!</v>
      </c>
      <c r="V56" s="103" t="e">
        <f t="shared" si="10"/>
        <v>#REF!</v>
      </c>
      <c r="W56" s="103" t="e">
        <f t="shared" si="10"/>
        <v>#REF!</v>
      </c>
      <c r="X56" s="103" t="e">
        <f t="shared" si="10"/>
        <v>#REF!</v>
      </c>
      <c r="Y56" s="103" t="e">
        <f t="shared" si="10"/>
        <v>#REF!</v>
      </c>
      <c r="Z56" s="103" t="e">
        <f t="shared" si="10"/>
        <v>#REF!</v>
      </c>
      <c r="AA56" s="103" t="e">
        <f t="shared" si="10"/>
        <v>#REF!</v>
      </c>
      <c r="AB56" s="103" t="e">
        <f t="shared" si="10"/>
        <v>#REF!</v>
      </c>
      <c r="AC56" s="103" t="e">
        <f t="shared" si="10"/>
        <v>#REF!</v>
      </c>
      <c r="AD56" s="103" t="e">
        <f t="shared" si="10"/>
        <v>#REF!</v>
      </c>
      <c r="AE56" s="103" t="e">
        <f t="shared" si="10"/>
        <v>#REF!</v>
      </c>
      <c r="AF56" s="103" t="e">
        <f t="shared" si="10"/>
        <v>#REF!</v>
      </c>
      <c r="AG56" s="103" t="e">
        <f t="shared" si="10"/>
        <v>#REF!</v>
      </c>
      <c r="AH56" s="103" t="e">
        <f t="shared" si="10"/>
        <v>#REF!</v>
      </c>
      <c r="AI56" s="103" t="e">
        <f t="shared" si="10"/>
        <v>#REF!</v>
      </c>
      <c r="AJ56" s="103" t="e">
        <f t="shared" si="10"/>
        <v>#REF!</v>
      </c>
      <c r="AK56" s="103" t="e">
        <f t="shared" si="10"/>
        <v>#REF!</v>
      </c>
      <c r="AL56" s="103" t="e">
        <f t="shared" si="10"/>
        <v>#REF!</v>
      </c>
      <c r="AM56" s="103" t="e">
        <f t="shared" si="10"/>
        <v>#REF!</v>
      </c>
      <c r="AN56" s="103" t="e">
        <f t="shared" si="10"/>
        <v>#REF!</v>
      </c>
      <c r="AO56" s="103" t="e">
        <f t="shared" si="10"/>
        <v>#REF!</v>
      </c>
      <c r="AP56" s="103" t="e">
        <f t="shared" si="10"/>
        <v>#REF!</v>
      </c>
      <c r="AQ56" s="103" t="e">
        <f t="shared" si="10"/>
        <v>#REF!</v>
      </c>
      <c r="AR56" s="103" t="e">
        <f t="shared" si="10"/>
        <v>#REF!</v>
      </c>
      <c r="AS56" s="103" t="e">
        <f t="shared" si="10"/>
        <v>#REF!</v>
      </c>
      <c r="AT56" s="103" t="e">
        <f t="shared" si="10"/>
        <v>#REF!</v>
      </c>
      <c r="AU56" s="103" t="e">
        <f t="shared" si="10"/>
        <v>#REF!</v>
      </c>
      <c r="AV56" s="103" t="e">
        <f t="shared" si="10"/>
        <v>#REF!</v>
      </c>
      <c r="AW56" s="103" t="e">
        <f t="shared" si="10"/>
        <v>#REF!</v>
      </c>
      <c r="AX56" s="103" t="e">
        <f t="shared" si="10"/>
        <v>#REF!</v>
      </c>
      <c r="AY56" s="103" t="e">
        <f t="shared" si="10"/>
        <v>#REF!</v>
      </c>
      <c r="AZ56" s="103" t="e">
        <f t="shared" si="10"/>
        <v>#REF!</v>
      </c>
      <c r="BA56" s="103" t="e">
        <f t="shared" si="10"/>
        <v>#REF!</v>
      </c>
      <c r="BB56" s="103" t="e">
        <f t="shared" si="10"/>
        <v>#REF!</v>
      </c>
      <c r="BC56" s="103" t="e">
        <f t="shared" si="10"/>
        <v>#REF!</v>
      </c>
      <c r="BD56" s="103" t="e">
        <f t="shared" si="10"/>
        <v>#REF!</v>
      </c>
      <c r="BE56" s="103" t="e">
        <f t="shared" si="10"/>
        <v>#REF!</v>
      </c>
      <c r="BF56" s="103" t="e">
        <f t="shared" si="10"/>
        <v>#REF!</v>
      </c>
      <c r="BG56" s="103" t="e">
        <f t="shared" si="10"/>
        <v>#REF!</v>
      </c>
      <c r="BH56" s="103" t="e">
        <f t="shared" si="10"/>
        <v>#REF!</v>
      </c>
      <c r="BI56" s="103" t="e">
        <f t="shared" si="10"/>
        <v>#REF!</v>
      </c>
      <c r="BJ56" s="104" t="e">
        <f t="shared" si="10"/>
        <v>#REF!</v>
      </c>
    </row>
    <row r="57" spans="1:67" s="105" customFormat="1">
      <c r="A57" s="106" t="s">
        <v>116</v>
      </c>
      <c r="B57" s="107" t="e">
        <f>SUM(B64,B58:B59)</f>
        <v>#REF!</v>
      </c>
      <c r="C57" s="108" t="e">
        <f>SUM(C58,C59,C64)</f>
        <v>#REF!</v>
      </c>
      <c r="D57" s="109" t="e">
        <f>D58+D59+D64</f>
        <v>#REF!</v>
      </c>
      <c r="E57" s="109" t="e">
        <f t="shared" ref="E57:BJ57" si="11">E58+E59+E64</f>
        <v>#REF!</v>
      </c>
      <c r="F57" s="109" t="e">
        <f t="shared" si="11"/>
        <v>#REF!</v>
      </c>
      <c r="G57" s="109" t="e">
        <f t="shared" si="11"/>
        <v>#REF!</v>
      </c>
      <c r="H57" s="109" t="e">
        <f t="shared" si="11"/>
        <v>#REF!</v>
      </c>
      <c r="I57" s="109" t="e">
        <f t="shared" si="11"/>
        <v>#REF!</v>
      </c>
      <c r="J57" s="109" t="e">
        <f t="shared" si="11"/>
        <v>#REF!</v>
      </c>
      <c r="K57" s="109" t="e">
        <f t="shared" si="11"/>
        <v>#REF!</v>
      </c>
      <c r="L57" s="109" t="e">
        <f t="shared" si="11"/>
        <v>#REF!</v>
      </c>
      <c r="M57" s="109" t="e">
        <f t="shared" si="11"/>
        <v>#REF!</v>
      </c>
      <c r="N57" s="109" t="e">
        <f t="shared" si="11"/>
        <v>#REF!</v>
      </c>
      <c r="O57" s="109" t="e">
        <f t="shared" si="11"/>
        <v>#REF!</v>
      </c>
      <c r="P57" s="109" t="e">
        <f t="shared" si="11"/>
        <v>#REF!</v>
      </c>
      <c r="Q57" s="109" t="e">
        <f t="shared" si="11"/>
        <v>#REF!</v>
      </c>
      <c r="R57" s="109" t="e">
        <f t="shared" si="11"/>
        <v>#REF!</v>
      </c>
      <c r="S57" s="109" t="e">
        <f t="shared" si="11"/>
        <v>#REF!</v>
      </c>
      <c r="T57" s="109" t="e">
        <f t="shared" si="11"/>
        <v>#REF!</v>
      </c>
      <c r="U57" s="109" t="e">
        <f t="shared" si="11"/>
        <v>#REF!</v>
      </c>
      <c r="V57" s="109" t="e">
        <f t="shared" si="11"/>
        <v>#REF!</v>
      </c>
      <c r="W57" s="109" t="e">
        <f t="shared" si="11"/>
        <v>#REF!</v>
      </c>
      <c r="X57" s="109" t="e">
        <f t="shared" si="11"/>
        <v>#REF!</v>
      </c>
      <c r="Y57" s="109" t="e">
        <f t="shared" si="11"/>
        <v>#REF!</v>
      </c>
      <c r="Z57" s="109" t="e">
        <f t="shared" si="11"/>
        <v>#REF!</v>
      </c>
      <c r="AA57" s="109" t="e">
        <f t="shared" si="11"/>
        <v>#REF!</v>
      </c>
      <c r="AB57" s="109" t="e">
        <f t="shared" si="11"/>
        <v>#REF!</v>
      </c>
      <c r="AC57" s="109" t="e">
        <f t="shared" si="11"/>
        <v>#REF!</v>
      </c>
      <c r="AD57" s="109" t="e">
        <f t="shared" si="11"/>
        <v>#REF!</v>
      </c>
      <c r="AE57" s="109" t="e">
        <f t="shared" si="11"/>
        <v>#REF!</v>
      </c>
      <c r="AF57" s="109" t="e">
        <f t="shared" si="11"/>
        <v>#REF!</v>
      </c>
      <c r="AG57" s="109" t="e">
        <f t="shared" si="11"/>
        <v>#REF!</v>
      </c>
      <c r="AH57" s="109" t="e">
        <f t="shared" si="11"/>
        <v>#REF!</v>
      </c>
      <c r="AI57" s="109" t="e">
        <f t="shared" si="11"/>
        <v>#REF!</v>
      </c>
      <c r="AJ57" s="109" t="e">
        <f t="shared" si="11"/>
        <v>#REF!</v>
      </c>
      <c r="AK57" s="109" t="e">
        <f t="shared" si="11"/>
        <v>#REF!</v>
      </c>
      <c r="AL57" s="109" t="e">
        <f t="shared" si="11"/>
        <v>#REF!</v>
      </c>
      <c r="AM57" s="109" t="e">
        <f t="shared" si="11"/>
        <v>#REF!</v>
      </c>
      <c r="AN57" s="109" t="e">
        <f t="shared" si="11"/>
        <v>#REF!</v>
      </c>
      <c r="AO57" s="109" t="e">
        <f t="shared" si="11"/>
        <v>#REF!</v>
      </c>
      <c r="AP57" s="109" t="e">
        <f t="shared" si="11"/>
        <v>#REF!</v>
      </c>
      <c r="AQ57" s="109" t="e">
        <f t="shared" si="11"/>
        <v>#REF!</v>
      </c>
      <c r="AR57" s="109" t="e">
        <f t="shared" si="11"/>
        <v>#REF!</v>
      </c>
      <c r="AS57" s="109" t="e">
        <f t="shared" si="11"/>
        <v>#REF!</v>
      </c>
      <c r="AT57" s="109" t="e">
        <f t="shared" si="11"/>
        <v>#REF!</v>
      </c>
      <c r="AU57" s="109" t="e">
        <f t="shared" si="11"/>
        <v>#REF!</v>
      </c>
      <c r="AV57" s="109" t="e">
        <f t="shared" si="11"/>
        <v>#REF!</v>
      </c>
      <c r="AW57" s="109" t="e">
        <f t="shared" si="11"/>
        <v>#REF!</v>
      </c>
      <c r="AX57" s="109" t="e">
        <f t="shared" si="11"/>
        <v>#REF!</v>
      </c>
      <c r="AY57" s="109" t="e">
        <f t="shared" si="11"/>
        <v>#REF!</v>
      </c>
      <c r="AZ57" s="109" t="e">
        <f t="shared" si="11"/>
        <v>#REF!</v>
      </c>
      <c r="BA57" s="109" t="e">
        <f t="shared" si="11"/>
        <v>#REF!</v>
      </c>
      <c r="BB57" s="109" t="e">
        <f t="shared" si="11"/>
        <v>#REF!</v>
      </c>
      <c r="BC57" s="109" t="e">
        <f t="shared" si="11"/>
        <v>#REF!</v>
      </c>
      <c r="BD57" s="109" t="e">
        <f t="shared" si="11"/>
        <v>#REF!</v>
      </c>
      <c r="BE57" s="109" t="e">
        <f t="shared" si="11"/>
        <v>#REF!</v>
      </c>
      <c r="BF57" s="109" t="e">
        <f t="shared" si="11"/>
        <v>#REF!</v>
      </c>
      <c r="BG57" s="109" t="e">
        <f t="shared" si="11"/>
        <v>#REF!</v>
      </c>
      <c r="BH57" s="109" t="e">
        <f t="shared" si="11"/>
        <v>#REF!</v>
      </c>
      <c r="BI57" s="109" t="e">
        <f t="shared" si="11"/>
        <v>#REF!</v>
      </c>
      <c r="BJ57" s="110" t="e">
        <f t="shared" si="11"/>
        <v>#REF!</v>
      </c>
    </row>
    <row r="58" spans="1:67" s="116" customFormat="1">
      <c r="A58" s="111" t="s">
        <v>117</v>
      </c>
      <c r="B58" s="112" t="e">
        <f>SUM(C58:BJ58)</f>
        <v>#REF!</v>
      </c>
      <c r="C58" s="113" t="e">
        <f>#REF!*C55</f>
        <v>#REF!</v>
      </c>
      <c r="D58" s="114" t="e">
        <f>#REF!*D55</f>
        <v>#REF!</v>
      </c>
      <c r="E58" s="114" t="e">
        <f>#REF!*E55</f>
        <v>#REF!</v>
      </c>
      <c r="F58" s="114" t="e">
        <f>#REF!*F55</f>
        <v>#REF!</v>
      </c>
      <c r="G58" s="114" t="e">
        <f>#REF!*G55</f>
        <v>#REF!</v>
      </c>
      <c r="H58" s="114" t="e">
        <f>#REF!*H55</f>
        <v>#REF!</v>
      </c>
      <c r="I58" s="114" t="e">
        <f>#REF!*I55</f>
        <v>#REF!</v>
      </c>
      <c r="J58" s="114" t="e">
        <f>#REF!*J55</f>
        <v>#REF!</v>
      </c>
      <c r="K58" s="114" t="e">
        <f>#REF!*K55</f>
        <v>#REF!</v>
      </c>
      <c r="L58" s="114" t="e">
        <f>#REF!*L55</f>
        <v>#REF!</v>
      </c>
      <c r="M58" s="114" t="e">
        <f>#REF!*M55</f>
        <v>#REF!</v>
      </c>
      <c r="N58" s="114" t="e">
        <f>#REF!*N55</f>
        <v>#REF!</v>
      </c>
      <c r="O58" s="114" t="e">
        <f>#REF!*O55</f>
        <v>#REF!</v>
      </c>
      <c r="P58" s="114" t="e">
        <f>#REF!*P55</f>
        <v>#REF!</v>
      </c>
      <c r="Q58" s="114" t="e">
        <f>#REF!*Q55</f>
        <v>#REF!</v>
      </c>
      <c r="R58" s="114" t="e">
        <f>#REF!*R55</f>
        <v>#REF!</v>
      </c>
      <c r="S58" s="114" t="e">
        <f>#REF!*S55</f>
        <v>#REF!</v>
      </c>
      <c r="T58" s="114" t="e">
        <f>#REF!*T55</f>
        <v>#REF!</v>
      </c>
      <c r="U58" s="114" t="e">
        <f>#REF!*U55</f>
        <v>#REF!</v>
      </c>
      <c r="V58" s="114" t="e">
        <f>#REF!*V55</f>
        <v>#REF!</v>
      </c>
      <c r="W58" s="114" t="e">
        <f>#REF!*W55</f>
        <v>#REF!</v>
      </c>
      <c r="X58" s="114" t="e">
        <f>#REF!*X55</f>
        <v>#REF!</v>
      </c>
      <c r="Y58" s="114" t="e">
        <f>#REF!*Y55</f>
        <v>#REF!</v>
      </c>
      <c r="Z58" s="114" t="e">
        <f>#REF!*Z55</f>
        <v>#REF!</v>
      </c>
      <c r="AA58" s="114" t="e">
        <f>#REF!*AA55</f>
        <v>#REF!</v>
      </c>
      <c r="AB58" s="114" t="e">
        <f>#REF!*AB55</f>
        <v>#REF!</v>
      </c>
      <c r="AC58" s="114" t="e">
        <f>#REF!*AC55</f>
        <v>#REF!</v>
      </c>
      <c r="AD58" s="114" t="e">
        <f>#REF!*AD55</f>
        <v>#REF!</v>
      </c>
      <c r="AE58" s="114" t="e">
        <f>#REF!*AE55</f>
        <v>#REF!</v>
      </c>
      <c r="AF58" s="114" t="e">
        <f>#REF!*AF55</f>
        <v>#REF!</v>
      </c>
      <c r="AG58" s="114" t="e">
        <f>#REF!*AG55</f>
        <v>#REF!</v>
      </c>
      <c r="AH58" s="114" t="e">
        <f>#REF!*AH55</f>
        <v>#REF!</v>
      </c>
      <c r="AI58" s="114" t="e">
        <f>#REF!*AI55</f>
        <v>#REF!</v>
      </c>
      <c r="AJ58" s="114" t="e">
        <f>#REF!*AJ55</f>
        <v>#REF!</v>
      </c>
      <c r="AK58" s="114" t="e">
        <f>#REF!*AK55</f>
        <v>#REF!</v>
      </c>
      <c r="AL58" s="114" t="e">
        <f>#REF!*AL55</f>
        <v>#REF!</v>
      </c>
      <c r="AM58" s="114" t="e">
        <f>#REF!*AM55</f>
        <v>#REF!</v>
      </c>
      <c r="AN58" s="114" t="e">
        <f>#REF!*AN55</f>
        <v>#REF!</v>
      </c>
      <c r="AO58" s="114" t="e">
        <f>#REF!*AO55</f>
        <v>#REF!</v>
      </c>
      <c r="AP58" s="114" t="e">
        <f>#REF!*AP55</f>
        <v>#REF!</v>
      </c>
      <c r="AQ58" s="114" t="e">
        <f>#REF!*AQ55</f>
        <v>#REF!</v>
      </c>
      <c r="AR58" s="114" t="e">
        <f>#REF!*AR55</f>
        <v>#REF!</v>
      </c>
      <c r="AS58" s="114" t="e">
        <f>#REF!*AS55</f>
        <v>#REF!</v>
      </c>
      <c r="AT58" s="114" t="e">
        <f>#REF!*AT55</f>
        <v>#REF!</v>
      </c>
      <c r="AU58" s="114" t="e">
        <f>#REF!*AU55</f>
        <v>#REF!</v>
      </c>
      <c r="AV58" s="114" t="e">
        <f>#REF!*AV55</f>
        <v>#REF!</v>
      </c>
      <c r="AW58" s="114" t="e">
        <f>#REF!*AW55</f>
        <v>#REF!</v>
      </c>
      <c r="AX58" s="114" t="e">
        <f>#REF!*AX55</f>
        <v>#REF!</v>
      </c>
      <c r="AY58" s="114" t="e">
        <f>#REF!*AY55</f>
        <v>#REF!</v>
      </c>
      <c r="AZ58" s="114" t="e">
        <f>#REF!*AZ55</f>
        <v>#REF!</v>
      </c>
      <c r="BA58" s="114" t="e">
        <f>#REF!*BA55</f>
        <v>#REF!</v>
      </c>
      <c r="BB58" s="114" t="e">
        <f>#REF!*BB55</f>
        <v>#REF!</v>
      </c>
      <c r="BC58" s="114" t="e">
        <f>#REF!*BC55</f>
        <v>#REF!</v>
      </c>
      <c r="BD58" s="114" t="e">
        <f>#REF!*BD55</f>
        <v>#REF!</v>
      </c>
      <c r="BE58" s="114" t="e">
        <f>#REF!*BE55</f>
        <v>#REF!</v>
      </c>
      <c r="BF58" s="114" t="e">
        <f>#REF!*BF55</f>
        <v>#REF!</v>
      </c>
      <c r="BG58" s="114" t="e">
        <f>#REF!*BG55</f>
        <v>#REF!</v>
      </c>
      <c r="BH58" s="114" t="e">
        <f>#REF!*BH55</f>
        <v>#REF!</v>
      </c>
      <c r="BI58" s="114" t="e">
        <f>#REF!*BI55</f>
        <v>#REF!</v>
      </c>
      <c r="BJ58" s="115" t="e">
        <f>#REF!*BJ55</f>
        <v>#REF!</v>
      </c>
    </row>
    <row r="59" spans="1:67" s="116" customFormat="1">
      <c r="A59" s="111" t="s">
        <v>118</v>
      </c>
      <c r="B59" s="112" t="e">
        <f>SUM(B60:B63)</f>
        <v>#REF!</v>
      </c>
      <c r="C59" s="117" t="e">
        <f>SUM(C60:C63)</f>
        <v>#REF!</v>
      </c>
      <c r="D59" s="118" t="e">
        <f>SUM(D60:D63)</f>
        <v>#REF!</v>
      </c>
      <c r="E59" s="118" t="e">
        <f t="shared" ref="E59:BJ59" si="12">SUM(E60:E63)</f>
        <v>#REF!</v>
      </c>
      <c r="F59" s="118" t="e">
        <f t="shared" si="12"/>
        <v>#REF!</v>
      </c>
      <c r="G59" s="118" t="e">
        <f t="shared" si="12"/>
        <v>#REF!</v>
      </c>
      <c r="H59" s="118" t="e">
        <f t="shared" si="12"/>
        <v>#REF!</v>
      </c>
      <c r="I59" s="118" t="e">
        <f t="shared" si="12"/>
        <v>#REF!</v>
      </c>
      <c r="J59" s="118" t="e">
        <f t="shared" si="12"/>
        <v>#REF!</v>
      </c>
      <c r="K59" s="118" t="e">
        <f t="shared" si="12"/>
        <v>#REF!</v>
      </c>
      <c r="L59" s="118" t="e">
        <f t="shared" si="12"/>
        <v>#REF!</v>
      </c>
      <c r="M59" s="118" t="e">
        <f t="shared" si="12"/>
        <v>#REF!</v>
      </c>
      <c r="N59" s="118" t="e">
        <f t="shared" si="12"/>
        <v>#REF!</v>
      </c>
      <c r="O59" s="118" t="e">
        <f t="shared" si="12"/>
        <v>#REF!</v>
      </c>
      <c r="P59" s="118" t="e">
        <f t="shared" si="12"/>
        <v>#REF!</v>
      </c>
      <c r="Q59" s="118" t="e">
        <f t="shared" si="12"/>
        <v>#REF!</v>
      </c>
      <c r="R59" s="118" t="e">
        <f t="shared" si="12"/>
        <v>#REF!</v>
      </c>
      <c r="S59" s="118" t="e">
        <f t="shared" si="12"/>
        <v>#REF!</v>
      </c>
      <c r="T59" s="118" t="e">
        <f t="shared" si="12"/>
        <v>#REF!</v>
      </c>
      <c r="U59" s="118" t="e">
        <f t="shared" si="12"/>
        <v>#REF!</v>
      </c>
      <c r="V59" s="118" t="e">
        <f t="shared" si="12"/>
        <v>#REF!</v>
      </c>
      <c r="W59" s="118" t="e">
        <f t="shared" si="12"/>
        <v>#REF!</v>
      </c>
      <c r="X59" s="118" t="e">
        <f t="shared" si="12"/>
        <v>#REF!</v>
      </c>
      <c r="Y59" s="118" t="e">
        <f t="shared" si="12"/>
        <v>#REF!</v>
      </c>
      <c r="Z59" s="118" t="e">
        <f t="shared" si="12"/>
        <v>#REF!</v>
      </c>
      <c r="AA59" s="118" t="e">
        <f t="shared" si="12"/>
        <v>#REF!</v>
      </c>
      <c r="AB59" s="118" t="e">
        <f t="shared" si="12"/>
        <v>#REF!</v>
      </c>
      <c r="AC59" s="118" t="e">
        <f t="shared" si="12"/>
        <v>#REF!</v>
      </c>
      <c r="AD59" s="118" t="e">
        <f t="shared" si="12"/>
        <v>#REF!</v>
      </c>
      <c r="AE59" s="118" t="e">
        <f t="shared" si="12"/>
        <v>#REF!</v>
      </c>
      <c r="AF59" s="118" t="e">
        <f t="shared" si="12"/>
        <v>#REF!</v>
      </c>
      <c r="AG59" s="118" t="e">
        <f t="shared" si="12"/>
        <v>#REF!</v>
      </c>
      <c r="AH59" s="118" t="e">
        <f t="shared" si="12"/>
        <v>#REF!</v>
      </c>
      <c r="AI59" s="118" t="e">
        <f t="shared" si="12"/>
        <v>#REF!</v>
      </c>
      <c r="AJ59" s="118" t="e">
        <f t="shared" si="12"/>
        <v>#REF!</v>
      </c>
      <c r="AK59" s="118" t="e">
        <f t="shared" si="12"/>
        <v>#REF!</v>
      </c>
      <c r="AL59" s="118" t="e">
        <f t="shared" si="12"/>
        <v>#REF!</v>
      </c>
      <c r="AM59" s="118" t="e">
        <f t="shared" si="12"/>
        <v>#REF!</v>
      </c>
      <c r="AN59" s="118" t="e">
        <f t="shared" si="12"/>
        <v>#REF!</v>
      </c>
      <c r="AO59" s="118" t="e">
        <f t="shared" si="12"/>
        <v>#REF!</v>
      </c>
      <c r="AP59" s="118" t="e">
        <f t="shared" si="12"/>
        <v>#REF!</v>
      </c>
      <c r="AQ59" s="118" t="e">
        <f t="shared" si="12"/>
        <v>#REF!</v>
      </c>
      <c r="AR59" s="118" t="e">
        <f t="shared" si="12"/>
        <v>#REF!</v>
      </c>
      <c r="AS59" s="118" t="e">
        <f t="shared" si="12"/>
        <v>#REF!</v>
      </c>
      <c r="AT59" s="118" t="e">
        <f t="shared" si="12"/>
        <v>#REF!</v>
      </c>
      <c r="AU59" s="118" t="e">
        <f t="shared" si="12"/>
        <v>#REF!</v>
      </c>
      <c r="AV59" s="118" t="e">
        <f t="shared" si="12"/>
        <v>#REF!</v>
      </c>
      <c r="AW59" s="118" t="e">
        <f t="shared" si="12"/>
        <v>#REF!</v>
      </c>
      <c r="AX59" s="118" t="e">
        <f t="shared" si="12"/>
        <v>#REF!</v>
      </c>
      <c r="AY59" s="118" t="e">
        <f t="shared" si="12"/>
        <v>#REF!</v>
      </c>
      <c r="AZ59" s="118" t="e">
        <f t="shared" si="12"/>
        <v>#REF!</v>
      </c>
      <c r="BA59" s="118" t="e">
        <f t="shared" si="12"/>
        <v>#REF!</v>
      </c>
      <c r="BB59" s="118" t="e">
        <f t="shared" si="12"/>
        <v>#REF!</v>
      </c>
      <c r="BC59" s="118" t="e">
        <f t="shared" si="12"/>
        <v>#REF!</v>
      </c>
      <c r="BD59" s="118" t="e">
        <f t="shared" si="12"/>
        <v>#REF!</v>
      </c>
      <c r="BE59" s="118" t="e">
        <f t="shared" si="12"/>
        <v>#REF!</v>
      </c>
      <c r="BF59" s="118" t="e">
        <f t="shared" si="12"/>
        <v>#REF!</v>
      </c>
      <c r="BG59" s="118" t="e">
        <f t="shared" si="12"/>
        <v>#REF!</v>
      </c>
      <c r="BH59" s="118" t="e">
        <f t="shared" si="12"/>
        <v>#REF!</v>
      </c>
      <c r="BI59" s="118" t="e">
        <f t="shared" si="12"/>
        <v>#REF!</v>
      </c>
      <c r="BJ59" s="119" t="e">
        <f t="shared" si="12"/>
        <v>#REF!</v>
      </c>
    </row>
    <row r="60" spans="1:67" s="125" customFormat="1" ht="12.75">
      <c r="A60" s="120" t="s">
        <v>119</v>
      </c>
      <c r="B60" s="121" t="e">
        <f t="shared" ref="B60:B65" si="13">SUM(C60:BJ60)</f>
        <v>#REF!</v>
      </c>
      <c r="C60" s="122" t="e">
        <f>#REF!*C$55</f>
        <v>#REF!</v>
      </c>
      <c r="D60" s="123" t="e">
        <f>#REF!*D$55</f>
        <v>#REF!</v>
      </c>
      <c r="E60" s="123" t="e">
        <f>#REF!*E$55</f>
        <v>#REF!</v>
      </c>
      <c r="F60" s="123" t="e">
        <f>#REF!*F$55</f>
        <v>#REF!</v>
      </c>
      <c r="G60" s="123" t="e">
        <f>#REF!*G$55</f>
        <v>#REF!</v>
      </c>
      <c r="H60" s="123" t="e">
        <f>#REF!*H$55</f>
        <v>#REF!</v>
      </c>
      <c r="I60" s="123" t="e">
        <f>#REF!*I$55</f>
        <v>#REF!</v>
      </c>
      <c r="J60" s="123" t="e">
        <f>#REF!*J$55</f>
        <v>#REF!</v>
      </c>
      <c r="K60" s="123" t="e">
        <f>#REF!*K$55</f>
        <v>#REF!</v>
      </c>
      <c r="L60" s="123" t="e">
        <f>#REF!*L$55</f>
        <v>#REF!</v>
      </c>
      <c r="M60" s="123" t="e">
        <f>#REF!*M$55</f>
        <v>#REF!</v>
      </c>
      <c r="N60" s="123" t="e">
        <f>#REF!*N$55</f>
        <v>#REF!</v>
      </c>
      <c r="O60" s="123" t="e">
        <f>#REF!*O$55</f>
        <v>#REF!</v>
      </c>
      <c r="P60" s="123" t="e">
        <f>#REF!*P$55</f>
        <v>#REF!</v>
      </c>
      <c r="Q60" s="123" t="e">
        <f>#REF!*Q$55</f>
        <v>#REF!</v>
      </c>
      <c r="R60" s="123" t="e">
        <f>#REF!*R$55</f>
        <v>#REF!</v>
      </c>
      <c r="S60" s="123" t="e">
        <f>#REF!*S$55</f>
        <v>#REF!</v>
      </c>
      <c r="T60" s="123" t="e">
        <f>#REF!*T$55</f>
        <v>#REF!</v>
      </c>
      <c r="U60" s="123" t="e">
        <f>#REF!*U$55</f>
        <v>#REF!</v>
      </c>
      <c r="V60" s="123" t="e">
        <f>#REF!*V$55</f>
        <v>#REF!</v>
      </c>
      <c r="W60" s="123" t="e">
        <f>#REF!*W$55</f>
        <v>#REF!</v>
      </c>
      <c r="X60" s="123" t="e">
        <f>#REF!*X$55</f>
        <v>#REF!</v>
      </c>
      <c r="Y60" s="123" t="e">
        <f>#REF!*Y$55</f>
        <v>#REF!</v>
      </c>
      <c r="Z60" s="123" t="e">
        <f>#REF!*Z$55</f>
        <v>#REF!</v>
      </c>
      <c r="AA60" s="123" t="e">
        <f>#REF!*AA$55</f>
        <v>#REF!</v>
      </c>
      <c r="AB60" s="123" t="e">
        <f>#REF!*AB$55</f>
        <v>#REF!</v>
      </c>
      <c r="AC60" s="123" t="e">
        <f>#REF!*AC$55</f>
        <v>#REF!</v>
      </c>
      <c r="AD60" s="123" t="e">
        <f>#REF!*AD$55</f>
        <v>#REF!</v>
      </c>
      <c r="AE60" s="123" t="e">
        <f>#REF!*AE$55</f>
        <v>#REF!</v>
      </c>
      <c r="AF60" s="123" t="e">
        <f>#REF!*AF$55</f>
        <v>#REF!</v>
      </c>
      <c r="AG60" s="123" t="e">
        <f>#REF!*AG$55</f>
        <v>#REF!</v>
      </c>
      <c r="AH60" s="123" t="e">
        <f>#REF!*AH$55</f>
        <v>#REF!</v>
      </c>
      <c r="AI60" s="123" t="e">
        <f>#REF!*AI$55</f>
        <v>#REF!</v>
      </c>
      <c r="AJ60" s="123" t="e">
        <f>#REF!*AJ$55</f>
        <v>#REF!</v>
      </c>
      <c r="AK60" s="123" t="e">
        <f>#REF!*AK$55</f>
        <v>#REF!</v>
      </c>
      <c r="AL60" s="123" t="e">
        <f>#REF!*AL$55</f>
        <v>#REF!</v>
      </c>
      <c r="AM60" s="123" t="e">
        <f>#REF!*AM$55</f>
        <v>#REF!</v>
      </c>
      <c r="AN60" s="123" t="e">
        <f>#REF!*AN$55</f>
        <v>#REF!</v>
      </c>
      <c r="AO60" s="123" t="e">
        <f>#REF!*AO$55</f>
        <v>#REF!</v>
      </c>
      <c r="AP60" s="123" t="e">
        <f>#REF!*AP$55</f>
        <v>#REF!</v>
      </c>
      <c r="AQ60" s="123" t="e">
        <f>#REF!*AQ$55</f>
        <v>#REF!</v>
      </c>
      <c r="AR60" s="123" t="e">
        <f>#REF!*AR$55</f>
        <v>#REF!</v>
      </c>
      <c r="AS60" s="123" t="e">
        <f>#REF!*AS$55</f>
        <v>#REF!</v>
      </c>
      <c r="AT60" s="123" t="e">
        <f>#REF!*AT$55</f>
        <v>#REF!</v>
      </c>
      <c r="AU60" s="123" t="e">
        <f>#REF!*AU$55</f>
        <v>#REF!</v>
      </c>
      <c r="AV60" s="123" t="e">
        <f>#REF!*AV$55</f>
        <v>#REF!</v>
      </c>
      <c r="AW60" s="123" t="e">
        <f>#REF!*AW$55</f>
        <v>#REF!</v>
      </c>
      <c r="AX60" s="123" t="e">
        <f>#REF!*AX$55</f>
        <v>#REF!</v>
      </c>
      <c r="AY60" s="123" t="e">
        <f>#REF!*AY$55</f>
        <v>#REF!</v>
      </c>
      <c r="AZ60" s="123" t="e">
        <f>#REF!*AZ$55</f>
        <v>#REF!</v>
      </c>
      <c r="BA60" s="123" t="e">
        <f>#REF!*BA$55</f>
        <v>#REF!</v>
      </c>
      <c r="BB60" s="123" t="e">
        <f>#REF!*BB$55</f>
        <v>#REF!</v>
      </c>
      <c r="BC60" s="123" t="e">
        <f>#REF!*BC$55</f>
        <v>#REF!</v>
      </c>
      <c r="BD60" s="123" t="e">
        <f>#REF!*BD$55</f>
        <v>#REF!</v>
      </c>
      <c r="BE60" s="123" t="e">
        <f>#REF!*BE$55</f>
        <v>#REF!</v>
      </c>
      <c r="BF60" s="123" t="e">
        <f>#REF!*BF$55</f>
        <v>#REF!</v>
      </c>
      <c r="BG60" s="123" t="e">
        <f>#REF!*BG$55</f>
        <v>#REF!</v>
      </c>
      <c r="BH60" s="123" t="e">
        <f>#REF!*BH$55</f>
        <v>#REF!</v>
      </c>
      <c r="BI60" s="123" t="e">
        <f>#REF!*BI$55</f>
        <v>#REF!</v>
      </c>
      <c r="BJ60" s="124" t="e">
        <f>#REF!*BJ$55</f>
        <v>#REF!</v>
      </c>
    </row>
    <row r="61" spans="1:67" s="125" customFormat="1" ht="12.75">
      <c r="A61" s="120" t="s">
        <v>120</v>
      </c>
      <c r="B61" s="121" t="e">
        <f t="shared" si="13"/>
        <v>#REF!</v>
      </c>
      <c r="C61" s="122" t="e">
        <f>#REF!*C$55</f>
        <v>#REF!</v>
      </c>
      <c r="D61" s="123" t="e">
        <f>#REF!*D$55</f>
        <v>#REF!</v>
      </c>
      <c r="E61" s="123" t="e">
        <f>#REF!*E$55</f>
        <v>#REF!</v>
      </c>
      <c r="F61" s="123" t="e">
        <f>#REF!*F$55</f>
        <v>#REF!</v>
      </c>
      <c r="G61" s="123" t="e">
        <f>#REF!*G$55</f>
        <v>#REF!</v>
      </c>
      <c r="H61" s="123" t="e">
        <f>#REF!*H$55</f>
        <v>#REF!</v>
      </c>
      <c r="I61" s="123" t="e">
        <f>#REF!*I$55</f>
        <v>#REF!</v>
      </c>
      <c r="J61" s="123" t="e">
        <f>#REF!*J$55</f>
        <v>#REF!</v>
      </c>
      <c r="K61" s="123" t="e">
        <f>#REF!*K$55</f>
        <v>#REF!</v>
      </c>
      <c r="L61" s="123" t="e">
        <f>#REF!*L$55</f>
        <v>#REF!</v>
      </c>
      <c r="M61" s="123" t="e">
        <f>#REF!*M$55</f>
        <v>#REF!</v>
      </c>
      <c r="N61" s="123" t="e">
        <f>#REF!*N$55</f>
        <v>#REF!</v>
      </c>
      <c r="O61" s="123" t="e">
        <f>#REF!*O$55</f>
        <v>#REF!</v>
      </c>
      <c r="P61" s="123" t="e">
        <f>#REF!*P$55</f>
        <v>#REF!</v>
      </c>
      <c r="Q61" s="123" t="e">
        <f>#REF!*Q$55</f>
        <v>#REF!</v>
      </c>
      <c r="R61" s="123" t="e">
        <f>#REF!*R$55</f>
        <v>#REF!</v>
      </c>
      <c r="S61" s="123" t="e">
        <f>#REF!*S$55</f>
        <v>#REF!</v>
      </c>
      <c r="T61" s="123" t="e">
        <f>#REF!*T$55</f>
        <v>#REF!</v>
      </c>
      <c r="U61" s="123" t="e">
        <f>#REF!*U$55</f>
        <v>#REF!</v>
      </c>
      <c r="V61" s="123" t="e">
        <f>#REF!*V$55</f>
        <v>#REF!</v>
      </c>
      <c r="W61" s="123" t="e">
        <f>#REF!*W$55</f>
        <v>#REF!</v>
      </c>
      <c r="X61" s="123" t="e">
        <f>#REF!*X$55</f>
        <v>#REF!</v>
      </c>
      <c r="Y61" s="123" t="e">
        <f>#REF!*Y$55</f>
        <v>#REF!</v>
      </c>
      <c r="Z61" s="123" t="e">
        <f>#REF!*Z$55</f>
        <v>#REF!</v>
      </c>
      <c r="AA61" s="123" t="e">
        <f>#REF!*AA$55</f>
        <v>#REF!</v>
      </c>
      <c r="AB61" s="123" t="e">
        <f>#REF!*AB$55</f>
        <v>#REF!</v>
      </c>
      <c r="AC61" s="123" t="e">
        <f>#REF!*AC$55</f>
        <v>#REF!</v>
      </c>
      <c r="AD61" s="123" t="e">
        <f>#REF!*AD$55</f>
        <v>#REF!</v>
      </c>
      <c r="AE61" s="123" t="e">
        <f>#REF!*AE$55</f>
        <v>#REF!</v>
      </c>
      <c r="AF61" s="123" t="e">
        <f>#REF!*AF$55</f>
        <v>#REF!</v>
      </c>
      <c r="AG61" s="123" t="e">
        <f>#REF!*AG$55</f>
        <v>#REF!</v>
      </c>
      <c r="AH61" s="123" t="e">
        <f>#REF!*AH$55</f>
        <v>#REF!</v>
      </c>
      <c r="AI61" s="123" t="e">
        <f>#REF!*AI$55</f>
        <v>#REF!</v>
      </c>
      <c r="AJ61" s="123" t="e">
        <f>#REF!*AJ$55</f>
        <v>#REF!</v>
      </c>
      <c r="AK61" s="123" t="e">
        <f>#REF!*AK$55</f>
        <v>#REF!</v>
      </c>
      <c r="AL61" s="123" t="e">
        <f>#REF!*AL$55</f>
        <v>#REF!</v>
      </c>
      <c r="AM61" s="123" t="e">
        <f>#REF!*AM$55</f>
        <v>#REF!</v>
      </c>
      <c r="AN61" s="123" t="e">
        <f>#REF!*AN$55</f>
        <v>#REF!</v>
      </c>
      <c r="AO61" s="123" t="e">
        <f>#REF!*AO$55</f>
        <v>#REF!</v>
      </c>
      <c r="AP61" s="123" t="e">
        <f>#REF!*AP$55</f>
        <v>#REF!</v>
      </c>
      <c r="AQ61" s="123" t="e">
        <f>#REF!*AQ$55</f>
        <v>#REF!</v>
      </c>
      <c r="AR61" s="123" t="e">
        <f>#REF!*AR$55</f>
        <v>#REF!</v>
      </c>
      <c r="AS61" s="123" t="e">
        <f>#REF!*AS$55</f>
        <v>#REF!</v>
      </c>
      <c r="AT61" s="123" t="e">
        <f>#REF!*AT$55</f>
        <v>#REF!</v>
      </c>
      <c r="AU61" s="123" t="e">
        <f>#REF!*AU$55</f>
        <v>#REF!</v>
      </c>
      <c r="AV61" s="123" t="e">
        <f>#REF!*AV$55</f>
        <v>#REF!</v>
      </c>
      <c r="AW61" s="123" t="e">
        <f>#REF!*AW$55</f>
        <v>#REF!</v>
      </c>
      <c r="AX61" s="123" t="e">
        <f>#REF!*AX$55</f>
        <v>#REF!</v>
      </c>
      <c r="AY61" s="123" t="e">
        <f>#REF!*AY$55</f>
        <v>#REF!</v>
      </c>
      <c r="AZ61" s="123" t="e">
        <f>#REF!*AZ$55</f>
        <v>#REF!</v>
      </c>
      <c r="BA61" s="123" t="e">
        <f>#REF!*BA$55</f>
        <v>#REF!</v>
      </c>
      <c r="BB61" s="123" t="e">
        <f>#REF!*BB$55</f>
        <v>#REF!</v>
      </c>
      <c r="BC61" s="123" t="e">
        <f>#REF!*BC$55</f>
        <v>#REF!</v>
      </c>
      <c r="BD61" s="123" t="e">
        <f>#REF!*BD$55</f>
        <v>#REF!</v>
      </c>
      <c r="BE61" s="123" t="e">
        <f>#REF!*BE$55</f>
        <v>#REF!</v>
      </c>
      <c r="BF61" s="123" t="e">
        <f>#REF!*BF$55</f>
        <v>#REF!</v>
      </c>
      <c r="BG61" s="123" t="e">
        <f>#REF!*BG$55</f>
        <v>#REF!</v>
      </c>
      <c r="BH61" s="123" t="e">
        <f>#REF!*BH$55</f>
        <v>#REF!</v>
      </c>
      <c r="BI61" s="123" t="e">
        <f>#REF!*BI$55</f>
        <v>#REF!</v>
      </c>
      <c r="BJ61" s="124" t="e">
        <f>#REF!*BJ$55</f>
        <v>#REF!</v>
      </c>
      <c r="BO61" s="126"/>
    </row>
    <row r="62" spans="1:67" s="125" customFormat="1" ht="12.75">
      <c r="A62" s="120" t="s">
        <v>121</v>
      </c>
      <c r="B62" s="121" t="e">
        <f t="shared" si="13"/>
        <v>#REF!</v>
      </c>
      <c r="C62" s="122" t="e">
        <f>#REF!*C$55</f>
        <v>#REF!</v>
      </c>
      <c r="D62" s="123" t="e">
        <f>#REF!*D$55</f>
        <v>#REF!</v>
      </c>
      <c r="E62" s="123" t="e">
        <f>#REF!*E$55</f>
        <v>#REF!</v>
      </c>
      <c r="F62" s="123" t="e">
        <f>#REF!*F$55</f>
        <v>#REF!</v>
      </c>
      <c r="G62" s="123" t="e">
        <f>#REF!*G$55</f>
        <v>#REF!</v>
      </c>
      <c r="H62" s="123" t="e">
        <f>#REF!*H$55</f>
        <v>#REF!</v>
      </c>
      <c r="I62" s="123" t="e">
        <f>#REF!*I$55</f>
        <v>#REF!</v>
      </c>
      <c r="J62" s="123" t="e">
        <f>#REF!*J$55</f>
        <v>#REF!</v>
      </c>
      <c r="K62" s="123" t="e">
        <f>#REF!*K$55</f>
        <v>#REF!</v>
      </c>
      <c r="L62" s="123" t="e">
        <f>#REF!*L$55</f>
        <v>#REF!</v>
      </c>
      <c r="M62" s="123" t="e">
        <f>#REF!*M$55</f>
        <v>#REF!</v>
      </c>
      <c r="N62" s="123" t="e">
        <f>#REF!*N$55</f>
        <v>#REF!</v>
      </c>
      <c r="O62" s="123" t="e">
        <f>#REF!*O$55</f>
        <v>#REF!</v>
      </c>
      <c r="P62" s="123" t="e">
        <f>#REF!*P$55</f>
        <v>#REF!</v>
      </c>
      <c r="Q62" s="123" t="e">
        <f>#REF!*Q$55</f>
        <v>#REF!</v>
      </c>
      <c r="R62" s="123" t="e">
        <f>#REF!*R$55</f>
        <v>#REF!</v>
      </c>
      <c r="S62" s="123" t="e">
        <f>#REF!*S$55</f>
        <v>#REF!</v>
      </c>
      <c r="T62" s="123" t="e">
        <f>#REF!*T$55</f>
        <v>#REF!</v>
      </c>
      <c r="U62" s="123" t="e">
        <f>#REF!*U$55</f>
        <v>#REF!</v>
      </c>
      <c r="V62" s="123" t="e">
        <f>#REF!*V$55</f>
        <v>#REF!</v>
      </c>
      <c r="W62" s="123" t="e">
        <f>#REF!*W$55</f>
        <v>#REF!</v>
      </c>
      <c r="X62" s="123" t="e">
        <f>#REF!*X$55</f>
        <v>#REF!</v>
      </c>
      <c r="Y62" s="123" t="e">
        <f>#REF!*Y$55</f>
        <v>#REF!</v>
      </c>
      <c r="Z62" s="123" t="e">
        <f>#REF!*Z$55</f>
        <v>#REF!</v>
      </c>
      <c r="AA62" s="123" t="e">
        <f>#REF!*AA$55</f>
        <v>#REF!</v>
      </c>
      <c r="AB62" s="123" t="e">
        <f>#REF!*AB$55</f>
        <v>#REF!</v>
      </c>
      <c r="AC62" s="123" t="e">
        <f>#REF!*AC$55</f>
        <v>#REF!</v>
      </c>
      <c r="AD62" s="123" t="e">
        <f>#REF!*AD$55</f>
        <v>#REF!</v>
      </c>
      <c r="AE62" s="123" t="e">
        <f>#REF!*AE$55</f>
        <v>#REF!</v>
      </c>
      <c r="AF62" s="123" t="e">
        <f>#REF!*AF$55</f>
        <v>#REF!</v>
      </c>
      <c r="AG62" s="123" t="e">
        <f>#REF!*AG$55</f>
        <v>#REF!</v>
      </c>
      <c r="AH62" s="123" t="e">
        <f>#REF!*AH$55</f>
        <v>#REF!</v>
      </c>
      <c r="AI62" s="123" t="e">
        <f>#REF!*AI$55</f>
        <v>#REF!</v>
      </c>
      <c r="AJ62" s="123" t="e">
        <f>#REF!*AJ$55</f>
        <v>#REF!</v>
      </c>
      <c r="AK62" s="123" t="e">
        <f>#REF!*AK$55</f>
        <v>#REF!</v>
      </c>
      <c r="AL62" s="123" t="e">
        <f>#REF!*AL$55</f>
        <v>#REF!</v>
      </c>
      <c r="AM62" s="123" t="e">
        <f>#REF!*AM$55</f>
        <v>#REF!</v>
      </c>
      <c r="AN62" s="123" t="e">
        <f>#REF!*AN$55</f>
        <v>#REF!</v>
      </c>
      <c r="AO62" s="123" t="e">
        <f>#REF!*AO$55</f>
        <v>#REF!</v>
      </c>
      <c r="AP62" s="123" t="e">
        <f>#REF!*AP$55</f>
        <v>#REF!</v>
      </c>
      <c r="AQ62" s="123" t="e">
        <f>#REF!*AQ$55</f>
        <v>#REF!</v>
      </c>
      <c r="AR62" s="123" t="e">
        <f>#REF!*AR$55</f>
        <v>#REF!</v>
      </c>
      <c r="AS62" s="123" t="e">
        <f>#REF!*AS$55</f>
        <v>#REF!</v>
      </c>
      <c r="AT62" s="123" t="e">
        <f>#REF!*AT$55</f>
        <v>#REF!</v>
      </c>
      <c r="AU62" s="123" t="e">
        <f>#REF!*AU$55</f>
        <v>#REF!</v>
      </c>
      <c r="AV62" s="123" t="e">
        <f>#REF!*AV$55</f>
        <v>#REF!</v>
      </c>
      <c r="AW62" s="123" t="e">
        <f>#REF!*AW$55</f>
        <v>#REF!</v>
      </c>
      <c r="AX62" s="123" t="e">
        <f>#REF!*AX$55</f>
        <v>#REF!</v>
      </c>
      <c r="AY62" s="123" t="e">
        <f>#REF!*AY$55</f>
        <v>#REF!</v>
      </c>
      <c r="AZ62" s="123" t="e">
        <f>#REF!*AZ$55</f>
        <v>#REF!</v>
      </c>
      <c r="BA62" s="123" t="e">
        <f>#REF!*BA$55</f>
        <v>#REF!</v>
      </c>
      <c r="BB62" s="123" t="e">
        <f>#REF!*BB$55</f>
        <v>#REF!</v>
      </c>
      <c r="BC62" s="123" t="e">
        <f>#REF!*BC$55</f>
        <v>#REF!</v>
      </c>
      <c r="BD62" s="123" t="e">
        <f>#REF!*BD$55</f>
        <v>#REF!</v>
      </c>
      <c r="BE62" s="123" t="e">
        <f>#REF!*BE$55</f>
        <v>#REF!</v>
      </c>
      <c r="BF62" s="123" t="e">
        <f>#REF!*BF$55</f>
        <v>#REF!</v>
      </c>
      <c r="BG62" s="123" t="e">
        <f>#REF!*BG$55</f>
        <v>#REF!</v>
      </c>
      <c r="BH62" s="123" t="e">
        <f>#REF!*BH$55</f>
        <v>#REF!</v>
      </c>
      <c r="BI62" s="123" t="e">
        <f>#REF!*BI$55</f>
        <v>#REF!</v>
      </c>
      <c r="BJ62" s="124" t="e">
        <f>#REF!*BJ$55</f>
        <v>#REF!</v>
      </c>
    </row>
    <row r="63" spans="1:67" s="125" customFormat="1" ht="12.75">
      <c r="A63" s="120" t="s">
        <v>122</v>
      </c>
      <c r="B63" s="121" t="e">
        <f t="shared" si="13"/>
        <v>#REF!</v>
      </c>
      <c r="C63" s="122" t="e">
        <f>#REF!*C$55</f>
        <v>#REF!</v>
      </c>
      <c r="D63" s="123" t="e">
        <f>#REF!*D$55</f>
        <v>#REF!</v>
      </c>
      <c r="E63" s="123" t="e">
        <f>#REF!*E$55</f>
        <v>#REF!</v>
      </c>
      <c r="F63" s="123" t="e">
        <f>#REF!*F$55</f>
        <v>#REF!</v>
      </c>
      <c r="G63" s="123" t="e">
        <f>#REF!*G$55</f>
        <v>#REF!</v>
      </c>
      <c r="H63" s="123" t="e">
        <f>#REF!*H$55</f>
        <v>#REF!</v>
      </c>
      <c r="I63" s="123" t="e">
        <f>#REF!*I$55</f>
        <v>#REF!</v>
      </c>
      <c r="J63" s="123" t="e">
        <f>#REF!*J$55</f>
        <v>#REF!</v>
      </c>
      <c r="K63" s="123" t="e">
        <f>#REF!*K$55</f>
        <v>#REF!</v>
      </c>
      <c r="L63" s="123" t="e">
        <f>#REF!*L$55</f>
        <v>#REF!</v>
      </c>
      <c r="M63" s="123" t="e">
        <f>#REF!*M$55</f>
        <v>#REF!</v>
      </c>
      <c r="N63" s="123" t="e">
        <f>#REF!*N$55</f>
        <v>#REF!</v>
      </c>
      <c r="O63" s="123" t="e">
        <f>#REF!*O$55</f>
        <v>#REF!</v>
      </c>
      <c r="P63" s="123" t="e">
        <f>#REF!*P$55</f>
        <v>#REF!</v>
      </c>
      <c r="Q63" s="123" t="e">
        <f>#REF!*Q$55</f>
        <v>#REF!</v>
      </c>
      <c r="R63" s="123" t="e">
        <f>#REF!*R$55</f>
        <v>#REF!</v>
      </c>
      <c r="S63" s="123" t="e">
        <f>#REF!*S$55</f>
        <v>#REF!</v>
      </c>
      <c r="T63" s="123" t="e">
        <f>#REF!*T$55</f>
        <v>#REF!</v>
      </c>
      <c r="U63" s="123" t="e">
        <f>#REF!*U$55</f>
        <v>#REF!</v>
      </c>
      <c r="V63" s="123" t="e">
        <f>#REF!*V$55</f>
        <v>#REF!</v>
      </c>
      <c r="W63" s="123" t="e">
        <f>#REF!*W$55</f>
        <v>#REF!</v>
      </c>
      <c r="X63" s="123" t="e">
        <f>#REF!*X$55</f>
        <v>#REF!</v>
      </c>
      <c r="Y63" s="123" t="e">
        <f>#REF!*Y$55</f>
        <v>#REF!</v>
      </c>
      <c r="Z63" s="123" t="e">
        <f>#REF!*Z$55</f>
        <v>#REF!</v>
      </c>
      <c r="AA63" s="123" t="e">
        <f>#REF!*AA$55</f>
        <v>#REF!</v>
      </c>
      <c r="AB63" s="123" t="e">
        <f>#REF!*AB$55</f>
        <v>#REF!</v>
      </c>
      <c r="AC63" s="123" t="e">
        <f>#REF!*AC$55</f>
        <v>#REF!</v>
      </c>
      <c r="AD63" s="123" t="e">
        <f>#REF!*AD$55</f>
        <v>#REF!</v>
      </c>
      <c r="AE63" s="123" t="e">
        <f>#REF!*AE$55</f>
        <v>#REF!</v>
      </c>
      <c r="AF63" s="123" t="e">
        <f>#REF!*AF$55</f>
        <v>#REF!</v>
      </c>
      <c r="AG63" s="123" t="e">
        <f>#REF!*AG$55</f>
        <v>#REF!</v>
      </c>
      <c r="AH63" s="123" t="e">
        <f>#REF!*AH$55</f>
        <v>#REF!</v>
      </c>
      <c r="AI63" s="123" t="e">
        <f>#REF!*AI$55</f>
        <v>#REF!</v>
      </c>
      <c r="AJ63" s="123" t="e">
        <f>#REF!*AJ$55</f>
        <v>#REF!</v>
      </c>
      <c r="AK63" s="123" t="e">
        <f>#REF!*AK$55</f>
        <v>#REF!</v>
      </c>
      <c r="AL63" s="123" t="e">
        <f>#REF!*AL$55</f>
        <v>#REF!</v>
      </c>
      <c r="AM63" s="123" t="e">
        <f>#REF!*AM$55</f>
        <v>#REF!</v>
      </c>
      <c r="AN63" s="123" t="e">
        <f>#REF!*AN$55</f>
        <v>#REF!</v>
      </c>
      <c r="AO63" s="123" t="e">
        <f>#REF!*AO$55</f>
        <v>#REF!</v>
      </c>
      <c r="AP63" s="123" t="e">
        <f>#REF!*AP$55</f>
        <v>#REF!</v>
      </c>
      <c r="AQ63" s="123" t="e">
        <f>#REF!*AQ$55</f>
        <v>#REF!</v>
      </c>
      <c r="AR63" s="123" t="e">
        <f>#REF!*AR$55</f>
        <v>#REF!</v>
      </c>
      <c r="AS63" s="123" t="e">
        <f>#REF!*AS$55</f>
        <v>#REF!</v>
      </c>
      <c r="AT63" s="123" t="e">
        <f>#REF!*AT$55</f>
        <v>#REF!</v>
      </c>
      <c r="AU63" s="123" t="e">
        <f>#REF!*AU$55</f>
        <v>#REF!</v>
      </c>
      <c r="AV63" s="123" t="e">
        <f>#REF!*AV$55</f>
        <v>#REF!</v>
      </c>
      <c r="AW63" s="123" t="e">
        <f>#REF!*AW$55</f>
        <v>#REF!</v>
      </c>
      <c r="AX63" s="123" t="e">
        <f>#REF!*AX$55</f>
        <v>#REF!</v>
      </c>
      <c r="AY63" s="123" t="e">
        <f>#REF!*AY$55</f>
        <v>#REF!</v>
      </c>
      <c r="AZ63" s="123" t="e">
        <f>#REF!*AZ$55</f>
        <v>#REF!</v>
      </c>
      <c r="BA63" s="123" t="e">
        <f>#REF!*BA$55</f>
        <v>#REF!</v>
      </c>
      <c r="BB63" s="123" t="e">
        <f>#REF!*BB$55</f>
        <v>#REF!</v>
      </c>
      <c r="BC63" s="123" t="e">
        <f>#REF!*BC$55</f>
        <v>#REF!</v>
      </c>
      <c r="BD63" s="123" t="e">
        <f>#REF!*BD$55</f>
        <v>#REF!</v>
      </c>
      <c r="BE63" s="123" t="e">
        <f>#REF!*BE$55</f>
        <v>#REF!</v>
      </c>
      <c r="BF63" s="123" t="e">
        <f>#REF!*BF$55</f>
        <v>#REF!</v>
      </c>
      <c r="BG63" s="123" t="e">
        <f>#REF!*BG$55</f>
        <v>#REF!</v>
      </c>
      <c r="BH63" s="123" t="e">
        <f>#REF!*BH$55</f>
        <v>#REF!</v>
      </c>
      <c r="BI63" s="123" t="e">
        <f>#REF!*BI$55</f>
        <v>#REF!</v>
      </c>
      <c r="BJ63" s="124" t="e">
        <f>#REF!*BJ$55</f>
        <v>#REF!</v>
      </c>
    </row>
    <row r="64" spans="1:67" s="116" customFormat="1">
      <c r="A64" s="127" t="s">
        <v>123</v>
      </c>
      <c r="B64" s="112">
        <f t="shared" si="13"/>
        <v>33085311.411278926</v>
      </c>
      <c r="C64" s="128">
        <v>6617062.2822557855</v>
      </c>
      <c r="D64" s="129">
        <f>C64</f>
        <v>6617062.2822557855</v>
      </c>
      <c r="E64" s="129">
        <f>D64</f>
        <v>6617062.2822557855</v>
      </c>
      <c r="F64" s="129">
        <f>E64</f>
        <v>6617062.2822557855</v>
      </c>
      <c r="G64" s="129">
        <f>F64</f>
        <v>6617062.2822557855</v>
      </c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30"/>
    </row>
    <row r="65" spans="1:64" s="105" customFormat="1" ht="22.5" customHeight="1">
      <c r="A65" s="131" t="s">
        <v>124</v>
      </c>
      <c r="B65" s="132" t="e">
        <f t="shared" si="13"/>
        <v>#REF!</v>
      </c>
      <c r="C65" s="133" t="e">
        <f>C56-C58-C59-C64</f>
        <v>#REF!</v>
      </c>
      <c r="D65" s="134" t="e">
        <f>D56-D58-D59-D64</f>
        <v>#REF!</v>
      </c>
      <c r="E65" s="134" t="e">
        <f t="shared" ref="E65:BJ65" si="14">E56-E58-E59-E64</f>
        <v>#REF!</v>
      </c>
      <c r="F65" s="134" t="e">
        <f t="shared" si="14"/>
        <v>#REF!</v>
      </c>
      <c r="G65" s="134" t="e">
        <f t="shared" si="14"/>
        <v>#REF!</v>
      </c>
      <c r="H65" s="134" t="e">
        <f t="shared" si="14"/>
        <v>#REF!</v>
      </c>
      <c r="I65" s="134" t="e">
        <f t="shared" si="14"/>
        <v>#REF!</v>
      </c>
      <c r="J65" s="134" t="e">
        <f t="shared" si="14"/>
        <v>#REF!</v>
      </c>
      <c r="K65" s="134" t="e">
        <f t="shared" si="14"/>
        <v>#REF!</v>
      </c>
      <c r="L65" s="134" t="e">
        <f t="shared" si="14"/>
        <v>#REF!</v>
      </c>
      <c r="M65" s="134" t="e">
        <f t="shared" si="14"/>
        <v>#REF!</v>
      </c>
      <c r="N65" s="134" t="e">
        <f t="shared" si="14"/>
        <v>#REF!</v>
      </c>
      <c r="O65" s="134" t="e">
        <f t="shared" si="14"/>
        <v>#REF!</v>
      </c>
      <c r="P65" s="134" t="e">
        <f t="shared" si="14"/>
        <v>#REF!</v>
      </c>
      <c r="Q65" s="134" t="e">
        <f t="shared" si="14"/>
        <v>#REF!</v>
      </c>
      <c r="R65" s="134" t="e">
        <f t="shared" si="14"/>
        <v>#REF!</v>
      </c>
      <c r="S65" s="134" t="e">
        <f t="shared" si="14"/>
        <v>#REF!</v>
      </c>
      <c r="T65" s="134" t="e">
        <f t="shared" si="14"/>
        <v>#REF!</v>
      </c>
      <c r="U65" s="134" t="e">
        <f t="shared" si="14"/>
        <v>#REF!</v>
      </c>
      <c r="V65" s="134" t="e">
        <f t="shared" si="14"/>
        <v>#REF!</v>
      </c>
      <c r="W65" s="134" t="e">
        <f t="shared" si="14"/>
        <v>#REF!</v>
      </c>
      <c r="X65" s="134" t="e">
        <f t="shared" si="14"/>
        <v>#REF!</v>
      </c>
      <c r="Y65" s="134" t="e">
        <f t="shared" si="14"/>
        <v>#REF!</v>
      </c>
      <c r="Z65" s="134" t="e">
        <f t="shared" si="14"/>
        <v>#REF!</v>
      </c>
      <c r="AA65" s="134" t="e">
        <f t="shared" si="14"/>
        <v>#REF!</v>
      </c>
      <c r="AB65" s="134" t="e">
        <f t="shared" si="14"/>
        <v>#REF!</v>
      </c>
      <c r="AC65" s="134" t="e">
        <f t="shared" si="14"/>
        <v>#REF!</v>
      </c>
      <c r="AD65" s="134" t="e">
        <f t="shared" si="14"/>
        <v>#REF!</v>
      </c>
      <c r="AE65" s="134" t="e">
        <f t="shared" si="14"/>
        <v>#REF!</v>
      </c>
      <c r="AF65" s="134" t="e">
        <f t="shared" si="14"/>
        <v>#REF!</v>
      </c>
      <c r="AG65" s="134" t="e">
        <f t="shared" si="14"/>
        <v>#REF!</v>
      </c>
      <c r="AH65" s="134" t="e">
        <f t="shared" si="14"/>
        <v>#REF!</v>
      </c>
      <c r="AI65" s="134" t="e">
        <f t="shared" si="14"/>
        <v>#REF!</v>
      </c>
      <c r="AJ65" s="134" t="e">
        <f t="shared" si="14"/>
        <v>#REF!</v>
      </c>
      <c r="AK65" s="134" t="e">
        <f t="shared" si="14"/>
        <v>#REF!</v>
      </c>
      <c r="AL65" s="134" t="e">
        <f t="shared" si="14"/>
        <v>#REF!</v>
      </c>
      <c r="AM65" s="134" t="e">
        <f t="shared" si="14"/>
        <v>#REF!</v>
      </c>
      <c r="AN65" s="134" t="e">
        <f t="shared" si="14"/>
        <v>#REF!</v>
      </c>
      <c r="AO65" s="134" t="e">
        <f t="shared" si="14"/>
        <v>#REF!</v>
      </c>
      <c r="AP65" s="134" t="e">
        <f t="shared" si="14"/>
        <v>#REF!</v>
      </c>
      <c r="AQ65" s="134" t="e">
        <f t="shared" si="14"/>
        <v>#REF!</v>
      </c>
      <c r="AR65" s="134" t="e">
        <f t="shared" si="14"/>
        <v>#REF!</v>
      </c>
      <c r="AS65" s="134" t="e">
        <f t="shared" si="14"/>
        <v>#REF!</v>
      </c>
      <c r="AT65" s="134" t="e">
        <f t="shared" si="14"/>
        <v>#REF!</v>
      </c>
      <c r="AU65" s="134" t="e">
        <f t="shared" si="14"/>
        <v>#REF!</v>
      </c>
      <c r="AV65" s="134" t="e">
        <f t="shared" si="14"/>
        <v>#REF!</v>
      </c>
      <c r="AW65" s="134" t="e">
        <f t="shared" si="14"/>
        <v>#REF!</v>
      </c>
      <c r="AX65" s="134" t="e">
        <f t="shared" si="14"/>
        <v>#REF!</v>
      </c>
      <c r="AY65" s="134" t="e">
        <f t="shared" si="14"/>
        <v>#REF!</v>
      </c>
      <c r="AZ65" s="134" t="e">
        <f t="shared" si="14"/>
        <v>#REF!</v>
      </c>
      <c r="BA65" s="134" t="e">
        <f t="shared" si="14"/>
        <v>#REF!</v>
      </c>
      <c r="BB65" s="134" t="e">
        <f t="shared" si="14"/>
        <v>#REF!</v>
      </c>
      <c r="BC65" s="134" t="e">
        <f t="shared" si="14"/>
        <v>#REF!</v>
      </c>
      <c r="BD65" s="134" t="e">
        <f t="shared" si="14"/>
        <v>#REF!</v>
      </c>
      <c r="BE65" s="134" t="e">
        <f t="shared" si="14"/>
        <v>#REF!</v>
      </c>
      <c r="BF65" s="134" t="e">
        <f t="shared" si="14"/>
        <v>#REF!</v>
      </c>
      <c r="BG65" s="134" t="e">
        <f t="shared" si="14"/>
        <v>#REF!</v>
      </c>
      <c r="BH65" s="134" t="e">
        <f t="shared" si="14"/>
        <v>#REF!</v>
      </c>
      <c r="BI65" s="134" t="e">
        <f t="shared" si="14"/>
        <v>#REF!</v>
      </c>
      <c r="BJ65" s="135" t="e">
        <f t="shared" si="14"/>
        <v>#REF!</v>
      </c>
      <c r="BK65" s="109"/>
      <c r="BL65" s="109"/>
    </row>
    <row r="66" spans="1:64" s="116" customFormat="1">
      <c r="A66" s="136" t="s">
        <v>125</v>
      </c>
      <c r="B66" s="137" t="e">
        <f t="shared" ref="B66:G66" si="15">SUM(B67:B70)</f>
        <v>#REF!</v>
      </c>
      <c r="C66" s="113">
        <f t="shared" si="15"/>
        <v>38866568.814096212</v>
      </c>
      <c r="D66" s="114">
        <f t="shared" si="15"/>
        <v>41943047.328355543</v>
      </c>
      <c r="E66" s="114" t="e">
        <f t="shared" si="15"/>
        <v>#REF!</v>
      </c>
      <c r="F66" s="114" t="e">
        <f t="shared" si="15"/>
        <v>#REF!</v>
      </c>
      <c r="G66" s="114" t="e">
        <f t="shared" si="15"/>
        <v>#REF!</v>
      </c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  <c r="AZ66" s="114"/>
      <c r="BA66" s="114"/>
      <c r="BB66" s="114"/>
      <c r="BC66" s="114"/>
      <c r="BD66" s="114"/>
      <c r="BE66" s="114"/>
      <c r="BF66" s="114"/>
      <c r="BG66" s="114"/>
      <c r="BH66" s="114"/>
      <c r="BI66" s="114"/>
      <c r="BJ66" s="115"/>
    </row>
    <row r="67" spans="1:64" s="143" customFormat="1" ht="12.75">
      <c r="A67" s="138" t="s">
        <v>126</v>
      </c>
      <c r="B67" s="139" t="e">
        <f>SUM(C67:BJ67)</f>
        <v>#REF!</v>
      </c>
      <c r="C67" s="140"/>
      <c r="D67" s="141"/>
      <c r="E67" s="141" t="e">
        <f>(Data_ProdSched!B7*(#REF!+#REF!+#REF!+#REF!+#REF!+#REF!+#REF!))/3</f>
        <v>#REF!</v>
      </c>
      <c r="F67" s="141" t="e">
        <f>(Data_ProdSched!B7*(#REF!+#REF!+#REF!+#REF!+#REF!+#REF!+#REF!))/3</f>
        <v>#REF!</v>
      </c>
      <c r="G67" s="141" t="e">
        <f>(Data_ProdSched!B7*(#REF!+#REF!+#REF!+#REF!+#REF!+#REF!+#REF!))/3</f>
        <v>#REF!</v>
      </c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2"/>
      <c r="BK67" s="141"/>
      <c r="BL67" s="141"/>
    </row>
    <row r="68" spans="1:64" s="143" customFormat="1" ht="12.75">
      <c r="A68" s="138" t="s">
        <v>127</v>
      </c>
      <c r="B68" s="139">
        <f>SUM(C68:BJ68)</f>
        <v>0</v>
      </c>
      <c r="C68" s="140"/>
      <c r="D68" s="141"/>
      <c r="E68" s="141">
        <v>0</v>
      </c>
      <c r="F68" s="141">
        <f>E68</f>
        <v>0</v>
      </c>
      <c r="G68" s="141">
        <f>F68</f>
        <v>0</v>
      </c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2"/>
      <c r="BK68" s="141"/>
      <c r="BL68" s="141"/>
    </row>
    <row r="69" spans="1:64" s="143" customFormat="1" ht="12.75">
      <c r="A69" s="138" t="s">
        <v>128</v>
      </c>
      <c r="B69" s="139">
        <f>SUM(C69:BJ69)</f>
        <v>178950451.49918437</v>
      </c>
      <c r="C69" s="140">
        <v>35790090.299836874</v>
      </c>
      <c r="D69" s="141">
        <f>C69</f>
        <v>35790090.299836874</v>
      </c>
      <c r="E69" s="141">
        <f>D69</f>
        <v>35790090.299836874</v>
      </c>
      <c r="F69" s="141">
        <f>E69</f>
        <v>35790090.299836874</v>
      </c>
      <c r="G69" s="141">
        <f>F69</f>
        <v>35790090.299836874</v>
      </c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2"/>
      <c r="BK69" s="141"/>
      <c r="BL69" s="141"/>
    </row>
    <row r="70" spans="1:64" s="143" customFormat="1" ht="12.75">
      <c r="A70" s="138" t="s">
        <v>129</v>
      </c>
      <c r="B70" s="139">
        <f>SUM(C70:BJ70)</f>
        <v>9229435.5427780077</v>
      </c>
      <c r="C70" s="140">
        <v>3076478.5142593356</v>
      </c>
      <c r="D70" s="141">
        <v>6152957.0285186712</v>
      </c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2"/>
      <c r="BK70" s="141"/>
      <c r="BL70" s="141"/>
    </row>
    <row r="71" spans="1:64" s="116" customFormat="1">
      <c r="A71" s="111" t="s">
        <v>130</v>
      </c>
      <c r="B71" s="137" t="e">
        <f>SUM(B72:B75)</f>
        <v>#REF!</v>
      </c>
      <c r="C71" s="117">
        <f>SUM(C72:C75)</f>
        <v>1295552.2938032071</v>
      </c>
      <c r="D71" s="118">
        <f>SUM(D72:D75)</f>
        <v>2693653.8714150586</v>
      </c>
      <c r="E71" s="118" t="e">
        <f t="shared" ref="E71:BJ71" si="16">SUM(E72:E75)</f>
        <v>#REF!</v>
      </c>
      <c r="F71" s="118" t="e">
        <f t="shared" si="16"/>
        <v>#REF!</v>
      </c>
      <c r="G71" s="118" t="e">
        <f t="shared" si="16"/>
        <v>#REF!</v>
      </c>
      <c r="H71" s="118" t="e">
        <f t="shared" si="16"/>
        <v>#REF!</v>
      </c>
      <c r="I71" s="118" t="e">
        <f t="shared" si="16"/>
        <v>#REF!</v>
      </c>
      <c r="J71" s="118" t="e">
        <f t="shared" si="16"/>
        <v>#REF!</v>
      </c>
      <c r="K71" s="118" t="e">
        <f t="shared" si="16"/>
        <v>#REF!</v>
      </c>
      <c r="L71" s="118" t="e">
        <f t="shared" si="16"/>
        <v>#REF!</v>
      </c>
      <c r="M71" s="118" t="e">
        <f t="shared" si="16"/>
        <v>#REF!</v>
      </c>
      <c r="N71" s="118" t="e">
        <f t="shared" si="16"/>
        <v>#REF!</v>
      </c>
      <c r="O71" s="118" t="e">
        <f t="shared" si="16"/>
        <v>#REF!</v>
      </c>
      <c r="P71" s="118" t="e">
        <f t="shared" si="16"/>
        <v>#REF!</v>
      </c>
      <c r="Q71" s="118" t="e">
        <f t="shared" si="16"/>
        <v>#REF!</v>
      </c>
      <c r="R71" s="118" t="e">
        <f t="shared" si="16"/>
        <v>#REF!</v>
      </c>
      <c r="S71" s="118" t="e">
        <f t="shared" si="16"/>
        <v>#REF!</v>
      </c>
      <c r="T71" s="118" t="e">
        <f t="shared" si="16"/>
        <v>#REF!</v>
      </c>
      <c r="U71" s="118" t="e">
        <f t="shared" si="16"/>
        <v>#REF!</v>
      </c>
      <c r="V71" s="118" t="e">
        <f t="shared" si="16"/>
        <v>#REF!</v>
      </c>
      <c r="W71" s="118" t="e">
        <f t="shared" si="16"/>
        <v>#REF!</v>
      </c>
      <c r="X71" s="118" t="e">
        <f t="shared" si="16"/>
        <v>#REF!</v>
      </c>
      <c r="Y71" s="118" t="e">
        <f t="shared" si="16"/>
        <v>#REF!</v>
      </c>
      <c r="Z71" s="118" t="e">
        <f t="shared" si="16"/>
        <v>#REF!</v>
      </c>
      <c r="AA71" s="118" t="e">
        <f t="shared" si="16"/>
        <v>#REF!</v>
      </c>
      <c r="AB71" s="118" t="e">
        <f t="shared" si="16"/>
        <v>#REF!</v>
      </c>
      <c r="AC71" s="118" t="e">
        <f t="shared" si="16"/>
        <v>#REF!</v>
      </c>
      <c r="AD71" s="118" t="e">
        <f t="shared" si="16"/>
        <v>#REF!</v>
      </c>
      <c r="AE71" s="118" t="e">
        <f t="shared" si="16"/>
        <v>#REF!</v>
      </c>
      <c r="AF71" s="118" t="e">
        <f t="shared" si="16"/>
        <v>#REF!</v>
      </c>
      <c r="AG71" s="118" t="e">
        <f t="shared" si="16"/>
        <v>#REF!</v>
      </c>
      <c r="AH71" s="118" t="e">
        <f t="shared" si="16"/>
        <v>#REF!</v>
      </c>
      <c r="AI71" s="118" t="e">
        <f t="shared" si="16"/>
        <v>#REF!</v>
      </c>
      <c r="AJ71" s="118" t="e">
        <f t="shared" si="16"/>
        <v>#REF!</v>
      </c>
      <c r="AK71" s="118">
        <f t="shared" si="16"/>
        <v>0</v>
      </c>
      <c r="AL71" s="118">
        <f t="shared" si="16"/>
        <v>0</v>
      </c>
      <c r="AM71" s="118">
        <f t="shared" si="16"/>
        <v>0</v>
      </c>
      <c r="AN71" s="118">
        <f t="shared" si="16"/>
        <v>0</v>
      </c>
      <c r="AO71" s="118">
        <f t="shared" si="16"/>
        <v>0</v>
      </c>
      <c r="AP71" s="118">
        <f t="shared" si="16"/>
        <v>0</v>
      </c>
      <c r="AQ71" s="118">
        <f t="shared" si="16"/>
        <v>0</v>
      </c>
      <c r="AR71" s="118">
        <f t="shared" si="16"/>
        <v>0</v>
      </c>
      <c r="AS71" s="118">
        <f t="shared" si="16"/>
        <v>0</v>
      </c>
      <c r="AT71" s="118">
        <f t="shared" si="16"/>
        <v>0</v>
      </c>
      <c r="AU71" s="118">
        <f t="shared" si="16"/>
        <v>0</v>
      </c>
      <c r="AV71" s="118">
        <f t="shared" si="16"/>
        <v>0</v>
      </c>
      <c r="AW71" s="118">
        <f t="shared" si="16"/>
        <v>0</v>
      </c>
      <c r="AX71" s="118">
        <f t="shared" si="16"/>
        <v>0</v>
      </c>
      <c r="AY71" s="118">
        <f t="shared" si="16"/>
        <v>0</v>
      </c>
      <c r="AZ71" s="118">
        <f t="shared" si="16"/>
        <v>0</v>
      </c>
      <c r="BA71" s="118">
        <f t="shared" si="16"/>
        <v>0</v>
      </c>
      <c r="BB71" s="118">
        <f t="shared" si="16"/>
        <v>0</v>
      </c>
      <c r="BC71" s="118">
        <f t="shared" si="16"/>
        <v>0</v>
      </c>
      <c r="BD71" s="118">
        <f t="shared" si="16"/>
        <v>0</v>
      </c>
      <c r="BE71" s="118">
        <f t="shared" si="16"/>
        <v>0</v>
      </c>
      <c r="BF71" s="118">
        <f t="shared" si="16"/>
        <v>0</v>
      </c>
      <c r="BG71" s="118">
        <f t="shared" si="16"/>
        <v>0</v>
      </c>
      <c r="BH71" s="118">
        <f t="shared" si="16"/>
        <v>0</v>
      </c>
      <c r="BI71" s="118">
        <f t="shared" si="16"/>
        <v>0</v>
      </c>
      <c r="BJ71" s="119">
        <f t="shared" si="16"/>
        <v>0</v>
      </c>
      <c r="BK71" s="118"/>
      <c r="BL71" s="118"/>
    </row>
    <row r="72" spans="1:64" s="143" customFormat="1" ht="12.75">
      <c r="A72" s="138" t="s">
        <v>126</v>
      </c>
      <c r="B72" s="139" t="e">
        <f>SUM(C72:BJ72)</f>
        <v>#REF!</v>
      </c>
      <c r="C72" s="140"/>
      <c r="D72" s="141"/>
      <c r="E72" s="141" t="e">
        <f>$C67/$O$53+$D67/$O$53+$E67/$O$53</f>
        <v>#REF!</v>
      </c>
      <c r="F72" s="141" t="e">
        <f>$C67/$O$53+$D67/$O$53+$E67/$O$53+$F67/$O$53</f>
        <v>#REF!</v>
      </c>
      <c r="G72" s="141" t="e">
        <f>$C67/$O$53+$D67/$O$53+$E67/$O$53+$F67/$O$53+$G67/$O$53</f>
        <v>#REF!</v>
      </c>
      <c r="H72" s="141" t="e">
        <f>G72</f>
        <v>#REF!</v>
      </c>
      <c r="I72" s="141" t="e">
        <f t="shared" ref="I72:AH75" si="17">H72</f>
        <v>#REF!</v>
      </c>
      <c r="J72" s="141" t="e">
        <f t="shared" si="17"/>
        <v>#REF!</v>
      </c>
      <c r="K72" s="141" t="e">
        <f t="shared" si="17"/>
        <v>#REF!</v>
      </c>
      <c r="L72" s="141" t="e">
        <f t="shared" si="17"/>
        <v>#REF!</v>
      </c>
      <c r="M72" s="141" t="e">
        <f t="shared" si="17"/>
        <v>#REF!</v>
      </c>
      <c r="N72" s="141" t="e">
        <f t="shared" si="17"/>
        <v>#REF!</v>
      </c>
      <c r="O72" s="141" t="e">
        <f t="shared" si="17"/>
        <v>#REF!</v>
      </c>
      <c r="P72" s="141" t="e">
        <f t="shared" si="17"/>
        <v>#REF!</v>
      </c>
      <c r="Q72" s="141" t="e">
        <f t="shared" si="17"/>
        <v>#REF!</v>
      </c>
      <c r="R72" s="141" t="e">
        <f t="shared" si="17"/>
        <v>#REF!</v>
      </c>
      <c r="S72" s="141" t="e">
        <f t="shared" si="17"/>
        <v>#REF!</v>
      </c>
      <c r="T72" s="141" t="e">
        <f t="shared" si="17"/>
        <v>#REF!</v>
      </c>
      <c r="U72" s="141" t="e">
        <f t="shared" si="17"/>
        <v>#REF!</v>
      </c>
      <c r="V72" s="141" t="e">
        <f t="shared" si="17"/>
        <v>#REF!</v>
      </c>
      <c r="W72" s="141" t="e">
        <f t="shared" si="17"/>
        <v>#REF!</v>
      </c>
      <c r="X72" s="141" t="e">
        <f t="shared" si="17"/>
        <v>#REF!</v>
      </c>
      <c r="Y72" s="141" t="e">
        <f t="shared" si="17"/>
        <v>#REF!</v>
      </c>
      <c r="Z72" s="141" t="e">
        <f t="shared" si="17"/>
        <v>#REF!</v>
      </c>
      <c r="AA72" s="141" t="e">
        <f t="shared" si="17"/>
        <v>#REF!</v>
      </c>
      <c r="AB72" s="141" t="e">
        <f t="shared" si="17"/>
        <v>#REF!</v>
      </c>
      <c r="AC72" s="141" t="e">
        <f t="shared" si="17"/>
        <v>#REF!</v>
      </c>
      <c r="AD72" s="141" t="e">
        <f t="shared" si="17"/>
        <v>#REF!</v>
      </c>
      <c r="AE72" s="141" t="e">
        <f t="shared" si="17"/>
        <v>#REF!</v>
      </c>
      <c r="AF72" s="141" t="e">
        <f t="shared" si="17"/>
        <v>#REF!</v>
      </c>
      <c r="AG72" s="141" t="e">
        <f t="shared" si="17"/>
        <v>#REF!</v>
      </c>
      <c r="AH72" s="141" t="e">
        <f t="shared" si="17"/>
        <v>#REF!</v>
      </c>
      <c r="AI72" s="141" t="e">
        <f>F72</f>
        <v>#REF!</v>
      </c>
      <c r="AJ72" s="141" t="e">
        <f>E72</f>
        <v>#REF!</v>
      </c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2"/>
      <c r="BK72" s="141"/>
      <c r="BL72" s="141"/>
    </row>
    <row r="73" spans="1:64" s="143" customFormat="1" ht="12.75">
      <c r="A73" s="138" t="s">
        <v>127</v>
      </c>
      <c r="B73" s="139">
        <f>SUM(C73:BJ73)</f>
        <v>0</v>
      </c>
      <c r="C73" s="140"/>
      <c r="D73" s="141"/>
      <c r="E73" s="141">
        <f>$C68/$O$53+$D68/$O$53+$E68/$O$53</f>
        <v>0</v>
      </c>
      <c r="F73" s="141">
        <f>$C68/$O$53+$D68/$O$53+$E68/$O$53+$F68/$O$53</f>
        <v>0</v>
      </c>
      <c r="G73" s="141">
        <f>$C68/$O$53+$D68/$O$53+$E68/$O$53+$F68/$O$53+$G68/$O$53</f>
        <v>0</v>
      </c>
      <c r="H73" s="141">
        <f>G73</f>
        <v>0</v>
      </c>
      <c r="I73" s="141">
        <f t="shared" si="17"/>
        <v>0</v>
      </c>
      <c r="J73" s="141">
        <f t="shared" si="17"/>
        <v>0</v>
      </c>
      <c r="K73" s="141">
        <f t="shared" si="17"/>
        <v>0</v>
      </c>
      <c r="L73" s="141">
        <f t="shared" si="17"/>
        <v>0</v>
      </c>
      <c r="M73" s="141">
        <f t="shared" si="17"/>
        <v>0</v>
      </c>
      <c r="N73" s="141">
        <f t="shared" si="17"/>
        <v>0</v>
      </c>
      <c r="O73" s="141">
        <f t="shared" si="17"/>
        <v>0</v>
      </c>
      <c r="P73" s="141">
        <f t="shared" si="17"/>
        <v>0</v>
      </c>
      <c r="Q73" s="141">
        <f t="shared" si="17"/>
        <v>0</v>
      </c>
      <c r="R73" s="141">
        <f t="shared" si="17"/>
        <v>0</v>
      </c>
      <c r="S73" s="141">
        <f t="shared" si="17"/>
        <v>0</v>
      </c>
      <c r="T73" s="141">
        <f t="shared" si="17"/>
        <v>0</v>
      </c>
      <c r="U73" s="141">
        <f t="shared" si="17"/>
        <v>0</v>
      </c>
      <c r="V73" s="141">
        <f t="shared" si="17"/>
        <v>0</v>
      </c>
      <c r="W73" s="141">
        <f t="shared" si="17"/>
        <v>0</v>
      </c>
      <c r="X73" s="141">
        <f t="shared" si="17"/>
        <v>0</v>
      </c>
      <c r="Y73" s="141">
        <f t="shared" si="17"/>
        <v>0</v>
      </c>
      <c r="Z73" s="141">
        <f t="shared" si="17"/>
        <v>0</v>
      </c>
      <c r="AA73" s="141">
        <f t="shared" si="17"/>
        <v>0</v>
      </c>
      <c r="AB73" s="141">
        <f t="shared" si="17"/>
        <v>0</v>
      </c>
      <c r="AC73" s="141">
        <f t="shared" si="17"/>
        <v>0</v>
      </c>
      <c r="AD73" s="141">
        <f t="shared" si="17"/>
        <v>0</v>
      </c>
      <c r="AE73" s="141">
        <f t="shared" si="17"/>
        <v>0</v>
      </c>
      <c r="AF73" s="141">
        <f t="shared" si="17"/>
        <v>0</v>
      </c>
      <c r="AG73" s="141">
        <f t="shared" si="17"/>
        <v>0</v>
      </c>
      <c r="AH73" s="141">
        <f t="shared" si="17"/>
        <v>0</v>
      </c>
      <c r="AI73" s="141">
        <f>F73</f>
        <v>0</v>
      </c>
      <c r="AJ73" s="141">
        <f>E73</f>
        <v>0</v>
      </c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2"/>
      <c r="BK73" s="141"/>
      <c r="BL73" s="141"/>
    </row>
    <row r="74" spans="1:64" s="143" customFormat="1" ht="12.75">
      <c r="A74" s="138" t="s">
        <v>128</v>
      </c>
      <c r="B74" s="139">
        <f>SUM(C74:BJ74)</f>
        <v>178950451.49918437</v>
      </c>
      <c r="C74" s="140">
        <f>$C69/$O$53</f>
        <v>1193003.0099945625</v>
      </c>
      <c r="D74" s="141">
        <f>$C69/$O$53+$D69/$O$53</f>
        <v>2386006.019989125</v>
      </c>
      <c r="E74" s="141">
        <f>$C69/$O$53+$D69/$O$53+$E69/$O$53</f>
        <v>3579009.0299836872</v>
      </c>
      <c r="F74" s="141">
        <f>$C69/$O$53+$D69/$O$53+$E69/$O$53+$F69/$O$53</f>
        <v>4772012.0399782499</v>
      </c>
      <c r="G74" s="141">
        <f>$C69/$O$53+$D69/$O$53+$E69/$O$53+$F69/$O$53+$G69/$O$53</f>
        <v>5965015.0499728126</v>
      </c>
      <c r="H74" s="141">
        <f t="shared" ref="H74:W75" si="18">G74</f>
        <v>5965015.0499728126</v>
      </c>
      <c r="I74" s="141">
        <f t="shared" si="18"/>
        <v>5965015.0499728126</v>
      </c>
      <c r="J74" s="141">
        <f t="shared" si="18"/>
        <v>5965015.0499728126</v>
      </c>
      <c r="K74" s="141">
        <f t="shared" si="18"/>
        <v>5965015.0499728126</v>
      </c>
      <c r="L74" s="141">
        <f t="shared" si="18"/>
        <v>5965015.0499728126</v>
      </c>
      <c r="M74" s="141">
        <f t="shared" si="18"/>
        <v>5965015.0499728126</v>
      </c>
      <c r="N74" s="141">
        <f t="shared" si="18"/>
        <v>5965015.0499728126</v>
      </c>
      <c r="O74" s="141">
        <f t="shared" si="18"/>
        <v>5965015.0499728126</v>
      </c>
      <c r="P74" s="141">
        <f t="shared" si="18"/>
        <v>5965015.0499728126</v>
      </c>
      <c r="Q74" s="141">
        <f t="shared" si="18"/>
        <v>5965015.0499728126</v>
      </c>
      <c r="R74" s="141">
        <f t="shared" si="18"/>
        <v>5965015.0499728126</v>
      </c>
      <c r="S74" s="141">
        <f t="shared" si="18"/>
        <v>5965015.0499728126</v>
      </c>
      <c r="T74" s="141">
        <f t="shared" si="18"/>
        <v>5965015.0499728126</v>
      </c>
      <c r="U74" s="141">
        <f t="shared" si="18"/>
        <v>5965015.0499728126</v>
      </c>
      <c r="V74" s="141">
        <f t="shared" si="18"/>
        <v>5965015.0499728126</v>
      </c>
      <c r="W74" s="141">
        <f t="shared" si="18"/>
        <v>5965015.0499728126</v>
      </c>
      <c r="X74" s="141">
        <f t="shared" si="17"/>
        <v>5965015.0499728126</v>
      </c>
      <c r="Y74" s="141">
        <f t="shared" si="17"/>
        <v>5965015.0499728126</v>
      </c>
      <c r="Z74" s="141">
        <f t="shared" si="17"/>
        <v>5965015.0499728126</v>
      </c>
      <c r="AA74" s="141">
        <f t="shared" si="17"/>
        <v>5965015.0499728126</v>
      </c>
      <c r="AB74" s="141">
        <f t="shared" si="17"/>
        <v>5965015.0499728126</v>
      </c>
      <c r="AC74" s="141">
        <f t="shared" si="17"/>
        <v>5965015.0499728126</v>
      </c>
      <c r="AD74" s="141">
        <f t="shared" si="17"/>
        <v>5965015.0499728126</v>
      </c>
      <c r="AE74" s="141">
        <f t="shared" si="17"/>
        <v>5965015.0499728126</v>
      </c>
      <c r="AF74" s="141">
        <f t="shared" si="17"/>
        <v>5965015.0499728126</v>
      </c>
      <c r="AG74" s="141">
        <f>F74</f>
        <v>4772012.0399782499</v>
      </c>
      <c r="AH74" s="141">
        <f>E74</f>
        <v>3579009.0299836872</v>
      </c>
      <c r="AI74" s="141">
        <f>D74</f>
        <v>2386006.019989125</v>
      </c>
      <c r="AJ74" s="141">
        <f>C74</f>
        <v>1193003.0099945625</v>
      </c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2"/>
      <c r="BK74" s="141"/>
      <c r="BL74" s="141"/>
    </row>
    <row r="75" spans="1:64" s="143" customFormat="1" ht="12.75">
      <c r="A75" s="138" t="s">
        <v>129</v>
      </c>
      <c r="B75" s="139">
        <f>SUM(C75:BJ75)</f>
        <v>9229435.5427780077</v>
      </c>
      <c r="C75" s="140">
        <f>$C70/$O$53</f>
        <v>102549.28380864453</v>
      </c>
      <c r="D75" s="141">
        <f>$C70/$O$53+$D70/$O$53</f>
        <v>307647.85142593359</v>
      </c>
      <c r="E75" s="141">
        <f>$C70/$O$53+$D70/$O$53+$E70/$O$53</f>
        <v>307647.85142593359</v>
      </c>
      <c r="F75" s="141">
        <f>$C70/$O$53+$D70/$O$53+$E70/$O$53+$F70/$O$53</f>
        <v>307647.85142593359</v>
      </c>
      <c r="G75" s="141">
        <f>$C70/$O$53+$D70/$O$53+$E70/$O$53+$F70/$O$53+$G70/$O$53</f>
        <v>307647.85142593359</v>
      </c>
      <c r="H75" s="141">
        <f t="shared" si="18"/>
        <v>307647.85142593359</v>
      </c>
      <c r="I75" s="141">
        <f t="shared" si="18"/>
        <v>307647.85142593359</v>
      </c>
      <c r="J75" s="141">
        <f t="shared" si="18"/>
        <v>307647.85142593359</v>
      </c>
      <c r="K75" s="141">
        <f t="shared" si="18"/>
        <v>307647.85142593359</v>
      </c>
      <c r="L75" s="141">
        <f t="shared" si="18"/>
        <v>307647.85142593359</v>
      </c>
      <c r="M75" s="141">
        <f t="shared" si="18"/>
        <v>307647.85142593359</v>
      </c>
      <c r="N75" s="141">
        <f t="shared" si="18"/>
        <v>307647.85142593359</v>
      </c>
      <c r="O75" s="141">
        <f t="shared" si="18"/>
        <v>307647.85142593359</v>
      </c>
      <c r="P75" s="141">
        <f t="shared" si="18"/>
        <v>307647.85142593359</v>
      </c>
      <c r="Q75" s="141">
        <f t="shared" si="18"/>
        <v>307647.85142593359</v>
      </c>
      <c r="R75" s="141">
        <f t="shared" si="18"/>
        <v>307647.85142593359</v>
      </c>
      <c r="S75" s="141">
        <f t="shared" si="18"/>
        <v>307647.85142593359</v>
      </c>
      <c r="T75" s="141">
        <f t="shared" si="18"/>
        <v>307647.85142593359</v>
      </c>
      <c r="U75" s="141">
        <f t="shared" si="18"/>
        <v>307647.85142593359</v>
      </c>
      <c r="V75" s="141">
        <f t="shared" si="18"/>
        <v>307647.85142593359</v>
      </c>
      <c r="W75" s="141">
        <f t="shared" si="18"/>
        <v>307647.85142593359</v>
      </c>
      <c r="X75" s="141">
        <f t="shared" si="17"/>
        <v>307647.85142593359</v>
      </c>
      <c r="Y75" s="141">
        <f t="shared" si="17"/>
        <v>307647.85142593359</v>
      </c>
      <c r="Z75" s="141">
        <f t="shared" si="17"/>
        <v>307647.85142593359</v>
      </c>
      <c r="AA75" s="141">
        <f t="shared" si="17"/>
        <v>307647.85142593359</v>
      </c>
      <c r="AB75" s="141">
        <f t="shared" si="17"/>
        <v>307647.85142593359</v>
      </c>
      <c r="AC75" s="141">
        <f t="shared" si="17"/>
        <v>307647.85142593359</v>
      </c>
      <c r="AD75" s="141">
        <f t="shared" si="17"/>
        <v>307647.85142593359</v>
      </c>
      <c r="AE75" s="141">
        <f t="shared" si="17"/>
        <v>307647.85142593359</v>
      </c>
      <c r="AF75" s="141">
        <f t="shared" si="17"/>
        <v>307647.85142593359</v>
      </c>
      <c r="AG75" s="141">
        <f>AF75-C75</f>
        <v>205098.56761728908</v>
      </c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2"/>
      <c r="BK75" s="141"/>
      <c r="BL75" s="141"/>
    </row>
    <row r="76" spans="1:64" s="148" customFormat="1">
      <c r="A76" s="111" t="s">
        <v>131</v>
      </c>
      <c r="B76" s="144"/>
      <c r="C76" s="145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  <c r="AH76" s="146"/>
      <c r="AI76" s="146"/>
      <c r="AJ76" s="146"/>
      <c r="AK76" s="146"/>
      <c r="AL76" s="146"/>
      <c r="AM76" s="146"/>
      <c r="AN76" s="146"/>
      <c r="AO76" s="146"/>
      <c r="AP76" s="146"/>
      <c r="AQ76" s="146"/>
      <c r="AR76" s="146"/>
      <c r="AS76" s="146"/>
      <c r="AT76" s="146"/>
      <c r="AU76" s="146"/>
      <c r="AV76" s="146"/>
      <c r="AW76" s="146"/>
      <c r="AX76" s="146"/>
      <c r="AY76" s="146"/>
      <c r="AZ76" s="146"/>
      <c r="BA76" s="146"/>
      <c r="BB76" s="146"/>
      <c r="BC76" s="146"/>
      <c r="BD76" s="146"/>
      <c r="BE76" s="146"/>
      <c r="BF76" s="146"/>
      <c r="BG76" s="146"/>
      <c r="BH76" s="146"/>
      <c r="BI76" s="146"/>
      <c r="BJ76" s="147"/>
      <c r="BK76" s="146"/>
      <c r="BL76" s="146"/>
    </row>
    <row r="77" spans="1:64" s="153" customFormat="1" ht="12.75">
      <c r="A77" s="138" t="s">
        <v>126</v>
      </c>
      <c r="B77" s="144"/>
      <c r="C77" s="149"/>
      <c r="D77" s="150"/>
      <c r="E77" s="151" t="e">
        <f>$B67-E72</f>
        <v>#REF!</v>
      </c>
      <c r="F77" s="151" t="e">
        <f>E77-F72</f>
        <v>#REF!</v>
      </c>
      <c r="G77" s="151" t="e">
        <f t="shared" ref="G77:AJ80" si="19">F77-G72</f>
        <v>#REF!</v>
      </c>
      <c r="H77" s="151" t="e">
        <f t="shared" si="19"/>
        <v>#REF!</v>
      </c>
      <c r="I77" s="151" t="e">
        <f t="shared" si="19"/>
        <v>#REF!</v>
      </c>
      <c r="J77" s="151" t="e">
        <f t="shared" si="19"/>
        <v>#REF!</v>
      </c>
      <c r="K77" s="151" t="e">
        <f t="shared" si="19"/>
        <v>#REF!</v>
      </c>
      <c r="L77" s="151" t="e">
        <f t="shared" si="19"/>
        <v>#REF!</v>
      </c>
      <c r="M77" s="151" t="e">
        <f t="shared" si="19"/>
        <v>#REF!</v>
      </c>
      <c r="N77" s="151" t="e">
        <f t="shared" si="19"/>
        <v>#REF!</v>
      </c>
      <c r="O77" s="151" t="e">
        <f t="shared" si="19"/>
        <v>#REF!</v>
      </c>
      <c r="P77" s="151" t="e">
        <f t="shared" si="19"/>
        <v>#REF!</v>
      </c>
      <c r="Q77" s="151" t="e">
        <f t="shared" si="19"/>
        <v>#REF!</v>
      </c>
      <c r="R77" s="151" t="e">
        <f t="shared" si="19"/>
        <v>#REF!</v>
      </c>
      <c r="S77" s="151" t="e">
        <f t="shared" si="19"/>
        <v>#REF!</v>
      </c>
      <c r="T77" s="151" t="e">
        <f t="shared" si="19"/>
        <v>#REF!</v>
      </c>
      <c r="U77" s="151" t="e">
        <f t="shared" si="19"/>
        <v>#REF!</v>
      </c>
      <c r="V77" s="151" t="e">
        <f t="shared" si="19"/>
        <v>#REF!</v>
      </c>
      <c r="W77" s="151" t="e">
        <f t="shared" si="19"/>
        <v>#REF!</v>
      </c>
      <c r="X77" s="151" t="e">
        <f t="shared" si="19"/>
        <v>#REF!</v>
      </c>
      <c r="Y77" s="151" t="e">
        <f t="shared" si="19"/>
        <v>#REF!</v>
      </c>
      <c r="Z77" s="151" t="e">
        <f t="shared" si="19"/>
        <v>#REF!</v>
      </c>
      <c r="AA77" s="151" t="e">
        <f t="shared" si="19"/>
        <v>#REF!</v>
      </c>
      <c r="AB77" s="151" t="e">
        <f t="shared" si="19"/>
        <v>#REF!</v>
      </c>
      <c r="AC77" s="151" t="e">
        <f t="shared" si="19"/>
        <v>#REF!</v>
      </c>
      <c r="AD77" s="151" t="e">
        <f t="shared" si="19"/>
        <v>#REF!</v>
      </c>
      <c r="AE77" s="151" t="e">
        <f t="shared" si="19"/>
        <v>#REF!</v>
      </c>
      <c r="AF77" s="151" t="e">
        <f t="shared" si="19"/>
        <v>#REF!</v>
      </c>
      <c r="AG77" s="151" t="e">
        <f t="shared" si="19"/>
        <v>#REF!</v>
      </c>
      <c r="AH77" s="151" t="e">
        <f t="shared" si="19"/>
        <v>#REF!</v>
      </c>
      <c r="AI77" s="151" t="e">
        <f t="shared" si="19"/>
        <v>#REF!</v>
      </c>
      <c r="AJ77" s="151" t="e">
        <f t="shared" si="19"/>
        <v>#REF!</v>
      </c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2"/>
      <c r="BK77" s="151"/>
      <c r="BL77" s="151"/>
    </row>
    <row r="78" spans="1:64" s="153" customFormat="1" ht="12.75">
      <c r="A78" s="138" t="s">
        <v>127</v>
      </c>
      <c r="B78" s="144"/>
      <c r="C78" s="149"/>
      <c r="D78" s="150"/>
      <c r="E78" s="151">
        <f>$B68-E73</f>
        <v>0</v>
      </c>
      <c r="F78" s="151">
        <f>E78-F73</f>
        <v>0</v>
      </c>
      <c r="G78" s="151">
        <f t="shared" si="19"/>
        <v>0</v>
      </c>
      <c r="H78" s="151">
        <f t="shared" si="19"/>
        <v>0</v>
      </c>
      <c r="I78" s="151">
        <f t="shared" si="19"/>
        <v>0</v>
      </c>
      <c r="J78" s="151">
        <f t="shared" si="19"/>
        <v>0</v>
      </c>
      <c r="K78" s="151">
        <f t="shared" si="19"/>
        <v>0</v>
      </c>
      <c r="L78" s="151">
        <f t="shared" si="19"/>
        <v>0</v>
      </c>
      <c r="M78" s="151">
        <f t="shared" si="19"/>
        <v>0</v>
      </c>
      <c r="N78" s="151">
        <f t="shared" si="19"/>
        <v>0</v>
      </c>
      <c r="O78" s="151">
        <f t="shared" si="19"/>
        <v>0</v>
      </c>
      <c r="P78" s="151">
        <f t="shared" si="19"/>
        <v>0</v>
      </c>
      <c r="Q78" s="151">
        <f t="shared" si="19"/>
        <v>0</v>
      </c>
      <c r="R78" s="151">
        <f t="shared" si="19"/>
        <v>0</v>
      </c>
      <c r="S78" s="151">
        <f t="shared" si="19"/>
        <v>0</v>
      </c>
      <c r="T78" s="151">
        <f t="shared" si="19"/>
        <v>0</v>
      </c>
      <c r="U78" s="151">
        <f t="shared" si="19"/>
        <v>0</v>
      </c>
      <c r="V78" s="151">
        <f t="shared" si="19"/>
        <v>0</v>
      </c>
      <c r="W78" s="151">
        <f t="shared" si="19"/>
        <v>0</v>
      </c>
      <c r="X78" s="151">
        <f t="shared" si="19"/>
        <v>0</v>
      </c>
      <c r="Y78" s="151">
        <f t="shared" si="19"/>
        <v>0</v>
      </c>
      <c r="Z78" s="151">
        <f t="shared" si="19"/>
        <v>0</v>
      </c>
      <c r="AA78" s="151">
        <f t="shared" si="19"/>
        <v>0</v>
      </c>
      <c r="AB78" s="151">
        <f t="shared" si="19"/>
        <v>0</v>
      </c>
      <c r="AC78" s="151">
        <f t="shared" si="19"/>
        <v>0</v>
      </c>
      <c r="AD78" s="151">
        <f t="shared" si="19"/>
        <v>0</v>
      </c>
      <c r="AE78" s="151">
        <f t="shared" si="19"/>
        <v>0</v>
      </c>
      <c r="AF78" s="151">
        <f t="shared" si="19"/>
        <v>0</v>
      </c>
      <c r="AG78" s="151">
        <f t="shared" si="19"/>
        <v>0</v>
      </c>
      <c r="AH78" s="151">
        <f t="shared" si="19"/>
        <v>0</v>
      </c>
      <c r="AI78" s="151">
        <f t="shared" si="19"/>
        <v>0</v>
      </c>
      <c r="AJ78" s="151">
        <f t="shared" si="19"/>
        <v>0</v>
      </c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2"/>
      <c r="BK78" s="151"/>
      <c r="BL78" s="151"/>
    </row>
    <row r="79" spans="1:64" s="153" customFormat="1" ht="12.75">
      <c r="A79" s="138" t="s">
        <v>128</v>
      </c>
      <c r="B79" s="144"/>
      <c r="C79" s="154">
        <f>$B69-C74</f>
        <v>177757448.4891898</v>
      </c>
      <c r="D79" s="151">
        <f>C79-D74</f>
        <v>175371442.46920067</v>
      </c>
      <c r="E79" s="151">
        <f>D79-E74</f>
        <v>171792433.43921697</v>
      </c>
      <c r="F79" s="151">
        <f>E79-F74</f>
        <v>167020421.39923874</v>
      </c>
      <c r="G79" s="151">
        <f t="shared" si="19"/>
        <v>161055406.34926593</v>
      </c>
      <c r="H79" s="151">
        <f t="shared" si="19"/>
        <v>155090391.29929313</v>
      </c>
      <c r="I79" s="151">
        <f t="shared" si="19"/>
        <v>149125376.24932033</v>
      </c>
      <c r="J79" s="151">
        <f t="shared" si="19"/>
        <v>143160361.19934753</v>
      </c>
      <c r="K79" s="151">
        <f t="shared" si="19"/>
        <v>137195346.14937472</v>
      </c>
      <c r="L79" s="151">
        <f t="shared" si="19"/>
        <v>131230331.09940191</v>
      </c>
      <c r="M79" s="151">
        <f t="shared" si="19"/>
        <v>125265316.04942909</v>
      </c>
      <c r="N79" s="151">
        <f t="shared" si="19"/>
        <v>119300300.99945627</v>
      </c>
      <c r="O79" s="151">
        <f t="shared" si="19"/>
        <v>113335285.94948345</v>
      </c>
      <c r="P79" s="151">
        <f t="shared" si="19"/>
        <v>107370270.89951064</v>
      </c>
      <c r="Q79" s="151">
        <f t="shared" si="19"/>
        <v>101405255.84953782</v>
      </c>
      <c r="R79" s="151">
        <f t="shared" si="19"/>
        <v>95440240.799565002</v>
      </c>
      <c r="S79" s="151">
        <f t="shared" si="19"/>
        <v>89475225.749592185</v>
      </c>
      <c r="T79" s="151">
        <f t="shared" si="19"/>
        <v>83510210.699619368</v>
      </c>
      <c r="U79" s="151">
        <f t="shared" si="19"/>
        <v>77545195.64964655</v>
      </c>
      <c r="V79" s="151">
        <f t="shared" si="19"/>
        <v>71580180.599673733</v>
      </c>
      <c r="W79" s="151">
        <f t="shared" si="19"/>
        <v>65615165.549700923</v>
      </c>
      <c r="X79" s="151">
        <f t="shared" si="19"/>
        <v>59650150.499728113</v>
      </c>
      <c r="Y79" s="151">
        <f t="shared" si="19"/>
        <v>53685135.449755304</v>
      </c>
      <c r="Z79" s="151">
        <f t="shared" si="19"/>
        <v>47720120.399782494</v>
      </c>
      <c r="AA79" s="151">
        <f t="shared" si="19"/>
        <v>41755105.349809684</v>
      </c>
      <c r="AB79" s="151">
        <f t="shared" si="19"/>
        <v>35790090.299836874</v>
      </c>
      <c r="AC79" s="151">
        <f t="shared" si="19"/>
        <v>29825075.24986406</v>
      </c>
      <c r="AD79" s="151">
        <f t="shared" si="19"/>
        <v>23860060.199891247</v>
      </c>
      <c r="AE79" s="151">
        <f t="shared" si="19"/>
        <v>17895045.149918433</v>
      </c>
      <c r="AF79" s="151">
        <f t="shared" si="19"/>
        <v>11930030.09994562</v>
      </c>
      <c r="AG79" s="151">
        <f t="shared" si="19"/>
        <v>7158018.0599673698</v>
      </c>
      <c r="AH79" s="151">
        <f t="shared" si="19"/>
        <v>3579009.0299836826</v>
      </c>
      <c r="AI79" s="151">
        <f t="shared" si="19"/>
        <v>1193003.0099945576</v>
      </c>
      <c r="AJ79" s="151">
        <f t="shared" si="19"/>
        <v>-4.8894435167312622E-9</v>
      </c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2"/>
      <c r="BK79" s="151"/>
      <c r="BL79" s="151"/>
    </row>
    <row r="80" spans="1:64" s="153" customFormat="1" ht="12.75">
      <c r="A80" s="138" t="s">
        <v>129</v>
      </c>
      <c r="B80" s="144"/>
      <c r="C80" s="154">
        <f>$B70-C75</f>
        <v>9126886.2589693628</v>
      </c>
      <c r="D80" s="151">
        <f>C80-D75</f>
        <v>8819238.4075434301</v>
      </c>
      <c r="E80" s="151">
        <f>D80-E75</f>
        <v>8511590.5561174974</v>
      </c>
      <c r="F80" s="151">
        <f>E80-F75</f>
        <v>8203942.7046915637</v>
      </c>
      <c r="G80" s="151">
        <f t="shared" si="19"/>
        <v>7896294.8532656301</v>
      </c>
      <c r="H80" s="151">
        <f t="shared" si="19"/>
        <v>7588647.0018396964</v>
      </c>
      <c r="I80" s="151">
        <f t="shared" si="19"/>
        <v>7280999.1504137628</v>
      </c>
      <c r="J80" s="151">
        <f t="shared" si="19"/>
        <v>6973351.2989878291</v>
      </c>
      <c r="K80" s="151">
        <f t="shared" si="19"/>
        <v>6665703.4475618955</v>
      </c>
      <c r="L80" s="151">
        <f t="shared" si="19"/>
        <v>6358055.5961359618</v>
      </c>
      <c r="M80" s="151">
        <f t="shared" si="19"/>
        <v>6050407.7447100282</v>
      </c>
      <c r="N80" s="151">
        <f t="shared" si="19"/>
        <v>5742759.8932840945</v>
      </c>
      <c r="O80" s="151">
        <f t="shared" si="19"/>
        <v>5435112.0418581609</v>
      </c>
      <c r="P80" s="151">
        <f t="shared" si="19"/>
        <v>5127464.1904322272</v>
      </c>
      <c r="Q80" s="151">
        <f t="shared" si="19"/>
        <v>4819816.3390062936</v>
      </c>
      <c r="R80" s="151">
        <f t="shared" si="19"/>
        <v>4512168.4875803599</v>
      </c>
      <c r="S80" s="151">
        <f t="shared" si="19"/>
        <v>4204520.6361544263</v>
      </c>
      <c r="T80" s="151">
        <f t="shared" si="19"/>
        <v>3896872.7847284926</v>
      </c>
      <c r="U80" s="151">
        <f t="shared" si="19"/>
        <v>3589224.933302559</v>
      </c>
      <c r="V80" s="151">
        <f t="shared" si="19"/>
        <v>3281577.0818766253</v>
      </c>
      <c r="W80" s="151">
        <f t="shared" si="19"/>
        <v>2973929.2304506917</v>
      </c>
      <c r="X80" s="151">
        <f t="shared" si="19"/>
        <v>2666281.379024758</v>
      </c>
      <c r="Y80" s="151">
        <f t="shared" si="19"/>
        <v>2358633.5275988244</v>
      </c>
      <c r="Z80" s="151">
        <f t="shared" si="19"/>
        <v>2050985.6761728907</v>
      </c>
      <c r="AA80" s="151">
        <f t="shared" si="19"/>
        <v>1743337.824746957</v>
      </c>
      <c r="AB80" s="151">
        <f t="shared" si="19"/>
        <v>1435689.9733210234</v>
      </c>
      <c r="AC80" s="151">
        <f t="shared" si="19"/>
        <v>1128042.1218950897</v>
      </c>
      <c r="AD80" s="151">
        <f t="shared" si="19"/>
        <v>820394.27046915609</v>
      </c>
      <c r="AE80" s="151">
        <f t="shared" si="19"/>
        <v>512746.4190432225</v>
      </c>
      <c r="AF80" s="151">
        <f t="shared" si="19"/>
        <v>205098.56761728891</v>
      </c>
      <c r="AG80" s="151">
        <f t="shared" si="19"/>
        <v>0</v>
      </c>
      <c r="AH80" s="151">
        <f t="shared" si="19"/>
        <v>0</v>
      </c>
      <c r="AI80" s="151">
        <f t="shared" si="19"/>
        <v>0</v>
      </c>
      <c r="AJ80" s="151">
        <f t="shared" si="19"/>
        <v>0</v>
      </c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2"/>
      <c r="BK80" s="151"/>
      <c r="BL80" s="151"/>
    </row>
    <row r="81" spans="1:64" s="116" customFormat="1">
      <c r="A81" s="111" t="s">
        <v>132</v>
      </c>
      <c r="B81" s="155" t="e">
        <f>SUM(B82:B85)</f>
        <v>#REF!</v>
      </c>
      <c r="C81" s="117">
        <f>SUM(C82:C85)</f>
        <v>18817988.704196237</v>
      </c>
      <c r="D81" s="118">
        <f t="shared" ref="D81:AJ81" si="20">SUM(D82:D85)</f>
        <v>18688433.47481592</v>
      </c>
      <c r="E81" s="118" t="e">
        <f t="shared" si="20"/>
        <v>#REF!</v>
      </c>
      <c r="F81" s="118" t="e">
        <f t="shared" si="20"/>
        <v>#REF!</v>
      </c>
      <c r="G81" s="118" t="e">
        <f t="shared" si="20"/>
        <v>#REF!</v>
      </c>
      <c r="H81" s="118" t="e">
        <f t="shared" si="20"/>
        <v>#REF!</v>
      </c>
      <c r="I81" s="118" t="e">
        <f t="shared" si="20"/>
        <v>#REF!</v>
      </c>
      <c r="J81" s="118" t="e">
        <f t="shared" si="20"/>
        <v>#REF!</v>
      </c>
      <c r="K81" s="118" t="e">
        <f t="shared" si="20"/>
        <v>#REF!</v>
      </c>
      <c r="L81" s="118" t="e">
        <f t="shared" si="20"/>
        <v>#REF!</v>
      </c>
      <c r="M81" s="118" t="e">
        <f t="shared" si="20"/>
        <v>#REF!</v>
      </c>
      <c r="N81" s="118" t="e">
        <f t="shared" si="20"/>
        <v>#REF!</v>
      </c>
      <c r="O81" s="118" t="e">
        <f t="shared" si="20"/>
        <v>#REF!</v>
      </c>
      <c r="P81" s="118" t="e">
        <f t="shared" si="20"/>
        <v>#REF!</v>
      </c>
      <c r="Q81" s="118" t="e">
        <f t="shared" si="20"/>
        <v>#REF!</v>
      </c>
      <c r="R81" s="118" t="e">
        <f t="shared" si="20"/>
        <v>#REF!</v>
      </c>
      <c r="S81" s="118" t="e">
        <f t="shared" si="20"/>
        <v>#REF!</v>
      </c>
      <c r="T81" s="118" t="e">
        <f t="shared" si="20"/>
        <v>#REF!</v>
      </c>
      <c r="U81" s="118" t="e">
        <f t="shared" si="20"/>
        <v>#REF!</v>
      </c>
      <c r="V81" s="118" t="e">
        <f t="shared" si="20"/>
        <v>#REF!</v>
      </c>
      <c r="W81" s="118" t="e">
        <f t="shared" si="20"/>
        <v>#REF!</v>
      </c>
      <c r="X81" s="118" t="e">
        <f t="shared" si="20"/>
        <v>#REF!</v>
      </c>
      <c r="Y81" s="118">
        <f t="shared" si="20"/>
        <v>0</v>
      </c>
      <c r="Z81" s="118">
        <f t="shared" si="20"/>
        <v>0</v>
      </c>
      <c r="AA81" s="118">
        <f t="shared" si="20"/>
        <v>0</v>
      </c>
      <c r="AB81" s="118">
        <f t="shared" si="20"/>
        <v>0</v>
      </c>
      <c r="AC81" s="118">
        <f t="shared" si="20"/>
        <v>0</v>
      </c>
      <c r="AD81" s="118">
        <f t="shared" si="20"/>
        <v>0</v>
      </c>
      <c r="AE81" s="118">
        <f t="shared" si="20"/>
        <v>0</v>
      </c>
      <c r="AF81" s="118">
        <f t="shared" si="20"/>
        <v>0</v>
      </c>
      <c r="AG81" s="118">
        <f t="shared" si="20"/>
        <v>0</v>
      </c>
      <c r="AH81" s="118">
        <f t="shared" si="20"/>
        <v>0</v>
      </c>
      <c r="AI81" s="118">
        <f t="shared" si="20"/>
        <v>0</v>
      </c>
      <c r="AJ81" s="118">
        <f t="shared" si="20"/>
        <v>0</v>
      </c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  <c r="AZ81" s="118"/>
      <c r="BA81" s="118"/>
      <c r="BB81" s="118"/>
      <c r="BC81" s="118"/>
      <c r="BD81" s="118"/>
      <c r="BE81" s="118"/>
      <c r="BF81" s="118"/>
      <c r="BG81" s="118"/>
      <c r="BH81" s="118"/>
      <c r="BI81" s="118"/>
      <c r="BJ81" s="119"/>
      <c r="BK81" s="118"/>
      <c r="BL81" s="118"/>
    </row>
    <row r="82" spans="1:64" s="143" customFormat="1" ht="12.75">
      <c r="A82" s="138" t="s">
        <v>126</v>
      </c>
      <c r="B82" s="139" t="e">
        <f>SUM(C82:BJ82)</f>
        <v>#REF!</v>
      </c>
      <c r="C82" s="140"/>
      <c r="D82" s="141"/>
      <c r="E82" s="141" t="e">
        <f t="shared" ref="E82:BJ82" si="21">IF(AND(E54&gt;5,E55=0),0,(E77+E72)*$I$53)</f>
        <v>#REF!</v>
      </c>
      <c r="F82" s="141" t="e">
        <f t="shared" si="21"/>
        <v>#REF!</v>
      </c>
      <c r="G82" s="141" t="e">
        <f t="shared" si="21"/>
        <v>#REF!</v>
      </c>
      <c r="H82" s="141" t="e">
        <f t="shared" si="21"/>
        <v>#REF!</v>
      </c>
      <c r="I82" s="141" t="e">
        <f t="shared" si="21"/>
        <v>#REF!</v>
      </c>
      <c r="J82" s="141" t="e">
        <f t="shared" si="21"/>
        <v>#REF!</v>
      </c>
      <c r="K82" s="141" t="e">
        <f t="shared" si="21"/>
        <v>#REF!</v>
      </c>
      <c r="L82" s="141" t="e">
        <f t="shared" si="21"/>
        <v>#REF!</v>
      </c>
      <c r="M82" s="141" t="e">
        <f t="shared" si="21"/>
        <v>#REF!</v>
      </c>
      <c r="N82" s="141" t="e">
        <f t="shared" si="21"/>
        <v>#REF!</v>
      </c>
      <c r="O82" s="141" t="e">
        <f t="shared" si="21"/>
        <v>#REF!</v>
      </c>
      <c r="P82" s="141" t="e">
        <f t="shared" si="21"/>
        <v>#REF!</v>
      </c>
      <c r="Q82" s="141" t="e">
        <f t="shared" si="21"/>
        <v>#REF!</v>
      </c>
      <c r="R82" s="141" t="e">
        <f t="shared" si="21"/>
        <v>#REF!</v>
      </c>
      <c r="S82" s="141" t="e">
        <f t="shared" si="21"/>
        <v>#REF!</v>
      </c>
      <c r="T82" s="141" t="e">
        <f t="shared" si="21"/>
        <v>#REF!</v>
      </c>
      <c r="U82" s="141" t="e">
        <f t="shared" si="21"/>
        <v>#REF!</v>
      </c>
      <c r="V82" s="141" t="e">
        <f t="shared" si="21"/>
        <v>#REF!</v>
      </c>
      <c r="W82" s="141" t="e">
        <f t="shared" si="21"/>
        <v>#REF!</v>
      </c>
      <c r="X82" s="141" t="e">
        <f t="shared" si="21"/>
        <v>#REF!</v>
      </c>
      <c r="Y82" s="141">
        <f t="shared" si="21"/>
        <v>0</v>
      </c>
      <c r="Z82" s="141">
        <f t="shared" si="21"/>
        <v>0</v>
      </c>
      <c r="AA82" s="141">
        <f t="shared" si="21"/>
        <v>0</v>
      </c>
      <c r="AB82" s="141">
        <f t="shared" si="21"/>
        <v>0</v>
      </c>
      <c r="AC82" s="141">
        <f t="shared" si="21"/>
        <v>0</v>
      </c>
      <c r="AD82" s="141">
        <f t="shared" si="21"/>
        <v>0</v>
      </c>
      <c r="AE82" s="141">
        <f t="shared" si="21"/>
        <v>0</v>
      </c>
      <c r="AF82" s="141">
        <f t="shared" si="21"/>
        <v>0</v>
      </c>
      <c r="AG82" s="141">
        <f t="shared" si="21"/>
        <v>0</v>
      </c>
      <c r="AH82" s="141">
        <f t="shared" si="21"/>
        <v>0</v>
      </c>
      <c r="AI82" s="141">
        <f t="shared" si="21"/>
        <v>0</v>
      </c>
      <c r="AJ82" s="141">
        <f t="shared" si="21"/>
        <v>0</v>
      </c>
      <c r="AK82" s="141">
        <f t="shared" si="21"/>
        <v>0</v>
      </c>
      <c r="AL82" s="141">
        <f t="shared" si="21"/>
        <v>0</v>
      </c>
      <c r="AM82" s="141">
        <f t="shared" si="21"/>
        <v>0</v>
      </c>
      <c r="AN82" s="141">
        <f t="shared" si="21"/>
        <v>0</v>
      </c>
      <c r="AO82" s="141">
        <f t="shared" si="21"/>
        <v>0</v>
      </c>
      <c r="AP82" s="141">
        <f t="shared" si="21"/>
        <v>0</v>
      </c>
      <c r="AQ82" s="141">
        <f t="shared" si="21"/>
        <v>0</v>
      </c>
      <c r="AR82" s="141">
        <f t="shared" si="21"/>
        <v>0</v>
      </c>
      <c r="AS82" s="141">
        <f t="shared" si="21"/>
        <v>0</v>
      </c>
      <c r="AT82" s="141">
        <f t="shared" si="21"/>
        <v>0</v>
      </c>
      <c r="AU82" s="141">
        <f t="shared" si="21"/>
        <v>0</v>
      </c>
      <c r="AV82" s="141">
        <f t="shared" si="21"/>
        <v>0</v>
      </c>
      <c r="AW82" s="141">
        <f t="shared" si="21"/>
        <v>0</v>
      </c>
      <c r="AX82" s="141">
        <f t="shared" si="21"/>
        <v>0</v>
      </c>
      <c r="AY82" s="141">
        <f t="shared" si="21"/>
        <v>0</v>
      </c>
      <c r="AZ82" s="141">
        <f t="shared" si="21"/>
        <v>0</v>
      </c>
      <c r="BA82" s="141">
        <f t="shared" si="21"/>
        <v>0</v>
      </c>
      <c r="BB82" s="141">
        <f t="shared" si="21"/>
        <v>0</v>
      </c>
      <c r="BC82" s="141">
        <f t="shared" si="21"/>
        <v>0</v>
      </c>
      <c r="BD82" s="141">
        <f t="shared" si="21"/>
        <v>0</v>
      </c>
      <c r="BE82" s="141">
        <f t="shared" si="21"/>
        <v>0</v>
      </c>
      <c r="BF82" s="141">
        <f t="shared" si="21"/>
        <v>0</v>
      </c>
      <c r="BG82" s="141">
        <f t="shared" si="21"/>
        <v>0</v>
      </c>
      <c r="BH82" s="141">
        <f t="shared" si="21"/>
        <v>0</v>
      </c>
      <c r="BI82" s="141">
        <f t="shared" si="21"/>
        <v>0</v>
      </c>
      <c r="BJ82" s="142">
        <f t="shared" si="21"/>
        <v>0</v>
      </c>
      <c r="BK82" s="141"/>
      <c r="BL82" s="141"/>
    </row>
    <row r="83" spans="1:64" s="143" customFormat="1" ht="12.75">
      <c r="A83" s="138" t="s">
        <v>127</v>
      </c>
      <c r="B83" s="139">
        <f>SUM(C83:BJ83)</f>
        <v>0</v>
      </c>
      <c r="C83" s="140"/>
      <c r="D83" s="141"/>
      <c r="E83" s="141">
        <f t="shared" ref="E83:BJ83" si="22">IF(AND(E54&gt;5,E55=0),0,(E78+E73)*$I$53)</f>
        <v>0</v>
      </c>
      <c r="F83" s="141">
        <f t="shared" si="22"/>
        <v>0</v>
      </c>
      <c r="G83" s="141">
        <f t="shared" si="22"/>
        <v>0</v>
      </c>
      <c r="H83" s="141">
        <f t="shared" si="22"/>
        <v>0</v>
      </c>
      <c r="I83" s="141">
        <f t="shared" si="22"/>
        <v>0</v>
      </c>
      <c r="J83" s="141">
        <f t="shared" si="22"/>
        <v>0</v>
      </c>
      <c r="K83" s="141">
        <f t="shared" si="22"/>
        <v>0</v>
      </c>
      <c r="L83" s="141">
        <f t="shared" si="22"/>
        <v>0</v>
      </c>
      <c r="M83" s="141">
        <f t="shared" si="22"/>
        <v>0</v>
      </c>
      <c r="N83" s="141">
        <f t="shared" si="22"/>
        <v>0</v>
      </c>
      <c r="O83" s="141">
        <f t="shared" si="22"/>
        <v>0</v>
      </c>
      <c r="P83" s="141">
        <f t="shared" si="22"/>
        <v>0</v>
      </c>
      <c r="Q83" s="141">
        <f t="shared" si="22"/>
        <v>0</v>
      </c>
      <c r="R83" s="141">
        <f t="shared" si="22"/>
        <v>0</v>
      </c>
      <c r="S83" s="141">
        <f t="shared" si="22"/>
        <v>0</v>
      </c>
      <c r="T83" s="141">
        <f t="shared" si="22"/>
        <v>0</v>
      </c>
      <c r="U83" s="141">
        <f t="shared" si="22"/>
        <v>0</v>
      </c>
      <c r="V83" s="141">
        <f t="shared" si="22"/>
        <v>0</v>
      </c>
      <c r="W83" s="141">
        <f t="shared" si="22"/>
        <v>0</v>
      </c>
      <c r="X83" s="141">
        <f t="shared" si="22"/>
        <v>0</v>
      </c>
      <c r="Y83" s="141">
        <f t="shared" si="22"/>
        <v>0</v>
      </c>
      <c r="Z83" s="141">
        <f t="shared" si="22"/>
        <v>0</v>
      </c>
      <c r="AA83" s="141">
        <f t="shared" si="22"/>
        <v>0</v>
      </c>
      <c r="AB83" s="141">
        <f t="shared" si="22"/>
        <v>0</v>
      </c>
      <c r="AC83" s="141">
        <f t="shared" si="22"/>
        <v>0</v>
      </c>
      <c r="AD83" s="141">
        <f t="shared" si="22"/>
        <v>0</v>
      </c>
      <c r="AE83" s="141">
        <f t="shared" si="22"/>
        <v>0</v>
      </c>
      <c r="AF83" s="141">
        <f t="shared" si="22"/>
        <v>0</v>
      </c>
      <c r="AG83" s="141">
        <f t="shared" si="22"/>
        <v>0</v>
      </c>
      <c r="AH83" s="141">
        <f t="shared" si="22"/>
        <v>0</v>
      </c>
      <c r="AI83" s="141">
        <f t="shared" si="22"/>
        <v>0</v>
      </c>
      <c r="AJ83" s="141">
        <f t="shared" si="22"/>
        <v>0</v>
      </c>
      <c r="AK83" s="141">
        <f t="shared" si="22"/>
        <v>0</v>
      </c>
      <c r="AL83" s="141">
        <f t="shared" si="22"/>
        <v>0</v>
      </c>
      <c r="AM83" s="141">
        <f t="shared" si="22"/>
        <v>0</v>
      </c>
      <c r="AN83" s="141">
        <f t="shared" si="22"/>
        <v>0</v>
      </c>
      <c r="AO83" s="141">
        <f t="shared" si="22"/>
        <v>0</v>
      </c>
      <c r="AP83" s="141">
        <f t="shared" si="22"/>
        <v>0</v>
      </c>
      <c r="AQ83" s="141">
        <f t="shared" si="22"/>
        <v>0</v>
      </c>
      <c r="AR83" s="141">
        <f t="shared" si="22"/>
        <v>0</v>
      </c>
      <c r="AS83" s="141">
        <f t="shared" si="22"/>
        <v>0</v>
      </c>
      <c r="AT83" s="141">
        <f t="shared" si="22"/>
        <v>0</v>
      </c>
      <c r="AU83" s="141">
        <f t="shared" si="22"/>
        <v>0</v>
      </c>
      <c r="AV83" s="141">
        <f t="shared" si="22"/>
        <v>0</v>
      </c>
      <c r="AW83" s="141">
        <f t="shared" si="22"/>
        <v>0</v>
      </c>
      <c r="AX83" s="141">
        <f t="shared" si="22"/>
        <v>0</v>
      </c>
      <c r="AY83" s="141">
        <f t="shared" si="22"/>
        <v>0</v>
      </c>
      <c r="AZ83" s="141">
        <f t="shared" si="22"/>
        <v>0</v>
      </c>
      <c r="BA83" s="141">
        <f t="shared" si="22"/>
        <v>0</v>
      </c>
      <c r="BB83" s="141">
        <f t="shared" si="22"/>
        <v>0</v>
      </c>
      <c r="BC83" s="141">
        <f t="shared" si="22"/>
        <v>0</v>
      </c>
      <c r="BD83" s="141">
        <f t="shared" si="22"/>
        <v>0</v>
      </c>
      <c r="BE83" s="141">
        <f t="shared" si="22"/>
        <v>0</v>
      </c>
      <c r="BF83" s="141">
        <f t="shared" si="22"/>
        <v>0</v>
      </c>
      <c r="BG83" s="141">
        <f t="shared" si="22"/>
        <v>0</v>
      </c>
      <c r="BH83" s="141">
        <f t="shared" si="22"/>
        <v>0</v>
      </c>
      <c r="BI83" s="141">
        <f t="shared" si="22"/>
        <v>0</v>
      </c>
      <c r="BJ83" s="142">
        <f t="shared" si="22"/>
        <v>0</v>
      </c>
      <c r="BK83" s="141"/>
      <c r="BL83" s="141"/>
    </row>
    <row r="84" spans="1:64" s="143" customFormat="1" ht="12.75">
      <c r="A84" s="138" t="s">
        <v>128</v>
      </c>
      <c r="B84" s="139">
        <f>SUM(C84:BJ84)</f>
        <v>279759205.84372497</v>
      </c>
      <c r="C84" s="140">
        <f t="shared" ref="C84:BJ84" si="23">IF(AND(C54&gt;5,C55=0),0,(C79+C74)*$I$53)</f>
        <v>17895045.149918437</v>
      </c>
      <c r="D84" s="141">
        <f t="shared" si="23"/>
        <v>17775744.848918982</v>
      </c>
      <c r="E84" s="141">
        <f t="shared" si="23"/>
        <v>17537144.246920068</v>
      </c>
      <c r="F84" s="141">
        <f t="shared" si="23"/>
        <v>17179243.343921699</v>
      </c>
      <c r="G84" s="141">
        <f t="shared" si="23"/>
        <v>16702042.139923874</v>
      </c>
      <c r="H84" s="141">
        <f t="shared" si="23"/>
        <v>16105540.634926595</v>
      </c>
      <c r="I84" s="141">
        <f t="shared" si="23"/>
        <v>15509039.129929313</v>
      </c>
      <c r="J84" s="141">
        <f t="shared" si="23"/>
        <v>14912537.624932034</v>
      </c>
      <c r="K84" s="141">
        <f t="shared" si="23"/>
        <v>14316036.119934753</v>
      </c>
      <c r="L84" s="141">
        <f t="shared" si="23"/>
        <v>13719534.614937473</v>
      </c>
      <c r="M84" s="141">
        <f t="shared" si="23"/>
        <v>13123033.109940192</v>
      </c>
      <c r="N84" s="141">
        <f t="shared" si="23"/>
        <v>12526531.60494291</v>
      </c>
      <c r="O84" s="141">
        <f t="shared" si="23"/>
        <v>11930030.099945627</v>
      </c>
      <c r="P84" s="141">
        <f t="shared" si="23"/>
        <v>11333528.594948346</v>
      </c>
      <c r="Q84" s="141">
        <f t="shared" si="23"/>
        <v>10737027.089951064</v>
      </c>
      <c r="R84" s="141">
        <f t="shared" si="23"/>
        <v>10140525.584953783</v>
      </c>
      <c r="S84" s="141">
        <f t="shared" si="23"/>
        <v>9544024.0799564999</v>
      </c>
      <c r="T84" s="141">
        <f t="shared" si="23"/>
        <v>8947522.5749592185</v>
      </c>
      <c r="U84" s="141">
        <f t="shared" si="23"/>
        <v>8351021.0699619371</v>
      </c>
      <c r="V84" s="141">
        <f t="shared" si="23"/>
        <v>7754519.5649646558</v>
      </c>
      <c r="W84" s="141">
        <f t="shared" si="23"/>
        <v>7158018.0599673735</v>
      </c>
      <c r="X84" s="141">
        <f t="shared" si="23"/>
        <v>6561516.5549700931</v>
      </c>
      <c r="Y84" s="141">
        <f t="shared" si="23"/>
        <v>0</v>
      </c>
      <c r="Z84" s="141">
        <f t="shared" si="23"/>
        <v>0</v>
      </c>
      <c r="AA84" s="141">
        <f t="shared" si="23"/>
        <v>0</v>
      </c>
      <c r="AB84" s="141">
        <f t="shared" si="23"/>
        <v>0</v>
      </c>
      <c r="AC84" s="141">
        <f t="shared" si="23"/>
        <v>0</v>
      </c>
      <c r="AD84" s="141">
        <f t="shared" si="23"/>
        <v>0</v>
      </c>
      <c r="AE84" s="141">
        <f t="shared" si="23"/>
        <v>0</v>
      </c>
      <c r="AF84" s="141">
        <f t="shared" si="23"/>
        <v>0</v>
      </c>
      <c r="AG84" s="141">
        <f t="shared" si="23"/>
        <v>0</v>
      </c>
      <c r="AH84" s="141">
        <f t="shared" si="23"/>
        <v>0</v>
      </c>
      <c r="AI84" s="141">
        <f t="shared" si="23"/>
        <v>0</v>
      </c>
      <c r="AJ84" s="141">
        <f t="shared" si="23"/>
        <v>0</v>
      </c>
      <c r="AK84" s="141">
        <f t="shared" si="23"/>
        <v>0</v>
      </c>
      <c r="AL84" s="141">
        <f t="shared" si="23"/>
        <v>0</v>
      </c>
      <c r="AM84" s="141">
        <f t="shared" si="23"/>
        <v>0</v>
      </c>
      <c r="AN84" s="141">
        <f t="shared" si="23"/>
        <v>0</v>
      </c>
      <c r="AO84" s="141">
        <f t="shared" si="23"/>
        <v>0</v>
      </c>
      <c r="AP84" s="141">
        <f t="shared" si="23"/>
        <v>0</v>
      </c>
      <c r="AQ84" s="141">
        <f t="shared" si="23"/>
        <v>0</v>
      </c>
      <c r="AR84" s="141">
        <f t="shared" si="23"/>
        <v>0</v>
      </c>
      <c r="AS84" s="141">
        <f t="shared" si="23"/>
        <v>0</v>
      </c>
      <c r="AT84" s="141">
        <f t="shared" si="23"/>
        <v>0</v>
      </c>
      <c r="AU84" s="141">
        <f t="shared" si="23"/>
        <v>0</v>
      </c>
      <c r="AV84" s="141">
        <f t="shared" si="23"/>
        <v>0</v>
      </c>
      <c r="AW84" s="141">
        <f t="shared" si="23"/>
        <v>0</v>
      </c>
      <c r="AX84" s="141">
        <f t="shared" si="23"/>
        <v>0</v>
      </c>
      <c r="AY84" s="141">
        <f t="shared" si="23"/>
        <v>0</v>
      </c>
      <c r="AZ84" s="141">
        <f t="shared" si="23"/>
        <v>0</v>
      </c>
      <c r="BA84" s="141">
        <f t="shared" si="23"/>
        <v>0</v>
      </c>
      <c r="BB84" s="141">
        <f t="shared" si="23"/>
        <v>0</v>
      </c>
      <c r="BC84" s="141">
        <f t="shared" si="23"/>
        <v>0</v>
      </c>
      <c r="BD84" s="141">
        <f t="shared" si="23"/>
        <v>0</v>
      </c>
      <c r="BE84" s="141">
        <f t="shared" si="23"/>
        <v>0</v>
      </c>
      <c r="BF84" s="141">
        <f t="shared" si="23"/>
        <v>0</v>
      </c>
      <c r="BG84" s="141">
        <f t="shared" si="23"/>
        <v>0</v>
      </c>
      <c r="BH84" s="141">
        <f t="shared" si="23"/>
        <v>0</v>
      </c>
      <c r="BI84" s="141">
        <f t="shared" si="23"/>
        <v>0</v>
      </c>
      <c r="BJ84" s="142">
        <f t="shared" si="23"/>
        <v>0</v>
      </c>
      <c r="BK84" s="141"/>
      <c r="BL84" s="141"/>
    </row>
    <row r="85" spans="1:64" s="143" customFormat="1" ht="12.75">
      <c r="A85" s="138" t="s">
        <v>129</v>
      </c>
      <c r="B85" s="139">
        <f>SUM(C85:BJ85)</f>
        <v>13628799.81816886</v>
      </c>
      <c r="C85" s="140">
        <f t="shared" ref="C85:BJ85" si="24">IF(AND(C54&gt;5,C55=0),0,(C80+C75)*$I$53)</f>
        <v>922943.55427780084</v>
      </c>
      <c r="D85" s="141">
        <f t="shared" si="24"/>
        <v>912688.62589693628</v>
      </c>
      <c r="E85" s="141">
        <f t="shared" si="24"/>
        <v>881923.84075434308</v>
      </c>
      <c r="F85" s="141">
        <f t="shared" si="24"/>
        <v>851159.05561174976</v>
      </c>
      <c r="G85" s="141">
        <f t="shared" si="24"/>
        <v>820394.27046915644</v>
      </c>
      <c r="H85" s="141">
        <f t="shared" si="24"/>
        <v>789629.48532656301</v>
      </c>
      <c r="I85" s="141">
        <f t="shared" si="24"/>
        <v>758864.70018396969</v>
      </c>
      <c r="J85" s="141">
        <f t="shared" si="24"/>
        <v>728099.91504137637</v>
      </c>
      <c r="K85" s="141">
        <f t="shared" si="24"/>
        <v>697335.12989878294</v>
      </c>
      <c r="L85" s="141">
        <f t="shared" si="24"/>
        <v>666570.34475618962</v>
      </c>
      <c r="M85" s="141">
        <f t="shared" si="24"/>
        <v>635805.55961359618</v>
      </c>
      <c r="N85" s="141">
        <f t="shared" si="24"/>
        <v>605040.77447100286</v>
      </c>
      <c r="O85" s="141">
        <f t="shared" si="24"/>
        <v>574275.98932840943</v>
      </c>
      <c r="P85" s="141">
        <f t="shared" si="24"/>
        <v>543511.20418581611</v>
      </c>
      <c r="Q85" s="141">
        <f t="shared" si="24"/>
        <v>512746.41904322273</v>
      </c>
      <c r="R85" s="141">
        <f t="shared" si="24"/>
        <v>481981.63390062936</v>
      </c>
      <c r="S85" s="141">
        <f t="shared" si="24"/>
        <v>451216.84875803604</v>
      </c>
      <c r="T85" s="141">
        <f t="shared" si="24"/>
        <v>420452.06361544266</v>
      </c>
      <c r="U85" s="141">
        <f t="shared" si="24"/>
        <v>389687.27847284928</v>
      </c>
      <c r="V85" s="141">
        <f t="shared" si="24"/>
        <v>358922.49333025591</v>
      </c>
      <c r="W85" s="141">
        <f t="shared" si="24"/>
        <v>328157.70818766253</v>
      </c>
      <c r="X85" s="141">
        <f t="shared" si="24"/>
        <v>297392.92304506915</v>
      </c>
      <c r="Y85" s="141">
        <f t="shared" si="24"/>
        <v>0</v>
      </c>
      <c r="Z85" s="141">
        <f t="shared" si="24"/>
        <v>0</v>
      </c>
      <c r="AA85" s="141">
        <f t="shared" si="24"/>
        <v>0</v>
      </c>
      <c r="AB85" s="141">
        <f t="shared" si="24"/>
        <v>0</v>
      </c>
      <c r="AC85" s="141">
        <f t="shared" si="24"/>
        <v>0</v>
      </c>
      <c r="AD85" s="141">
        <f t="shared" si="24"/>
        <v>0</v>
      </c>
      <c r="AE85" s="141">
        <f t="shared" si="24"/>
        <v>0</v>
      </c>
      <c r="AF85" s="141">
        <f t="shared" si="24"/>
        <v>0</v>
      </c>
      <c r="AG85" s="141">
        <f t="shared" si="24"/>
        <v>0</v>
      </c>
      <c r="AH85" s="141">
        <f t="shared" si="24"/>
        <v>0</v>
      </c>
      <c r="AI85" s="141">
        <f t="shared" si="24"/>
        <v>0</v>
      </c>
      <c r="AJ85" s="141">
        <f t="shared" si="24"/>
        <v>0</v>
      </c>
      <c r="AK85" s="141">
        <f t="shared" si="24"/>
        <v>0</v>
      </c>
      <c r="AL85" s="141">
        <f t="shared" si="24"/>
        <v>0</v>
      </c>
      <c r="AM85" s="141">
        <f t="shared" si="24"/>
        <v>0</v>
      </c>
      <c r="AN85" s="141">
        <f t="shared" si="24"/>
        <v>0</v>
      </c>
      <c r="AO85" s="141">
        <f t="shared" si="24"/>
        <v>0</v>
      </c>
      <c r="AP85" s="141">
        <f t="shared" si="24"/>
        <v>0</v>
      </c>
      <c r="AQ85" s="141">
        <f t="shared" si="24"/>
        <v>0</v>
      </c>
      <c r="AR85" s="141">
        <f t="shared" si="24"/>
        <v>0</v>
      </c>
      <c r="AS85" s="141">
        <f t="shared" si="24"/>
        <v>0</v>
      </c>
      <c r="AT85" s="141">
        <f t="shared" si="24"/>
        <v>0</v>
      </c>
      <c r="AU85" s="141">
        <f t="shared" si="24"/>
        <v>0</v>
      </c>
      <c r="AV85" s="141">
        <f t="shared" si="24"/>
        <v>0</v>
      </c>
      <c r="AW85" s="141">
        <f t="shared" si="24"/>
        <v>0</v>
      </c>
      <c r="AX85" s="141">
        <f t="shared" si="24"/>
        <v>0</v>
      </c>
      <c r="AY85" s="141">
        <f t="shared" si="24"/>
        <v>0</v>
      </c>
      <c r="AZ85" s="141">
        <f t="shared" si="24"/>
        <v>0</v>
      </c>
      <c r="BA85" s="141">
        <f t="shared" si="24"/>
        <v>0</v>
      </c>
      <c r="BB85" s="141">
        <f t="shared" si="24"/>
        <v>0</v>
      </c>
      <c r="BC85" s="141">
        <f t="shared" si="24"/>
        <v>0</v>
      </c>
      <c r="BD85" s="141">
        <f t="shared" si="24"/>
        <v>0</v>
      </c>
      <c r="BE85" s="141">
        <f t="shared" si="24"/>
        <v>0</v>
      </c>
      <c r="BF85" s="141">
        <f t="shared" si="24"/>
        <v>0</v>
      </c>
      <c r="BG85" s="141">
        <f t="shared" si="24"/>
        <v>0</v>
      </c>
      <c r="BH85" s="141">
        <f t="shared" si="24"/>
        <v>0</v>
      </c>
      <c r="BI85" s="141">
        <f t="shared" si="24"/>
        <v>0</v>
      </c>
      <c r="BJ85" s="142">
        <f t="shared" si="24"/>
        <v>0</v>
      </c>
      <c r="BK85" s="141"/>
      <c r="BL85" s="141"/>
    </row>
    <row r="86" spans="1:64" s="116" customFormat="1">
      <c r="A86" s="111" t="s">
        <v>133</v>
      </c>
      <c r="B86" s="155" t="e">
        <f>SUM(B87:B90)</f>
        <v>#REF!</v>
      </c>
      <c r="C86" s="117">
        <f>SUM(C87:C90)</f>
        <v>1295552.2938032071</v>
      </c>
      <c r="D86" s="118">
        <f>SUM(D87:D90)</f>
        <v>2693653.8714150586</v>
      </c>
      <c r="E86" s="118" t="e">
        <f>SUM(E87:E90)</f>
        <v>#REF!</v>
      </c>
      <c r="F86" s="118" t="e">
        <f t="shared" ref="F86:AJ86" si="25">SUM(F87:F90)</f>
        <v>#REF!</v>
      </c>
      <c r="G86" s="118" t="e">
        <f t="shared" si="25"/>
        <v>#REF!</v>
      </c>
      <c r="H86" s="118" t="e">
        <f t="shared" si="25"/>
        <v>#REF!</v>
      </c>
      <c r="I86" s="118" t="e">
        <f t="shared" si="25"/>
        <v>#REF!</v>
      </c>
      <c r="J86" s="118" t="e">
        <f t="shared" si="25"/>
        <v>#REF!</v>
      </c>
      <c r="K86" s="118" t="e">
        <f t="shared" si="25"/>
        <v>#REF!</v>
      </c>
      <c r="L86" s="118" t="e">
        <f t="shared" si="25"/>
        <v>#REF!</v>
      </c>
      <c r="M86" s="118" t="e">
        <f t="shared" si="25"/>
        <v>#REF!</v>
      </c>
      <c r="N86" s="118" t="e">
        <f t="shared" si="25"/>
        <v>#REF!</v>
      </c>
      <c r="O86" s="118" t="e">
        <f t="shared" si="25"/>
        <v>#REF!</v>
      </c>
      <c r="P86" s="118" t="e">
        <f t="shared" si="25"/>
        <v>#REF!</v>
      </c>
      <c r="Q86" s="118" t="e">
        <f t="shared" si="25"/>
        <v>#REF!</v>
      </c>
      <c r="R86" s="118" t="e">
        <f t="shared" si="25"/>
        <v>#REF!</v>
      </c>
      <c r="S86" s="118" t="e">
        <f t="shared" si="25"/>
        <v>#REF!</v>
      </c>
      <c r="T86" s="118" t="e">
        <f t="shared" si="25"/>
        <v>#REF!</v>
      </c>
      <c r="U86" s="118" t="e">
        <f t="shared" si="25"/>
        <v>#REF!</v>
      </c>
      <c r="V86" s="118" t="e">
        <f t="shared" si="25"/>
        <v>#REF!</v>
      </c>
      <c r="W86" s="118" t="e">
        <f t="shared" si="25"/>
        <v>#REF!</v>
      </c>
      <c r="X86" s="118" t="e">
        <f t="shared" si="25"/>
        <v>#REF!</v>
      </c>
      <c r="Y86" s="118">
        <f t="shared" si="25"/>
        <v>0</v>
      </c>
      <c r="Z86" s="118">
        <f t="shared" si="25"/>
        <v>0</v>
      </c>
      <c r="AA86" s="118">
        <f t="shared" si="25"/>
        <v>0</v>
      </c>
      <c r="AB86" s="118">
        <f t="shared" si="25"/>
        <v>0</v>
      </c>
      <c r="AC86" s="118">
        <f t="shared" si="25"/>
        <v>0</v>
      </c>
      <c r="AD86" s="118">
        <f t="shared" si="25"/>
        <v>0</v>
      </c>
      <c r="AE86" s="118">
        <f t="shared" si="25"/>
        <v>0</v>
      </c>
      <c r="AF86" s="118">
        <f t="shared" si="25"/>
        <v>0</v>
      </c>
      <c r="AG86" s="118">
        <f t="shared" si="25"/>
        <v>0</v>
      </c>
      <c r="AH86" s="118">
        <f t="shared" si="25"/>
        <v>0</v>
      </c>
      <c r="AI86" s="118">
        <f t="shared" si="25"/>
        <v>0</v>
      </c>
      <c r="AJ86" s="118">
        <f t="shared" si="25"/>
        <v>0</v>
      </c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  <c r="AZ86" s="118"/>
      <c r="BA86" s="118"/>
      <c r="BB86" s="118"/>
      <c r="BC86" s="118"/>
      <c r="BD86" s="118"/>
      <c r="BE86" s="118"/>
      <c r="BF86" s="118"/>
      <c r="BG86" s="118"/>
      <c r="BH86" s="118"/>
      <c r="BI86" s="118"/>
      <c r="BJ86" s="119"/>
      <c r="BK86" s="118"/>
      <c r="BL86" s="118"/>
    </row>
    <row r="87" spans="1:64" s="143" customFormat="1" ht="12.75">
      <c r="A87" s="138" t="s">
        <v>126</v>
      </c>
      <c r="B87" s="139" t="e">
        <f t="shared" ref="B87:B93" si="26">SUM(C87:BJ87)</f>
        <v>#REF!</v>
      </c>
      <c r="C87" s="140">
        <f t="shared" ref="C87:BJ90" si="27">IF(AND(C$54&gt;5,C$55=0),0,C72)</f>
        <v>0</v>
      </c>
      <c r="D87" s="141">
        <f t="shared" si="27"/>
        <v>0</v>
      </c>
      <c r="E87" s="141" t="e">
        <f t="shared" si="27"/>
        <v>#REF!</v>
      </c>
      <c r="F87" s="141" t="e">
        <f t="shared" si="27"/>
        <v>#REF!</v>
      </c>
      <c r="G87" s="141" t="e">
        <f t="shared" si="27"/>
        <v>#REF!</v>
      </c>
      <c r="H87" s="141" t="e">
        <f t="shared" si="27"/>
        <v>#REF!</v>
      </c>
      <c r="I87" s="141" t="e">
        <f t="shared" si="27"/>
        <v>#REF!</v>
      </c>
      <c r="J87" s="141" t="e">
        <f t="shared" si="27"/>
        <v>#REF!</v>
      </c>
      <c r="K87" s="141" t="e">
        <f t="shared" si="27"/>
        <v>#REF!</v>
      </c>
      <c r="L87" s="141" t="e">
        <f t="shared" si="27"/>
        <v>#REF!</v>
      </c>
      <c r="M87" s="141" t="e">
        <f t="shared" si="27"/>
        <v>#REF!</v>
      </c>
      <c r="N87" s="141" t="e">
        <f t="shared" si="27"/>
        <v>#REF!</v>
      </c>
      <c r="O87" s="141" t="e">
        <f t="shared" si="27"/>
        <v>#REF!</v>
      </c>
      <c r="P87" s="141" t="e">
        <f t="shared" si="27"/>
        <v>#REF!</v>
      </c>
      <c r="Q87" s="141" t="e">
        <f t="shared" si="27"/>
        <v>#REF!</v>
      </c>
      <c r="R87" s="141" t="e">
        <f t="shared" si="27"/>
        <v>#REF!</v>
      </c>
      <c r="S87" s="141" t="e">
        <f t="shared" si="27"/>
        <v>#REF!</v>
      </c>
      <c r="T87" s="141" t="e">
        <f t="shared" si="27"/>
        <v>#REF!</v>
      </c>
      <c r="U87" s="141" t="e">
        <f t="shared" si="27"/>
        <v>#REF!</v>
      </c>
      <c r="V87" s="141" t="e">
        <f t="shared" si="27"/>
        <v>#REF!</v>
      </c>
      <c r="W87" s="141" t="e">
        <f t="shared" si="27"/>
        <v>#REF!</v>
      </c>
      <c r="X87" s="141" t="e">
        <f t="shared" si="27"/>
        <v>#REF!</v>
      </c>
      <c r="Y87" s="141">
        <f t="shared" si="27"/>
        <v>0</v>
      </c>
      <c r="Z87" s="141">
        <f t="shared" si="27"/>
        <v>0</v>
      </c>
      <c r="AA87" s="141">
        <f t="shared" si="27"/>
        <v>0</v>
      </c>
      <c r="AB87" s="141">
        <f t="shared" si="27"/>
        <v>0</v>
      </c>
      <c r="AC87" s="141">
        <f t="shared" si="27"/>
        <v>0</v>
      </c>
      <c r="AD87" s="141">
        <f t="shared" si="27"/>
        <v>0</v>
      </c>
      <c r="AE87" s="141">
        <f t="shared" si="27"/>
        <v>0</v>
      </c>
      <c r="AF87" s="141">
        <f t="shared" si="27"/>
        <v>0</v>
      </c>
      <c r="AG87" s="141">
        <f t="shared" si="27"/>
        <v>0</v>
      </c>
      <c r="AH87" s="141">
        <f t="shared" si="27"/>
        <v>0</v>
      </c>
      <c r="AI87" s="141">
        <f t="shared" si="27"/>
        <v>0</v>
      </c>
      <c r="AJ87" s="141">
        <f t="shared" si="27"/>
        <v>0</v>
      </c>
      <c r="AK87" s="141">
        <f t="shared" si="27"/>
        <v>0</v>
      </c>
      <c r="AL87" s="141">
        <f t="shared" si="27"/>
        <v>0</v>
      </c>
      <c r="AM87" s="141">
        <f t="shared" si="27"/>
        <v>0</v>
      </c>
      <c r="AN87" s="141">
        <f t="shared" si="27"/>
        <v>0</v>
      </c>
      <c r="AO87" s="141">
        <f t="shared" si="27"/>
        <v>0</v>
      </c>
      <c r="AP87" s="141">
        <f t="shared" si="27"/>
        <v>0</v>
      </c>
      <c r="AQ87" s="141">
        <f t="shared" si="27"/>
        <v>0</v>
      </c>
      <c r="AR87" s="141">
        <f t="shared" si="27"/>
        <v>0</v>
      </c>
      <c r="AS87" s="141">
        <f t="shared" si="27"/>
        <v>0</v>
      </c>
      <c r="AT87" s="141">
        <f t="shared" si="27"/>
        <v>0</v>
      </c>
      <c r="AU87" s="141">
        <f t="shared" si="27"/>
        <v>0</v>
      </c>
      <c r="AV87" s="141">
        <f t="shared" si="27"/>
        <v>0</v>
      </c>
      <c r="AW87" s="141">
        <f t="shared" si="27"/>
        <v>0</v>
      </c>
      <c r="AX87" s="141">
        <f t="shared" si="27"/>
        <v>0</v>
      </c>
      <c r="AY87" s="141">
        <f t="shared" si="27"/>
        <v>0</v>
      </c>
      <c r="AZ87" s="141">
        <f t="shared" si="27"/>
        <v>0</v>
      </c>
      <c r="BA87" s="141">
        <f t="shared" si="27"/>
        <v>0</v>
      </c>
      <c r="BB87" s="141">
        <f t="shared" si="27"/>
        <v>0</v>
      </c>
      <c r="BC87" s="141">
        <f t="shared" si="27"/>
        <v>0</v>
      </c>
      <c r="BD87" s="141">
        <f t="shared" si="27"/>
        <v>0</v>
      </c>
      <c r="BE87" s="141">
        <f t="shared" si="27"/>
        <v>0</v>
      </c>
      <c r="BF87" s="141">
        <f t="shared" si="27"/>
        <v>0</v>
      </c>
      <c r="BG87" s="141">
        <f t="shared" si="27"/>
        <v>0</v>
      </c>
      <c r="BH87" s="141">
        <f t="shared" si="27"/>
        <v>0</v>
      </c>
      <c r="BI87" s="141">
        <f t="shared" si="27"/>
        <v>0</v>
      </c>
      <c r="BJ87" s="142">
        <f t="shared" si="27"/>
        <v>0</v>
      </c>
      <c r="BK87" s="141"/>
      <c r="BL87" s="141"/>
    </row>
    <row r="88" spans="1:64" s="143" customFormat="1" ht="12.75">
      <c r="A88" s="138" t="s">
        <v>127</v>
      </c>
      <c r="B88" s="139">
        <f t="shared" si="26"/>
        <v>0</v>
      </c>
      <c r="C88" s="140">
        <f t="shared" si="27"/>
        <v>0</v>
      </c>
      <c r="D88" s="141">
        <f t="shared" si="27"/>
        <v>0</v>
      </c>
      <c r="E88" s="141">
        <f t="shared" si="27"/>
        <v>0</v>
      </c>
      <c r="F88" s="141">
        <f t="shared" si="27"/>
        <v>0</v>
      </c>
      <c r="G88" s="141">
        <f t="shared" si="27"/>
        <v>0</v>
      </c>
      <c r="H88" s="141">
        <f t="shared" si="27"/>
        <v>0</v>
      </c>
      <c r="I88" s="141">
        <f t="shared" si="27"/>
        <v>0</v>
      </c>
      <c r="J88" s="141">
        <f t="shared" si="27"/>
        <v>0</v>
      </c>
      <c r="K88" s="141">
        <f t="shared" si="27"/>
        <v>0</v>
      </c>
      <c r="L88" s="141">
        <f t="shared" si="27"/>
        <v>0</v>
      </c>
      <c r="M88" s="141">
        <f t="shared" si="27"/>
        <v>0</v>
      </c>
      <c r="N88" s="141">
        <f t="shared" si="27"/>
        <v>0</v>
      </c>
      <c r="O88" s="141">
        <f t="shared" si="27"/>
        <v>0</v>
      </c>
      <c r="P88" s="141">
        <f t="shared" si="27"/>
        <v>0</v>
      </c>
      <c r="Q88" s="141">
        <f t="shared" si="27"/>
        <v>0</v>
      </c>
      <c r="R88" s="141">
        <f t="shared" si="27"/>
        <v>0</v>
      </c>
      <c r="S88" s="141">
        <f t="shared" si="27"/>
        <v>0</v>
      </c>
      <c r="T88" s="141">
        <f t="shared" si="27"/>
        <v>0</v>
      </c>
      <c r="U88" s="141">
        <f t="shared" si="27"/>
        <v>0</v>
      </c>
      <c r="V88" s="141">
        <f t="shared" si="27"/>
        <v>0</v>
      </c>
      <c r="W88" s="141">
        <f t="shared" si="27"/>
        <v>0</v>
      </c>
      <c r="X88" s="141">
        <f t="shared" si="27"/>
        <v>0</v>
      </c>
      <c r="Y88" s="141">
        <f t="shared" si="27"/>
        <v>0</v>
      </c>
      <c r="Z88" s="141">
        <f t="shared" si="27"/>
        <v>0</v>
      </c>
      <c r="AA88" s="141">
        <f t="shared" si="27"/>
        <v>0</v>
      </c>
      <c r="AB88" s="141">
        <f t="shared" si="27"/>
        <v>0</v>
      </c>
      <c r="AC88" s="141">
        <f t="shared" si="27"/>
        <v>0</v>
      </c>
      <c r="AD88" s="141">
        <f t="shared" si="27"/>
        <v>0</v>
      </c>
      <c r="AE88" s="141">
        <f t="shared" si="27"/>
        <v>0</v>
      </c>
      <c r="AF88" s="141">
        <f t="shared" si="27"/>
        <v>0</v>
      </c>
      <c r="AG88" s="141">
        <f t="shared" si="27"/>
        <v>0</v>
      </c>
      <c r="AH88" s="141">
        <f t="shared" si="27"/>
        <v>0</v>
      </c>
      <c r="AI88" s="141">
        <f t="shared" si="27"/>
        <v>0</v>
      </c>
      <c r="AJ88" s="141">
        <f t="shared" si="27"/>
        <v>0</v>
      </c>
      <c r="AK88" s="141">
        <f t="shared" si="27"/>
        <v>0</v>
      </c>
      <c r="AL88" s="141">
        <f t="shared" si="27"/>
        <v>0</v>
      </c>
      <c r="AM88" s="141">
        <f t="shared" si="27"/>
        <v>0</v>
      </c>
      <c r="AN88" s="141">
        <f t="shared" si="27"/>
        <v>0</v>
      </c>
      <c r="AO88" s="141">
        <f t="shared" si="27"/>
        <v>0</v>
      </c>
      <c r="AP88" s="141">
        <f t="shared" si="27"/>
        <v>0</v>
      </c>
      <c r="AQ88" s="141">
        <f t="shared" si="27"/>
        <v>0</v>
      </c>
      <c r="AR88" s="141">
        <f t="shared" si="27"/>
        <v>0</v>
      </c>
      <c r="AS88" s="141">
        <f t="shared" si="27"/>
        <v>0</v>
      </c>
      <c r="AT88" s="141">
        <f t="shared" si="27"/>
        <v>0</v>
      </c>
      <c r="AU88" s="141">
        <f t="shared" si="27"/>
        <v>0</v>
      </c>
      <c r="AV88" s="141">
        <f t="shared" si="27"/>
        <v>0</v>
      </c>
      <c r="AW88" s="141">
        <f t="shared" si="27"/>
        <v>0</v>
      </c>
      <c r="AX88" s="141">
        <f t="shared" si="27"/>
        <v>0</v>
      </c>
      <c r="AY88" s="141">
        <f t="shared" si="27"/>
        <v>0</v>
      </c>
      <c r="AZ88" s="141">
        <f t="shared" si="27"/>
        <v>0</v>
      </c>
      <c r="BA88" s="141">
        <f t="shared" si="27"/>
        <v>0</v>
      </c>
      <c r="BB88" s="141">
        <f t="shared" si="27"/>
        <v>0</v>
      </c>
      <c r="BC88" s="141">
        <f t="shared" si="27"/>
        <v>0</v>
      </c>
      <c r="BD88" s="141">
        <f t="shared" si="27"/>
        <v>0</v>
      </c>
      <c r="BE88" s="141">
        <f t="shared" si="27"/>
        <v>0</v>
      </c>
      <c r="BF88" s="141">
        <f t="shared" si="27"/>
        <v>0</v>
      </c>
      <c r="BG88" s="141">
        <f t="shared" si="27"/>
        <v>0</v>
      </c>
      <c r="BH88" s="141">
        <f t="shared" si="27"/>
        <v>0</v>
      </c>
      <c r="BI88" s="141">
        <f t="shared" si="27"/>
        <v>0</v>
      </c>
      <c r="BJ88" s="142">
        <f t="shared" si="27"/>
        <v>0</v>
      </c>
      <c r="BK88" s="141"/>
      <c r="BL88" s="141"/>
    </row>
    <row r="89" spans="1:64" s="143" customFormat="1" ht="12.75">
      <c r="A89" s="138" t="s">
        <v>128</v>
      </c>
      <c r="B89" s="139">
        <f t="shared" si="26"/>
        <v>119300300.99945627</v>
      </c>
      <c r="C89" s="140">
        <f t="shared" si="27"/>
        <v>1193003.0099945625</v>
      </c>
      <c r="D89" s="141">
        <f t="shared" si="27"/>
        <v>2386006.019989125</v>
      </c>
      <c r="E89" s="141">
        <f t="shared" si="27"/>
        <v>3579009.0299836872</v>
      </c>
      <c r="F89" s="141">
        <f t="shared" si="27"/>
        <v>4772012.0399782499</v>
      </c>
      <c r="G89" s="141">
        <f t="shared" si="27"/>
        <v>5965015.0499728126</v>
      </c>
      <c r="H89" s="141">
        <f t="shared" si="27"/>
        <v>5965015.0499728126</v>
      </c>
      <c r="I89" s="141">
        <f t="shared" si="27"/>
        <v>5965015.0499728126</v>
      </c>
      <c r="J89" s="141">
        <f t="shared" si="27"/>
        <v>5965015.0499728126</v>
      </c>
      <c r="K89" s="141">
        <f t="shared" si="27"/>
        <v>5965015.0499728126</v>
      </c>
      <c r="L89" s="141">
        <f t="shared" si="27"/>
        <v>5965015.0499728126</v>
      </c>
      <c r="M89" s="141">
        <f t="shared" si="27"/>
        <v>5965015.0499728126</v>
      </c>
      <c r="N89" s="141">
        <f t="shared" si="27"/>
        <v>5965015.0499728126</v>
      </c>
      <c r="O89" s="141">
        <f t="shared" si="27"/>
        <v>5965015.0499728126</v>
      </c>
      <c r="P89" s="141">
        <f t="shared" si="27"/>
        <v>5965015.0499728126</v>
      </c>
      <c r="Q89" s="141">
        <f t="shared" si="27"/>
        <v>5965015.0499728126</v>
      </c>
      <c r="R89" s="141">
        <f t="shared" si="27"/>
        <v>5965015.0499728126</v>
      </c>
      <c r="S89" s="141">
        <f t="shared" si="27"/>
        <v>5965015.0499728126</v>
      </c>
      <c r="T89" s="141">
        <f t="shared" si="27"/>
        <v>5965015.0499728126</v>
      </c>
      <c r="U89" s="141">
        <f t="shared" si="27"/>
        <v>5965015.0499728126</v>
      </c>
      <c r="V89" s="141">
        <f t="shared" si="27"/>
        <v>5965015.0499728126</v>
      </c>
      <c r="W89" s="141">
        <f t="shared" si="27"/>
        <v>5965015.0499728126</v>
      </c>
      <c r="X89" s="141">
        <f t="shared" si="27"/>
        <v>5965015.0499728126</v>
      </c>
      <c r="Y89" s="141">
        <f t="shared" si="27"/>
        <v>0</v>
      </c>
      <c r="Z89" s="141">
        <f t="shared" si="27"/>
        <v>0</v>
      </c>
      <c r="AA89" s="141">
        <f t="shared" si="27"/>
        <v>0</v>
      </c>
      <c r="AB89" s="141">
        <f t="shared" si="27"/>
        <v>0</v>
      </c>
      <c r="AC89" s="141">
        <f t="shared" si="27"/>
        <v>0</v>
      </c>
      <c r="AD89" s="141">
        <f t="shared" si="27"/>
        <v>0</v>
      </c>
      <c r="AE89" s="141">
        <f t="shared" si="27"/>
        <v>0</v>
      </c>
      <c r="AF89" s="141">
        <f t="shared" si="27"/>
        <v>0</v>
      </c>
      <c r="AG89" s="141">
        <f t="shared" si="27"/>
        <v>0</v>
      </c>
      <c r="AH89" s="141">
        <f t="shared" si="27"/>
        <v>0</v>
      </c>
      <c r="AI89" s="141">
        <f t="shared" si="27"/>
        <v>0</v>
      </c>
      <c r="AJ89" s="141">
        <f t="shared" si="27"/>
        <v>0</v>
      </c>
      <c r="AK89" s="141">
        <f t="shared" si="27"/>
        <v>0</v>
      </c>
      <c r="AL89" s="141">
        <f t="shared" si="27"/>
        <v>0</v>
      </c>
      <c r="AM89" s="141">
        <f t="shared" si="27"/>
        <v>0</v>
      </c>
      <c r="AN89" s="141">
        <f t="shared" si="27"/>
        <v>0</v>
      </c>
      <c r="AO89" s="141">
        <f t="shared" si="27"/>
        <v>0</v>
      </c>
      <c r="AP89" s="141">
        <f t="shared" si="27"/>
        <v>0</v>
      </c>
      <c r="AQ89" s="141">
        <f t="shared" si="27"/>
        <v>0</v>
      </c>
      <c r="AR89" s="141">
        <f t="shared" si="27"/>
        <v>0</v>
      </c>
      <c r="AS89" s="141">
        <f t="shared" si="27"/>
        <v>0</v>
      </c>
      <c r="AT89" s="141">
        <f t="shared" si="27"/>
        <v>0</v>
      </c>
      <c r="AU89" s="141">
        <f t="shared" si="27"/>
        <v>0</v>
      </c>
      <c r="AV89" s="141">
        <f t="shared" si="27"/>
        <v>0</v>
      </c>
      <c r="AW89" s="141">
        <f t="shared" si="27"/>
        <v>0</v>
      </c>
      <c r="AX89" s="141">
        <f t="shared" si="27"/>
        <v>0</v>
      </c>
      <c r="AY89" s="141">
        <f t="shared" si="27"/>
        <v>0</v>
      </c>
      <c r="AZ89" s="141">
        <f t="shared" si="27"/>
        <v>0</v>
      </c>
      <c r="BA89" s="141">
        <f t="shared" si="27"/>
        <v>0</v>
      </c>
      <c r="BB89" s="141">
        <f t="shared" si="27"/>
        <v>0</v>
      </c>
      <c r="BC89" s="141">
        <f t="shared" si="27"/>
        <v>0</v>
      </c>
      <c r="BD89" s="141">
        <f t="shared" si="27"/>
        <v>0</v>
      </c>
      <c r="BE89" s="141">
        <f t="shared" si="27"/>
        <v>0</v>
      </c>
      <c r="BF89" s="141">
        <f t="shared" si="27"/>
        <v>0</v>
      </c>
      <c r="BG89" s="141">
        <f t="shared" si="27"/>
        <v>0</v>
      </c>
      <c r="BH89" s="141">
        <f t="shared" si="27"/>
        <v>0</v>
      </c>
      <c r="BI89" s="141">
        <f t="shared" si="27"/>
        <v>0</v>
      </c>
      <c r="BJ89" s="142">
        <f t="shared" si="27"/>
        <v>0</v>
      </c>
      <c r="BK89" s="141"/>
      <c r="BL89" s="141"/>
    </row>
    <row r="90" spans="1:64" s="143" customFormat="1" ht="12.75">
      <c r="A90" s="138" t="s">
        <v>129</v>
      </c>
      <c r="B90" s="139">
        <f t="shared" si="26"/>
        <v>6563154.1637532506</v>
      </c>
      <c r="C90" s="140">
        <f t="shared" si="27"/>
        <v>102549.28380864453</v>
      </c>
      <c r="D90" s="141">
        <f t="shared" si="27"/>
        <v>307647.85142593359</v>
      </c>
      <c r="E90" s="141">
        <f t="shared" si="27"/>
        <v>307647.85142593359</v>
      </c>
      <c r="F90" s="141">
        <f t="shared" si="27"/>
        <v>307647.85142593359</v>
      </c>
      <c r="G90" s="141">
        <f t="shared" si="27"/>
        <v>307647.85142593359</v>
      </c>
      <c r="H90" s="141">
        <f t="shared" si="27"/>
        <v>307647.85142593359</v>
      </c>
      <c r="I90" s="141">
        <f t="shared" si="27"/>
        <v>307647.85142593359</v>
      </c>
      <c r="J90" s="141">
        <f t="shared" si="27"/>
        <v>307647.85142593359</v>
      </c>
      <c r="K90" s="141">
        <f t="shared" si="27"/>
        <v>307647.85142593359</v>
      </c>
      <c r="L90" s="141">
        <f t="shared" si="27"/>
        <v>307647.85142593359</v>
      </c>
      <c r="M90" s="141">
        <f t="shared" si="27"/>
        <v>307647.85142593359</v>
      </c>
      <c r="N90" s="141">
        <f t="shared" si="27"/>
        <v>307647.85142593359</v>
      </c>
      <c r="O90" s="141">
        <f t="shared" si="27"/>
        <v>307647.85142593359</v>
      </c>
      <c r="P90" s="141">
        <f t="shared" si="27"/>
        <v>307647.85142593359</v>
      </c>
      <c r="Q90" s="141">
        <f t="shared" si="27"/>
        <v>307647.85142593359</v>
      </c>
      <c r="R90" s="141">
        <f t="shared" si="27"/>
        <v>307647.85142593359</v>
      </c>
      <c r="S90" s="141">
        <f t="shared" si="27"/>
        <v>307647.85142593359</v>
      </c>
      <c r="T90" s="141">
        <f t="shared" si="27"/>
        <v>307647.85142593359</v>
      </c>
      <c r="U90" s="141">
        <f t="shared" si="27"/>
        <v>307647.85142593359</v>
      </c>
      <c r="V90" s="141">
        <f t="shared" si="27"/>
        <v>307647.85142593359</v>
      </c>
      <c r="W90" s="141">
        <f t="shared" si="27"/>
        <v>307647.85142593359</v>
      </c>
      <c r="X90" s="141">
        <f t="shared" si="27"/>
        <v>307647.85142593359</v>
      </c>
      <c r="Y90" s="141">
        <f t="shared" si="27"/>
        <v>0</v>
      </c>
      <c r="Z90" s="141">
        <f t="shared" si="27"/>
        <v>0</v>
      </c>
      <c r="AA90" s="141">
        <f t="shared" si="27"/>
        <v>0</v>
      </c>
      <c r="AB90" s="141">
        <f t="shared" si="27"/>
        <v>0</v>
      </c>
      <c r="AC90" s="141">
        <f t="shared" si="27"/>
        <v>0</v>
      </c>
      <c r="AD90" s="141">
        <f t="shared" si="27"/>
        <v>0</v>
      </c>
      <c r="AE90" s="141">
        <f t="shared" si="27"/>
        <v>0</v>
      </c>
      <c r="AF90" s="141">
        <f t="shared" si="27"/>
        <v>0</v>
      </c>
      <c r="AG90" s="141">
        <f t="shared" si="27"/>
        <v>0</v>
      </c>
      <c r="AH90" s="141">
        <f t="shared" si="27"/>
        <v>0</v>
      </c>
      <c r="AI90" s="141">
        <f t="shared" si="27"/>
        <v>0</v>
      </c>
      <c r="AJ90" s="141">
        <f t="shared" si="27"/>
        <v>0</v>
      </c>
      <c r="AK90" s="141">
        <f t="shared" si="27"/>
        <v>0</v>
      </c>
      <c r="AL90" s="141">
        <f t="shared" si="27"/>
        <v>0</v>
      </c>
      <c r="AM90" s="141">
        <f t="shared" si="27"/>
        <v>0</v>
      </c>
      <c r="AN90" s="141">
        <f t="shared" si="27"/>
        <v>0</v>
      </c>
      <c r="AO90" s="141">
        <f t="shared" si="27"/>
        <v>0</v>
      </c>
      <c r="AP90" s="141">
        <f t="shared" si="27"/>
        <v>0</v>
      </c>
      <c r="AQ90" s="141">
        <f t="shared" si="27"/>
        <v>0</v>
      </c>
      <c r="AR90" s="141">
        <f t="shared" si="27"/>
        <v>0</v>
      </c>
      <c r="AS90" s="141">
        <f t="shared" si="27"/>
        <v>0</v>
      </c>
      <c r="AT90" s="141">
        <f t="shared" si="27"/>
        <v>0</v>
      </c>
      <c r="AU90" s="141">
        <f t="shared" si="27"/>
        <v>0</v>
      </c>
      <c r="AV90" s="141">
        <f t="shared" si="27"/>
        <v>0</v>
      </c>
      <c r="AW90" s="141">
        <f t="shared" si="27"/>
        <v>0</v>
      </c>
      <c r="AX90" s="141">
        <f t="shared" si="27"/>
        <v>0</v>
      </c>
      <c r="AY90" s="141">
        <f t="shared" si="27"/>
        <v>0</v>
      </c>
      <c r="AZ90" s="141">
        <f t="shared" si="27"/>
        <v>0</v>
      </c>
      <c r="BA90" s="141">
        <f t="shared" si="27"/>
        <v>0</v>
      </c>
      <c r="BB90" s="141">
        <f t="shared" si="27"/>
        <v>0</v>
      </c>
      <c r="BC90" s="141">
        <f t="shared" si="27"/>
        <v>0</v>
      </c>
      <c r="BD90" s="141">
        <f t="shared" si="27"/>
        <v>0</v>
      </c>
      <c r="BE90" s="141">
        <f t="shared" si="27"/>
        <v>0</v>
      </c>
      <c r="BF90" s="141">
        <f t="shared" si="27"/>
        <v>0</v>
      </c>
      <c r="BG90" s="141">
        <f t="shared" si="27"/>
        <v>0</v>
      </c>
      <c r="BH90" s="141">
        <f t="shared" si="27"/>
        <v>0</v>
      </c>
      <c r="BI90" s="141">
        <f t="shared" si="27"/>
        <v>0</v>
      </c>
      <c r="BJ90" s="142">
        <f t="shared" si="27"/>
        <v>0</v>
      </c>
      <c r="BK90" s="141"/>
      <c r="BL90" s="141"/>
    </row>
    <row r="91" spans="1:64" s="160" customFormat="1">
      <c r="A91" s="131" t="s">
        <v>134</v>
      </c>
      <c r="B91" s="156" t="e">
        <f t="shared" si="26"/>
        <v>#REF!</v>
      </c>
      <c r="C91" s="156" t="e">
        <f>C65-C66-C86</f>
        <v>#REF!</v>
      </c>
      <c r="D91" s="157" t="e">
        <f t="shared" ref="D91:BJ91" si="28">D65-D66-D86</f>
        <v>#REF!</v>
      </c>
      <c r="E91" s="157" t="e">
        <f t="shared" si="28"/>
        <v>#REF!</v>
      </c>
      <c r="F91" s="157" t="e">
        <f t="shared" si="28"/>
        <v>#REF!</v>
      </c>
      <c r="G91" s="157" t="e">
        <f t="shared" si="28"/>
        <v>#REF!</v>
      </c>
      <c r="H91" s="157" t="e">
        <f t="shared" si="28"/>
        <v>#REF!</v>
      </c>
      <c r="I91" s="157" t="e">
        <f t="shared" si="28"/>
        <v>#REF!</v>
      </c>
      <c r="J91" s="157" t="e">
        <f t="shared" si="28"/>
        <v>#REF!</v>
      </c>
      <c r="K91" s="157" t="e">
        <f t="shared" si="28"/>
        <v>#REF!</v>
      </c>
      <c r="L91" s="157" t="e">
        <f t="shared" si="28"/>
        <v>#REF!</v>
      </c>
      <c r="M91" s="157" t="e">
        <f t="shared" si="28"/>
        <v>#REF!</v>
      </c>
      <c r="N91" s="157" t="e">
        <f t="shared" si="28"/>
        <v>#REF!</v>
      </c>
      <c r="O91" s="157" t="e">
        <f t="shared" si="28"/>
        <v>#REF!</v>
      </c>
      <c r="P91" s="157" t="e">
        <f t="shared" si="28"/>
        <v>#REF!</v>
      </c>
      <c r="Q91" s="157" t="e">
        <f t="shared" si="28"/>
        <v>#REF!</v>
      </c>
      <c r="R91" s="157" t="e">
        <f t="shared" si="28"/>
        <v>#REF!</v>
      </c>
      <c r="S91" s="157" t="e">
        <f t="shared" si="28"/>
        <v>#REF!</v>
      </c>
      <c r="T91" s="157" t="e">
        <f t="shared" si="28"/>
        <v>#REF!</v>
      </c>
      <c r="U91" s="157" t="e">
        <f t="shared" si="28"/>
        <v>#REF!</v>
      </c>
      <c r="V91" s="157" t="e">
        <f t="shared" si="28"/>
        <v>#REF!</v>
      </c>
      <c r="W91" s="157" t="e">
        <f t="shared" si="28"/>
        <v>#REF!</v>
      </c>
      <c r="X91" s="157" t="e">
        <f t="shared" si="28"/>
        <v>#REF!</v>
      </c>
      <c r="Y91" s="157" t="e">
        <f t="shared" si="28"/>
        <v>#REF!</v>
      </c>
      <c r="Z91" s="157" t="e">
        <f t="shared" si="28"/>
        <v>#REF!</v>
      </c>
      <c r="AA91" s="157" t="e">
        <f t="shared" si="28"/>
        <v>#REF!</v>
      </c>
      <c r="AB91" s="157" t="e">
        <f t="shared" si="28"/>
        <v>#REF!</v>
      </c>
      <c r="AC91" s="157" t="e">
        <f t="shared" si="28"/>
        <v>#REF!</v>
      </c>
      <c r="AD91" s="157" t="e">
        <f t="shared" si="28"/>
        <v>#REF!</v>
      </c>
      <c r="AE91" s="157" t="e">
        <f t="shared" si="28"/>
        <v>#REF!</v>
      </c>
      <c r="AF91" s="157" t="e">
        <f t="shared" si="28"/>
        <v>#REF!</v>
      </c>
      <c r="AG91" s="157" t="e">
        <f t="shared" si="28"/>
        <v>#REF!</v>
      </c>
      <c r="AH91" s="157" t="e">
        <f t="shared" si="28"/>
        <v>#REF!</v>
      </c>
      <c r="AI91" s="157" t="e">
        <f t="shared" si="28"/>
        <v>#REF!</v>
      </c>
      <c r="AJ91" s="157" t="e">
        <f t="shared" si="28"/>
        <v>#REF!</v>
      </c>
      <c r="AK91" s="157" t="e">
        <f t="shared" si="28"/>
        <v>#REF!</v>
      </c>
      <c r="AL91" s="157" t="e">
        <f t="shared" si="28"/>
        <v>#REF!</v>
      </c>
      <c r="AM91" s="157" t="e">
        <f t="shared" si="28"/>
        <v>#REF!</v>
      </c>
      <c r="AN91" s="157" t="e">
        <f t="shared" si="28"/>
        <v>#REF!</v>
      </c>
      <c r="AO91" s="157" t="e">
        <f t="shared" si="28"/>
        <v>#REF!</v>
      </c>
      <c r="AP91" s="157" t="e">
        <f t="shared" si="28"/>
        <v>#REF!</v>
      </c>
      <c r="AQ91" s="157" t="e">
        <f t="shared" si="28"/>
        <v>#REF!</v>
      </c>
      <c r="AR91" s="157" t="e">
        <f t="shared" si="28"/>
        <v>#REF!</v>
      </c>
      <c r="AS91" s="157" t="e">
        <f t="shared" si="28"/>
        <v>#REF!</v>
      </c>
      <c r="AT91" s="157" t="e">
        <f t="shared" si="28"/>
        <v>#REF!</v>
      </c>
      <c r="AU91" s="157" t="e">
        <f t="shared" si="28"/>
        <v>#REF!</v>
      </c>
      <c r="AV91" s="157" t="e">
        <f t="shared" si="28"/>
        <v>#REF!</v>
      </c>
      <c r="AW91" s="157" t="e">
        <f t="shared" si="28"/>
        <v>#REF!</v>
      </c>
      <c r="AX91" s="157" t="e">
        <f t="shared" si="28"/>
        <v>#REF!</v>
      </c>
      <c r="AY91" s="157" t="e">
        <f t="shared" si="28"/>
        <v>#REF!</v>
      </c>
      <c r="AZ91" s="157" t="e">
        <f t="shared" si="28"/>
        <v>#REF!</v>
      </c>
      <c r="BA91" s="157" t="e">
        <f t="shared" si="28"/>
        <v>#REF!</v>
      </c>
      <c r="BB91" s="157" t="e">
        <f t="shared" si="28"/>
        <v>#REF!</v>
      </c>
      <c r="BC91" s="157" t="e">
        <f t="shared" si="28"/>
        <v>#REF!</v>
      </c>
      <c r="BD91" s="157" t="e">
        <f t="shared" si="28"/>
        <v>#REF!</v>
      </c>
      <c r="BE91" s="157" t="e">
        <f t="shared" si="28"/>
        <v>#REF!</v>
      </c>
      <c r="BF91" s="157" t="e">
        <f t="shared" si="28"/>
        <v>#REF!</v>
      </c>
      <c r="BG91" s="157" t="e">
        <f t="shared" si="28"/>
        <v>#REF!</v>
      </c>
      <c r="BH91" s="157" t="e">
        <f t="shared" si="28"/>
        <v>#REF!</v>
      </c>
      <c r="BI91" s="157" t="e">
        <f t="shared" si="28"/>
        <v>#REF!</v>
      </c>
      <c r="BJ91" s="158" t="e">
        <f t="shared" si="28"/>
        <v>#REF!</v>
      </c>
      <c r="BK91" s="159"/>
      <c r="BL91" s="159"/>
    </row>
    <row r="92" spans="1:64" s="160" customFormat="1">
      <c r="A92" s="131" t="s">
        <v>135</v>
      </c>
      <c r="B92" s="156" t="e">
        <f t="shared" si="26"/>
        <v>#REF!</v>
      </c>
      <c r="C92" s="161" t="e">
        <f t="shared" ref="C92:BJ92" si="29">IF(C91&lt;=0,0,C91*$K$53)</f>
        <v>#REF!</v>
      </c>
      <c r="D92" s="162" t="e">
        <f t="shared" si="29"/>
        <v>#REF!</v>
      </c>
      <c r="E92" s="162" t="e">
        <f t="shared" si="29"/>
        <v>#REF!</v>
      </c>
      <c r="F92" s="162" t="e">
        <f t="shared" si="29"/>
        <v>#REF!</v>
      </c>
      <c r="G92" s="162" t="e">
        <f t="shared" si="29"/>
        <v>#REF!</v>
      </c>
      <c r="H92" s="162" t="e">
        <f t="shared" si="29"/>
        <v>#REF!</v>
      </c>
      <c r="I92" s="162" t="e">
        <f t="shared" si="29"/>
        <v>#REF!</v>
      </c>
      <c r="J92" s="162" t="e">
        <f t="shared" si="29"/>
        <v>#REF!</v>
      </c>
      <c r="K92" s="162" t="e">
        <f t="shared" si="29"/>
        <v>#REF!</v>
      </c>
      <c r="L92" s="162" t="e">
        <f t="shared" si="29"/>
        <v>#REF!</v>
      </c>
      <c r="M92" s="162" t="e">
        <f t="shared" si="29"/>
        <v>#REF!</v>
      </c>
      <c r="N92" s="162" t="e">
        <f t="shared" si="29"/>
        <v>#REF!</v>
      </c>
      <c r="O92" s="162" t="e">
        <f t="shared" si="29"/>
        <v>#REF!</v>
      </c>
      <c r="P92" s="162" t="e">
        <f t="shared" si="29"/>
        <v>#REF!</v>
      </c>
      <c r="Q92" s="162" t="e">
        <f t="shared" si="29"/>
        <v>#REF!</v>
      </c>
      <c r="R92" s="162" t="e">
        <f t="shared" si="29"/>
        <v>#REF!</v>
      </c>
      <c r="S92" s="162" t="e">
        <f t="shared" si="29"/>
        <v>#REF!</v>
      </c>
      <c r="T92" s="162" t="e">
        <f t="shared" si="29"/>
        <v>#REF!</v>
      </c>
      <c r="U92" s="162" t="e">
        <f t="shared" si="29"/>
        <v>#REF!</v>
      </c>
      <c r="V92" s="162" t="e">
        <f t="shared" si="29"/>
        <v>#REF!</v>
      </c>
      <c r="W92" s="162" t="e">
        <f t="shared" si="29"/>
        <v>#REF!</v>
      </c>
      <c r="X92" s="162" t="e">
        <f t="shared" si="29"/>
        <v>#REF!</v>
      </c>
      <c r="Y92" s="162" t="e">
        <f t="shared" si="29"/>
        <v>#REF!</v>
      </c>
      <c r="Z92" s="162" t="e">
        <f t="shared" si="29"/>
        <v>#REF!</v>
      </c>
      <c r="AA92" s="162" t="e">
        <f t="shared" si="29"/>
        <v>#REF!</v>
      </c>
      <c r="AB92" s="162" t="e">
        <f t="shared" si="29"/>
        <v>#REF!</v>
      </c>
      <c r="AC92" s="162" t="e">
        <f t="shared" si="29"/>
        <v>#REF!</v>
      </c>
      <c r="AD92" s="162" t="e">
        <f t="shared" si="29"/>
        <v>#REF!</v>
      </c>
      <c r="AE92" s="162" t="e">
        <f t="shared" si="29"/>
        <v>#REF!</v>
      </c>
      <c r="AF92" s="162" t="e">
        <f t="shared" si="29"/>
        <v>#REF!</v>
      </c>
      <c r="AG92" s="162" t="e">
        <f t="shared" si="29"/>
        <v>#REF!</v>
      </c>
      <c r="AH92" s="162" t="e">
        <f t="shared" si="29"/>
        <v>#REF!</v>
      </c>
      <c r="AI92" s="162" t="e">
        <f t="shared" si="29"/>
        <v>#REF!</v>
      </c>
      <c r="AJ92" s="162" t="e">
        <f t="shared" si="29"/>
        <v>#REF!</v>
      </c>
      <c r="AK92" s="162" t="e">
        <f t="shared" si="29"/>
        <v>#REF!</v>
      </c>
      <c r="AL92" s="162" t="e">
        <f t="shared" si="29"/>
        <v>#REF!</v>
      </c>
      <c r="AM92" s="162" t="e">
        <f t="shared" si="29"/>
        <v>#REF!</v>
      </c>
      <c r="AN92" s="162" t="e">
        <f t="shared" si="29"/>
        <v>#REF!</v>
      </c>
      <c r="AO92" s="162" t="e">
        <f t="shared" si="29"/>
        <v>#REF!</v>
      </c>
      <c r="AP92" s="162" t="e">
        <f t="shared" si="29"/>
        <v>#REF!</v>
      </c>
      <c r="AQ92" s="162" t="e">
        <f t="shared" si="29"/>
        <v>#REF!</v>
      </c>
      <c r="AR92" s="162" t="e">
        <f t="shared" si="29"/>
        <v>#REF!</v>
      </c>
      <c r="AS92" s="162" t="e">
        <f t="shared" si="29"/>
        <v>#REF!</v>
      </c>
      <c r="AT92" s="162" t="e">
        <f t="shared" si="29"/>
        <v>#REF!</v>
      </c>
      <c r="AU92" s="162" t="e">
        <f t="shared" si="29"/>
        <v>#REF!</v>
      </c>
      <c r="AV92" s="162" t="e">
        <f t="shared" si="29"/>
        <v>#REF!</v>
      </c>
      <c r="AW92" s="162" t="e">
        <f t="shared" si="29"/>
        <v>#REF!</v>
      </c>
      <c r="AX92" s="162" t="e">
        <f t="shared" si="29"/>
        <v>#REF!</v>
      </c>
      <c r="AY92" s="162" t="e">
        <f t="shared" si="29"/>
        <v>#REF!</v>
      </c>
      <c r="AZ92" s="162" t="e">
        <f t="shared" si="29"/>
        <v>#REF!</v>
      </c>
      <c r="BA92" s="162" t="e">
        <f t="shared" si="29"/>
        <v>#REF!</v>
      </c>
      <c r="BB92" s="162" t="e">
        <f t="shared" si="29"/>
        <v>#REF!</v>
      </c>
      <c r="BC92" s="162" t="e">
        <f t="shared" si="29"/>
        <v>#REF!</v>
      </c>
      <c r="BD92" s="162" t="e">
        <f t="shared" si="29"/>
        <v>#REF!</v>
      </c>
      <c r="BE92" s="162" t="e">
        <f t="shared" si="29"/>
        <v>#REF!</v>
      </c>
      <c r="BF92" s="162" t="e">
        <f t="shared" si="29"/>
        <v>#REF!</v>
      </c>
      <c r="BG92" s="162" t="e">
        <f t="shared" si="29"/>
        <v>#REF!</v>
      </c>
      <c r="BH92" s="162" t="e">
        <f t="shared" si="29"/>
        <v>#REF!</v>
      </c>
      <c r="BI92" s="162" t="e">
        <f t="shared" si="29"/>
        <v>#REF!</v>
      </c>
      <c r="BJ92" s="163" t="e">
        <f t="shared" si="29"/>
        <v>#REF!</v>
      </c>
      <c r="BK92" s="159"/>
      <c r="BL92" s="159"/>
    </row>
    <row r="93" spans="1:64" s="105" customFormat="1">
      <c r="A93" s="164" t="s">
        <v>136</v>
      </c>
      <c r="B93" s="161" t="e">
        <f t="shared" si="26"/>
        <v>#REF!</v>
      </c>
      <c r="C93" s="133" t="e">
        <f>C91-C92</f>
        <v>#REF!</v>
      </c>
      <c r="D93" s="134" t="e">
        <f>D91-D92</f>
        <v>#REF!</v>
      </c>
      <c r="E93" s="134" t="e">
        <f>E91-E92</f>
        <v>#REF!</v>
      </c>
      <c r="F93" s="134" t="e">
        <f>F91-F92</f>
        <v>#REF!</v>
      </c>
      <c r="G93" s="134" t="e">
        <f t="shared" ref="G93:BJ93" si="30">G91-G92</f>
        <v>#REF!</v>
      </c>
      <c r="H93" s="134" t="e">
        <f t="shared" si="30"/>
        <v>#REF!</v>
      </c>
      <c r="I93" s="134" t="e">
        <f t="shared" si="30"/>
        <v>#REF!</v>
      </c>
      <c r="J93" s="134" t="e">
        <f t="shared" si="30"/>
        <v>#REF!</v>
      </c>
      <c r="K93" s="134" t="e">
        <f t="shared" si="30"/>
        <v>#REF!</v>
      </c>
      <c r="L93" s="134" t="e">
        <f t="shared" si="30"/>
        <v>#REF!</v>
      </c>
      <c r="M93" s="134" t="e">
        <f t="shared" si="30"/>
        <v>#REF!</v>
      </c>
      <c r="N93" s="134" t="e">
        <f t="shared" si="30"/>
        <v>#REF!</v>
      </c>
      <c r="O93" s="134" t="e">
        <f t="shared" si="30"/>
        <v>#REF!</v>
      </c>
      <c r="P93" s="134" t="e">
        <f t="shared" si="30"/>
        <v>#REF!</v>
      </c>
      <c r="Q93" s="134" t="e">
        <f t="shared" si="30"/>
        <v>#REF!</v>
      </c>
      <c r="R93" s="134" t="e">
        <f t="shared" si="30"/>
        <v>#REF!</v>
      </c>
      <c r="S93" s="134" t="e">
        <f t="shared" si="30"/>
        <v>#REF!</v>
      </c>
      <c r="T93" s="134" t="e">
        <f t="shared" si="30"/>
        <v>#REF!</v>
      </c>
      <c r="U93" s="134" t="e">
        <f t="shared" si="30"/>
        <v>#REF!</v>
      </c>
      <c r="V93" s="134" t="e">
        <f t="shared" si="30"/>
        <v>#REF!</v>
      </c>
      <c r="W93" s="134" t="e">
        <f t="shared" si="30"/>
        <v>#REF!</v>
      </c>
      <c r="X93" s="134" t="e">
        <f t="shared" si="30"/>
        <v>#REF!</v>
      </c>
      <c r="Y93" s="134" t="e">
        <f t="shared" si="30"/>
        <v>#REF!</v>
      </c>
      <c r="Z93" s="134" t="e">
        <f t="shared" si="30"/>
        <v>#REF!</v>
      </c>
      <c r="AA93" s="134" t="e">
        <f t="shared" si="30"/>
        <v>#REF!</v>
      </c>
      <c r="AB93" s="134" t="e">
        <f t="shared" si="30"/>
        <v>#REF!</v>
      </c>
      <c r="AC93" s="134" t="e">
        <f t="shared" si="30"/>
        <v>#REF!</v>
      </c>
      <c r="AD93" s="134" t="e">
        <f t="shared" si="30"/>
        <v>#REF!</v>
      </c>
      <c r="AE93" s="134" t="e">
        <f t="shared" si="30"/>
        <v>#REF!</v>
      </c>
      <c r="AF93" s="134" t="e">
        <f t="shared" si="30"/>
        <v>#REF!</v>
      </c>
      <c r="AG93" s="134" t="e">
        <f t="shared" si="30"/>
        <v>#REF!</v>
      </c>
      <c r="AH93" s="134" t="e">
        <f t="shared" si="30"/>
        <v>#REF!</v>
      </c>
      <c r="AI93" s="134" t="e">
        <f t="shared" si="30"/>
        <v>#REF!</v>
      </c>
      <c r="AJ93" s="134" t="e">
        <f t="shared" si="30"/>
        <v>#REF!</v>
      </c>
      <c r="AK93" s="134" t="e">
        <f t="shared" si="30"/>
        <v>#REF!</v>
      </c>
      <c r="AL93" s="134" t="e">
        <f t="shared" si="30"/>
        <v>#REF!</v>
      </c>
      <c r="AM93" s="134" t="e">
        <f t="shared" si="30"/>
        <v>#REF!</v>
      </c>
      <c r="AN93" s="134" t="e">
        <f t="shared" si="30"/>
        <v>#REF!</v>
      </c>
      <c r="AO93" s="134" t="e">
        <f t="shared" si="30"/>
        <v>#REF!</v>
      </c>
      <c r="AP93" s="134" t="e">
        <f t="shared" si="30"/>
        <v>#REF!</v>
      </c>
      <c r="AQ93" s="134" t="e">
        <f t="shared" si="30"/>
        <v>#REF!</v>
      </c>
      <c r="AR93" s="134" t="e">
        <f t="shared" si="30"/>
        <v>#REF!</v>
      </c>
      <c r="AS93" s="134" t="e">
        <f t="shared" si="30"/>
        <v>#REF!</v>
      </c>
      <c r="AT93" s="134" t="e">
        <f t="shared" si="30"/>
        <v>#REF!</v>
      </c>
      <c r="AU93" s="134" t="e">
        <f t="shared" si="30"/>
        <v>#REF!</v>
      </c>
      <c r="AV93" s="134" t="e">
        <f t="shared" si="30"/>
        <v>#REF!</v>
      </c>
      <c r="AW93" s="134" t="e">
        <f t="shared" si="30"/>
        <v>#REF!</v>
      </c>
      <c r="AX93" s="134" t="e">
        <f t="shared" si="30"/>
        <v>#REF!</v>
      </c>
      <c r="AY93" s="134" t="e">
        <f t="shared" si="30"/>
        <v>#REF!</v>
      </c>
      <c r="AZ93" s="134" t="e">
        <f t="shared" si="30"/>
        <v>#REF!</v>
      </c>
      <c r="BA93" s="134" t="e">
        <f t="shared" si="30"/>
        <v>#REF!</v>
      </c>
      <c r="BB93" s="134" t="e">
        <f t="shared" si="30"/>
        <v>#REF!</v>
      </c>
      <c r="BC93" s="134" t="e">
        <f t="shared" si="30"/>
        <v>#REF!</v>
      </c>
      <c r="BD93" s="134" t="e">
        <f t="shared" si="30"/>
        <v>#REF!</v>
      </c>
      <c r="BE93" s="134" t="e">
        <f t="shared" si="30"/>
        <v>#REF!</v>
      </c>
      <c r="BF93" s="134" t="e">
        <f t="shared" si="30"/>
        <v>#REF!</v>
      </c>
      <c r="BG93" s="134" t="e">
        <f t="shared" si="30"/>
        <v>#REF!</v>
      </c>
      <c r="BH93" s="134" t="e">
        <f t="shared" si="30"/>
        <v>#REF!</v>
      </c>
      <c r="BI93" s="134" t="e">
        <f t="shared" si="30"/>
        <v>#REF!</v>
      </c>
      <c r="BJ93" s="135" t="e">
        <f t="shared" si="30"/>
        <v>#REF!</v>
      </c>
      <c r="BK93" s="109"/>
      <c r="BL93" s="109"/>
    </row>
    <row r="94" spans="1:64">
      <c r="A94" s="165" t="s">
        <v>137</v>
      </c>
      <c r="B94" s="161" t="e">
        <f>SUM(B95:B97)</f>
        <v>#REF!</v>
      </c>
      <c r="C94" s="166"/>
      <c r="D94" s="167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T94" s="168"/>
      <c r="AU94" s="168"/>
      <c r="AV94" s="168"/>
      <c r="AW94" s="168"/>
      <c r="AX94" s="168"/>
      <c r="AY94" s="168"/>
      <c r="AZ94" s="168"/>
      <c r="BA94" s="168"/>
      <c r="BB94" s="168"/>
      <c r="BC94" s="168"/>
      <c r="BD94" s="168"/>
      <c r="BE94" s="168"/>
      <c r="BF94" s="168"/>
      <c r="BG94" s="168"/>
      <c r="BH94" s="168"/>
      <c r="BI94" s="168"/>
      <c r="BJ94" s="169"/>
    </row>
    <row r="95" spans="1:64" s="174" customFormat="1" ht="12.75">
      <c r="A95" s="120" t="s">
        <v>138</v>
      </c>
      <c r="B95" s="170" t="e">
        <f>SUM(C95:BJ95)</f>
        <v>#REF!</v>
      </c>
      <c r="C95" s="171">
        <f>C66-C71</f>
        <v>37571016.520293005</v>
      </c>
      <c r="D95" s="172">
        <f t="shared" ref="D95:BJ95" si="31">IF(AND(D54&gt;5,D55=0),0,D66-D71)</f>
        <v>39249393.456940487</v>
      </c>
      <c r="E95" s="172" t="e">
        <f t="shared" si="31"/>
        <v>#REF!</v>
      </c>
      <c r="F95" s="172" t="e">
        <f t="shared" si="31"/>
        <v>#REF!</v>
      </c>
      <c r="G95" s="172" t="e">
        <f t="shared" si="31"/>
        <v>#REF!</v>
      </c>
      <c r="H95" s="172" t="e">
        <f t="shared" si="31"/>
        <v>#REF!</v>
      </c>
      <c r="I95" s="172" t="e">
        <f t="shared" si="31"/>
        <v>#REF!</v>
      </c>
      <c r="J95" s="172" t="e">
        <f t="shared" si="31"/>
        <v>#REF!</v>
      </c>
      <c r="K95" s="172" t="e">
        <f t="shared" si="31"/>
        <v>#REF!</v>
      </c>
      <c r="L95" s="172" t="e">
        <f t="shared" si="31"/>
        <v>#REF!</v>
      </c>
      <c r="M95" s="172" t="e">
        <f t="shared" si="31"/>
        <v>#REF!</v>
      </c>
      <c r="N95" s="172" t="e">
        <f t="shared" si="31"/>
        <v>#REF!</v>
      </c>
      <c r="O95" s="172" t="e">
        <f t="shared" si="31"/>
        <v>#REF!</v>
      </c>
      <c r="P95" s="172" t="e">
        <f t="shared" si="31"/>
        <v>#REF!</v>
      </c>
      <c r="Q95" s="172" t="e">
        <f t="shared" si="31"/>
        <v>#REF!</v>
      </c>
      <c r="R95" s="172" t="e">
        <f t="shared" si="31"/>
        <v>#REF!</v>
      </c>
      <c r="S95" s="172" t="e">
        <f t="shared" si="31"/>
        <v>#REF!</v>
      </c>
      <c r="T95" s="172" t="e">
        <f t="shared" si="31"/>
        <v>#REF!</v>
      </c>
      <c r="U95" s="172" t="e">
        <f t="shared" si="31"/>
        <v>#REF!</v>
      </c>
      <c r="V95" s="172" t="e">
        <f t="shared" si="31"/>
        <v>#REF!</v>
      </c>
      <c r="W95" s="172" t="e">
        <f t="shared" si="31"/>
        <v>#REF!</v>
      </c>
      <c r="X95" s="172" t="e">
        <f t="shared" si="31"/>
        <v>#REF!</v>
      </c>
      <c r="Y95" s="172">
        <f t="shared" si="31"/>
        <v>0</v>
      </c>
      <c r="Z95" s="172">
        <f t="shared" si="31"/>
        <v>0</v>
      </c>
      <c r="AA95" s="172">
        <f t="shared" si="31"/>
        <v>0</v>
      </c>
      <c r="AB95" s="172">
        <f t="shared" si="31"/>
        <v>0</v>
      </c>
      <c r="AC95" s="172">
        <f t="shared" si="31"/>
        <v>0</v>
      </c>
      <c r="AD95" s="172">
        <f t="shared" si="31"/>
        <v>0</v>
      </c>
      <c r="AE95" s="172">
        <f t="shared" si="31"/>
        <v>0</v>
      </c>
      <c r="AF95" s="172">
        <f t="shared" si="31"/>
        <v>0</v>
      </c>
      <c r="AG95" s="172">
        <f t="shared" si="31"/>
        <v>0</v>
      </c>
      <c r="AH95" s="172">
        <f t="shared" si="31"/>
        <v>0</v>
      </c>
      <c r="AI95" s="172">
        <f t="shared" si="31"/>
        <v>0</v>
      </c>
      <c r="AJ95" s="172">
        <f t="shared" si="31"/>
        <v>0</v>
      </c>
      <c r="AK95" s="172">
        <f t="shared" si="31"/>
        <v>0</v>
      </c>
      <c r="AL95" s="172">
        <f t="shared" si="31"/>
        <v>0</v>
      </c>
      <c r="AM95" s="172">
        <f t="shared" si="31"/>
        <v>0</v>
      </c>
      <c r="AN95" s="172">
        <f t="shared" si="31"/>
        <v>0</v>
      </c>
      <c r="AO95" s="172">
        <f t="shared" si="31"/>
        <v>0</v>
      </c>
      <c r="AP95" s="172">
        <f t="shared" si="31"/>
        <v>0</v>
      </c>
      <c r="AQ95" s="172">
        <f t="shared" si="31"/>
        <v>0</v>
      </c>
      <c r="AR95" s="172">
        <f t="shared" si="31"/>
        <v>0</v>
      </c>
      <c r="AS95" s="172">
        <f t="shared" si="31"/>
        <v>0</v>
      </c>
      <c r="AT95" s="172">
        <f t="shared" si="31"/>
        <v>0</v>
      </c>
      <c r="AU95" s="172">
        <f t="shared" si="31"/>
        <v>0</v>
      </c>
      <c r="AV95" s="172">
        <f t="shared" si="31"/>
        <v>0</v>
      </c>
      <c r="AW95" s="172">
        <f t="shared" si="31"/>
        <v>0</v>
      </c>
      <c r="AX95" s="172">
        <f t="shared" si="31"/>
        <v>0</v>
      </c>
      <c r="AY95" s="172">
        <f t="shared" si="31"/>
        <v>0</v>
      </c>
      <c r="AZ95" s="172">
        <f t="shared" si="31"/>
        <v>0</v>
      </c>
      <c r="BA95" s="172">
        <f t="shared" si="31"/>
        <v>0</v>
      </c>
      <c r="BB95" s="172">
        <f t="shared" si="31"/>
        <v>0</v>
      </c>
      <c r="BC95" s="172">
        <f t="shared" si="31"/>
        <v>0</v>
      </c>
      <c r="BD95" s="172">
        <f t="shared" si="31"/>
        <v>0</v>
      </c>
      <c r="BE95" s="172">
        <f t="shared" si="31"/>
        <v>0</v>
      </c>
      <c r="BF95" s="172">
        <f t="shared" si="31"/>
        <v>0</v>
      </c>
      <c r="BG95" s="172">
        <f t="shared" si="31"/>
        <v>0</v>
      </c>
      <c r="BH95" s="172">
        <f t="shared" si="31"/>
        <v>0</v>
      </c>
      <c r="BI95" s="172">
        <f t="shared" si="31"/>
        <v>0</v>
      </c>
      <c r="BJ95" s="173">
        <f t="shared" si="31"/>
        <v>0</v>
      </c>
      <c r="BK95" s="172"/>
      <c r="BL95" s="172"/>
    </row>
    <row r="96" spans="1:64" s="174" customFormat="1" ht="12.75">
      <c r="A96" s="120" t="s">
        <v>139</v>
      </c>
      <c r="B96" s="170" t="e">
        <f>SUM(C96:BJ96)</f>
        <v>#REF!</v>
      </c>
      <c r="C96" s="171">
        <f>C86</f>
        <v>1295552.2938032071</v>
      </c>
      <c r="D96" s="172">
        <f>D86</f>
        <v>2693653.8714150586</v>
      </c>
      <c r="E96" s="172" t="e">
        <f t="shared" ref="E96:BJ96" si="32">E86</f>
        <v>#REF!</v>
      </c>
      <c r="F96" s="172" t="e">
        <f t="shared" si="32"/>
        <v>#REF!</v>
      </c>
      <c r="G96" s="172" t="e">
        <f t="shared" si="32"/>
        <v>#REF!</v>
      </c>
      <c r="H96" s="172" t="e">
        <f t="shared" si="32"/>
        <v>#REF!</v>
      </c>
      <c r="I96" s="172" t="e">
        <f t="shared" si="32"/>
        <v>#REF!</v>
      </c>
      <c r="J96" s="172" t="e">
        <f t="shared" si="32"/>
        <v>#REF!</v>
      </c>
      <c r="K96" s="172" t="e">
        <f t="shared" si="32"/>
        <v>#REF!</v>
      </c>
      <c r="L96" s="172" t="e">
        <f t="shared" si="32"/>
        <v>#REF!</v>
      </c>
      <c r="M96" s="172" t="e">
        <f t="shared" si="32"/>
        <v>#REF!</v>
      </c>
      <c r="N96" s="172" t="e">
        <f t="shared" si="32"/>
        <v>#REF!</v>
      </c>
      <c r="O96" s="172" t="e">
        <f t="shared" si="32"/>
        <v>#REF!</v>
      </c>
      <c r="P96" s="172" t="e">
        <f t="shared" si="32"/>
        <v>#REF!</v>
      </c>
      <c r="Q96" s="172" t="e">
        <f t="shared" si="32"/>
        <v>#REF!</v>
      </c>
      <c r="R96" s="172" t="e">
        <f t="shared" si="32"/>
        <v>#REF!</v>
      </c>
      <c r="S96" s="172" t="e">
        <f t="shared" si="32"/>
        <v>#REF!</v>
      </c>
      <c r="T96" s="172" t="e">
        <f t="shared" si="32"/>
        <v>#REF!</v>
      </c>
      <c r="U96" s="172" t="e">
        <f t="shared" si="32"/>
        <v>#REF!</v>
      </c>
      <c r="V96" s="172" t="e">
        <f t="shared" si="32"/>
        <v>#REF!</v>
      </c>
      <c r="W96" s="172" t="e">
        <f t="shared" si="32"/>
        <v>#REF!</v>
      </c>
      <c r="X96" s="172" t="e">
        <f t="shared" si="32"/>
        <v>#REF!</v>
      </c>
      <c r="Y96" s="172">
        <f t="shared" si="32"/>
        <v>0</v>
      </c>
      <c r="Z96" s="172">
        <f t="shared" si="32"/>
        <v>0</v>
      </c>
      <c r="AA96" s="172">
        <f t="shared" si="32"/>
        <v>0</v>
      </c>
      <c r="AB96" s="172">
        <f t="shared" si="32"/>
        <v>0</v>
      </c>
      <c r="AC96" s="172">
        <f t="shared" si="32"/>
        <v>0</v>
      </c>
      <c r="AD96" s="172">
        <f t="shared" si="32"/>
        <v>0</v>
      </c>
      <c r="AE96" s="172">
        <f t="shared" si="32"/>
        <v>0</v>
      </c>
      <c r="AF96" s="172">
        <f t="shared" si="32"/>
        <v>0</v>
      </c>
      <c r="AG96" s="172">
        <f t="shared" si="32"/>
        <v>0</v>
      </c>
      <c r="AH96" s="172">
        <f t="shared" si="32"/>
        <v>0</v>
      </c>
      <c r="AI96" s="172">
        <f t="shared" si="32"/>
        <v>0</v>
      </c>
      <c r="AJ96" s="172">
        <f t="shared" si="32"/>
        <v>0</v>
      </c>
      <c r="AK96" s="172">
        <f t="shared" si="32"/>
        <v>0</v>
      </c>
      <c r="AL96" s="172">
        <f t="shared" si="32"/>
        <v>0</v>
      </c>
      <c r="AM96" s="172">
        <f t="shared" si="32"/>
        <v>0</v>
      </c>
      <c r="AN96" s="172">
        <f t="shared" si="32"/>
        <v>0</v>
      </c>
      <c r="AO96" s="172">
        <f t="shared" si="32"/>
        <v>0</v>
      </c>
      <c r="AP96" s="172">
        <f t="shared" si="32"/>
        <v>0</v>
      </c>
      <c r="AQ96" s="172">
        <f t="shared" si="32"/>
        <v>0</v>
      </c>
      <c r="AR96" s="172">
        <f t="shared" si="32"/>
        <v>0</v>
      </c>
      <c r="AS96" s="172">
        <f t="shared" si="32"/>
        <v>0</v>
      </c>
      <c r="AT96" s="172">
        <f t="shared" si="32"/>
        <v>0</v>
      </c>
      <c r="AU96" s="172">
        <f t="shared" si="32"/>
        <v>0</v>
      </c>
      <c r="AV96" s="172">
        <f t="shared" si="32"/>
        <v>0</v>
      </c>
      <c r="AW96" s="172">
        <f t="shared" si="32"/>
        <v>0</v>
      </c>
      <c r="AX96" s="172">
        <f t="shared" si="32"/>
        <v>0</v>
      </c>
      <c r="AY96" s="172">
        <f t="shared" si="32"/>
        <v>0</v>
      </c>
      <c r="AZ96" s="172">
        <f t="shared" si="32"/>
        <v>0</v>
      </c>
      <c r="BA96" s="172">
        <f t="shared" si="32"/>
        <v>0</v>
      </c>
      <c r="BB96" s="172">
        <f t="shared" si="32"/>
        <v>0</v>
      </c>
      <c r="BC96" s="172">
        <f t="shared" si="32"/>
        <v>0</v>
      </c>
      <c r="BD96" s="172">
        <f t="shared" si="32"/>
        <v>0</v>
      </c>
      <c r="BE96" s="172">
        <f t="shared" si="32"/>
        <v>0</v>
      </c>
      <c r="BF96" s="172">
        <f t="shared" si="32"/>
        <v>0</v>
      </c>
      <c r="BG96" s="172">
        <f t="shared" si="32"/>
        <v>0</v>
      </c>
      <c r="BH96" s="172">
        <f t="shared" si="32"/>
        <v>0</v>
      </c>
      <c r="BI96" s="172">
        <f t="shared" si="32"/>
        <v>0</v>
      </c>
      <c r="BJ96" s="173">
        <f t="shared" si="32"/>
        <v>0</v>
      </c>
      <c r="BK96" s="172"/>
      <c r="BL96" s="172"/>
    </row>
    <row r="97" spans="1:64" s="174" customFormat="1" ht="12.75">
      <c r="A97" s="120" t="s">
        <v>140</v>
      </c>
      <c r="B97" s="170" t="e">
        <f>SUM(C97:BJ97)</f>
        <v>#REF!</v>
      </c>
      <c r="C97" s="171">
        <f>-C66</f>
        <v>-38866568.814096212</v>
      </c>
      <c r="D97" s="172">
        <f>IF(AND(D54&gt;5,E55=0,D55&lt;&gt;0),SUM(D71:$BJ$71)-D66,-D66)</f>
        <v>-41943047.328355543</v>
      </c>
      <c r="E97" s="172" t="e">
        <f>IF(AND(E54&gt;5,F55=0,E55&lt;&gt;0),SUM(E71:$BJ$71)-E66,-E66)</f>
        <v>#REF!</v>
      </c>
      <c r="F97" s="172" t="e">
        <f>IF(AND(F54&gt;5,G55=0,F55&lt;&gt;0),SUM(F71:$BJ$71)-F66,-F66)</f>
        <v>#REF!</v>
      </c>
      <c r="G97" s="172" t="e">
        <f>IF(AND(G54&gt;5,H55=0,G55&lt;&gt;0),SUM(G71:$BJ$71)-G66,-G66)</f>
        <v>#REF!</v>
      </c>
      <c r="H97" s="172">
        <f>IF(AND(H54&gt;5,I55=0,H55&lt;&gt;0),SUM(H71:$BJ$71)-H66,-H66)</f>
        <v>0</v>
      </c>
      <c r="I97" s="172">
        <f>IF(AND(I54&gt;5,J55=0,I55&lt;&gt;0),SUM(I71:$BJ$71)-I66,-I66)</f>
        <v>0</v>
      </c>
      <c r="J97" s="172">
        <f>IF(AND(J54&gt;5,K55=0,J55&lt;&gt;0),SUM(J71:$BJ$71)-J66,-J66)</f>
        <v>0</v>
      </c>
      <c r="K97" s="172">
        <f>IF(AND(K54&gt;5,L55=0,K55&lt;&gt;0),SUM(K71:$BJ$71)-K66,-K66)</f>
        <v>0</v>
      </c>
      <c r="L97" s="172">
        <f>IF(AND(L54&gt;5,M55=0,L55&lt;&gt;0),SUM(L71:$BJ$71)-L66,-L66)</f>
        <v>0</v>
      </c>
      <c r="M97" s="172">
        <f>IF(AND(M54&gt;5,N55=0,M55&lt;&gt;0),SUM(M71:$BJ$71)-M66,-M66)</f>
        <v>0</v>
      </c>
      <c r="N97" s="172">
        <f>IF(AND(N54&gt;5,O55=0,N55&lt;&gt;0),SUM(N71:$BJ$71)-N66,-N66)</f>
        <v>0</v>
      </c>
      <c r="O97" s="172">
        <f>IF(AND(O54&gt;5,P55=0,O55&lt;&gt;0),SUM(O71:$BJ$71)-O66,-O66)</f>
        <v>0</v>
      </c>
      <c r="P97" s="172">
        <f>IF(AND(P54&gt;5,Q55=0,P55&lt;&gt;0),SUM(P71:$BJ$71)-P66,-P66)</f>
        <v>0</v>
      </c>
      <c r="Q97" s="172">
        <f>IF(AND(Q54&gt;5,R55=0,Q55&lt;&gt;0),SUM(Q71:$BJ$71)-Q66,-Q66)</f>
        <v>0</v>
      </c>
      <c r="R97" s="172">
        <f>IF(AND(R54&gt;5,S55=0,R55&lt;&gt;0),SUM(R71:$BJ$71)-R66,-R66)</f>
        <v>0</v>
      </c>
      <c r="S97" s="172">
        <f>IF(AND(S54&gt;5,T55=0,S55&lt;&gt;0),SUM(S71:$BJ$71)-S66,-S66)</f>
        <v>0</v>
      </c>
      <c r="T97" s="172">
        <f>IF(AND(T54&gt;5,U55=0,T55&lt;&gt;0),SUM(T71:$BJ$71)-T66,-T66)</f>
        <v>0</v>
      </c>
      <c r="U97" s="172">
        <f>IF(AND(U54&gt;5,V55=0,U55&lt;&gt;0),SUM(U71:$BJ$71)-U66,-U66)</f>
        <v>0</v>
      </c>
      <c r="V97" s="172">
        <f>IF(AND(V54&gt;5,W55=0,V55&lt;&gt;0),SUM(V71:$BJ$71)-V66,-V66)</f>
        <v>0</v>
      </c>
      <c r="W97" s="172">
        <f>IF(AND(W54&gt;5,X55=0,W55&lt;&gt;0),SUM(W71:$BJ$71)-W66,-W66)</f>
        <v>0</v>
      </c>
      <c r="X97" s="172" t="e">
        <f>IF(AND(X54&gt;5,Y55=0,X55&lt;&gt;0),SUM(X71:$BJ$71)-X66,-X66)</f>
        <v>#REF!</v>
      </c>
      <c r="Y97" s="172">
        <f>IF(AND(Y54&gt;5,Z55=0,Y55&lt;&gt;0),SUM(Y71:$BJ$71)-Y66,-Y66)</f>
        <v>0</v>
      </c>
      <c r="Z97" s="175">
        <f>IF(AND(Z54&gt;5,AA55=0,Z55&lt;&gt;0),SUM(Z71:$BJ$71)-Z66,-Z66)</f>
        <v>0</v>
      </c>
      <c r="AA97" s="172">
        <f>IF(AND(AA54&gt;5,AB55=0,AA55&lt;&gt;0),SUM(AA71:$BJ$71)-AA66,-AA66)</f>
        <v>0</v>
      </c>
      <c r="AB97" s="172">
        <f>IF(AND(AB54&gt;5,AC55=0,AB55&lt;&gt;0),SUM(AB71:$BJ$71)-AB66,-AB66)</f>
        <v>0</v>
      </c>
      <c r="AC97" s="172">
        <f>IF(AND(AC54&gt;5,AD55=0,AC55&lt;&gt;0),SUM(AC71:$BJ$71)-AC66,-AC66)</f>
        <v>0</v>
      </c>
      <c r="AD97" s="172">
        <f>IF(AND(AD54&gt;5,AE55=0,AD55&lt;&gt;0),SUM(AD71:$BJ$71)-AD66,-AD66)</f>
        <v>0</v>
      </c>
      <c r="AE97" s="172">
        <f>IF(AND(AE54&gt;5,AF55=0,AE55&lt;&gt;0),SUM(AE71:$BJ$71)-AE66,-AE66)</f>
        <v>0</v>
      </c>
      <c r="AF97" s="172">
        <f>IF(AND(AF54&gt;5,AG55=0,AF55&lt;&gt;0),SUM(AF71:$BJ$71)-AF66,-AF66)</f>
        <v>0</v>
      </c>
      <c r="AG97" s="172">
        <f>IF(AND(AG54&gt;5,AH55=0,AG55&lt;&gt;0),SUM(AG71:$BJ$71)-AG66,-AG66)</f>
        <v>0</v>
      </c>
      <c r="AH97" s="172">
        <f>IF(AND(AH54&gt;5,AI55=0,AH55&lt;&gt;0),SUM(AH71:$BJ$71)-AH66,-AH66)</f>
        <v>0</v>
      </c>
      <c r="AI97" s="172">
        <f>IF(AND(AI54&gt;5,AJ55=0,AI55&lt;&gt;0),SUM(AI71:$BJ$71)-AI66,-AI66)</f>
        <v>0</v>
      </c>
      <c r="AJ97" s="172">
        <f>IF(AND(AJ54&gt;5,AK55=0,AJ55&lt;&gt;0),SUM(AJ71:$BJ$71)-AJ66,-AJ66)</f>
        <v>0</v>
      </c>
      <c r="AK97" s="172">
        <f>IF(AND(AK54&gt;5,AL55=0,AK55&lt;&gt;0),SUM(AK71:$BJ$71)-AK66,-AK66)</f>
        <v>0</v>
      </c>
      <c r="AL97" s="172">
        <f>IF(AND(AL54&gt;5,AM55=0,AL55&lt;&gt;0),SUM(AL71:$BJ$71)-AL66,-AL66)</f>
        <v>0</v>
      </c>
      <c r="AM97" s="172">
        <f>IF(AND(AM54&gt;5,AN55=0,AM55&lt;&gt;0),SUM(AM71:$BJ$71)-AM66,-AM66)</f>
        <v>0</v>
      </c>
      <c r="AN97" s="172">
        <f>IF(AND(AN54&gt;5,AO55=0,AN55&lt;&gt;0),SUM(AN71:$BJ$71)-AN66,-AN66)</f>
        <v>0</v>
      </c>
      <c r="AO97" s="172">
        <f>IF(AND(AO54&gt;5,AP55=0,AO55&lt;&gt;0),SUM(AO71:$BJ$71)-AO66,-AO66)</f>
        <v>0</v>
      </c>
      <c r="AP97" s="172">
        <f>IF(AND(AP54&gt;5,AQ55=0,AP55&lt;&gt;0),SUM(AP71:$BJ$71)-AP66,-AP66)</f>
        <v>0</v>
      </c>
      <c r="AQ97" s="172">
        <f>IF(AND(AQ54&gt;5,AR55=0,AQ55&lt;&gt;0),SUM(AQ71:$BJ$71)-AQ66,-AQ66)</f>
        <v>0</v>
      </c>
      <c r="AR97" s="172">
        <f>IF(AND(AR54&gt;5,AS55=0,AR55&lt;&gt;0),SUM(AR71:$BJ$71)-AR66,-AR66)</f>
        <v>0</v>
      </c>
      <c r="AS97" s="172">
        <f>IF(AND(AS54&gt;5,AT55=0,AS55&lt;&gt;0),SUM(AS71:$BJ$71)-AS66,-AS66)</f>
        <v>0</v>
      </c>
      <c r="AT97" s="172">
        <f>IF(AND(AT54&gt;5,AU55=0,AT55&lt;&gt;0),SUM(AT71:$BJ$71)-AT66,-AT66)</f>
        <v>0</v>
      </c>
      <c r="AU97" s="172">
        <f>IF(AND(AU54&gt;5,AV55=0,AU55&lt;&gt;0),SUM(AU71:$BJ$71)-AU66,-AU66)</f>
        <v>0</v>
      </c>
      <c r="AV97" s="172">
        <f>IF(AND(AV54&gt;5,AW55=0,AV55&lt;&gt;0),SUM(AV71:$BJ$71)-AV66,-AV66)</f>
        <v>0</v>
      </c>
      <c r="AW97" s="172">
        <f>IF(AND(AW54&gt;5,AX55=0,AW55&lt;&gt;0),SUM(AW71:$BJ$71)-AW66,-AW66)</f>
        <v>0</v>
      </c>
      <c r="AX97" s="172">
        <f>IF(AND(AX54&gt;5,AY55=0,AX55&lt;&gt;0),SUM(AX71:$BJ$71)-AX66,-AX66)</f>
        <v>0</v>
      </c>
      <c r="AY97" s="172">
        <f>IF(AND(AY54&gt;5,AZ55=0,AY55&lt;&gt;0),SUM(AY71:$BJ$71)-AY66,-AY66)</f>
        <v>0</v>
      </c>
      <c r="AZ97" s="172">
        <f>IF(AND(AZ54&gt;5,BA55=0,AZ55&lt;&gt;0),SUM(AZ71:$BJ$71)-AZ66,-AZ66)</f>
        <v>0</v>
      </c>
      <c r="BA97" s="172">
        <f>IF(AND(BA54&gt;5,BB55=0,BA55&lt;&gt;0),SUM(BA71:$BJ$71)-BA66,-BA66)</f>
        <v>0</v>
      </c>
      <c r="BB97" s="172">
        <f>IF(AND(BB54&gt;5,BC55=0,BB55&lt;&gt;0),SUM(BB71:$BJ$71)-BB66,-BB66)</f>
        <v>0</v>
      </c>
      <c r="BC97" s="172">
        <f>IF(AND(BC54&gt;5,BD55=0,BC55&lt;&gt;0),SUM(BC71:$BJ$71)-BC66,-BC66)</f>
        <v>0</v>
      </c>
      <c r="BD97" s="172">
        <f>IF(AND(BD54&gt;5,BE55=0,BD55&lt;&gt;0),SUM(BD71:$BJ$71)-BD66,-BD66)</f>
        <v>0</v>
      </c>
      <c r="BE97" s="172">
        <f>IF(AND(BE54&gt;5,BF55=0,BE55&lt;&gt;0),SUM(BE71:$BJ$71)-BE66,-BE66)</f>
        <v>0</v>
      </c>
      <c r="BF97" s="172">
        <f>IF(AND(BF54&gt;5,BG55=0,BF55&lt;&gt;0),SUM(BF71:$BJ$71)-BF66,-BF66)</f>
        <v>0</v>
      </c>
      <c r="BG97" s="172">
        <f>IF(AND(BG54&gt;5,BH55=0,BG55&lt;&gt;0),SUM(BG71:$BJ$71)-BG66,-BG66)</f>
        <v>0</v>
      </c>
      <c r="BH97" s="172">
        <f>IF(AND(BH54&gt;5,BI55=0,BH55&lt;&gt;0),SUM(BH71:$BJ$71)-BH66,-BH66)</f>
        <v>0</v>
      </c>
      <c r="BI97" s="172">
        <f>IF(AND(BI54&gt;5,BJ55=0,BI55&lt;&gt;0),SUM(BI71:$BJ$71)-BI66,-BI66)</f>
        <v>0</v>
      </c>
      <c r="BJ97" s="173">
        <f>IF(AND(BJ54&gt;5,BK55=0,BJ55&lt;&gt;0),SUM(BJ71:$BJ$71)-BJ66,-BJ66)</f>
        <v>0</v>
      </c>
      <c r="BK97" s="172"/>
      <c r="BL97" s="172"/>
    </row>
    <row r="98" spans="1:64" s="160" customFormat="1">
      <c r="A98" s="176" t="s">
        <v>141</v>
      </c>
      <c r="B98" s="177" t="e">
        <f>SUM(C98:BJ98)</f>
        <v>#REF!</v>
      </c>
      <c r="C98" s="178" t="e">
        <f t="shared" ref="C98:BJ98" si="33">C93+C96</f>
        <v>#REF!</v>
      </c>
      <c r="D98" s="179" t="e">
        <f t="shared" si="33"/>
        <v>#REF!</v>
      </c>
      <c r="E98" s="179" t="e">
        <f t="shared" si="33"/>
        <v>#REF!</v>
      </c>
      <c r="F98" s="179" t="e">
        <f t="shared" si="33"/>
        <v>#REF!</v>
      </c>
      <c r="G98" s="179" t="e">
        <f t="shared" si="33"/>
        <v>#REF!</v>
      </c>
      <c r="H98" s="179" t="e">
        <f t="shared" si="33"/>
        <v>#REF!</v>
      </c>
      <c r="I98" s="179" t="e">
        <f t="shared" si="33"/>
        <v>#REF!</v>
      </c>
      <c r="J98" s="179" t="e">
        <f t="shared" si="33"/>
        <v>#REF!</v>
      </c>
      <c r="K98" s="179" t="e">
        <f t="shared" si="33"/>
        <v>#REF!</v>
      </c>
      <c r="L98" s="179" t="e">
        <f t="shared" si="33"/>
        <v>#REF!</v>
      </c>
      <c r="M98" s="179" t="e">
        <f t="shared" si="33"/>
        <v>#REF!</v>
      </c>
      <c r="N98" s="179" t="e">
        <f t="shared" si="33"/>
        <v>#REF!</v>
      </c>
      <c r="O98" s="179" t="e">
        <f t="shared" si="33"/>
        <v>#REF!</v>
      </c>
      <c r="P98" s="179" t="e">
        <f t="shared" si="33"/>
        <v>#REF!</v>
      </c>
      <c r="Q98" s="179" t="e">
        <f t="shared" si="33"/>
        <v>#REF!</v>
      </c>
      <c r="R98" s="179" t="e">
        <f t="shared" si="33"/>
        <v>#REF!</v>
      </c>
      <c r="S98" s="179" t="e">
        <f t="shared" si="33"/>
        <v>#REF!</v>
      </c>
      <c r="T98" s="179" t="e">
        <f t="shared" si="33"/>
        <v>#REF!</v>
      </c>
      <c r="U98" s="179" t="e">
        <f t="shared" si="33"/>
        <v>#REF!</v>
      </c>
      <c r="V98" s="179" t="e">
        <f t="shared" si="33"/>
        <v>#REF!</v>
      </c>
      <c r="W98" s="179" t="e">
        <f t="shared" si="33"/>
        <v>#REF!</v>
      </c>
      <c r="X98" s="179" t="e">
        <f t="shared" si="33"/>
        <v>#REF!</v>
      </c>
      <c r="Y98" s="179" t="e">
        <f t="shared" si="33"/>
        <v>#REF!</v>
      </c>
      <c r="Z98" s="179" t="e">
        <f t="shared" si="33"/>
        <v>#REF!</v>
      </c>
      <c r="AA98" s="179" t="e">
        <f t="shared" si="33"/>
        <v>#REF!</v>
      </c>
      <c r="AB98" s="179" t="e">
        <f t="shared" si="33"/>
        <v>#REF!</v>
      </c>
      <c r="AC98" s="179" t="e">
        <f t="shared" si="33"/>
        <v>#REF!</v>
      </c>
      <c r="AD98" s="179" t="e">
        <f t="shared" si="33"/>
        <v>#REF!</v>
      </c>
      <c r="AE98" s="179" t="e">
        <f t="shared" si="33"/>
        <v>#REF!</v>
      </c>
      <c r="AF98" s="179" t="e">
        <f t="shared" si="33"/>
        <v>#REF!</v>
      </c>
      <c r="AG98" s="179" t="e">
        <f t="shared" si="33"/>
        <v>#REF!</v>
      </c>
      <c r="AH98" s="179" t="e">
        <f t="shared" si="33"/>
        <v>#REF!</v>
      </c>
      <c r="AI98" s="179" t="e">
        <f t="shared" si="33"/>
        <v>#REF!</v>
      </c>
      <c r="AJ98" s="179" t="e">
        <f t="shared" si="33"/>
        <v>#REF!</v>
      </c>
      <c r="AK98" s="179" t="e">
        <f t="shared" si="33"/>
        <v>#REF!</v>
      </c>
      <c r="AL98" s="179" t="e">
        <f t="shared" si="33"/>
        <v>#REF!</v>
      </c>
      <c r="AM98" s="179" t="e">
        <f t="shared" si="33"/>
        <v>#REF!</v>
      </c>
      <c r="AN98" s="179" t="e">
        <f t="shared" si="33"/>
        <v>#REF!</v>
      </c>
      <c r="AO98" s="179" t="e">
        <f t="shared" si="33"/>
        <v>#REF!</v>
      </c>
      <c r="AP98" s="179" t="e">
        <f t="shared" si="33"/>
        <v>#REF!</v>
      </c>
      <c r="AQ98" s="179" t="e">
        <f t="shared" si="33"/>
        <v>#REF!</v>
      </c>
      <c r="AR98" s="179" t="e">
        <f t="shared" si="33"/>
        <v>#REF!</v>
      </c>
      <c r="AS98" s="179" t="e">
        <f t="shared" si="33"/>
        <v>#REF!</v>
      </c>
      <c r="AT98" s="179" t="e">
        <f t="shared" si="33"/>
        <v>#REF!</v>
      </c>
      <c r="AU98" s="179" t="e">
        <f t="shared" si="33"/>
        <v>#REF!</v>
      </c>
      <c r="AV98" s="179" t="e">
        <f t="shared" si="33"/>
        <v>#REF!</v>
      </c>
      <c r="AW98" s="179" t="e">
        <f t="shared" si="33"/>
        <v>#REF!</v>
      </c>
      <c r="AX98" s="179" t="e">
        <f t="shared" si="33"/>
        <v>#REF!</v>
      </c>
      <c r="AY98" s="179" t="e">
        <f t="shared" si="33"/>
        <v>#REF!</v>
      </c>
      <c r="AZ98" s="179" t="e">
        <f t="shared" si="33"/>
        <v>#REF!</v>
      </c>
      <c r="BA98" s="179" t="e">
        <f t="shared" si="33"/>
        <v>#REF!</v>
      </c>
      <c r="BB98" s="179" t="e">
        <f t="shared" si="33"/>
        <v>#REF!</v>
      </c>
      <c r="BC98" s="179" t="e">
        <f t="shared" si="33"/>
        <v>#REF!</v>
      </c>
      <c r="BD98" s="179" t="e">
        <f t="shared" si="33"/>
        <v>#REF!</v>
      </c>
      <c r="BE98" s="179" t="e">
        <f t="shared" si="33"/>
        <v>#REF!</v>
      </c>
      <c r="BF98" s="179" t="e">
        <f t="shared" si="33"/>
        <v>#REF!</v>
      </c>
      <c r="BG98" s="179" t="e">
        <f t="shared" si="33"/>
        <v>#REF!</v>
      </c>
      <c r="BH98" s="179" t="e">
        <f t="shared" si="33"/>
        <v>#REF!</v>
      </c>
      <c r="BI98" s="179" t="e">
        <f t="shared" si="33"/>
        <v>#REF!</v>
      </c>
      <c r="BJ98" s="180" t="e">
        <f t="shared" si="33"/>
        <v>#REF!</v>
      </c>
    </row>
    <row r="99" spans="1:64" s="80" customFormat="1">
      <c r="A99" s="176" t="s">
        <v>142</v>
      </c>
      <c r="B99" s="177" t="e">
        <f>SUM(C99:BJ99)</f>
        <v>#REF!</v>
      </c>
      <c r="C99" s="181" t="e">
        <f t="shared" ref="C99:BJ99" si="34">C98*(1+$C$53)^-(C54-1)</f>
        <v>#REF!</v>
      </c>
      <c r="D99" s="182" t="e">
        <f t="shared" si="34"/>
        <v>#REF!</v>
      </c>
      <c r="E99" s="182" t="e">
        <f t="shared" si="34"/>
        <v>#REF!</v>
      </c>
      <c r="F99" s="182" t="e">
        <f t="shared" si="34"/>
        <v>#REF!</v>
      </c>
      <c r="G99" s="182" t="e">
        <f t="shared" si="34"/>
        <v>#REF!</v>
      </c>
      <c r="H99" s="182" t="e">
        <f t="shared" si="34"/>
        <v>#REF!</v>
      </c>
      <c r="I99" s="182" t="e">
        <f t="shared" si="34"/>
        <v>#REF!</v>
      </c>
      <c r="J99" s="182" t="e">
        <f t="shared" si="34"/>
        <v>#REF!</v>
      </c>
      <c r="K99" s="182" t="e">
        <f t="shared" si="34"/>
        <v>#REF!</v>
      </c>
      <c r="L99" s="182" t="e">
        <f t="shared" si="34"/>
        <v>#REF!</v>
      </c>
      <c r="M99" s="182" t="e">
        <f t="shared" si="34"/>
        <v>#REF!</v>
      </c>
      <c r="N99" s="182" t="e">
        <f t="shared" si="34"/>
        <v>#REF!</v>
      </c>
      <c r="O99" s="182" t="e">
        <f t="shared" si="34"/>
        <v>#REF!</v>
      </c>
      <c r="P99" s="182" t="e">
        <f t="shared" si="34"/>
        <v>#REF!</v>
      </c>
      <c r="Q99" s="182" t="e">
        <f t="shared" si="34"/>
        <v>#REF!</v>
      </c>
      <c r="R99" s="182" t="e">
        <f t="shared" si="34"/>
        <v>#REF!</v>
      </c>
      <c r="S99" s="182" t="e">
        <f t="shared" si="34"/>
        <v>#REF!</v>
      </c>
      <c r="T99" s="182" t="e">
        <f t="shared" si="34"/>
        <v>#REF!</v>
      </c>
      <c r="U99" s="182" t="e">
        <f t="shared" si="34"/>
        <v>#REF!</v>
      </c>
      <c r="V99" s="182" t="e">
        <f t="shared" si="34"/>
        <v>#REF!</v>
      </c>
      <c r="W99" s="182" t="e">
        <f t="shared" si="34"/>
        <v>#REF!</v>
      </c>
      <c r="X99" s="182" t="e">
        <f t="shared" si="34"/>
        <v>#REF!</v>
      </c>
      <c r="Y99" s="182" t="e">
        <f t="shared" si="34"/>
        <v>#REF!</v>
      </c>
      <c r="Z99" s="182" t="e">
        <f t="shared" si="34"/>
        <v>#REF!</v>
      </c>
      <c r="AA99" s="182" t="e">
        <f t="shared" si="34"/>
        <v>#REF!</v>
      </c>
      <c r="AB99" s="182" t="e">
        <f t="shared" si="34"/>
        <v>#REF!</v>
      </c>
      <c r="AC99" s="182" t="e">
        <f t="shared" si="34"/>
        <v>#REF!</v>
      </c>
      <c r="AD99" s="182" t="e">
        <f t="shared" si="34"/>
        <v>#REF!</v>
      </c>
      <c r="AE99" s="182" t="e">
        <f t="shared" si="34"/>
        <v>#REF!</v>
      </c>
      <c r="AF99" s="182" t="e">
        <f t="shared" si="34"/>
        <v>#REF!</v>
      </c>
      <c r="AG99" s="182" t="e">
        <f t="shared" si="34"/>
        <v>#REF!</v>
      </c>
      <c r="AH99" s="182" t="e">
        <f t="shared" si="34"/>
        <v>#REF!</v>
      </c>
      <c r="AI99" s="182" t="e">
        <f t="shared" si="34"/>
        <v>#REF!</v>
      </c>
      <c r="AJ99" s="182" t="e">
        <f t="shared" si="34"/>
        <v>#REF!</v>
      </c>
      <c r="AK99" s="182" t="e">
        <f t="shared" si="34"/>
        <v>#REF!</v>
      </c>
      <c r="AL99" s="182" t="e">
        <f t="shared" si="34"/>
        <v>#REF!</v>
      </c>
      <c r="AM99" s="182" t="e">
        <f t="shared" si="34"/>
        <v>#REF!</v>
      </c>
      <c r="AN99" s="182" t="e">
        <f t="shared" si="34"/>
        <v>#REF!</v>
      </c>
      <c r="AO99" s="182" t="e">
        <f t="shared" si="34"/>
        <v>#REF!</v>
      </c>
      <c r="AP99" s="182" t="e">
        <f t="shared" si="34"/>
        <v>#REF!</v>
      </c>
      <c r="AQ99" s="182" t="e">
        <f t="shared" si="34"/>
        <v>#REF!</v>
      </c>
      <c r="AR99" s="182" t="e">
        <f t="shared" si="34"/>
        <v>#REF!</v>
      </c>
      <c r="AS99" s="182" t="e">
        <f t="shared" si="34"/>
        <v>#REF!</v>
      </c>
      <c r="AT99" s="182" t="e">
        <f t="shared" si="34"/>
        <v>#REF!</v>
      </c>
      <c r="AU99" s="182" t="e">
        <f t="shared" si="34"/>
        <v>#REF!</v>
      </c>
      <c r="AV99" s="182" t="e">
        <f t="shared" si="34"/>
        <v>#REF!</v>
      </c>
      <c r="AW99" s="182" t="e">
        <f t="shared" si="34"/>
        <v>#REF!</v>
      </c>
      <c r="AX99" s="182" t="e">
        <f t="shared" si="34"/>
        <v>#REF!</v>
      </c>
      <c r="AY99" s="182" t="e">
        <f t="shared" si="34"/>
        <v>#REF!</v>
      </c>
      <c r="AZ99" s="182" t="e">
        <f t="shared" si="34"/>
        <v>#REF!</v>
      </c>
      <c r="BA99" s="182" t="e">
        <f t="shared" si="34"/>
        <v>#REF!</v>
      </c>
      <c r="BB99" s="182" t="e">
        <f t="shared" si="34"/>
        <v>#REF!</v>
      </c>
      <c r="BC99" s="182" t="e">
        <f t="shared" si="34"/>
        <v>#REF!</v>
      </c>
      <c r="BD99" s="182" t="e">
        <f t="shared" si="34"/>
        <v>#REF!</v>
      </c>
      <c r="BE99" s="182" t="e">
        <f t="shared" si="34"/>
        <v>#REF!</v>
      </c>
      <c r="BF99" s="182" t="e">
        <f t="shared" si="34"/>
        <v>#REF!</v>
      </c>
      <c r="BG99" s="182" t="e">
        <f t="shared" si="34"/>
        <v>#REF!</v>
      </c>
      <c r="BH99" s="182" t="e">
        <f t="shared" si="34"/>
        <v>#REF!</v>
      </c>
      <c r="BI99" s="182" t="e">
        <f t="shared" si="34"/>
        <v>#REF!</v>
      </c>
      <c r="BJ99" s="183" t="e">
        <f t="shared" si="34"/>
        <v>#REF!</v>
      </c>
    </row>
    <row r="100" spans="1:64" s="80" customFormat="1">
      <c r="A100" s="184" t="s">
        <v>143</v>
      </c>
      <c r="B100" s="177"/>
      <c r="C100" s="181" t="e">
        <f>C99</f>
        <v>#REF!</v>
      </c>
      <c r="D100" s="182" t="e">
        <f>IF(D99=0, 0, C100+D99)</f>
        <v>#REF!</v>
      </c>
      <c r="E100" s="182" t="e">
        <f>IF(E99=0, 0, D100+E99)</f>
        <v>#REF!</v>
      </c>
      <c r="F100" s="182" t="e">
        <f t="shared" ref="F100:BJ100" si="35">IF(F99=0, 0, E100+F99)</f>
        <v>#REF!</v>
      </c>
      <c r="G100" s="182" t="e">
        <f t="shared" si="35"/>
        <v>#REF!</v>
      </c>
      <c r="H100" s="182" t="e">
        <f t="shared" si="35"/>
        <v>#REF!</v>
      </c>
      <c r="I100" s="182" t="e">
        <f t="shared" si="35"/>
        <v>#REF!</v>
      </c>
      <c r="J100" s="182" t="e">
        <f t="shared" si="35"/>
        <v>#REF!</v>
      </c>
      <c r="K100" s="182" t="e">
        <f t="shared" si="35"/>
        <v>#REF!</v>
      </c>
      <c r="L100" s="182" t="e">
        <f t="shared" si="35"/>
        <v>#REF!</v>
      </c>
      <c r="M100" s="182" t="e">
        <f t="shared" si="35"/>
        <v>#REF!</v>
      </c>
      <c r="N100" s="182" t="e">
        <f t="shared" si="35"/>
        <v>#REF!</v>
      </c>
      <c r="O100" s="182" t="e">
        <f t="shared" si="35"/>
        <v>#REF!</v>
      </c>
      <c r="P100" s="182" t="e">
        <f t="shared" si="35"/>
        <v>#REF!</v>
      </c>
      <c r="Q100" s="182" t="e">
        <f t="shared" si="35"/>
        <v>#REF!</v>
      </c>
      <c r="R100" s="182" t="e">
        <f t="shared" si="35"/>
        <v>#REF!</v>
      </c>
      <c r="S100" s="182" t="e">
        <f t="shared" si="35"/>
        <v>#REF!</v>
      </c>
      <c r="T100" s="182" t="e">
        <f t="shared" si="35"/>
        <v>#REF!</v>
      </c>
      <c r="U100" s="182" t="e">
        <f t="shared" si="35"/>
        <v>#REF!</v>
      </c>
      <c r="V100" s="182" t="e">
        <f t="shared" si="35"/>
        <v>#REF!</v>
      </c>
      <c r="W100" s="182" t="e">
        <f t="shared" si="35"/>
        <v>#REF!</v>
      </c>
      <c r="X100" s="182" t="e">
        <f t="shared" si="35"/>
        <v>#REF!</v>
      </c>
      <c r="Y100" s="182" t="e">
        <f t="shared" si="35"/>
        <v>#REF!</v>
      </c>
      <c r="Z100" s="182" t="e">
        <f t="shared" si="35"/>
        <v>#REF!</v>
      </c>
      <c r="AA100" s="182" t="e">
        <f t="shared" si="35"/>
        <v>#REF!</v>
      </c>
      <c r="AB100" s="182" t="e">
        <f t="shared" si="35"/>
        <v>#REF!</v>
      </c>
      <c r="AC100" s="182" t="e">
        <f t="shared" si="35"/>
        <v>#REF!</v>
      </c>
      <c r="AD100" s="182" t="e">
        <f t="shared" si="35"/>
        <v>#REF!</v>
      </c>
      <c r="AE100" s="182" t="e">
        <f t="shared" si="35"/>
        <v>#REF!</v>
      </c>
      <c r="AF100" s="182" t="e">
        <f t="shared" si="35"/>
        <v>#REF!</v>
      </c>
      <c r="AG100" s="182" t="e">
        <f t="shared" si="35"/>
        <v>#REF!</v>
      </c>
      <c r="AH100" s="182" t="e">
        <f t="shared" si="35"/>
        <v>#REF!</v>
      </c>
      <c r="AI100" s="182" t="e">
        <f t="shared" si="35"/>
        <v>#REF!</v>
      </c>
      <c r="AJ100" s="182" t="e">
        <f t="shared" si="35"/>
        <v>#REF!</v>
      </c>
      <c r="AK100" s="182" t="e">
        <f t="shared" si="35"/>
        <v>#REF!</v>
      </c>
      <c r="AL100" s="182" t="e">
        <f t="shared" si="35"/>
        <v>#REF!</v>
      </c>
      <c r="AM100" s="182" t="e">
        <f t="shared" si="35"/>
        <v>#REF!</v>
      </c>
      <c r="AN100" s="182" t="e">
        <f t="shared" si="35"/>
        <v>#REF!</v>
      </c>
      <c r="AO100" s="182" t="e">
        <f t="shared" si="35"/>
        <v>#REF!</v>
      </c>
      <c r="AP100" s="182" t="e">
        <f t="shared" si="35"/>
        <v>#REF!</v>
      </c>
      <c r="AQ100" s="182" t="e">
        <f t="shared" si="35"/>
        <v>#REF!</v>
      </c>
      <c r="AR100" s="182" t="e">
        <f t="shared" si="35"/>
        <v>#REF!</v>
      </c>
      <c r="AS100" s="182" t="e">
        <f t="shared" si="35"/>
        <v>#REF!</v>
      </c>
      <c r="AT100" s="182" t="e">
        <f t="shared" si="35"/>
        <v>#REF!</v>
      </c>
      <c r="AU100" s="182" t="e">
        <f t="shared" si="35"/>
        <v>#REF!</v>
      </c>
      <c r="AV100" s="182" t="e">
        <f t="shared" si="35"/>
        <v>#REF!</v>
      </c>
      <c r="AW100" s="182" t="e">
        <f t="shared" si="35"/>
        <v>#REF!</v>
      </c>
      <c r="AX100" s="182" t="e">
        <f t="shared" si="35"/>
        <v>#REF!</v>
      </c>
      <c r="AY100" s="182" t="e">
        <f t="shared" si="35"/>
        <v>#REF!</v>
      </c>
      <c r="AZ100" s="182" t="e">
        <f t="shared" si="35"/>
        <v>#REF!</v>
      </c>
      <c r="BA100" s="182" t="e">
        <f t="shared" si="35"/>
        <v>#REF!</v>
      </c>
      <c r="BB100" s="182" t="e">
        <f t="shared" si="35"/>
        <v>#REF!</v>
      </c>
      <c r="BC100" s="182" t="e">
        <f t="shared" si="35"/>
        <v>#REF!</v>
      </c>
      <c r="BD100" s="182" t="e">
        <f t="shared" si="35"/>
        <v>#REF!</v>
      </c>
      <c r="BE100" s="182" t="e">
        <f t="shared" si="35"/>
        <v>#REF!</v>
      </c>
      <c r="BF100" s="182" t="e">
        <f t="shared" si="35"/>
        <v>#REF!</v>
      </c>
      <c r="BG100" s="182" t="e">
        <f t="shared" si="35"/>
        <v>#REF!</v>
      </c>
      <c r="BH100" s="182" t="e">
        <f t="shared" si="35"/>
        <v>#REF!</v>
      </c>
      <c r="BI100" s="182" t="e">
        <f t="shared" si="35"/>
        <v>#REF!</v>
      </c>
      <c r="BJ100" s="183" t="e">
        <f t="shared" si="35"/>
        <v>#REF!</v>
      </c>
    </row>
    <row r="101" spans="1:64" s="83" customFormat="1">
      <c r="A101" s="78"/>
      <c r="B101" s="81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</row>
    <row r="102" spans="1:64" ht="21">
      <c r="A102" s="185" t="s">
        <v>157</v>
      </c>
      <c r="B102" s="93"/>
      <c r="C102" s="186"/>
      <c r="D102" s="186"/>
      <c r="E102" s="186"/>
      <c r="F102" s="186"/>
      <c r="G102" s="186"/>
      <c r="H102" s="186"/>
      <c r="I102" s="186"/>
      <c r="J102" s="186"/>
      <c r="K102" s="186"/>
      <c r="L102" s="186"/>
      <c r="M102" s="186"/>
      <c r="N102" s="186"/>
      <c r="O102" s="186"/>
      <c r="P102" s="186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</row>
    <row r="103" spans="1:64">
      <c r="A103" s="187" t="s">
        <v>158</v>
      </c>
      <c r="B103" s="188">
        <f>SUM(C103:BJ103)</f>
        <v>702.48726256162092</v>
      </c>
      <c r="C103" s="189">
        <f t="shared" ref="C103:BJ103" si="36">(C55*(1-$K$53))/(1+$C$53)^(C54-1)</f>
        <v>0</v>
      </c>
      <c r="D103" s="190">
        <f t="shared" si="36"/>
        <v>0</v>
      </c>
      <c r="E103" s="190">
        <f t="shared" si="36"/>
        <v>0</v>
      </c>
      <c r="F103" s="190">
        <f t="shared" si="36"/>
        <v>0</v>
      </c>
      <c r="G103" s="190">
        <f t="shared" si="36"/>
        <v>0</v>
      </c>
      <c r="H103" s="190">
        <f t="shared" si="36"/>
        <v>19.919519770001418</v>
      </c>
      <c r="I103" s="190">
        <f t="shared" si="36"/>
        <v>35.570571017859677</v>
      </c>
      <c r="J103" s="190">
        <f t="shared" si="36"/>
        <v>47.639157613204922</v>
      </c>
      <c r="K103" s="190">
        <f t="shared" si="36"/>
        <v>56.713282872862997</v>
      </c>
      <c r="L103" s="190">
        <f t="shared" si="36"/>
        <v>84.058196823206188</v>
      </c>
      <c r="M103" s="190">
        <f t="shared" si="36"/>
        <v>75.051961449291241</v>
      </c>
      <c r="N103" s="190">
        <f t="shared" si="36"/>
        <v>67.01067986543859</v>
      </c>
      <c r="O103" s="190">
        <f t="shared" si="36"/>
        <v>59.83096416557018</v>
      </c>
      <c r="P103" s="190">
        <f t="shared" si="36"/>
        <v>53.420503719259081</v>
      </c>
      <c r="Q103" s="190">
        <f t="shared" si="36"/>
        <v>47.696878320767027</v>
      </c>
      <c r="R103" s="190">
        <f t="shared" si="36"/>
        <v>42.586498500684854</v>
      </c>
      <c r="S103" s="190">
        <f t="shared" si="36"/>
        <v>38.023659375611466</v>
      </c>
      <c r="T103" s="190">
        <f t="shared" si="36"/>
        <v>33.949695871081666</v>
      </c>
      <c r="U103" s="190">
        <f t="shared" si="36"/>
        <v>18.260159244259384</v>
      </c>
      <c r="V103" s="190">
        <f t="shared" si="36"/>
        <v>12.227785208209408</v>
      </c>
      <c r="W103" s="190">
        <f t="shared" si="36"/>
        <v>7.2784435763151238</v>
      </c>
      <c r="X103" s="190">
        <f t="shared" si="36"/>
        <v>3.2493051679978229</v>
      </c>
      <c r="Y103" s="190">
        <f t="shared" si="36"/>
        <v>0</v>
      </c>
      <c r="Z103" s="190">
        <f t="shared" si="36"/>
        <v>0</v>
      </c>
      <c r="AA103" s="190">
        <f t="shared" si="36"/>
        <v>0</v>
      </c>
      <c r="AB103" s="190">
        <f t="shared" si="36"/>
        <v>0</v>
      </c>
      <c r="AC103" s="190">
        <f t="shared" si="36"/>
        <v>0</v>
      </c>
      <c r="AD103" s="190">
        <f t="shared" si="36"/>
        <v>0</v>
      </c>
      <c r="AE103" s="190">
        <f t="shared" si="36"/>
        <v>0</v>
      </c>
      <c r="AF103" s="190">
        <f t="shared" si="36"/>
        <v>0</v>
      </c>
      <c r="AG103" s="190">
        <f t="shared" si="36"/>
        <v>0</v>
      </c>
      <c r="AH103" s="190">
        <f t="shared" si="36"/>
        <v>0</v>
      </c>
      <c r="AI103" s="190">
        <f t="shared" si="36"/>
        <v>0</v>
      </c>
      <c r="AJ103" s="190">
        <f t="shared" si="36"/>
        <v>0</v>
      </c>
      <c r="AK103" s="190">
        <f t="shared" si="36"/>
        <v>0</v>
      </c>
      <c r="AL103" s="190">
        <f t="shared" si="36"/>
        <v>0</v>
      </c>
      <c r="AM103" s="190">
        <f t="shared" si="36"/>
        <v>0</v>
      </c>
      <c r="AN103" s="190">
        <f t="shared" si="36"/>
        <v>0</v>
      </c>
      <c r="AO103" s="190">
        <f t="shared" si="36"/>
        <v>0</v>
      </c>
      <c r="AP103" s="190">
        <f t="shared" si="36"/>
        <v>0</v>
      </c>
      <c r="AQ103" s="190">
        <f t="shared" si="36"/>
        <v>0</v>
      </c>
      <c r="AR103" s="190">
        <f t="shared" si="36"/>
        <v>0</v>
      </c>
      <c r="AS103" s="190">
        <f t="shared" si="36"/>
        <v>0</v>
      </c>
      <c r="AT103" s="190">
        <f t="shared" si="36"/>
        <v>0</v>
      </c>
      <c r="AU103" s="190">
        <f t="shared" si="36"/>
        <v>0</v>
      </c>
      <c r="AV103" s="190">
        <f t="shared" si="36"/>
        <v>0</v>
      </c>
      <c r="AW103" s="190">
        <f t="shared" si="36"/>
        <v>0</v>
      </c>
      <c r="AX103" s="190">
        <f t="shared" si="36"/>
        <v>0</v>
      </c>
      <c r="AY103" s="190">
        <f t="shared" si="36"/>
        <v>0</v>
      </c>
      <c r="AZ103" s="190">
        <f t="shared" si="36"/>
        <v>0</v>
      </c>
      <c r="BA103" s="190">
        <f t="shared" si="36"/>
        <v>0</v>
      </c>
      <c r="BB103" s="190">
        <f t="shared" si="36"/>
        <v>0</v>
      </c>
      <c r="BC103" s="190">
        <f t="shared" si="36"/>
        <v>0</v>
      </c>
      <c r="BD103" s="190">
        <f t="shared" si="36"/>
        <v>0</v>
      </c>
      <c r="BE103" s="190">
        <f t="shared" si="36"/>
        <v>0</v>
      </c>
      <c r="BF103" s="190">
        <f t="shared" si="36"/>
        <v>0</v>
      </c>
      <c r="BG103" s="190">
        <f t="shared" si="36"/>
        <v>0</v>
      </c>
      <c r="BH103" s="190">
        <f t="shared" si="36"/>
        <v>0</v>
      </c>
      <c r="BI103" s="190">
        <f t="shared" si="36"/>
        <v>0</v>
      </c>
      <c r="BJ103" s="191">
        <f t="shared" si="36"/>
        <v>0</v>
      </c>
    </row>
    <row r="104" spans="1:64">
      <c r="A104" s="192" t="s">
        <v>159</v>
      </c>
      <c r="B104" s="193" t="e">
        <f>SUM(C104:BJ104)</f>
        <v>#REF!</v>
      </c>
      <c r="C104" s="194" t="e">
        <f t="shared" ref="C104:BJ104" si="37">(((C57+C86)*(1-$K$53))-(C96-C66))/(1+$C$53)^(C54-1)</f>
        <v>#REF!</v>
      </c>
      <c r="D104" s="186" t="e">
        <f t="shared" si="37"/>
        <v>#REF!</v>
      </c>
      <c r="E104" s="186" t="e">
        <f>(((E57+E86)*(1-$K$53))-(E96-E66))/(1+$C$53)^(E54-1)</f>
        <v>#REF!</v>
      </c>
      <c r="F104" s="186" t="e">
        <f t="shared" si="37"/>
        <v>#REF!</v>
      </c>
      <c r="G104" s="186" t="e">
        <f t="shared" si="37"/>
        <v>#REF!</v>
      </c>
      <c r="H104" s="186" t="e">
        <f t="shared" si="37"/>
        <v>#REF!</v>
      </c>
      <c r="I104" s="186" t="e">
        <f t="shared" si="37"/>
        <v>#REF!</v>
      </c>
      <c r="J104" s="186" t="e">
        <f t="shared" si="37"/>
        <v>#REF!</v>
      </c>
      <c r="K104" s="186" t="e">
        <f t="shared" si="37"/>
        <v>#REF!</v>
      </c>
      <c r="L104" s="186" t="e">
        <f t="shared" si="37"/>
        <v>#REF!</v>
      </c>
      <c r="M104" s="186" t="e">
        <f t="shared" si="37"/>
        <v>#REF!</v>
      </c>
      <c r="N104" s="186" t="e">
        <f t="shared" si="37"/>
        <v>#REF!</v>
      </c>
      <c r="O104" s="186" t="e">
        <f t="shared" si="37"/>
        <v>#REF!</v>
      </c>
      <c r="P104" s="186" t="e">
        <f t="shared" si="37"/>
        <v>#REF!</v>
      </c>
      <c r="Q104" s="186" t="e">
        <f t="shared" si="37"/>
        <v>#REF!</v>
      </c>
      <c r="R104" s="186" t="e">
        <f t="shared" si="37"/>
        <v>#REF!</v>
      </c>
      <c r="S104" s="186" t="e">
        <f t="shared" si="37"/>
        <v>#REF!</v>
      </c>
      <c r="T104" s="186" t="e">
        <f t="shared" si="37"/>
        <v>#REF!</v>
      </c>
      <c r="U104" s="186" t="e">
        <f t="shared" si="37"/>
        <v>#REF!</v>
      </c>
      <c r="V104" s="186" t="e">
        <f t="shared" si="37"/>
        <v>#REF!</v>
      </c>
      <c r="W104" s="186" t="e">
        <f t="shared" si="37"/>
        <v>#REF!</v>
      </c>
      <c r="X104" s="186" t="e">
        <f t="shared" si="37"/>
        <v>#REF!</v>
      </c>
      <c r="Y104" s="186" t="e">
        <f t="shared" si="37"/>
        <v>#REF!</v>
      </c>
      <c r="Z104" s="186" t="e">
        <f t="shared" si="37"/>
        <v>#REF!</v>
      </c>
      <c r="AA104" s="186" t="e">
        <f t="shared" si="37"/>
        <v>#REF!</v>
      </c>
      <c r="AB104" s="186" t="e">
        <f t="shared" si="37"/>
        <v>#REF!</v>
      </c>
      <c r="AC104" s="186" t="e">
        <f t="shared" si="37"/>
        <v>#REF!</v>
      </c>
      <c r="AD104" s="186" t="e">
        <f t="shared" si="37"/>
        <v>#REF!</v>
      </c>
      <c r="AE104" s="186" t="e">
        <f t="shared" si="37"/>
        <v>#REF!</v>
      </c>
      <c r="AF104" s="186" t="e">
        <f t="shared" si="37"/>
        <v>#REF!</v>
      </c>
      <c r="AG104" s="186" t="e">
        <f t="shared" si="37"/>
        <v>#REF!</v>
      </c>
      <c r="AH104" s="186" t="e">
        <f t="shared" si="37"/>
        <v>#REF!</v>
      </c>
      <c r="AI104" s="186" t="e">
        <f t="shared" si="37"/>
        <v>#REF!</v>
      </c>
      <c r="AJ104" s="186" t="e">
        <f t="shared" si="37"/>
        <v>#REF!</v>
      </c>
      <c r="AK104" s="186" t="e">
        <f t="shared" si="37"/>
        <v>#REF!</v>
      </c>
      <c r="AL104" s="186" t="e">
        <f t="shared" si="37"/>
        <v>#REF!</v>
      </c>
      <c r="AM104" s="186" t="e">
        <f t="shared" si="37"/>
        <v>#REF!</v>
      </c>
      <c r="AN104" s="186" t="e">
        <f t="shared" si="37"/>
        <v>#REF!</v>
      </c>
      <c r="AO104" s="186" t="e">
        <f t="shared" si="37"/>
        <v>#REF!</v>
      </c>
      <c r="AP104" s="186" t="e">
        <f t="shared" si="37"/>
        <v>#REF!</v>
      </c>
      <c r="AQ104" s="186" t="e">
        <f t="shared" si="37"/>
        <v>#REF!</v>
      </c>
      <c r="AR104" s="186" t="e">
        <f t="shared" si="37"/>
        <v>#REF!</v>
      </c>
      <c r="AS104" s="186" t="e">
        <f t="shared" si="37"/>
        <v>#REF!</v>
      </c>
      <c r="AT104" s="186" t="e">
        <f t="shared" si="37"/>
        <v>#REF!</v>
      </c>
      <c r="AU104" s="186" t="e">
        <f t="shared" si="37"/>
        <v>#REF!</v>
      </c>
      <c r="AV104" s="186" t="e">
        <f t="shared" si="37"/>
        <v>#REF!</v>
      </c>
      <c r="AW104" s="186" t="e">
        <f t="shared" si="37"/>
        <v>#REF!</v>
      </c>
      <c r="AX104" s="186" t="e">
        <f t="shared" si="37"/>
        <v>#REF!</v>
      </c>
      <c r="AY104" s="186" t="e">
        <f t="shared" si="37"/>
        <v>#REF!</v>
      </c>
      <c r="AZ104" s="186" t="e">
        <f t="shared" si="37"/>
        <v>#REF!</v>
      </c>
      <c r="BA104" s="186" t="e">
        <f t="shared" si="37"/>
        <v>#REF!</v>
      </c>
      <c r="BB104" s="186" t="e">
        <f t="shared" si="37"/>
        <v>#REF!</v>
      </c>
      <c r="BC104" s="186" t="e">
        <f t="shared" si="37"/>
        <v>#REF!</v>
      </c>
      <c r="BD104" s="186" t="e">
        <f t="shared" si="37"/>
        <v>#REF!</v>
      </c>
      <c r="BE104" s="186" t="e">
        <f t="shared" si="37"/>
        <v>#REF!</v>
      </c>
      <c r="BF104" s="186" t="e">
        <f t="shared" si="37"/>
        <v>#REF!</v>
      </c>
      <c r="BG104" s="186" t="e">
        <f t="shared" si="37"/>
        <v>#REF!</v>
      </c>
      <c r="BH104" s="186" t="e">
        <f t="shared" si="37"/>
        <v>#REF!</v>
      </c>
      <c r="BI104" s="186" t="e">
        <f t="shared" si="37"/>
        <v>#REF!</v>
      </c>
      <c r="BJ104" s="195" t="e">
        <f t="shared" si="37"/>
        <v>#REF!</v>
      </c>
    </row>
    <row r="105" spans="1:64">
      <c r="A105" s="196" t="s">
        <v>160</v>
      </c>
      <c r="B105" s="197" t="e">
        <f>B104/B103</f>
        <v>#REF!</v>
      </c>
      <c r="C105" s="166"/>
      <c r="D105" s="167"/>
      <c r="E105" s="167"/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  <c r="AM105" s="167"/>
      <c r="AN105" s="167"/>
      <c r="AO105" s="167"/>
      <c r="AP105" s="167"/>
      <c r="AQ105" s="167"/>
      <c r="AR105" s="167"/>
      <c r="AS105" s="167"/>
      <c r="AT105" s="167"/>
      <c r="AU105" s="167"/>
      <c r="AV105" s="167"/>
      <c r="AW105" s="167"/>
      <c r="AX105" s="167"/>
      <c r="AY105" s="167"/>
      <c r="AZ105" s="167"/>
      <c r="BA105" s="167"/>
      <c r="BB105" s="167"/>
      <c r="BC105" s="167"/>
      <c r="BD105" s="167"/>
      <c r="BE105" s="167"/>
      <c r="BF105" s="167"/>
      <c r="BG105" s="167"/>
      <c r="BH105" s="167"/>
      <c r="BI105" s="167"/>
      <c r="BJ105" s="198"/>
    </row>
    <row r="106" spans="1:64">
      <c r="A106" s="187" t="s">
        <v>158</v>
      </c>
      <c r="B106" s="188">
        <f>SUM(C106:BJ106)</f>
        <v>2799.9999999999995</v>
      </c>
      <c r="C106" s="194">
        <f t="shared" ref="C106:BJ106" si="38">(C55*(1-$K$53))/(1)^(C54-1)</f>
        <v>0</v>
      </c>
      <c r="D106" s="186">
        <f t="shared" si="38"/>
        <v>0</v>
      </c>
      <c r="E106" s="186">
        <f t="shared" si="38"/>
        <v>0</v>
      </c>
      <c r="F106" s="186">
        <f t="shared" si="38"/>
        <v>0</v>
      </c>
      <c r="G106" s="186">
        <f t="shared" si="38"/>
        <v>0</v>
      </c>
      <c r="H106" s="186">
        <f t="shared" si="38"/>
        <v>35.10499999999999</v>
      </c>
      <c r="I106" s="186">
        <f t="shared" si="38"/>
        <v>70.20999999999998</v>
      </c>
      <c r="J106" s="186">
        <f t="shared" si="38"/>
        <v>105.31499999999997</v>
      </c>
      <c r="K106" s="186">
        <f t="shared" si="38"/>
        <v>140.41999999999996</v>
      </c>
      <c r="L106" s="186">
        <f t="shared" si="38"/>
        <v>233.1</v>
      </c>
      <c r="M106" s="186">
        <f t="shared" si="38"/>
        <v>233.1</v>
      </c>
      <c r="N106" s="186">
        <f t="shared" si="38"/>
        <v>233.1</v>
      </c>
      <c r="O106" s="186">
        <f t="shared" si="38"/>
        <v>233.1</v>
      </c>
      <c r="P106" s="186">
        <f t="shared" si="38"/>
        <v>233.1</v>
      </c>
      <c r="Q106" s="186">
        <f t="shared" si="38"/>
        <v>233.1</v>
      </c>
      <c r="R106" s="186">
        <f t="shared" si="38"/>
        <v>233.1</v>
      </c>
      <c r="S106" s="186">
        <f t="shared" si="38"/>
        <v>233.1</v>
      </c>
      <c r="T106" s="186">
        <f t="shared" si="38"/>
        <v>233.1</v>
      </c>
      <c r="U106" s="186">
        <f t="shared" si="38"/>
        <v>140.41999999999996</v>
      </c>
      <c r="V106" s="186">
        <f t="shared" si="38"/>
        <v>105.31499999999997</v>
      </c>
      <c r="W106" s="186">
        <f t="shared" si="38"/>
        <v>70.20999999999998</v>
      </c>
      <c r="X106" s="186">
        <f t="shared" si="38"/>
        <v>35.10499999999999</v>
      </c>
      <c r="Y106" s="186">
        <f t="shared" si="38"/>
        <v>0</v>
      </c>
      <c r="Z106" s="186">
        <f t="shared" si="38"/>
        <v>0</v>
      </c>
      <c r="AA106" s="186">
        <f t="shared" si="38"/>
        <v>0</v>
      </c>
      <c r="AB106" s="186">
        <f t="shared" si="38"/>
        <v>0</v>
      </c>
      <c r="AC106" s="186">
        <f t="shared" si="38"/>
        <v>0</v>
      </c>
      <c r="AD106" s="186">
        <f t="shared" si="38"/>
        <v>0</v>
      </c>
      <c r="AE106" s="186">
        <f t="shared" si="38"/>
        <v>0</v>
      </c>
      <c r="AF106" s="186">
        <f t="shared" si="38"/>
        <v>0</v>
      </c>
      <c r="AG106" s="186">
        <f t="shared" si="38"/>
        <v>0</v>
      </c>
      <c r="AH106" s="186">
        <f t="shared" si="38"/>
        <v>0</v>
      </c>
      <c r="AI106" s="186">
        <f t="shared" si="38"/>
        <v>0</v>
      </c>
      <c r="AJ106" s="186">
        <f t="shared" si="38"/>
        <v>0</v>
      </c>
      <c r="AK106" s="186">
        <f t="shared" si="38"/>
        <v>0</v>
      </c>
      <c r="AL106" s="186">
        <f t="shared" si="38"/>
        <v>0</v>
      </c>
      <c r="AM106" s="186">
        <f t="shared" si="38"/>
        <v>0</v>
      </c>
      <c r="AN106" s="186">
        <f t="shared" si="38"/>
        <v>0</v>
      </c>
      <c r="AO106" s="186">
        <f t="shared" si="38"/>
        <v>0</v>
      </c>
      <c r="AP106" s="186">
        <f t="shared" si="38"/>
        <v>0</v>
      </c>
      <c r="AQ106" s="186">
        <f t="shared" si="38"/>
        <v>0</v>
      </c>
      <c r="AR106" s="186">
        <f t="shared" si="38"/>
        <v>0</v>
      </c>
      <c r="AS106" s="186">
        <f t="shared" si="38"/>
        <v>0</v>
      </c>
      <c r="AT106" s="186">
        <f t="shared" si="38"/>
        <v>0</v>
      </c>
      <c r="AU106" s="186">
        <f t="shared" si="38"/>
        <v>0</v>
      </c>
      <c r="AV106" s="186">
        <f t="shared" si="38"/>
        <v>0</v>
      </c>
      <c r="AW106" s="186">
        <f t="shared" si="38"/>
        <v>0</v>
      </c>
      <c r="AX106" s="186">
        <f t="shared" si="38"/>
        <v>0</v>
      </c>
      <c r="AY106" s="186">
        <f t="shared" si="38"/>
        <v>0</v>
      </c>
      <c r="AZ106" s="186">
        <f t="shared" si="38"/>
        <v>0</v>
      </c>
      <c r="BA106" s="186">
        <f t="shared" si="38"/>
        <v>0</v>
      </c>
      <c r="BB106" s="186">
        <f t="shared" si="38"/>
        <v>0</v>
      </c>
      <c r="BC106" s="186">
        <f t="shared" si="38"/>
        <v>0</v>
      </c>
      <c r="BD106" s="186">
        <f t="shared" si="38"/>
        <v>0</v>
      </c>
      <c r="BE106" s="186">
        <f t="shared" si="38"/>
        <v>0</v>
      </c>
      <c r="BF106" s="186">
        <f t="shared" si="38"/>
        <v>0</v>
      </c>
      <c r="BG106" s="186">
        <f t="shared" si="38"/>
        <v>0</v>
      </c>
      <c r="BH106" s="186">
        <f t="shared" si="38"/>
        <v>0</v>
      </c>
      <c r="BI106" s="186">
        <f t="shared" si="38"/>
        <v>0</v>
      </c>
      <c r="BJ106" s="195">
        <f t="shared" si="38"/>
        <v>0</v>
      </c>
    </row>
    <row r="107" spans="1:64">
      <c r="A107" s="192" t="s">
        <v>159</v>
      </c>
      <c r="B107" s="193" t="e">
        <f>SUM(C107:BJ107)</f>
        <v>#REF!</v>
      </c>
      <c r="C107" s="194" t="e">
        <f t="shared" ref="C107:BJ107" si="39">(((C57+C86)*(1-$K$53))-(C96-C66))/(1)^(C54-1)</f>
        <v>#REF!</v>
      </c>
      <c r="D107" s="186" t="e">
        <f t="shared" si="39"/>
        <v>#REF!</v>
      </c>
      <c r="E107" s="186" t="e">
        <f t="shared" si="39"/>
        <v>#REF!</v>
      </c>
      <c r="F107" s="186" t="e">
        <f t="shared" si="39"/>
        <v>#REF!</v>
      </c>
      <c r="G107" s="186" t="e">
        <f t="shared" si="39"/>
        <v>#REF!</v>
      </c>
      <c r="H107" s="186" t="e">
        <f t="shared" si="39"/>
        <v>#REF!</v>
      </c>
      <c r="I107" s="186" t="e">
        <f t="shared" si="39"/>
        <v>#REF!</v>
      </c>
      <c r="J107" s="186" t="e">
        <f t="shared" si="39"/>
        <v>#REF!</v>
      </c>
      <c r="K107" s="186" t="e">
        <f t="shared" si="39"/>
        <v>#REF!</v>
      </c>
      <c r="L107" s="186" t="e">
        <f t="shared" si="39"/>
        <v>#REF!</v>
      </c>
      <c r="M107" s="186" t="e">
        <f t="shared" si="39"/>
        <v>#REF!</v>
      </c>
      <c r="N107" s="186" t="e">
        <f t="shared" si="39"/>
        <v>#REF!</v>
      </c>
      <c r="O107" s="186" t="e">
        <f t="shared" si="39"/>
        <v>#REF!</v>
      </c>
      <c r="P107" s="186" t="e">
        <f t="shared" si="39"/>
        <v>#REF!</v>
      </c>
      <c r="Q107" s="186" t="e">
        <f t="shared" si="39"/>
        <v>#REF!</v>
      </c>
      <c r="R107" s="186" t="e">
        <f t="shared" si="39"/>
        <v>#REF!</v>
      </c>
      <c r="S107" s="186" t="e">
        <f t="shared" si="39"/>
        <v>#REF!</v>
      </c>
      <c r="T107" s="186" t="e">
        <f t="shared" si="39"/>
        <v>#REF!</v>
      </c>
      <c r="U107" s="186" t="e">
        <f t="shared" si="39"/>
        <v>#REF!</v>
      </c>
      <c r="V107" s="186" t="e">
        <f t="shared" si="39"/>
        <v>#REF!</v>
      </c>
      <c r="W107" s="186" t="e">
        <f t="shared" si="39"/>
        <v>#REF!</v>
      </c>
      <c r="X107" s="186" t="e">
        <f t="shared" si="39"/>
        <v>#REF!</v>
      </c>
      <c r="Y107" s="186" t="e">
        <f t="shared" si="39"/>
        <v>#REF!</v>
      </c>
      <c r="Z107" s="186" t="e">
        <f t="shared" si="39"/>
        <v>#REF!</v>
      </c>
      <c r="AA107" s="186" t="e">
        <f t="shared" si="39"/>
        <v>#REF!</v>
      </c>
      <c r="AB107" s="186" t="e">
        <f t="shared" si="39"/>
        <v>#REF!</v>
      </c>
      <c r="AC107" s="186" t="e">
        <f t="shared" si="39"/>
        <v>#REF!</v>
      </c>
      <c r="AD107" s="186" t="e">
        <f t="shared" si="39"/>
        <v>#REF!</v>
      </c>
      <c r="AE107" s="186" t="e">
        <f t="shared" si="39"/>
        <v>#REF!</v>
      </c>
      <c r="AF107" s="186" t="e">
        <f t="shared" si="39"/>
        <v>#REF!</v>
      </c>
      <c r="AG107" s="186" t="e">
        <f t="shared" si="39"/>
        <v>#REF!</v>
      </c>
      <c r="AH107" s="186" t="e">
        <f t="shared" si="39"/>
        <v>#REF!</v>
      </c>
      <c r="AI107" s="186" t="e">
        <f t="shared" si="39"/>
        <v>#REF!</v>
      </c>
      <c r="AJ107" s="186" t="e">
        <f t="shared" si="39"/>
        <v>#REF!</v>
      </c>
      <c r="AK107" s="186" t="e">
        <f t="shared" si="39"/>
        <v>#REF!</v>
      </c>
      <c r="AL107" s="186" t="e">
        <f t="shared" si="39"/>
        <v>#REF!</v>
      </c>
      <c r="AM107" s="186" t="e">
        <f t="shared" si="39"/>
        <v>#REF!</v>
      </c>
      <c r="AN107" s="186" t="e">
        <f t="shared" si="39"/>
        <v>#REF!</v>
      </c>
      <c r="AO107" s="186" t="e">
        <f t="shared" si="39"/>
        <v>#REF!</v>
      </c>
      <c r="AP107" s="186" t="e">
        <f t="shared" si="39"/>
        <v>#REF!</v>
      </c>
      <c r="AQ107" s="186" t="e">
        <f t="shared" si="39"/>
        <v>#REF!</v>
      </c>
      <c r="AR107" s="186" t="e">
        <f t="shared" si="39"/>
        <v>#REF!</v>
      </c>
      <c r="AS107" s="186" t="e">
        <f t="shared" si="39"/>
        <v>#REF!</v>
      </c>
      <c r="AT107" s="186" t="e">
        <f t="shared" si="39"/>
        <v>#REF!</v>
      </c>
      <c r="AU107" s="186" t="e">
        <f t="shared" si="39"/>
        <v>#REF!</v>
      </c>
      <c r="AV107" s="186" t="e">
        <f t="shared" si="39"/>
        <v>#REF!</v>
      </c>
      <c r="AW107" s="186" t="e">
        <f t="shared" si="39"/>
        <v>#REF!</v>
      </c>
      <c r="AX107" s="186" t="e">
        <f t="shared" si="39"/>
        <v>#REF!</v>
      </c>
      <c r="AY107" s="186" t="e">
        <f t="shared" si="39"/>
        <v>#REF!</v>
      </c>
      <c r="AZ107" s="186" t="e">
        <f t="shared" si="39"/>
        <v>#REF!</v>
      </c>
      <c r="BA107" s="186" t="e">
        <f t="shared" si="39"/>
        <v>#REF!</v>
      </c>
      <c r="BB107" s="186" t="e">
        <f t="shared" si="39"/>
        <v>#REF!</v>
      </c>
      <c r="BC107" s="186" t="e">
        <f t="shared" si="39"/>
        <v>#REF!</v>
      </c>
      <c r="BD107" s="186" t="e">
        <f t="shared" si="39"/>
        <v>#REF!</v>
      </c>
      <c r="BE107" s="186" t="e">
        <f t="shared" si="39"/>
        <v>#REF!</v>
      </c>
      <c r="BF107" s="186" t="e">
        <f t="shared" si="39"/>
        <v>#REF!</v>
      </c>
      <c r="BG107" s="186" t="e">
        <f t="shared" si="39"/>
        <v>#REF!</v>
      </c>
      <c r="BH107" s="186" t="e">
        <f t="shared" si="39"/>
        <v>#REF!</v>
      </c>
      <c r="BI107" s="186" t="e">
        <f t="shared" si="39"/>
        <v>#REF!</v>
      </c>
      <c r="BJ107" s="195" t="e">
        <f t="shared" si="39"/>
        <v>#REF!</v>
      </c>
      <c r="BK107" s="186"/>
    </row>
    <row r="108" spans="1:64">
      <c r="A108" s="196" t="s">
        <v>161</v>
      </c>
      <c r="B108" s="197" t="e">
        <f>B107/B106</f>
        <v>#REF!</v>
      </c>
      <c r="C108" s="166"/>
      <c r="D108" s="167"/>
      <c r="E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67"/>
      <c r="AX108" s="167"/>
      <c r="AY108" s="167"/>
      <c r="AZ108" s="167"/>
      <c r="BA108" s="167"/>
      <c r="BB108" s="167"/>
      <c r="BC108" s="167"/>
      <c r="BD108" s="167"/>
      <c r="BE108" s="167"/>
      <c r="BF108" s="167"/>
      <c r="BG108" s="167"/>
      <c r="BH108" s="167"/>
      <c r="BI108" s="167"/>
      <c r="BJ108" s="198"/>
    </row>
    <row r="109" spans="1:64">
      <c r="A109" s="199"/>
      <c r="B109" s="200"/>
      <c r="C109" s="201"/>
      <c r="D109" s="201"/>
      <c r="E109" s="201"/>
      <c r="F109" s="201"/>
      <c r="G109" s="201"/>
      <c r="H109" s="201"/>
      <c r="I109" s="202"/>
      <c r="J109" s="201"/>
      <c r="K109" s="201"/>
      <c r="L109" s="201"/>
      <c r="M109" s="201"/>
      <c r="N109" s="201"/>
      <c r="O109" s="201"/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1"/>
      <c r="AA109" s="201"/>
      <c r="AB109" s="201"/>
      <c r="AC109" s="201"/>
      <c r="AD109" s="201"/>
      <c r="AE109" s="201"/>
      <c r="AF109" s="201"/>
      <c r="AG109" s="201"/>
      <c r="AH109" s="201"/>
      <c r="AI109" s="201"/>
      <c r="AJ109" s="201"/>
      <c r="AK109" s="201"/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</row>
    <row r="110" spans="1:64" ht="21">
      <c r="A110" s="203" t="s">
        <v>162</v>
      </c>
      <c r="B110" s="89"/>
      <c r="D110" s="204"/>
      <c r="E110" s="204"/>
    </row>
    <row r="111" spans="1:64" s="94" customFormat="1">
      <c r="A111" s="90" t="s">
        <v>154</v>
      </c>
      <c r="B111" s="91" t="s">
        <v>155</v>
      </c>
      <c r="C111" s="91">
        <v>1</v>
      </c>
      <c r="D111" s="92">
        <v>2</v>
      </c>
      <c r="E111" s="92">
        <v>3</v>
      </c>
      <c r="F111" s="92">
        <v>4</v>
      </c>
      <c r="G111" s="92">
        <v>5</v>
      </c>
      <c r="H111" s="92">
        <v>6</v>
      </c>
      <c r="I111" s="92">
        <v>7</v>
      </c>
      <c r="J111" s="92">
        <v>8</v>
      </c>
      <c r="K111" s="92">
        <v>9</v>
      </c>
      <c r="L111" s="92">
        <v>10</v>
      </c>
      <c r="M111" s="92">
        <v>11</v>
      </c>
      <c r="N111" s="92">
        <v>12</v>
      </c>
      <c r="O111" s="92">
        <v>13</v>
      </c>
      <c r="P111" s="92">
        <v>14</v>
      </c>
      <c r="Q111" s="92">
        <v>15</v>
      </c>
      <c r="R111" s="92">
        <v>16</v>
      </c>
      <c r="S111" s="92">
        <v>17</v>
      </c>
      <c r="T111" s="92">
        <v>18</v>
      </c>
      <c r="U111" s="92">
        <v>19</v>
      </c>
      <c r="V111" s="92">
        <v>20</v>
      </c>
      <c r="W111" s="92">
        <v>21</v>
      </c>
      <c r="X111" s="92">
        <v>22</v>
      </c>
      <c r="Y111" s="92">
        <v>23</v>
      </c>
      <c r="Z111" s="92">
        <v>24</v>
      </c>
      <c r="AA111" s="92">
        <v>25</v>
      </c>
      <c r="AB111" s="92">
        <v>26</v>
      </c>
      <c r="AC111" s="92">
        <v>27</v>
      </c>
      <c r="AD111" s="92">
        <v>28</v>
      </c>
      <c r="AE111" s="92">
        <v>29</v>
      </c>
      <c r="AF111" s="92">
        <v>30</v>
      </c>
      <c r="AG111" s="92">
        <v>31</v>
      </c>
      <c r="AH111" s="92">
        <v>32</v>
      </c>
      <c r="AI111" s="92">
        <v>33</v>
      </c>
      <c r="AJ111" s="92">
        <v>34</v>
      </c>
      <c r="AK111" s="92">
        <v>35</v>
      </c>
      <c r="AL111" s="92">
        <v>36</v>
      </c>
      <c r="AM111" s="92">
        <v>37</v>
      </c>
      <c r="AN111" s="92">
        <v>38</v>
      </c>
      <c r="AO111" s="92">
        <v>39</v>
      </c>
      <c r="AP111" s="92">
        <v>40</v>
      </c>
      <c r="AQ111" s="92">
        <v>41</v>
      </c>
      <c r="AR111" s="92">
        <v>42</v>
      </c>
      <c r="AS111" s="92">
        <v>43</v>
      </c>
      <c r="AT111" s="92">
        <v>44</v>
      </c>
      <c r="AU111" s="92">
        <v>45</v>
      </c>
      <c r="AV111" s="92">
        <v>46</v>
      </c>
      <c r="AW111" s="92">
        <v>47</v>
      </c>
      <c r="AX111" s="92">
        <v>48</v>
      </c>
      <c r="AY111" s="92">
        <v>49</v>
      </c>
      <c r="AZ111" s="92">
        <v>50</v>
      </c>
      <c r="BA111" s="92">
        <v>51</v>
      </c>
      <c r="BB111" s="92">
        <v>52</v>
      </c>
      <c r="BC111" s="92">
        <v>53</v>
      </c>
      <c r="BD111" s="92">
        <v>54</v>
      </c>
      <c r="BE111" s="92">
        <v>55</v>
      </c>
      <c r="BF111" s="92">
        <v>56</v>
      </c>
      <c r="BG111" s="92">
        <v>57</v>
      </c>
      <c r="BH111" s="92">
        <v>58</v>
      </c>
      <c r="BI111" s="92">
        <v>59</v>
      </c>
      <c r="BJ111" s="93">
        <v>60</v>
      </c>
    </row>
    <row r="112" spans="1:64" s="100" customFormat="1">
      <c r="A112" s="95" t="s">
        <v>156</v>
      </c>
      <c r="B112" s="96">
        <f>SUM(C112:BJ112)</f>
        <v>4000</v>
      </c>
      <c r="C112" s="96">
        <f>C55</f>
        <v>0</v>
      </c>
      <c r="D112" s="205">
        <f>D55</f>
        <v>0</v>
      </c>
      <c r="E112" s="205">
        <f t="shared" ref="E112:BJ112" si="40">E55</f>
        <v>0</v>
      </c>
      <c r="F112" s="205">
        <f t="shared" si="40"/>
        <v>0</v>
      </c>
      <c r="G112" s="205">
        <f t="shared" si="40"/>
        <v>0</v>
      </c>
      <c r="H112" s="205">
        <f t="shared" si="40"/>
        <v>50.149999999999991</v>
      </c>
      <c r="I112" s="205">
        <f t="shared" si="40"/>
        <v>100.29999999999998</v>
      </c>
      <c r="J112" s="205">
        <f t="shared" si="40"/>
        <v>150.44999999999996</v>
      </c>
      <c r="K112" s="205">
        <f t="shared" si="40"/>
        <v>200.59999999999997</v>
      </c>
      <c r="L112" s="205">
        <f t="shared" si="40"/>
        <v>333</v>
      </c>
      <c r="M112" s="205">
        <f t="shared" si="40"/>
        <v>333</v>
      </c>
      <c r="N112" s="205">
        <f t="shared" si="40"/>
        <v>333</v>
      </c>
      <c r="O112" s="205">
        <f t="shared" si="40"/>
        <v>333</v>
      </c>
      <c r="P112" s="205">
        <f t="shared" si="40"/>
        <v>333</v>
      </c>
      <c r="Q112" s="205">
        <f t="shared" si="40"/>
        <v>333</v>
      </c>
      <c r="R112" s="205">
        <f t="shared" si="40"/>
        <v>333</v>
      </c>
      <c r="S112" s="205">
        <f t="shared" si="40"/>
        <v>333</v>
      </c>
      <c r="T112" s="205">
        <f t="shared" si="40"/>
        <v>333</v>
      </c>
      <c r="U112" s="205">
        <f t="shared" si="40"/>
        <v>200.59999999999997</v>
      </c>
      <c r="V112" s="205">
        <f t="shared" si="40"/>
        <v>150.44999999999996</v>
      </c>
      <c r="W112" s="205">
        <f t="shared" si="40"/>
        <v>100.29999999999998</v>
      </c>
      <c r="X112" s="205">
        <f t="shared" si="40"/>
        <v>50.149999999999991</v>
      </c>
      <c r="Y112" s="205">
        <f t="shared" si="40"/>
        <v>0</v>
      </c>
      <c r="Z112" s="205">
        <f t="shared" si="40"/>
        <v>0</v>
      </c>
      <c r="AA112" s="205">
        <f t="shared" si="40"/>
        <v>0</v>
      </c>
      <c r="AB112" s="205">
        <f t="shared" si="40"/>
        <v>0</v>
      </c>
      <c r="AC112" s="205">
        <f t="shared" si="40"/>
        <v>0</v>
      </c>
      <c r="AD112" s="205">
        <f t="shared" si="40"/>
        <v>0</v>
      </c>
      <c r="AE112" s="205">
        <f t="shared" si="40"/>
        <v>0</v>
      </c>
      <c r="AF112" s="205">
        <f t="shared" si="40"/>
        <v>0</v>
      </c>
      <c r="AG112" s="205">
        <f t="shared" si="40"/>
        <v>0</v>
      </c>
      <c r="AH112" s="205">
        <f t="shared" si="40"/>
        <v>0</v>
      </c>
      <c r="AI112" s="205">
        <f t="shared" si="40"/>
        <v>0</v>
      </c>
      <c r="AJ112" s="205">
        <f t="shared" si="40"/>
        <v>0</v>
      </c>
      <c r="AK112" s="205">
        <f t="shared" si="40"/>
        <v>0</v>
      </c>
      <c r="AL112" s="205">
        <f t="shared" si="40"/>
        <v>0</v>
      </c>
      <c r="AM112" s="205">
        <f t="shared" si="40"/>
        <v>0</v>
      </c>
      <c r="AN112" s="205">
        <f t="shared" si="40"/>
        <v>0</v>
      </c>
      <c r="AO112" s="205">
        <f t="shared" si="40"/>
        <v>0</v>
      </c>
      <c r="AP112" s="205">
        <f t="shared" si="40"/>
        <v>0</v>
      </c>
      <c r="AQ112" s="205">
        <f t="shared" si="40"/>
        <v>0</v>
      </c>
      <c r="AR112" s="205">
        <f t="shared" si="40"/>
        <v>0</v>
      </c>
      <c r="AS112" s="205">
        <f t="shared" si="40"/>
        <v>0</v>
      </c>
      <c r="AT112" s="205">
        <f t="shared" si="40"/>
        <v>0</v>
      </c>
      <c r="AU112" s="205">
        <f t="shared" si="40"/>
        <v>0</v>
      </c>
      <c r="AV112" s="205">
        <f t="shared" si="40"/>
        <v>0</v>
      </c>
      <c r="AW112" s="205">
        <f t="shared" si="40"/>
        <v>0</v>
      </c>
      <c r="AX112" s="205">
        <f t="shared" si="40"/>
        <v>0</v>
      </c>
      <c r="AY112" s="205">
        <f t="shared" si="40"/>
        <v>0</v>
      </c>
      <c r="AZ112" s="205">
        <f t="shared" si="40"/>
        <v>0</v>
      </c>
      <c r="BA112" s="205">
        <f t="shared" si="40"/>
        <v>0</v>
      </c>
      <c r="BB112" s="205">
        <f t="shared" si="40"/>
        <v>0</v>
      </c>
      <c r="BC112" s="205">
        <f t="shared" si="40"/>
        <v>0</v>
      </c>
      <c r="BD112" s="205">
        <f t="shared" si="40"/>
        <v>0</v>
      </c>
      <c r="BE112" s="205">
        <f t="shared" si="40"/>
        <v>0</v>
      </c>
      <c r="BF112" s="205">
        <f t="shared" si="40"/>
        <v>0</v>
      </c>
      <c r="BG112" s="205">
        <f t="shared" si="40"/>
        <v>0</v>
      </c>
      <c r="BH112" s="205">
        <f t="shared" si="40"/>
        <v>0</v>
      </c>
      <c r="BI112" s="205">
        <f t="shared" si="40"/>
        <v>0</v>
      </c>
      <c r="BJ112" s="206">
        <f t="shared" si="40"/>
        <v>0</v>
      </c>
    </row>
    <row r="113" spans="1:64" s="105" customFormat="1">
      <c r="A113" s="101" t="s">
        <v>115</v>
      </c>
      <c r="B113" s="102" t="e">
        <f>SUM(C113:BJ113)</f>
        <v>#REF!</v>
      </c>
      <c r="C113" s="207" t="e">
        <f>C56*(1+$G$53)^(C$54-1)</f>
        <v>#REF!</v>
      </c>
      <c r="D113" s="208" t="e">
        <f t="shared" ref="D113:BJ113" si="41">D56*(1+$G$53)^(D54-1)</f>
        <v>#REF!</v>
      </c>
      <c r="E113" s="208" t="e">
        <f t="shared" si="41"/>
        <v>#REF!</v>
      </c>
      <c r="F113" s="208" t="e">
        <f t="shared" si="41"/>
        <v>#REF!</v>
      </c>
      <c r="G113" s="208" t="e">
        <f t="shared" si="41"/>
        <v>#REF!</v>
      </c>
      <c r="H113" s="208" t="e">
        <f t="shared" si="41"/>
        <v>#REF!</v>
      </c>
      <c r="I113" s="208" t="e">
        <f t="shared" si="41"/>
        <v>#REF!</v>
      </c>
      <c r="J113" s="208" t="e">
        <f t="shared" si="41"/>
        <v>#REF!</v>
      </c>
      <c r="K113" s="208" t="e">
        <f t="shared" si="41"/>
        <v>#REF!</v>
      </c>
      <c r="L113" s="208" t="e">
        <f t="shared" si="41"/>
        <v>#REF!</v>
      </c>
      <c r="M113" s="208" t="e">
        <f t="shared" si="41"/>
        <v>#REF!</v>
      </c>
      <c r="N113" s="208" t="e">
        <f t="shared" si="41"/>
        <v>#REF!</v>
      </c>
      <c r="O113" s="208" t="e">
        <f t="shared" si="41"/>
        <v>#REF!</v>
      </c>
      <c r="P113" s="208" t="e">
        <f t="shared" si="41"/>
        <v>#REF!</v>
      </c>
      <c r="Q113" s="208" t="e">
        <f t="shared" si="41"/>
        <v>#REF!</v>
      </c>
      <c r="R113" s="208" t="e">
        <f t="shared" si="41"/>
        <v>#REF!</v>
      </c>
      <c r="S113" s="208" t="e">
        <f t="shared" si="41"/>
        <v>#REF!</v>
      </c>
      <c r="T113" s="208" t="e">
        <f t="shared" si="41"/>
        <v>#REF!</v>
      </c>
      <c r="U113" s="208" t="e">
        <f t="shared" si="41"/>
        <v>#REF!</v>
      </c>
      <c r="V113" s="208" t="e">
        <f t="shared" si="41"/>
        <v>#REF!</v>
      </c>
      <c r="W113" s="208" t="e">
        <f t="shared" si="41"/>
        <v>#REF!</v>
      </c>
      <c r="X113" s="208" t="e">
        <f t="shared" si="41"/>
        <v>#REF!</v>
      </c>
      <c r="Y113" s="208" t="e">
        <f t="shared" si="41"/>
        <v>#REF!</v>
      </c>
      <c r="Z113" s="208" t="e">
        <f t="shared" si="41"/>
        <v>#REF!</v>
      </c>
      <c r="AA113" s="208" t="e">
        <f t="shared" si="41"/>
        <v>#REF!</v>
      </c>
      <c r="AB113" s="208" t="e">
        <f t="shared" si="41"/>
        <v>#REF!</v>
      </c>
      <c r="AC113" s="208" t="e">
        <f t="shared" si="41"/>
        <v>#REF!</v>
      </c>
      <c r="AD113" s="208" t="e">
        <f t="shared" si="41"/>
        <v>#REF!</v>
      </c>
      <c r="AE113" s="208" t="e">
        <f t="shared" si="41"/>
        <v>#REF!</v>
      </c>
      <c r="AF113" s="208" t="e">
        <f t="shared" si="41"/>
        <v>#REF!</v>
      </c>
      <c r="AG113" s="208" t="e">
        <f t="shared" si="41"/>
        <v>#REF!</v>
      </c>
      <c r="AH113" s="208" t="e">
        <f t="shared" si="41"/>
        <v>#REF!</v>
      </c>
      <c r="AI113" s="208" t="e">
        <f t="shared" si="41"/>
        <v>#REF!</v>
      </c>
      <c r="AJ113" s="208" t="e">
        <f t="shared" si="41"/>
        <v>#REF!</v>
      </c>
      <c r="AK113" s="208" t="e">
        <f t="shared" si="41"/>
        <v>#REF!</v>
      </c>
      <c r="AL113" s="208" t="e">
        <f t="shared" si="41"/>
        <v>#REF!</v>
      </c>
      <c r="AM113" s="208" t="e">
        <f t="shared" si="41"/>
        <v>#REF!</v>
      </c>
      <c r="AN113" s="208" t="e">
        <f t="shared" si="41"/>
        <v>#REF!</v>
      </c>
      <c r="AO113" s="208" t="e">
        <f t="shared" si="41"/>
        <v>#REF!</v>
      </c>
      <c r="AP113" s="208" t="e">
        <f t="shared" si="41"/>
        <v>#REF!</v>
      </c>
      <c r="AQ113" s="208" t="e">
        <f t="shared" si="41"/>
        <v>#REF!</v>
      </c>
      <c r="AR113" s="208" t="e">
        <f t="shared" si="41"/>
        <v>#REF!</v>
      </c>
      <c r="AS113" s="208" t="e">
        <f t="shared" si="41"/>
        <v>#REF!</v>
      </c>
      <c r="AT113" s="208" t="e">
        <f t="shared" si="41"/>
        <v>#REF!</v>
      </c>
      <c r="AU113" s="208" t="e">
        <f t="shared" si="41"/>
        <v>#REF!</v>
      </c>
      <c r="AV113" s="208" t="e">
        <f t="shared" si="41"/>
        <v>#REF!</v>
      </c>
      <c r="AW113" s="208" t="e">
        <f t="shared" si="41"/>
        <v>#REF!</v>
      </c>
      <c r="AX113" s="208" t="e">
        <f t="shared" si="41"/>
        <v>#REF!</v>
      </c>
      <c r="AY113" s="208" t="e">
        <f t="shared" si="41"/>
        <v>#REF!</v>
      </c>
      <c r="AZ113" s="208" t="e">
        <f t="shared" si="41"/>
        <v>#REF!</v>
      </c>
      <c r="BA113" s="208" t="e">
        <f t="shared" si="41"/>
        <v>#REF!</v>
      </c>
      <c r="BB113" s="208" t="e">
        <f t="shared" si="41"/>
        <v>#REF!</v>
      </c>
      <c r="BC113" s="208" t="e">
        <f t="shared" si="41"/>
        <v>#REF!</v>
      </c>
      <c r="BD113" s="208" t="e">
        <f t="shared" si="41"/>
        <v>#REF!</v>
      </c>
      <c r="BE113" s="208" t="e">
        <f t="shared" si="41"/>
        <v>#REF!</v>
      </c>
      <c r="BF113" s="208" t="e">
        <f t="shared" si="41"/>
        <v>#REF!</v>
      </c>
      <c r="BG113" s="208" t="e">
        <f t="shared" si="41"/>
        <v>#REF!</v>
      </c>
      <c r="BH113" s="208" t="e">
        <f t="shared" si="41"/>
        <v>#REF!</v>
      </c>
      <c r="BI113" s="208" t="e">
        <f t="shared" si="41"/>
        <v>#REF!</v>
      </c>
      <c r="BJ113" s="209" t="e">
        <f t="shared" si="41"/>
        <v>#REF!</v>
      </c>
    </row>
    <row r="114" spans="1:64" s="105" customFormat="1">
      <c r="A114" s="106" t="s">
        <v>116</v>
      </c>
      <c r="B114" s="210" t="e">
        <f>SUM(B121,B115:B116)</f>
        <v>#REF!</v>
      </c>
      <c r="C114" s="102" t="e">
        <f>SUM(C115:C116,C121)</f>
        <v>#REF!</v>
      </c>
      <c r="D114" s="103" t="e">
        <f t="shared" ref="D114:BJ114" si="42">SUM(D115:D116,D121)</f>
        <v>#REF!</v>
      </c>
      <c r="E114" s="103" t="e">
        <f t="shared" si="42"/>
        <v>#REF!</v>
      </c>
      <c r="F114" s="103" t="e">
        <f t="shared" si="42"/>
        <v>#REF!</v>
      </c>
      <c r="G114" s="103" t="e">
        <f t="shared" si="42"/>
        <v>#REF!</v>
      </c>
      <c r="H114" s="103" t="e">
        <f t="shared" si="42"/>
        <v>#REF!</v>
      </c>
      <c r="I114" s="103" t="e">
        <f t="shared" si="42"/>
        <v>#REF!</v>
      </c>
      <c r="J114" s="103" t="e">
        <f t="shared" si="42"/>
        <v>#REF!</v>
      </c>
      <c r="K114" s="103" t="e">
        <f t="shared" si="42"/>
        <v>#REF!</v>
      </c>
      <c r="L114" s="103" t="e">
        <f t="shared" si="42"/>
        <v>#REF!</v>
      </c>
      <c r="M114" s="103" t="e">
        <f t="shared" si="42"/>
        <v>#REF!</v>
      </c>
      <c r="N114" s="103" t="e">
        <f t="shared" si="42"/>
        <v>#REF!</v>
      </c>
      <c r="O114" s="103" t="e">
        <f t="shared" si="42"/>
        <v>#REF!</v>
      </c>
      <c r="P114" s="103" t="e">
        <f t="shared" si="42"/>
        <v>#REF!</v>
      </c>
      <c r="Q114" s="103" t="e">
        <f t="shared" si="42"/>
        <v>#REF!</v>
      </c>
      <c r="R114" s="103" t="e">
        <f t="shared" si="42"/>
        <v>#REF!</v>
      </c>
      <c r="S114" s="103" t="e">
        <f t="shared" si="42"/>
        <v>#REF!</v>
      </c>
      <c r="T114" s="103" t="e">
        <f t="shared" si="42"/>
        <v>#REF!</v>
      </c>
      <c r="U114" s="103" t="e">
        <f t="shared" si="42"/>
        <v>#REF!</v>
      </c>
      <c r="V114" s="103" t="e">
        <f t="shared" si="42"/>
        <v>#REF!</v>
      </c>
      <c r="W114" s="103" t="e">
        <f t="shared" si="42"/>
        <v>#REF!</v>
      </c>
      <c r="X114" s="103" t="e">
        <f t="shared" si="42"/>
        <v>#REF!</v>
      </c>
      <c r="Y114" s="103" t="e">
        <f t="shared" si="42"/>
        <v>#REF!</v>
      </c>
      <c r="Z114" s="103" t="e">
        <f t="shared" si="42"/>
        <v>#REF!</v>
      </c>
      <c r="AA114" s="103" t="e">
        <f t="shared" si="42"/>
        <v>#REF!</v>
      </c>
      <c r="AB114" s="103" t="e">
        <f t="shared" si="42"/>
        <v>#REF!</v>
      </c>
      <c r="AC114" s="103" t="e">
        <f t="shared" si="42"/>
        <v>#REF!</v>
      </c>
      <c r="AD114" s="103" t="e">
        <f t="shared" si="42"/>
        <v>#REF!</v>
      </c>
      <c r="AE114" s="103" t="e">
        <f t="shared" si="42"/>
        <v>#REF!</v>
      </c>
      <c r="AF114" s="103" t="e">
        <f t="shared" si="42"/>
        <v>#REF!</v>
      </c>
      <c r="AG114" s="103" t="e">
        <f t="shared" si="42"/>
        <v>#REF!</v>
      </c>
      <c r="AH114" s="103" t="e">
        <f t="shared" si="42"/>
        <v>#REF!</v>
      </c>
      <c r="AI114" s="103" t="e">
        <f t="shared" si="42"/>
        <v>#REF!</v>
      </c>
      <c r="AJ114" s="103" t="e">
        <f t="shared" si="42"/>
        <v>#REF!</v>
      </c>
      <c r="AK114" s="103" t="e">
        <f t="shared" si="42"/>
        <v>#REF!</v>
      </c>
      <c r="AL114" s="103" t="e">
        <f t="shared" si="42"/>
        <v>#REF!</v>
      </c>
      <c r="AM114" s="103" t="e">
        <f t="shared" si="42"/>
        <v>#REF!</v>
      </c>
      <c r="AN114" s="103" t="e">
        <f t="shared" si="42"/>
        <v>#REF!</v>
      </c>
      <c r="AO114" s="103" t="e">
        <f t="shared" si="42"/>
        <v>#REF!</v>
      </c>
      <c r="AP114" s="103" t="e">
        <f t="shared" si="42"/>
        <v>#REF!</v>
      </c>
      <c r="AQ114" s="103" t="e">
        <f t="shared" si="42"/>
        <v>#REF!</v>
      </c>
      <c r="AR114" s="103" t="e">
        <f t="shared" si="42"/>
        <v>#REF!</v>
      </c>
      <c r="AS114" s="103" t="e">
        <f t="shared" si="42"/>
        <v>#REF!</v>
      </c>
      <c r="AT114" s="103" t="e">
        <f t="shared" si="42"/>
        <v>#REF!</v>
      </c>
      <c r="AU114" s="103" t="e">
        <f t="shared" si="42"/>
        <v>#REF!</v>
      </c>
      <c r="AV114" s="103" t="e">
        <f t="shared" si="42"/>
        <v>#REF!</v>
      </c>
      <c r="AW114" s="103" t="e">
        <f t="shared" si="42"/>
        <v>#REF!</v>
      </c>
      <c r="AX114" s="103" t="e">
        <f t="shared" si="42"/>
        <v>#REF!</v>
      </c>
      <c r="AY114" s="103" t="e">
        <f t="shared" si="42"/>
        <v>#REF!</v>
      </c>
      <c r="AZ114" s="103" t="e">
        <f t="shared" si="42"/>
        <v>#REF!</v>
      </c>
      <c r="BA114" s="103" t="e">
        <f t="shared" si="42"/>
        <v>#REF!</v>
      </c>
      <c r="BB114" s="103" t="e">
        <f t="shared" si="42"/>
        <v>#REF!</v>
      </c>
      <c r="BC114" s="103" t="e">
        <f t="shared" si="42"/>
        <v>#REF!</v>
      </c>
      <c r="BD114" s="103" t="e">
        <f t="shared" si="42"/>
        <v>#REF!</v>
      </c>
      <c r="BE114" s="103" t="e">
        <f t="shared" si="42"/>
        <v>#REF!</v>
      </c>
      <c r="BF114" s="103" t="e">
        <f t="shared" si="42"/>
        <v>#REF!</v>
      </c>
      <c r="BG114" s="103" t="e">
        <f t="shared" si="42"/>
        <v>#REF!</v>
      </c>
      <c r="BH114" s="103" t="e">
        <f t="shared" si="42"/>
        <v>#REF!</v>
      </c>
      <c r="BI114" s="103" t="e">
        <f t="shared" si="42"/>
        <v>#REF!</v>
      </c>
      <c r="BJ114" s="104" t="e">
        <f t="shared" si="42"/>
        <v>#REF!</v>
      </c>
    </row>
    <row r="115" spans="1:64" s="116" customFormat="1">
      <c r="A115" s="111" t="s">
        <v>117</v>
      </c>
      <c r="B115" s="155" t="e">
        <f>SUM(C115:BJ115)</f>
        <v>#REF!</v>
      </c>
      <c r="C115" s="108" t="e">
        <f t="shared" ref="C115:BJ119" si="43">C58*(1+$G$53)^(C$54-1)</f>
        <v>#REF!</v>
      </c>
      <c r="D115" s="109" t="e">
        <f t="shared" si="43"/>
        <v>#REF!</v>
      </c>
      <c r="E115" s="109" t="e">
        <f t="shared" si="43"/>
        <v>#REF!</v>
      </c>
      <c r="F115" s="109" t="e">
        <f t="shared" si="43"/>
        <v>#REF!</v>
      </c>
      <c r="G115" s="109" t="e">
        <f t="shared" si="43"/>
        <v>#REF!</v>
      </c>
      <c r="H115" s="109" t="e">
        <f t="shared" si="43"/>
        <v>#REF!</v>
      </c>
      <c r="I115" s="109" t="e">
        <f t="shared" si="43"/>
        <v>#REF!</v>
      </c>
      <c r="J115" s="109" t="e">
        <f t="shared" si="43"/>
        <v>#REF!</v>
      </c>
      <c r="K115" s="109" t="e">
        <f t="shared" si="43"/>
        <v>#REF!</v>
      </c>
      <c r="L115" s="109" t="e">
        <f t="shared" si="43"/>
        <v>#REF!</v>
      </c>
      <c r="M115" s="109" t="e">
        <f t="shared" si="43"/>
        <v>#REF!</v>
      </c>
      <c r="N115" s="109" t="e">
        <f t="shared" si="43"/>
        <v>#REF!</v>
      </c>
      <c r="O115" s="109" t="e">
        <f t="shared" si="43"/>
        <v>#REF!</v>
      </c>
      <c r="P115" s="109" t="e">
        <f t="shared" si="43"/>
        <v>#REF!</v>
      </c>
      <c r="Q115" s="109" t="e">
        <f t="shared" si="43"/>
        <v>#REF!</v>
      </c>
      <c r="R115" s="109" t="e">
        <f t="shared" si="43"/>
        <v>#REF!</v>
      </c>
      <c r="S115" s="109" t="e">
        <f t="shared" si="43"/>
        <v>#REF!</v>
      </c>
      <c r="T115" s="109" t="e">
        <f t="shared" si="43"/>
        <v>#REF!</v>
      </c>
      <c r="U115" s="109" t="e">
        <f t="shared" si="43"/>
        <v>#REF!</v>
      </c>
      <c r="V115" s="109" t="e">
        <f t="shared" si="43"/>
        <v>#REF!</v>
      </c>
      <c r="W115" s="109" t="e">
        <f t="shared" si="43"/>
        <v>#REF!</v>
      </c>
      <c r="X115" s="109" t="e">
        <f t="shared" si="43"/>
        <v>#REF!</v>
      </c>
      <c r="Y115" s="109" t="e">
        <f t="shared" si="43"/>
        <v>#REF!</v>
      </c>
      <c r="Z115" s="109" t="e">
        <f t="shared" si="43"/>
        <v>#REF!</v>
      </c>
      <c r="AA115" s="109" t="e">
        <f t="shared" si="43"/>
        <v>#REF!</v>
      </c>
      <c r="AB115" s="109" t="e">
        <f t="shared" si="43"/>
        <v>#REF!</v>
      </c>
      <c r="AC115" s="109" t="e">
        <f t="shared" si="43"/>
        <v>#REF!</v>
      </c>
      <c r="AD115" s="109" t="e">
        <f t="shared" si="43"/>
        <v>#REF!</v>
      </c>
      <c r="AE115" s="109" t="e">
        <f t="shared" si="43"/>
        <v>#REF!</v>
      </c>
      <c r="AF115" s="109" t="e">
        <f t="shared" si="43"/>
        <v>#REF!</v>
      </c>
      <c r="AG115" s="109" t="e">
        <f t="shared" si="43"/>
        <v>#REF!</v>
      </c>
      <c r="AH115" s="109" t="e">
        <f t="shared" si="43"/>
        <v>#REF!</v>
      </c>
      <c r="AI115" s="109" t="e">
        <f t="shared" si="43"/>
        <v>#REF!</v>
      </c>
      <c r="AJ115" s="109" t="e">
        <f t="shared" si="43"/>
        <v>#REF!</v>
      </c>
      <c r="AK115" s="109" t="e">
        <f t="shared" si="43"/>
        <v>#REF!</v>
      </c>
      <c r="AL115" s="109" t="e">
        <f t="shared" si="43"/>
        <v>#REF!</v>
      </c>
      <c r="AM115" s="109" t="e">
        <f t="shared" si="43"/>
        <v>#REF!</v>
      </c>
      <c r="AN115" s="109" t="e">
        <f t="shared" si="43"/>
        <v>#REF!</v>
      </c>
      <c r="AO115" s="109" t="e">
        <f t="shared" si="43"/>
        <v>#REF!</v>
      </c>
      <c r="AP115" s="109" t="e">
        <f t="shared" si="43"/>
        <v>#REF!</v>
      </c>
      <c r="AQ115" s="109" t="e">
        <f t="shared" si="43"/>
        <v>#REF!</v>
      </c>
      <c r="AR115" s="109" t="e">
        <f t="shared" si="43"/>
        <v>#REF!</v>
      </c>
      <c r="AS115" s="109" t="e">
        <f t="shared" si="43"/>
        <v>#REF!</v>
      </c>
      <c r="AT115" s="109" t="e">
        <f t="shared" si="43"/>
        <v>#REF!</v>
      </c>
      <c r="AU115" s="109" t="e">
        <f t="shared" si="43"/>
        <v>#REF!</v>
      </c>
      <c r="AV115" s="109" t="e">
        <f t="shared" si="43"/>
        <v>#REF!</v>
      </c>
      <c r="AW115" s="109" t="e">
        <f t="shared" si="43"/>
        <v>#REF!</v>
      </c>
      <c r="AX115" s="109" t="e">
        <f t="shared" si="43"/>
        <v>#REF!</v>
      </c>
      <c r="AY115" s="109" t="e">
        <f t="shared" si="43"/>
        <v>#REF!</v>
      </c>
      <c r="AZ115" s="109" t="e">
        <f t="shared" si="43"/>
        <v>#REF!</v>
      </c>
      <c r="BA115" s="109" t="e">
        <f t="shared" si="43"/>
        <v>#REF!</v>
      </c>
      <c r="BB115" s="109" t="e">
        <f t="shared" si="43"/>
        <v>#REF!</v>
      </c>
      <c r="BC115" s="109" t="e">
        <f t="shared" si="43"/>
        <v>#REF!</v>
      </c>
      <c r="BD115" s="109" t="e">
        <f t="shared" si="43"/>
        <v>#REF!</v>
      </c>
      <c r="BE115" s="109" t="e">
        <f t="shared" si="43"/>
        <v>#REF!</v>
      </c>
      <c r="BF115" s="109" t="e">
        <f t="shared" si="43"/>
        <v>#REF!</v>
      </c>
      <c r="BG115" s="109" t="e">
        <f t="shared" si="43"/>
        <v>#REF!</v>
      </c>
      <c r="BH115" s="109" t="e">
        <f t="shared" si="43"/>
        <v>#REF!</v>
      </c>
      <c r="BI115" s="109" t="e">
        <f t="shared" si="43"/>
        <v>#REF!</v>
      </c>
      <c r="BJ115" s="110" t="e">
        <f t="shared" si="43"/>
        <v>#REF!</v>
      </c>
    </row>
    <row r="116" spans="1:64" s="116" customFormat="1">
      <c r="A116" s="111" t="s">
        <v>118</v>
      </c>
      <c r="B116" s="155" t="e">
        <f>SUM(B117:B120)</f>
        <v>#REF!</v>
      </c>
      <c r="C116" s="108" t="e">
        <f t="shared" si="43"/>
        <v>#REF!</v>
      </c>
      <c r="D116" s="109" t="e">
        <f t="shared" si="43"/>
        <v>#REF!</v>
      </c>
      <c r="E116" s="109" t="e">
        <f t="shared" si="43"/>
        <v>#REF!</v>
      </c>
      <c r="F116" s="109" t="e">
        <f t="shared" si="43"/>
        <v>#REF!</v>
      </c>
      <c r="G116" s="109" t="e">
        <f t="shared" si="43"/>
        <v>#REF!</v>
      </c>
      <c r="H116" s="109" t="e">
        <f t="shared" si="43"/>
        <v>#REF!</v>
      </c>
      <c r="I116" s="109" t="e">
        <f t="shared" si="43"/>
        <v>#REF!</v>
      </c>
      <c r="J116" s="109" t="e">
        <f t="shared" si="43"/>
        <v>#REF!</v>
      </c>
      <c r="K116" s="109" t="e">
        <f t="shared" si="43"/>
        <v>#REF!</v>
      </c>
      <c r="L116" s="109" t="e">
        <f t="shared" si="43"/>
        <v>#REF!</v>
      </c>
      <c r="M116" s="109" t="e">
        <f t="shared" si="43"/>
        <v>#REF!</v>
      </c>
      <c r="N116" s="109" t="e">
        <f t="shared" si="43"/>
        <v>#REF!</v>
      </c>
      <c r="O116" s="109" t="e">
        <f t="shared" si="43"/>
        <v>#REF!</v>
      </c>
      <c r="P116" s="109" t="e">
        <f t="shared" si="43"/>
        <v>#REF!</v>
      </c>
      <c r="Q116" s="109" t="e">
        <f t="shared" si="43"/>
        <v>#REF!</v>
      </c>
      <c r="R116" s="109" t="e">
        <f t="shared" si="43"/>
        <v>#REF!</v>
      </c>
      <c r="S116" s="109" t="e">
        <f t="shared" si="43"/>
        <v>#REF!</v>
      </c>
      <c r="T116" s="109" t="e">
        <f t="shared" si="43"/>
        <v>#REF!</v>
      </c>
      <c r="U116" s="109" t="e">
        <f t="shared" si="43"/>
        <v>#REF!</v>
      </c>
      <c r="V116" s="109" t="e">
        <f t="shared" si="43"/>
        <v>#REF!</v>
      </c>
      <c r="W116" s="109" t="e">
        <f t="shared" si="43"/>
        <v>#REF!</v>
      </c>
      <c r="X116" s="109" t="e">
        <f t="shared" si="43"/>
        <v>#REF!</v>
      </c>
      <c r="Y116" s="109" t="e">
        <f t="shared" si="43"/>
        <v>#REF!</v>
      </c>
      <c r="Z116" s="109" t="e">
        <f t="shared" si="43"/>
        <v>#REF!</v>
      </c>
      <c r="AA116" s="109" t="e">
        <f t="shared" si="43"/>
        <v>#REF!</v>
      </c>
      <c r="AB116" s="109" t="e">
        <f t="shared" si="43"/>
        <v>#REF!</v>
      </c>
      <c r="AC116" s="109" t="e">
        <f t="shared" si="43"/>
        <v>#REF!</v>
      </c>
      <c r="AD116" s="109" t="e">
        <f t="shared" si="43"/>
        <v>#REF!</v>
      </c>
      <c r="AE116" s="109" t="e">
        <f t="shared" si="43"/>
        <v>#REF!</v>
      </c>
      <c r="AF116" s="109" t="e">
        <f t="shared" si="43"/>
        <v>#REF!</v>
      </c>
      <c r="AG116" s="109" t="e">
        <f t="shared" si="43"/>
        <v>#REF!</v>
      </c>
      <c r="AH116" s="109" t="e">
        <f t="shared" si="43"/>
        <v>#REF!</v>
      </c>
      <c r="AI116" s="109" t="e">
        <f t="shared" si="43"/>
        <v>#REF!</v>
      </c>
      <c r="AJ116" s="109" t="e">
        <f t="shared" si="43"/>
        <v>#REF!</v>
      </c>
      <c r="AK116" s="109" t="e">
        <f t="shared" si="43"/>
        <v>#REF!</v>
      </c>
      <c r="AL116" s="109" t="e">
        <f t="shared" si="43"/>
        <v>#REF!</v>
      </c>
      <c r="AM116" s="109" t="e">
        <f t="shared" si="43"/>
        <v>#REF!</v>
      </c>
      <c r="AN116" s="109" t="e">
        <f t="shared" si="43"/>
        <v>#REF!</v>
      </c>
      <c r="AO116" s="109" t="e">
        <f t="shared" si="43"/>
        <v>#REF!</v>
      </c>
      <c r="AP116" s="109" t="e">
        <f t="shared" si="43"/>
        <v>#REF!</v>
      </c>
      <c r="AQ116" s="109" t="e">
        <f t="shared" si="43"/>
        <v>#REF!</v>
      </c>
      <c r="AR116" s="109" t="e">
        <f t="shared" si="43"/>
        <v>#REF!</v>
      </c>
      <c r="AS116" s="109" t="e">
        <f t="shared" si="43"/>
        <v>#REF!</v>
      </c>
      <c r="AT116" s="109" t="e">
        <f t="shared" si="43"/>
        <v>#REF!</v>
      </c>
      <c r="AU116" s="109" t="e">
        <f t="shared" si="43"/>
        <v>#REF!</v>
      </c>
      <c r="AV116" s="109" t="e">
        <f t="shared" si="43"/>
        <v>#REF!</v>
      </c>
      <c r="AW116" s="109" t="e">
        <f t="shared" si="43"/>
        <v>#REF!</v>
      </c>
      <c r="AX116" s="109" t="e">
        <f t="shared" si="43"/>
        <v>#REF!</v>
      </c>
      <c r="AY116" s="109" t="e">
        <f t="shared" si="43"/>
        <v>#REF!</v>
      </c>
      <c r="AZ116" s="109" t="e">
        <f t="shared" si="43"/>
        <v>#REF!</v>
      </c>
      <c r="BA116" s="109" t="e">
        <f t="shared" si="43"/>
        <v>#REF!</v>
      </c>
      <c r="BB116" s="109" t="e">
        <f t="shared" si="43"/>
        <v>#REF!</v>
      </c>
      <c r="BC116" s="109" t="e">
        <f t="shared" si="43"/>
        <v>#REF!</v>
      </c>
      <c r="BD116" s="109" t="e">
        <f t="shared" si="43"/>
        <v>#REF!</v>
      </c>
      <c r="BE116" s="109" t="e">
        <f t="shared" si="43"/>
        <v>#REF!</v>
      </c>
      <c r="BF116" s="109" t="e">
        <f t="shared" si="43"/>
        <v>#REF!</v>
      </c>
      <c r="BG116" s="109" t="e">
        <f t="shared" si="43"/>
        <v>#REF!</v>
      </c>
      <c r="BH116" s="109" t="e">
        <f t="shared" si="43"/>
        <v>#REF!</v>
      </c>
      <c r="BI116" s="109" t="e">
        <f t="shared" si="43"/>
        <v>#REF!</v>
      </c>
      <c r="BJ116" s="110" t="e">
        <f t="shared" si="43"/>
        <v>#REF!</v>
      </c>
    </row>
    <row r="117" spans="1:64" s="125" customFormat="1" ht="12.75">
      <c r="A117" s="120" t="s">
        <v>119</v>
      </c>
      <c r="B117" s="211" t="e">
        <f t="shared" ref="B117:B122" si="44">SUM(C117:BJ117)</f>
        <v>#REF!</v>
      </c>
      <c r="C117" s="122" t="e">
        <f t="shared" si="43"/>
        <v>#REF!</v>
      </c>
      <c r="D117" s="123" t="e">
        <f t="shared" si="43"/>
        <v>#REF!</v>
      </c>
      <c r="E117" s="123" t="e">
        <f t="shared" si="43"/>
        <v>#REF!</v>
      </c>
      <c r="F117" s="123" t="e">
        <f t="shared" si="43"/>
        <v>#REF!</v>
      </c>
      <c r="G117" s="123" t="e">
        <f t="shared" si="43"/>
        <v>#REF!</v>
      </c>
      <c r="H117" s="123" t="e">
        <f t="shared" si="43"/>
        <v>#REF!</v>
      </c>
      <c r="I117" s="123" t="e">
        <f t="shared" si="43"/>
        <v>#REF!</v>
      </c>
      <c r="J117" s="123" t="e">
        <f t="shared" si="43"/>
        <v>#REF!</v>
      </c>
      <c r="K117" s="123" t="e">
        <f t="shared" si="43"/>
        <v>#REF!</v>
      </c>
      <c r="L117" s="123" t="e">
        <f t="shared" si="43"/>
        <v>#REF!</v>
      </c>
      <c r="M117" s="123" t="e">
        <f t="shared" si="43"/>
        <v>#REF!</v>
      </c>
      <c r="N117" s="123" t="e">
        <f t="shared" si="43"/>
        <v>#REF!</v>
      </c>
      <c r="O117" s="123" t="e">
        <f t="shared" si="43"/>
        <v>#REF!</v>
      </c>
      <c r="P117" s="123" t="e">
        <f t="shared" si="43"/>
        <v>#REF!</v>
      </c>
      <c r="Q117" s="123" t="e">
        <f t="shared" si="43"/>
        <v>#REF!</v>
      </c>
      <c r="R117" s="123" t="e">
        <f t="shared" si="43"/>
        <v>#REF!</v>
      </c>
      <c r="S117" s="123" t="e">
        <f t="shared" si="43"/>
        <v>#REF!</v>
      </c>
      <c r="T117" s="123" t="e">
        <f t="shared" si="43"/>
        <v>#REF!</v>
      </c>
      <c r="U117" s="123" t="e">
        <f t="shared" si="43"/>
        <v>#REF!</v>
      </c>
      <c r="V117" s="123" t="e">
        <f t="shared" si="43"/>
        <v>#REF!</v>
      </c>
      <c r="W117" s="123" t="e">
        <f t="shared" si="43"/>
        <v>#REF!</v>
      </c>
      <c r="X117" s="123" t="e">
        <f t="shared" si="43"/>
        <v>#REF!</v>
      </c>
      <c r="Y117" s="123" t="e">
        <f t="shared" si="43"/>
        <v>#REF!</v>
      </c>
      <c r="Z117" s="123" t="e">
        <f t="shared" si="43"/>
        <v>#REF!</v>
      </c>
      <c r="AA117" s="123" t="e">
        <f t="shared" si="43"/>
        <v>#REF!</v>
      </c>
      <c r="AB117" s="123" t="e">
        <f t="shared" si="43"/>
        <v>#REF!</v>
      </c>
      <c r="AC117" s="123" t="e">
        <f t="shared" si="43"/>
        <v>#REF!</v>
      </c>
      <c r="AD117" s="123" t="e">
        <f t="shared" si="43"/>
        <v>#REF!</v>
      </c>
      <c r="AE117" s="123" t="e">
        <f t="shared" si="43"/>
        <v>#REF!</v>
      </c>
      <c r="AF117" s="123" t="e">
        <f t="shared" si="43"/>
        <v>#REF!</v>
      </c>
      <c r="AG117" s="123" t="e">
        <f t="shared" si="43"/>
        <v>#REF!</v>
      </c>
      <c r="AH117" s="123" t="e">
        <f t="shared" si="43"/>
        <v>#REF!</v>
      </c>
      <c r="AI117" s="123" t="e">
        <f t="shared" si="43"/>
        <v>#REF!</v>
      </c>
      <c r="AJ117" s="123" t="e">
        <f t="shared" si="43"/>
        <v>#REF!</v>
      </c>
      <c r="AK117" s="123" t="e">
        <f t="shared" si="43"/>
        <v>#REF!</v>
      </c>
      <c r="AL117" s="123" t="e">
        <f t="shared" si="43"/>
        <v>#REF!</v>
      </c>
      <c r="AM117" s="123" t="e">
        <f t="shared" si="43"/>
        <v>#REF!</v>
      </c>
      <c r="AN117" s="123" t="e">
        <f t="shared" si="43"/>
        <v>#REF!</v>
      </c>
      <c r="AO117" s="123" t="e">
        <f t="shared" si="43"/>
        <v>#REF!</v>
      </c>
      <c r="AP117" s="123" t="e">
        <f t="shared" si="43"/>
        <v>#REF!</v>
      </c>
      <c r="AQ117" s="123" t="e">
        <f t="shared" si="43"/>
        <v>#REF!</v>
      </c>
      <c r="AR117" s="123" t="e">
        <f t="shared" si="43"/>
        <v>#REF!</v>
      </c>
      <c r="AS117" s="123" t="e">
        <f t="shared" si="43"/>
        <v>#REF!</v>
      </c>
      <c r="AT117" s="123" t="e">
        <f t="shared" si="43"/>
        <v>#REF!</v>
      </c>
      <c r="AU117" s="123" t="e">
        <f t="shared" si="43"/>
        <v>#REF!</v>
      </c>
      <c r="AV117" s="123" t="e">
        <f t="shared" si="43"/>
        <v>#REF!</v>
      </c>
      <c r="AW117" s="123" t="e">
        <f t="shared" si="43"/>
        <v>#REF!</v>
      </c>
      <c r="AX117" s="123" t="e">
        <f t="shared" si="43"/>
        <v>#REF!</v>
      </c>
      <c r="AY117" s="123" t="e">
        <f t="shared" si="43"/>
        <v>#REF!</v>
      </c>
      <c r="AZ117" s="123" t="e">
        <f t="shared" si="43"/>
        <v>#REF!</v>
      </c>
      <c r="BA117" s="123" t="e">
        <f t="shared" si="43"/>
        <v>#REF!</v>
      </c>
      <c r="BB117" s="123" t="e">
        <f t="shared" si="43"/>
        <v>#REF!</v>
      </c>
      <c r="BC117" s="123" t="e">
        <f t="shared" si="43"/>
        <v>#REF!</v>
      </c>
      <c r="BD117" s="123" t="e">
        <f t="shared" si="43"/>
        <v>#REF!</v>
      </c>
      <c r="BE117" s="123" t="e">
        <f t="shared" si="43"/>
        <v>#REF!</v>
      </c>
      <c r="BF117" s="123" t="e">
        <f t="shared" si="43"/>
        <v>#REF!</v>
      </c>
      <c r="BG117" s="123" t="e">
        <f t="shared" si="43"/>
        <v>#REF!</v>
      </c>
      <c r="BH117" s="123" t="e">
        <f t="shared" si="43"/>
        <v>#REF!</v>
      </c>
      <c r="BI117" s="123" t="e">
        <f t="shared" si="43"/>
        <v>#REF!</v>
      </c>
      <c r="BJ117" s="124" t="e">
        <f t="shared" si="43"/>
        <v>#REF!</v>
      </c>
    </row>
    <row r="118" spans="1:64" s="125" customFormat="1" ht="12.75">
      <c r="A118" s="120" t="s">
        <v>120</v>
      </c>
      <c r="B118" s="211" t="e">
        <f t="shared" si="44"/>
        <v>#REF!</v>
      </c>
      <c r="C118" s="122" t="e">
        <f t="shared" si="43"/>
        <v>#REF!</v>
      </c>
      <c r="D118" s="123" t="e">
        <f t="shared" si="43"/>
        <v>#REF!</v>
      </c>
      <c r="E118" s="123" t="e">
        <f t="shared" si="43"/>
        <v>#REF!</v>
      </c>
      <c r="F118" s="123" t="e">
        <f t="shared" si="43"/>
        <v>#REF!</v>
      </c>
      <c r="G118" s="123" t="e">
        <f t="shared" si="43"/>
        <v>#REF!</v>
      </c>
      <c r="H118" s="123" t="e">
        <f t="shared" si="43"/>
        <v>#REF!</v>
      </c>
      <c r="I118" s="123" t="e">
        <f t="shared" si="43"/>
        <v>#REF!</v>
      </c>
      <c r="J118" s="123" t="e">
        <f t="shared" si="43"/>
        <v>#REF!</v>
      </c>
      <c r="K118" s="123" t="e">
        <f t="shared" si="43"/>
        <v>#REF!</v>
      </c>
      <c r="L118" s="123" t="e">
        <f t="shared" si="43"/>
        <v>#REF!</v>
      </c>
      <c r="M118" s="123" t="e">
        <f t="shared" si="43"/>
        <v>#REF!</v>
      </c>
      <c r="N118" s="123" t="e">
        <f t="shared" si="43"/>
        <v>#REF!</v>
      </c>
      <c r="O118" s="123" t="e">
        <f t="shared" si="43"/>
        <v>#REF!</v>
      </c>
      <c r="P118" s="123" t="e">
        <f t="shared" si="43"/>
        <v>#REF!</v>
      </c>
      <c r="Q118" s="123" t="e">
        <f t="shared" si="43"/>
        <v>#REF!</v>
      </c>
      <c r="R118" s="123" t="e">
        <f t="shared" si="43"/>
        <v>#REF!</v>
      </c>
      <c r="S118" s="123" t="e">
        <f t="shared" si="43"/>
        <v>#REF!</v>
      </c>
      <c r="T118" s="123" t="e">
        <f t="shared" si="43"/>
        <v>#REF!</v>
      </c>
      <c r="U118" s="123" t="e">
        <f t="shared" si="43"/>
        <v>#REF!</v>
      </c>
      <c r="V118" s="123" t="e">
        <f t="shared" si="43"/>
        <v>#REF!</v>
      </c>
      <c r="W118" s="123" t="e">
        <f t="shared" si="43"/>
        <v>#REF!</v>
      </c>
      <c r="X118" s="123" t="e">
        <f t="shared" si="43"/>
        <v>#REF!</v>
      </c>
      <c r="Y118" s="123" t="e">
        <f t="shared" si="43"/>
        <v>#REF!</v>
      </c>
      <c r="Z118" s="123" t="e">
        <f t="shared" si="43"/>
        <v>#REF!</v>
      </c>
      <c r="AA118" s="123" t="e">
        <f t="shared" si="43"/>
        <v>#REF!</v>
      </c>
      <c r="AB118" s="123" t="e">
        <f t="shared" si="43"/>
        <v>#REF!</v>
      </c>
      <c r="AC118" s="123" t="e">
        <f t="shared" si="43"/>
        <v>#REF!</v>
      </c>
      <c r="AD118" s="123" t="e">
        <f t="shared" si="43"/>
        <v>#REF!</v>
      </c>
      <c r="AE118" s="123" t="e">
        <f t="shared" si="43"/>
        <v>#REF!</v>
      </c>
      <c r="AF118" s="123" t="e">
        <f t="shared" si="43"/>
        <v>#REF!</v>
      </c>
      <c r="AG118" s="123" t="e">
        <f t="shared" si="43"/>
        <v>#REF!</v>
      </c>
      <c r="AH118" s="123" t="e">
        <f t="shared" si="43"/>
        <v>#REF!</v>
      </c>
      <c r="AI118" s="123" t="e">
        <f t="shared" si="43"/>
        <v>#REF!</v>
      </c>
      <c r="AJ118" s="123" t="e">
        <f t="shared" si="43"/>
        <v>#REF!</v>
      </c>
      <c r="AK118" s="123" t="e">
        <f t="shared" si="43"/>
        <v>#REF!</v>
      </c>
      <c r="AL118" s="123" t="e">
        <f t="shared" si="43"/>
        <v>#REF!</v>
      </c>
      <c r="AM118" s="123" t="e">
        <f t="shared" si="43"/>
        <v>#REF!</v>
      </c>
      <c r="AN118" s="123" t="e">
        <f t="shared" si="43"/>
        <v>#REF!</v>
      </c>
      <c r="AO118" s="123" t="e">
        <f t="shared" si="43"/>
        <v>#REF!</v>
      </c>
      <c r="AP118" s="123" t="e">
        <f t="shared" si="43"/>
        <v>#REF!</v>
      </c>
      <c r="AQ118" s="123" t="e">
        <f t="shared" si="43"/>
        <v>#REF!</v>
      </c>
      <c r="AR118" s="123" t="e">
        <f t="shared" si="43"/>
        <v>#REF!</v>
      </c>
      <c r="AS118" s="123" t="e">
        <f t="shared" si="43"/>
        <v>#REF!</v>
      </c>
      <c r="AT118" s="123" t="e">
        <f t="shared" si="43"/>
        <v>#REF!</v>
      </c>
      <c r="AU118" s="123" t="e">
        <f t="shared" si="43"/>
        <v>#REF!</v>
      </c>
      <c r="AV118" s="123" t="e">
        <f t="shared" si="43"/>
        <v>#REF!</v>
      </c>
      <c r="AW118" s="123" t="e">
        <f t="shared" si="43"/>
        <v>#REF!</v>
      </c>
      <c r="AX118" s="123" t="e">
        <f t="shared" si="43"/>
        <v>#REF!</v>
      </c>
      <c r="AY118" s="123" t="e">
        <f t="shared" si="43"/>
        <v>#REF!</v>
      </c>
      <c r="AZ118" s="123" t="e">
        <f t="shared" si="43"/>
        <v>#REF!</v>
      </c>
      <c r="BA118" s="123" t="e">
        <f t="shared" si="43"/>
        <v>#REF!</v>
      </c>
      <c r="BB118" s="123" t="e">
        <f t="shared" si="43"/>
        <v>#REF!</v>
      </c>
      <c r="BC118" s="123" t="e">
        <f t="shared" si="43"/>
        <v>#REF!</v>
      </c>
      <c r="BD118" s="123" t="e">
        <f t="shared" si="43"/>
        <v>#REF!</v>
      </c>
      <c r="BE118" s="123" t="e">
        <f t="shared" si="43"/>
        <v>#REF!</v>
      </c>
      <c r="BF118" s="123" t="e">
        <f t="shared" si="43"/>
        <v>#REF!</v>
      </c>
      <c r="BG118" s="123" t="e">
        <f t="shared" si="43"/>
        <v>#REF!</v>
      </c>
      <c r="BH118" s="123" t="e">
        <f t="shared" si="43"/>
        <v>#REF!</v>
      </c>
      <c r="BI118" s="123" t="e">
        <f t="shared" si="43"/>
        <v>#REF!</v>
      </c>
      <c r="BJ118" s="124" t="e">
        <f t="shared" si="43"/>
        <v>#REF!</v>
      </c>
    </row>
    <row r="119" spans="1:64" s="125" customFormat="1" ht="12.75">
      <c r="A119" s="120" t="s">
        <v>121</v>
      </c>
      <c r="B119" s="211" t="e">
        <f t="shared" si="44"/>
        <v>#REF!</v>
      </c>
      <c r="C119" s="122" t="e">
        <f t="shared" si="43"/>
        <v>#REF!</v>
      </c>
      <c r="D119" s="123" t="e">
        <f t="shared" si="43"/>
        <v>#REF!</v>
      </c>
      <c r="E119" s="123" t="e">
        <f t="shared" si="43"/>
        <v>#REF!</v>
      </c>
      <c r="F119" s="123" t="e">
        <f t="shared" si="43"/>
        <v>#REF!</v>
      </c>
      <c r="G119" s="123" t="e">
        <f t="shared" si="43"/>
        <v>#REF!</v>
      </c>
      <c r="H119" s="123" t="e">
        <f t="shared" si="43"/>
        <v>#REF!</v>
      </c>
      <c r="I119" s="123" t="e">
        <f t="shared" si="43"/>
        <v>#REF!</v>
      </c>
      <c r="J119" s="123" t="e">
        <f t="shared" si="43"/>
        <v>#REF!</v>
      </c>
      <c r="K119" s="123" t="e">
        <f t="shared" si="43"/>
        <v>#REF!</v>
      </c>
      <c r="L119" s="123" t="e">
        <f t="shared" si="43"/>
        <v>#REF!</v>
      </c>
      <c r="M119" s="123" t="e">
        <f t="shared" si="43"/>
        <v>#REF!</v>
      </c>
      <c r="N119" s="123" t="e">
        <f t="shared" si="43"/>
        <v>#REF!</v>
      </c>
      <c r="O119" s="123" t="e">
        <f t="shared" si="43"/>
        <v>#REF!</v>
      </c>
      <c r="P119" s="123" t="e">
        <f t="shared" si="43"/>
        <v>#REF!</v>
      </c>
      <c r="Q119" s="123" t="e">
        <f t="shared" si="43"/>
        <v>#REF!</v>
      </c>
      <c r="R119" s="123" t="e">
        <f t="shared" ref="R119:BJ121" si="45">R62*(1+$G$53)^(R$54-1)</f>
        <v>#REF!</v>
      </c>
      <c r="S119" s="123" t="e">
        <f t="shared" si="45"/>
        <v>#REF!</v>
      </c>
      <c r="T119" s="123" t="e">
        <f t="shared" si="45"/>
        <v>#REF!</v>
      </c>
      <c r="U119" s="123" t="e">
        <f t="shared" si="45"/>
        <v>#REF!</v>
      </c>
      <c r="V119" s="123" t="e">
        <f t="shared" si="45"/>
        <v>#REF!</v>
      </c>
      <c r="W119" s="123" t="e">
        <f t="shared" si="45"/>
        <v>#REF!</v>
      </c>
      <c r="X119" s="123" t="e">
        <f t="shared" si="45"/>
        <v>#REF!</v>
      </c>
      <c r="Y119" s="123" t="e">
        <f t="shared" si="45"/>
        <v>#REF!</v>
      </c>
      <c r="Z119" s="123" t="e">
        <f t="shared" si="45"/>
        <v>#REF!</v>
      </c>
      <c r="AA119" s="123" t="e">
        <f t="shared" si="45"/>
        <v>#REF!</v>
      </c>
      <c r="AB119" s="123" t="e">
        <f t="shared" si="45"/>
        <v>#REF!</v>
      </c>
      <c r="AC119" s="123" t="e">
        <f t="shared" si="45"/>
        <v>#REF!</v>
      </c>
      <c r="AD119" s="123" t="e">
        <f t="shared" si="45"/>
        <v>#REF!</v>
      </c>
      <c r="AE119" s="123" t="e">
        <f t="shared" si="45"/>
        <v>#REF!</v>
      </c>
      <c r="AF119" s="123" t="e">
        <f t="shared" si="45"/>
        <v>#REF!</v>
      </c>
      <c r="AG119" s="123" t="e">
        <f t="shared" si="45"/>
        <v>#REF!</v>
      </c>
      <c r="AH119" s="123" t="e">
        <f t="shared" si="45"/>
        <v>#REF!</v>
      </c>
      <c r="AI119" s="123" t="e">
        <f t="shared" si="45"/>
        <v>#REF!</v>
      </c>
      <c r="AJ119" s="123" t="e">
        <f t="shared" si="45"/>
        <v>#REF!</v>
      </c>
      <c r="AK119" s="123" t="e">
        <f t="shared" si="45"/>
        <v>#REF!</v>
      </c>
      <c r="AL119" s="123" t="e">
        <f t="shared" si="45"/>
        <v>#REF!</v>
      </c>
      <c r="AM119" s="123" t="e">
        <f t="shared" si="45"/>
        <v>#REF!</v>
      </c>
      <c r="AN119" s="123" t="e">
        <f t="shared" si="45"/>
        <v>#REF!</v>
      </c>
      <c r="AO119" s="123" t="e">
        <f t="shared" si="45"/>
        <v>#REF!</v>
      </c>
      <c r="AP119" s="123" t="e">
        <f t="shared" si="45"/>
        <v>#REF!</v>
      </c>
      <c r="AQ119" s="123" t="e">
        <f t="shared" si="45"/>
        <v>#REF!</v>
      </c>
      <c r="AR119" s="123" t="e">
        <f t="shared" si="45"/>
        <v>#REF!</v>
      </c>
      <c r="AS119" s="123" t="e">
        <f t="shared" si="45"/>
        <v>#REF!</v>
      </c>
      <c r="AT119" s="123" t="e">
        <f t="shared" si="45"/>
        <v>#REF!</v>
      </c>
      <c r="AU119" s="123" t="e">
        <f t="shared" si="45"/>
        <v>#REF!</v>
      </c>
      <c r="AV119" s="123" t="e">
        <f t="shared" si="45"/>
        <v>#REF!</v>
      </c>
      <c r="AW119" s="123" t="e">
        <f t="shared" si="45"/>
        <v>#REF!</v>
      </c>
      <c r="AX119" s="123" t="e">
        <f t="shared" si="45"/>
        <v>#REF!</v>
      </c>
      <c r="AY119" s="123" t="e">
        <f t="shared" si="45"/>
        <v>#REF!</v>
      </c>
      <c r="AZ119" s="123" t="e">
        <f t="shared" si="45"/>
        <v>#REF!</v>
      </c>
      <c r="BA119" s="123" t="e">
        <f t="shared" si="45"/>
        <v>#REF!</v>
      </c>
      <c r="BB119" s="123" t="e">
        <f t="shared" si="45"/>
        <v>#REF!</v>
      </c>
      <c r="BC119" s="123" t="e">
        <f t="shared" si="45"/>
        <v>#REF!</v>
      </c>
      <c r="BD119" s="123" t="e">
        <f t="shared" si="45"/>
        <v>#REF!</v>
      </c>
      <c r="BE119" s="123" t="e">
        <f t="shared" si="45"/>
        <v>#REF!</v>
      </c>
      <c r="BF119" s="123" t="e">
        <f t="shared" si="45"/>
        <v>#REF!</v>
      </c>
      <c r="BG119" s="123" t="e">
        <f t="shared" si="45"/>
        <v>#REF!</v>
      </c>
      <c r="BH119" s="123" t="e">
        <f t="shared" si="45"/>
        <v>#REF!</v>
      </c>
      <c r="BI119" s="123" t="e">
        <f t="shared" si="45"/>
        <v>#REF!</v>
      </c>
      <c r="BJ119" s="124" t="e">
        <f t="shared" si="45"/>
        <v>#REF!</v>
      </c>
    </row>
    <row r="120" spans="1:64" s="125" customFormat="1" ht="12.75">
      <c r="A120" s="120" t="s">
        <v>122</v>
      </c>
      <c r="B120" s="211" t="e">
        <f t="shared" si="44"/>
        <v>#REF!</v>
      </c>
      <c r="C120" s="122" t="e">
        <f t="shared" ref="C120:AH121" si="46">C63*(1+$G$53)^(C$54-1)</f>
        <v>#REF!</v>
      </c>
      <c r="D120" s="123" t="e">
        <f t="shared" si="46"/>
        <v>#REF!</v>
      </c>
      <c r="E120" s="123" t="e">
        <f t="shared" si="46"/>
        <v>#REF!</v>
      </c>
      <c r="F120" s="123" t="e">
        <f t="shared" si="46"/>
        <v>#REF!</v>
      </c>
      <c r="G120" s="123" t="e">
        <f t="shared" si="46"/>
        <v>#REF!</v>
      </c>
      <c r="H120" s="123" t="e">
        <f t="shared" si="46"/>
        <v>#REF!</v>
      </c>
      <c r="I120" s="123" t="e">
        <f t="shared" si="46"/>
        <v>#REF!</v>
      </c>
      <c r="J120" s="123" t="e">
        <f t="shared" si="46"/>
        <v>#REF!</v>
      </c>
      <c r="K120" s="123" t="e">
        <f t="shared" si="46"/>
        <v>#REF!</v>
      </c>
      <c r="L120" s="123" t="e">
        <f t="shared" si="46"/>
        <v>#REF!</v>
      </c>
      <c r="M120" s="123" t="e">
        <f t="shared" si="46"/>
        <v>#REF!</v>
      </c>
      <c r="N120" s="123" t="e">
        <f t="shared" si="46"/>
        <v>#REF!</v>
      </c>
      <c r="O120" s="123" t="e">
        <f t="shared" si="46"/>
        <v>#REF!</v>
      </c>
      <c r="P120" s="123" t="e">
        <f t="shared" si="46"/>
        <v>#REF!</v>
      </c>
      <c r="Q120" s="123" t="e">
        <f t="shared" si="46"/>
        <v>#REF!</v>
      </c>
      <c r="R120" s="123" t="e">
        <f t="shared" si="46"/>
        <v>#REF!</v>
      </c>
      <c r="S120" s="123" t="e">
        <f t="shared" si="46"/>
        <v>#REF!</v>
      </c>
      <c r="T120" s="123" t="e">
        <f t="shared" si="46"/>
        <v>#REF!</v>
      </c>
      <c r="U120" s="123" t="e">
        <f t="shared" si="46"/>
        <v>#REF!</v>
      </c>
      <c r="V120" s="123" t="e">
        <f t="shared" si="46"/>
        <v>#REF!</v>
      </c>
      <c r="W120" s="123" t="e">
        <f t="shared" si="46"/>
        <v>#REF!</v>
      </c>
      <c r="X120" s="123" t="e">
        <f t="shared" si="46"/>
        <v>#REF!</v>
      </c>
      <c r="Y120" s="123" t="e">
        <f t="shared" si="46"/>
        <v>#REF!</v>
      </c>
      <c r="Z120" s="123" t="e">
        <f t="shared" si="46"/>
        <v>#REF!</v>
      </c>
      <c r="AA120" s="123" t="e">
        <f t="shared" si="46"/>
        <v>#REF!</v>
      </c>
      <c r="AB120" s="123" t="e">
        <f t="shared" si="46"/>
        <v>#REF!</v>
      </c>
      <c r="AC120" s="123" t="e">
        <f t="shared" si="46"/>
        <v>#REF!</v>
      </c>
      <c r="AD120" s="123" t="e">
        <f t="shared" si="46"/>
        <v>#REF!</v>
      </c>
      <c r="AE120" s="123" t="e">
        <f t="shared" si="46"/>
        <v>#REF!</v>
      </c>
      <c r="AF120" s="123" t="e">
        <f t="shared" si="46"/>
        <v>#REF!</v>
      </c>
      <c r="AG120" s="123" t="e">
        <f t="shared" si="46"/>
        <v>#REF!</v>
      </c>
      <c r="AH120" s="123" t="e">
        <f t="shared" si="46"/>
        <v>#REF!</v>
      </c>
      <c r="AI120" s="123" t="e">
        <f t="shared" si="45"/>
        <v>#REF!</v>
      </c>
      <c r="AJ120" s="123" t="e">
        <f t="shared" si="45"/>
        <v>#REF!</v>
      </c>
      <c r="AK120" s="123" t="e">
        <f t="shared" si="45"/>
        <v>#REF!</v>
      </c>
      <c r="AL120" s="123" t="e">
        <f t="shared" si="45"/>
        <v>#REF!</v>
      </c>
      <c r="AM120" s="123" t="e">
        <f t="shared" si="45"/>
        <v>#REF!</v>
      </c>
      <c r="AN120" s="123" t="e">
        <f t="shared" si="45"/>
        <v>#REF!</v>
      </c>
      <c r="AO120" s="123" t="e">
        <f t="shared" si="45"/>
        <v>#REF!</v>
      </c>
      <c r="AP120" s="123" t="e">
        <f t="shared" si="45"/>
        <v>#REF!</v>
      </c>
      <c r="AQ120" s="123" t="e">
        <f t="shared" si="45"/>
        <v>#REF!</v>
      </c>
      <c r="AR120" s="123" t="e">
        <f t="shared" si="45"/>
        <v>#REF!</v>
      </c>
      <c r="AS120" s="123" t="e">
        <f t="shared" si="45"/>
        <v>#REF!</v>
      </c>
      <c r="AT120" s="123" t="e">
        <f t="shared" si="45"/>
        <v>#REF!</v>
      </c>
      <c r="AU120" s="123" t="e">
        <f t="shared" si="45"/>
        <v>#REF!</v>
      </c>
      <c r="AV120" s="123" t="e">
        <f t="shared" si="45"/>
        <v>#REF!</v>
      </c>
      <c r="AW120" s="123" t="e">
        <f t="shared" si="45"/>
        <v>#REF!</v>
      </c>
      <c r="AX120" s="123" t="e">
        <f t="shared" si="45"/>
        <v>#REF!</v>
      </c>
      <c r="AY120" s="123" t="e">
        <f t="shared" si="45"/>
        <v>#REF!</v>
      </c>
      <c r="AZ120" s="123" t="e">
        <f t="shared" si="45"/>
        <v>#REF!</v>
      </c>
      <c r="BA120" s="123" t="e">
        <f t="shared" si="45"/>
        <v>#REF!</v>
      </c>
      <c r="BB120" s="123" t="e">
        <f t="shared" si="45"/>
        <v>#REF!</v>
      </c>
      <c r="BC120" s="123" t="e">
        <f t="shared" si="45"/>
        <v>#REF!</v>
      </c>
      <c r="BD120" s="123" t="e">
        <f t="shared" si="45"/>
        <v>#REF!</v>
      </c>
      <c r="BE120" s="123" t="e">
        <f t="shared" si="45"/>
        <v>#REF!</v>
      </c>
      <c r="BF120" s="123" t="e">
        <f t="shared" si="45"/>
        <v>#REF!</v>
      </c>
      <c r="BG120" s="123" t="e">
        <f t="shared" si="45"/>
        <v>#REF!</v>
      </c>
      <c r="BH120" s="123" t="e">
        <f t="shared" si="45"/>
        <v>#REF!</v>
      </c>
      <c r="BI120" s="123" t="e">
        <f t="shared" si="45"/>
        <v>#REF!</v>
      </c>
      <c r="BJ120" s="124" t="e">
        <f t="shared" si="45"/>
        <v>#REF!</v>
      </c>
    </row>
    <row r="121" spans="1:64" s="116" customFormat="1">
      <c r="A121" s="212" t="s">
        <v>123</v>
      </c>
      <c r="B121" s="197">
        <f>SUM(C121:BJ121)</f>
        <v>35840143.720307097</v>
      </c>
      <c r="C121" s="133">
        <f t="shared" si="46"/>
        <v>6617062.2822557855</v>
      </c>
      <c r="D121" s="134">
        <f t="shared" si="46"/>
        <v>6881744.7735460168</v>
      </c>
      <c r="E121" s="134">
        <f t="shared" si="46"/>
        <v>7157014.5644878587</v>
      </c>
      <c r="F121" s="134">
        <f t="shared" si="46"/>
        <v>7443295.1470673727</v>
      </c>
      <c r="G121" s="134">
        <f t="shared" si="46"/>
        <v>7741026.9529500678</v>
      </c>
      <c r="H121" s="134">
        <f t="shared" si="46"/>
        <v>0</v>
      </c>
      <c r="I121" s="134">
        <f t="shared" si="46"/>
        <v>0</v>
      </c>
      <c r="J121" s="134">
        <f t="shared" si="46"/>
        <v>0</v>
      </c>
      <c r="K121" s="134">
        <f t="shared" si="46"/>
        <v>0</v>
      </c>
      <c r="L121" s="134">
        <f t="shared" si="46"/>
        <v>0</v>
      </c>
      <c r="M121" s="134">
        <f t="shared" si="46"/>
        <v>0</v>
      </c>
      <c r="N121" s="134">
        <f t="shared" si="46"/>
        <v>0</v>
      </c>
      <c r="O121" s="134">
        <f t="shared" si="46"/>
        <v>0</v>
      </c>
      <c r="P121" s="134">
        <f t="shared" si="46"/>
        <v>0</v>
      </c>
      <c r="Q121" s="134">
        <f t="shared" si="46"/>
        <v>0</v>
      </c>
      <c r="R121" s="134">
        <f t="shared" si="46"/>
        <v>0</v>
      </c>
      <c r="S121" s="134">
        <f t="shared" si="46"/>
        <v>0</v>
      </c>
      <c r="T121" s="134">
        <f t="shared" si="46"/>
        <v>0</v>
      </c>
      <c r="U121" s="134">
        <f t="shared" si="46"/>
        <v>0</v>
      </c>
      <c r="V121" s="134">
        <f t="shared" si="46"/>
        <v>0</v>
      </c>
      <c r="W121" s="134">
        <f t="shared" si="46"/>
        <v>0</v>
      </c>
      <c r="X121" s="134">
        <f t="shared" si="46"/>
        <v>0</v>
      </c>
      <c r="Y121" s="134">
        <f t="shared" si="46"/>
        <v>0</v>
      </c>
      <c r="Z121" s="134">
        <f t="shared" si="46"/>
        <v>0</v>
      </c>
      <c r="AA121" s="134">
        <f t="shared" si="46"/>
        <v>0</v>
      </c>
      <c r="AB121" s="134">
        <f t="shared" si="46"/>
        <v>0</v>
      </c>
      <c r="AC121" s="134">
        <f t="shared" si="46"/>
        <v>0</v>
      </c>
      <c r="AD121" s="134">
        <f t="shared" si="46"/>
        <v>0</v>
      </c>
      <c r="AE121" s="134">
        <f t="shared" si="46"/>
        <v>0</v>
      </c>
      <c r="AF121" s="134">
        <f t="shared" si="46"/>
        <v>0</v>
      </c>
      <c r="AG121" s="134">
        <f t="shared" si="46"/>
        <v>0</v>
      </c>
      <c r="AH121" s="134">
        <f t="shared" si="46"/>
        <v>0</v>
      </c>
      <c r="AI121" s="134">
        <f t="shared" si="45"/>
        <v>0</v>
      </c>
      <c r="AJ121" s="134">
        <f t="shared" si="45"/>
        <v>0</v>
      </c>
      <c r="AK121" s="134">
        <f t="shared" si="45"/>
        <v>0</v>
      </c>
      <c r="AL121" s="134">
        <f t="shared" si="45"/>
        <v>0</v>
      </c>
      <c r="AM121" s="134">
        <f t="shared" si="45"/>
        <v>0</v>
      </c>
      <c r="AN121" s="134">
        <f t="shared" si="45"/>
        <v>0</v>
      </c>
      <c r="AO121" s="134">
        <f t="shared" si="45"/>
        <v>0</v>
      </c>
      <c r="AP121" s="134">
        <f t="shared" si="45"/>
        <v>0</v>
      </c>
      <c r="AQ121" s="134">
        <f t="shared" si="45"/>
        <v>0</v>
      </c>
      <c r="AR121" s="134">
        <f t="shared" si="45"/>
        <v>0</v>
      </c>
      <c r="AS121" s="134">
        <f t="shared" si="45"/>
        <v>0</v>
      </c>
      <c r="AT121" s="134">
        <f t="shared" si="45"/>
        <v>0</v>
      </c>
      <c r="AU121" s="134">
        <f t="shared" si="45"/>
        <v>0</v>
      </c>
      <c r="AV121" s="134">
        <f t="shared" si="45"/>
        <v>0</v>
      </c>
      <c r="AW121" s="134">
        <f t="shared" si="45"/>
        <v>0</v>
      </c>
      <c r="AX121" s="134">
        <f t="shared" si="45"/>
        <v>0</v>
      </c>
      <c r="AY121" s="134">
        <f t="shared" si="45"/>
        <v>0</v>
      </c>
      <c r="AZ121" s="134">
        <f t="shared" si="45"/>
        <v>0</v>
      </c>
      <c r="BA121" s="134">
        <f t="shared" si="45"/>
        <v>0</v>
      </c>
      <c r="BB121" s="134">
        <f t="shared" si="45"/>
        <v>0</v>
      </c>
      <c r="BC121" s="134">
        <f t="shared" si="45"/>
        <v>0</v>
      </c>
      <c r="BD121" s="134">
        <f t="shared" si="45"/>
        <v>0</v>
      </c>
      <c r="BE121" s="134">
        <f t="shared" si="45"/>
        <v>0</v>
      </c>
      <c r="BF121" s="134">
        <f t="shared" si="45"/>
        <v>0</v>
      </c>
      <c r="BG121" s="134">
        <f t="shared" si="45"/>
        <v>0</v>
      </c>
      <c r="BH121" s="134">
        <f t="shared" si="45"/>
        <v>0</v>
      </c>
      <c r="BI121" s="134">
        <f t="shared" si="45"/>
        <v>0</v>
      </c>
      <c r="BJ121" s="135">
        <f t="shared" si="45"/>
        <v>0</v>
      </c>
    </row>
    <row r="122" spans="1:64" s="105" customFormat="1" ht="22.5" customHeight="1">
      <c r="A122" s="131" t="s">
        <v>124</v>
      </c>
      <c r="B122" s="132" t="e">
        <f t="shared" si="44"/>
        <v>#REF!</v>
      </c>
      <c r="C122" s="133" t="e">
        <f>C113-C115-C116-C121</f>
        <v>#REF!</v>
      </c>
      <c r="D122" s="134" t="e">
        <f>D113-D115-D116-D121</f>
        <v>#REF!</v>
      </c>
      <c r="E122" s="134" t="e">
        <f t="shared" ref="E122:BJ122" si="47">E113-E115-E116-E121</f>
        <v>#REF!</v>
      </c>
      <c r="F122" s="134" t="e">
        <f t="shared" si="47"/>
        <v>#REF!</v>
      </c>
      <c r="G122" s="134" t="e">
        <f t="shared" si="47"/>
        <v>#REF!</v>
      </c>
      <c r="H122" s="134" t="e">
        <f t="shared" si="47"/>
        <v>#REF!</v>
      </c>
      <c r="I122" s="134" t="e">
        <f t="shared" si="47"/>
        <v>#REF!</v>
      </c>
      <c r="J122" s="134" t="e">
        <f t="shared" si="47"/>
        <v>#REF!</v>
      </c>
      <c r="K122" s="134" t="e">
        <f t="shared" si="47"/>
        <v>#REF!</v>
      </c>
      <c r="L122" s="134" t="e">
        <f t="shared" si="47"/>
        <v>#REF!</v>
      </c>
      <c r="M122" s="134" t="e">
        <f t="shared" si="47"/>
        <v>#REF!</v>
      </c>
      <c r="N122" s="134" t="e">
        <f t="shared" si="47"/>
        <v>#REF!</v>
      </c>
      <c r="O122" s="134" t="e">
        <f t="shared" si="47"/>
        <v>#REF!</v>
      </c>
      <c r="P122" s="134" t="e">
        <f t="shared" si="47"/>
        <v>#REF!</v>
      </c>
      <c r="Q122" s="134" t="e">
        <f t="shared" si="47"/>
        <v>#REF!</v>
      </c>
      <c r="R122" s="134" t="e">
        <f t="shared" si="47"/>
        <v>#REF!</v>
      </c>
      <c r="S122" s="134" t="e">
        <f t="shared" si="47"/>
        <v>#REF!</v>
      </c>
      <c r="T122" s="134" t="e">
        <f t="shared" si="47"/>
        <v>#REF!</v>
      </c>
      <c r="U122" s="134" t="e">
        <f t="shared" si="47"/>
        <v>#REF!</v>
      </c>
      <c r="V122" s="134" t="e">
        <f t="shared" si="47"/>
        <v>#REF!</v>
      </c>
      <c r="W122" s="134" t="e">
        <f t="shared" si="47"/>
        <v>#REF!</v>
      </c>
      <c r="X122" s="134" t="e">
        <f t="shared" si="47"/>
        <v>#REF!</v>
      </c>
      <c r="Y122" s="134" t="e">
        <f t="shared" si="47"/>
        <v>#REF!</v>
      </c>
      <c r="Z122" s="134" t="e">
        <f t="shared" si="47"/>
        <v>#REF!</v>
      </c>
      <c r="AA122" s="134" t="e">
        <f t="shared" si="47"/>
        <v>#REF!</v>
      </c>
      <c r="AB122" s="134" t="e">
        <f t="shared" si="47"/>
        <v>#REF!</v>
      </c>
      <c r="AC122" s="134" t="e">
        <f t="shared" si="47"/>
        <v>#REF!</v>
      </c>
      <c r="AD122" s="134" t="e">
        <f t="shared" si="47"/>
        <v>#REF!</v>
      </c>
      <c r="AE122" s="134" t="e">
        <f t="shared" si="47"/>
        <v>#REF!</v>
      </c>
      <c r="AF122" s="134" t="e">
        <f t="shared" si="47"/>
        <v>#REF!</v>
      </c>
      <c r="AG122" s="134" t="e">
        <f t="shared" si="47"/>
        <v>#REF!</v>
      </c>
      <c r="AH122" s="134" t="e">
        <f t="shared" si="47"/>
        <v>#REF!</v>
      </c>
      <c r="AI122" s="134" t="e">
        <f t="shared" si="47"/>
        <v>#REF!</v>
      </c>
      <c r="AJ122" s="134" t="e">
        <f t="shared" si="47"/>
        <v>#REF!</v>
      </c>
      <c r="AK122" s="134" t="e">
        <f t="shared" si="47"/>
        <v>#REF!</v>
      </c>
      <c r="AL122" s="134" t="e">
        <f t="shared" si="47"/>
        <v>#REF!</v>
      </c>
      <c r="AM122" s="134" t="e">
        <f t="shared" si="47"/>
        <v>#REF!</v>
      </c>
      <c r="AN122" s="134" t="e">
        <f t="shared" si="47"/>
        <v>#REF!</v>
      </c>
      <c r="AO122" s="134" t="e">
        <f t="shared" si="47"/>
        <v>#REF!</v>
      </c>
      <c r="AP122" s="134" t="e">
        <f t="shared" si="47"/>
        <v>#REF!</v>
      </c>
      <c r="AQ122" s="134" t="e">
        <f t="shared" si="47"/>
        <v>#REF!</v>
      </c>
      <c r="AR122" s="134" t="e">
        <f t="shared" si="47"/>
        <v>#REF!</v>
      </c>
      <c r="AS122" s="134" t="e">
        <f t="shared" si="47"/>
        <v>#REF!</v>
      </c>
      <c r="AT122" s="134" t="e">
        <f t="shared" si="47"/>
        <v>#REF!</v>
      </c>
      <c r="AU122" s="134" t="e">
        <f t="shared" si="47"/>
        <v>#REF!</v>
      </c>
      <c r="AV122" s="134" t="e">
        <f t="shared" si="47"/>
        <v>#REF!</v>
      </c>
      <c r="AW122" s="134" t="e">
        <f t="shared" si="47"/>
        <v>#REF!</v>
      </c>
      <c r="AX122" s="134" t="e">
        <f t="shared" si="47"/>
        <v>#REF!</v>
      </c>
      <c r="AY122" s="134" t="e">
        <f t="shared" si="47"/>
        <v>#REF!</v>
      </c>
      <c r="AZ122" s="134" t="e">
        <f t="shared" si="47"/>
        <v>#REF!</v>
      </c>
      <c r="BA122" s="134" t="e">
        <f t="shared" si="47"/>
        <v>#REF!</v>
      </c>
      <c r="BB122" s="134" t="e">
        <f t="shared" si="47"/>
        <v>#REF!</v>
      </c>
      <c r="BC122" s="134" t="e">
        <f t="shared" si="47"/>
        <v>#REF!</v>
      </c>
      <c r="BD122" s="134" t="e">
        <f t="shared" si="47"/>
        <v>#REF!</v>
      </c>
      <c r="BE122" s="134" t="e">
        <f t="shared" si="47"/>
        <v>#REF!</v>
      </c>
      <c r="BF122" s="134" t="e">
        <f t="shared" si="47"/>
        <v>#REF!</v>
      </c>
      <c r="BG122" s="134" t="e">
        <f t="shared" si="47"/>
        <v>#REF!</v>
      </c>
      <c r="BH122" s="134" t="e">
        <f t="shared" si="47"/>
        <v>#REF!</v>
      </c>
      <c r="BI122" s="134" t="e">
        <f t="shared" si="47"/>
        <v>#REF!</v>
      </c>
      <c r="BJ122" s="135" t="e">
        <f t="shared" si="47"/>
        <v>#REF!</v>
      </c>
      <c r="BK122" s="109"/>
      <c r="BL122" s="109"/>
    </row>
    <row r="123" spans="1:64" s="116" customFormat="1">
      <c r="A123" s="136" t="s">
        <v>125</v>
      </c>
      <c r="B123" s="137" t="e">
        <f t="shared" ref="B123:G123" si="48">SUM(B124:B127)</f>
        <v>#REF!</v>
      </c>
      <c r="C123" s="113">
        <f t="shared" si="48"/>
        <v>38866568.814096212</v>
      </c>
      <c r="D123" s="114">
        <f t="shared" si="48"/>
        <v>43620769.221489772</v>
      </c>
      <c r="E123" s="114" t="e">
        <f t="shared" si="48"/>
        <v>#REF!</v>
      </c>
      <c r="F123" s="114" t="e">
        <f t="shared" si="48"/>
        <v>#REF!</v>
      </c>
      <c r="G123" s="114" t="e">
        <f t="shared" si="48"/>
        <v>#REF!</v>
      </c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  <c r="R123" s="114"/>
      <c r="S123" s="114"/>
      <c r="T123" s="114"/>
      <c r="U123" s="114"/>
      <c r="V123" s="114"/>
      <c r="W123" s="114"/>
      <c r="X123" s="114"/>
      <c r="Y123" s="114"/>
      <c r="Z123" s="114"/>
      <c r="AA123" s="114"/>
      <c r="AB123" s="114"/>
      <c r="AC123" s="114"/>
      <c r="AD123" s="114"/>
      <c r="AE123" s="114"/>
      <c r="AF123" s="114"/>
      <c r="AG123" s="114"/>
      <c r="AH123" s="114"/>
      <c r="AI123" s="114"/>
      <c r="AJ123" s="114"/>
      <c r="AK123" s="114"/>
      <c r="AL123" s="114"/>
      <c r="AM123" s="114"/>
      <c r="AN123" s="114"/>
      <c r="AO123" s="114"/>
      <c r="AP123" s="114"/>
      <c r="AQ123" s="114"/>
      <c r="AR123" s="114"/>
      <c r="AS123" s="114"/>
      <c r="AT123" s="114"/>
      <c r="AU123" s="114"/>
      <c r="AV123" s="114"/>
      <c r="AW123" s="114"/>
      <c r="AX123" s="114"/>
      <c r="AY123" s="114"/>
      <c r="AZ123" s="114"/>
      <c r="BA123" s="114"/>
      <c r="BB123" s="114"/>
      <c r="BC123" s="114"/>
      <c r="BD123" s="114"/>
      <c r="BE123" s="114"/>
      <c r="BF123" s="114"/>
      <c r="BG123" s="114"/>
      <c r="BH123" s="114"/>
      <c r="BI123" s="114"/>
      <c r="BJ123" s="115"/>
    </row>
    <row r="124" spans="1:64" s="143" customFormat="1" ht="12.75">
      <c r="A124" s="138" t="s">
        <v>126</v>
      </c>
      <c r="B124" s="139" t="e">
        <f>SUM(C124:BJ124)</f>
        <v>#REF!</v>
      </c>
      <c r="C124" s="140">
        <f t="shared" ref="C124:G127" si="49">C67*(1+$G$53)^(C$54-1)</f>
        <v>0</v>
      </c>
      <c r="D124" s="141">
        <f t="shared" si="49"/>
        <v>0</v>
      </c>
      <c r="E124" s="141" t="e">
        <f t="shared" si="49"/>
        <v>#REF!</v>
      </c>
      <c r="F124" s="141" t="e">
        <f t="shared" si="49"/>
        <v>#REF!</v>
      </c>
      <c r="G124" s="141" t="e">
        <f t="shared" si="49"/>
        <v>#REF!</v>
      </c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  <c r="AH124" s="141"/>
      <c r="AI124" s="141"/>
      <c r="AJ124" s="141"/>
      <c r="AK124" s="141"/>
      <c r="AL124" s="141"/>
      <c r="AM124" s="141"/>
      <c r="AN124" s="141"/>
      <c r="AO124" s="141"/>
      <c r="AP124" s="141"/>
      <c r="AQ124" s="141"/>
      <c r="AR124" s="141"/>
      <c r="AS124" s="141"/>
      <c r="AT124" s="141"/>
      <c r="AU124" s="141"/>
      <c r="AV124" s="141"/>
      <c r="AW124" s="141"/>
      <c r="AX124" s="141"/>
      <c r="AY124" s="141"/>
      <c r="AZ124" s="141"/>
      <c r="BA124" s="141"/>
      <c r="BB124" s="141"/>
      <c r="BC124" s="141"/>
      <c r="BD124" s="141"/>
      <c r="BE124" s="141"/>
      <c r="BF124" s="141"/>
      <c r="BG124" s="141"/>
      <c r="BH124" s="141"/>
      <c r="BI124" s="141"/>
      <c r="BJ124" s="142"/>
      <c r="BK124" s="141"/>
      <c r="BL124" s="141"/>
    </row>
    <row r="125" spans="1:64" s="143" customFormat="1" ht="12.75">
      <c r="A125" s="138" t="s">
        <v>127</v>
      </c>
      <c r="B125" s="139">
        <f>SUM(C125:BJ125)</f>
        <v>0</v>
      </c>
      <c r="C125" s="140">
        <f t="shared" si="49"/>
        <v>0</v>
      </c>
      <c r="D125" s="141">
        <f t="shared" si="49"/>
        <v>0</v>
      </c>
      <c r="E125" s="141">
        <f t="shared" si="49"/>
        <v>0</v>
      </c>
      <c r="F125" s="141">
        <f t="shared" si="49"/>
        <v>0</v>
      </c>
      <c r="G125" s="141">
        <f t="shared" si="49"/>
        <v>0</v>
      </c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  <c r="AH125" s="141"/>
      <c r="AI125" s="141"/>
      <c r="AJ125" s="141"/>
      <c r="AK125" s="141"/>
      <c r="AL125" s="141"/>
      <c r="AM125" s="141"/>
      <c r="AN125" s="141"/>
      <c r="AO125" s="141"/>
      <c r="AP125" s="141"/>
      <c r="AQ125" s="141"/>
      <c r="AR125" s="141"/>
      <c r="AS125" s="141"/>
      <c r="AT125" s="141"/>
      <c r="AU125" s="141"/>
      <c r="AV125" s="141"/>
      <c r="AW125" s="141"/>
      <c r="AX125" s="141"/>
      <c r="AY125" s="141"/>
      <c r="AZ125" s="141"/>
      <c r="BA125" s="141"/>
      <c r="BB125" s="141"/>
      <c r="BC125" s="141"/>
      <c r="BD125" s="141"/>
      <c r="BE125" s="141"/>
      <c r="BF125" s="141"/>
      <c r="BG125" s="141"/>
      <c r="BH125" s="141"/>
      <c r="BI125" s="141"/>
      <c r="BJ125" s="142"/>
      <c r="BK125" s="141"/>
      <c r="BL125" s="141"/>
    </row>
    <row r="126" spans="1:64" s="143" customFormat="1" ht="12.75">
      <c r="A126" s="138" t="s">
        <v>128</v>
      </c>
      <c r="B126" s="139">
        <f>SUM(C126:BJ126)</f>
        <v>193850673.51544362</v>
      </c>
      <c r="C126" s="140">
        <f t="shared" si="49"/>
        <v>35790090.299836874</v>
      </c>
      <c r="D126" s="141">
        <f t="shared" si="49"/>
        <v>37221693.911830351</v>
      </c>
      <c r="E126" s="141">
        <f t="shared" si="49"/>
        <v>38710561.668303564</v>
      </c>
      <c r="F126" s="141">
        <f t="shared" si="49"/>
        <v>40258984.135035709</v>
      </c>
      <c r="G126" s="141">
        <f t="shared" si="49"/>
        <v>41869343.50043714</v>
      </c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  <c r="AH126" s="141"/>
      <c r="AI126" s="141"/>
      <c r="AJ126" s="141"/>
      <c r="AK126" s="141"/>
      <c r="AL126" s="141"/>
      <c r="AM126" s="141"/>
      <c r="AN126" s="141"/>
      <c r="AO126" s="141"/>
      <c r="AP126" s="141"/>
      <c r="AQ126" s="141"/>
      <c r="AR126" s="141"/>
      <c r="AS126" s="141"/>
      <c r="AT126" s="141"/>
      <c r="AU126" s="141"/>
      <c r="AV126" s="141"/>
      <c r="AW126" s="141"/>
      <c r="AX126" s="141"/>
      <c r="AY126" s="141"/>
      <c r="AZ126" s="141"/>
      <c r="BA126" s="141"/>
      <c r="BB126" s="141"/>
      <c r="BC126" s="141"/>
      <c r="BD126" s="141"/>
      <c r="BE126" s="141"/>
      <c r="BF126" s="141"/>
      <c r="BG126" s="141"/>
      <c r="BH126" s="141"/>
      <c r="BI126" s="141"/>
      <c r="BJ126" s="142"/>
      <c r="BK126" s="141"/>
      <c r="BL126" s="141"/>
    </row>
    <row r="127" spans="1:64" s="143" customFormat="1" ht="12.75">
      <c r="A127" s="138" t="s">
        <v>129</v>
      </c>
      <c r="B127" s="139">
        <f>SUM(C127:BJ127)</f>
        <v>9475553.8239187542</v>
      </c>
      <c r="C127" s="140">
        <f t="shared" si="49"/>
        <v>3076478.5142593356</v>
      </c>
      <c r="D127" s="141">
        <f t="shared" si="49"/>
        <v>6399075.3096594186</v>
      </c>
      <c r="E127" s="141">
        <f t="shared" si="49"/>
        <v>0</v>
      </c>
      <c r="F127" s="141">
        <f t="shared" si="49"/>
        <v>0</v>
      </c>
      <c r="G127" s="141">
        <f t="shared" si="49"/>
        <v>0</v>
      </c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  <c r="AH127" s="141"/>
      <c r="AI127" s="141"/>
      <c r="AJ127" s="141"/>
      <c r="AK127" s="141"/>
      <c r="AL127" s="141"/>
      <c r="AM127" s="141"/>
      <c r="AN127" s="141"/>
      <c r="AO127" s="141"/>
      <c r="AP127" s="141"/>
      <c r="AQ127" s="141"/>
      <c r="AR127" s="141"/>
      <c r="AS127" s="141"/>
      <c r="AT127" s="141"/>
      <c r="AU127" s="141"/>
      <c r="AV127" s="141"/>
      <c r="AW127" s="141"/>
      <c r="AX127" s="141"/>
      <c r="AY127" s="141"/>
      <c r="AZ127" s="141"/>
      <c r="BA127" s="141"/>
      <c r="BB127" s="141"/>
      <c r="BC127" s="141"/>
      <c r="BD127" s="141"/>
      <c r="BE127" s="141"/>
      <c r="BF127" s="141"/>
      <c r="BG127" s="141"/>
      <c r="BH127" s="141"/>
      <c r="BI127" s="141"/>
      <c r="BJ127" s="142"/>
      <c r="BK127" s="141"/>
      <c r="BL127" s="141"/>
    </row>
    <row r="128" spans="1:64" s="116" customFormat="1">
      <c r="A128" s="111" t="s">
        <v>130</v>
      </c>
      <c r="B128" s="137" t="e">
        <f>SUM(B129:B132)</f>
        <v>#REF!</v>
      </c>
      <c r="C128" s="117">
        <f>SUM(C129:C132)</f>
        <v>1295552.2938032071</v>
      </c>
      <c r="D128" s="118">
        <f>SUM(D129:D132)</f>
        <v>2801400.0262716608</v>
      </c>
      <c r="E128" s="118" t="e">
        <f t="shared" ref="E128:BJ128" si="50">SUM(E129:E132)</f>
        <v>#REF!</v>
      </c>
      <c r="F128" s="118" t="e">
        <f t="shared" si="50"/>
        <v>#REF!</v>
      </c>
      <c r="G128" s="118" t="e">
        <f t="shared" si="50"/>
        <v>#REF!</v>
      </c>
      <c r="H128" s="118" t="e">
        <f t="shared" si="50"/>
        <v>#REF!</v>
      </c>
      <c r="I128" s="118" t="e">
        <f t="shared" si="50"/>
        <v>#REF!</v>
      </c>
      <c r="J128" s="118" t="e">
        <f t="shared" si="50"/>
        <v>#REF!</v>
      </c>
      <c r="K128" s="118" t="e">
        <f t="shared" si="50"/>
        <v>#REF!</v>
      </c>
      <c r="L128" s="118" t="e">
        <f t="shared" si="50"/>
        <v>#REF!</v>
      </c>
      <c r="M128" s="118" t="e">
        <f t="shared" si="50"/>
        <v>#REF!</v>
      </c>
      <c r="N128" s="118" t="e">
        <f t="shared" si="50"/>
        <v>#REF!</v>
      </c>
      <c r="O128" s="118" t="e">
        <f t="shared" si="50"/>
        <v>#REF!</v>
      </c>
      <c r="P128" s="118" t="e">
        <f t="shared" si="50"/>
        <v>#REF!</v>
      </c>
      <c r="Q128" s="118" t="e">
        <f t="shared" si="50"/>
        <v>#REF!</v>
      </c>
      <c r="R128" s="118" t="e">
        <f t="shared" si="50"/>
        <v>#REF!</v>
      </c>
      <c r="S128" s="118" t="e">
        <f t="shared" si="50"/>
        <v>#REF!</v>
      </c>
      <c r="T128" s="118" t="e">
        <f t="shared" si="50"/>
        <v>#REF!</v>
      </c>
      <c r="U128" s="118" t="e">
        <f t="shared" si="50"/>
        <v>#REF!</v>
      </c>
      <c r="V128" s="118" t="e">
        <f t="shared" si="50"/>
        <v>#REF!</v>
      </c>
      <c r="W128" s="118" t="e">
        <f t="shared" si="50"/>
        <v>#REF!</v>
      </c>
      <c r="X128" s="118" t="e">
        <f t="shared" si="50"/>
        <v>#REF!</v>
      </c>
      <c r="Y128" s="118" t="e">
        <f t="shared" si="50"/>
        <v>#REF!</v>
      </c>
      <c r="Z128" s="118" t="e">
        <f t="shared" si="50"/>
        <v>#REF!</v>
      </c>
      <c r="AA128" s="118" t="e">
        <f t="shared" si="50"/>
        <v>#REF!</v>
      </c>
      <c r="AB128" s="118" t="e">
        <f t="shared" si="50"/>
        <v>#REF!</v>
      </c>
      <c r="AC128" s="118" t="e">
        <f t="shared" si="50"/>
        <v>#REF!</v>
      </c>
      <c r="AD128" s="118" t="e">
        <f t="shared" si="50"/>
        <v>#REF!</v>
      </c>
      <c r="AE128" s="118" t="e">
        <f t="shared" si="50"/>
        <v>#REF!</v>
      </c>
      <c r="AF128" s="118" t="e">
        <f t="shared" si="50"/>
        <v>#REF!</v>
      </c>
      <c r="AG128" s="118" t="e">
        <f t="shared" si="50"/>
        <v>#REF!</v>
      </c>
      <c r="AH128" s="118" t="e">
        <f t="shared" si="50"/>
        <v>#REF!</v>
      </c>
      <c r="AI128" s="118" t="e">
        <f t="shared" si="50"/>
        <v>#REF!</v>
      </c>
      <c r="AJ128" s="118" t="e">
        <f t="shared" si="50"/>
        <v>#REF!</v>
      </c>
      <c r="AK128" s="118">
        <f t="shared" si="50"/>
        <v>0</v>
      </c>
      <c r="AL128" s="118">
        <f t="shared" si="50"/>
        <v>0</v>
      </c>
      <c r="AM128" s="118">
        <f t="shared" si="50"/>
        <v>0</v>
      </c>
      <c r="AN128" s="118">
        <f t="shared" si="50"/>
        <v>0</v>
      </c>
      <c r="AO128" s="118">
        <f t="shared" si="50"/>
        <v>0</v>
      </c>
      <c r="AP128" s="118">
        <f t="shared" si="50"/>
        <v>0</v>
      </c>
      <c r="AQ128" s="118">
        <f t="shared" si="50"/>
        <v>0</v>
      </c>
      <c r="AR128" s="118">
        <f t="shared" si="50"/>
        <v>0</v>
      </c>
      <c r="AS128" s="118">
        <f t="shared" si="50"/>
        <v>0</v>
      </c>
      <c r="AT128" s="118">
        <f t="shared" si="50"/>
        <v>0</v>
      </c>
      <c r="AU128" s="118">
        <f t="shared" si="50"/>
        <v>0</v>
      </c>
      <c r="AV128" s="118">
        <f t="shared" si="50"/>
        <v>0</v>
      </c>
      <c r="AW128" s="118">
        <f t="shared" si="50"/>
        <v>0</v>
      </c>
      <c r="AX128" s="118">
        <f t="shared" si="50"/>
        <v>0</v>
      </c>
      <c r="AY128" s="118">
        <f t="shared" si="50"/>
        <v>0</v>
      </c>
      <c r="AZ128" s="118">
        <f t="shared" si="50"/>
        <v>0</v>
      </c>
      <c r="BA128" s="118">
        <f t="shared" si="50"/>
        <v>0</v>
      </c>
      <c r="BB128" s="118">
        <f t="shared" si="50"/>
        <v>0</v>
      </c>
      <c r="BC128" s="118">
        <f t="shared" si="50"/>
        <v>0</v>
      </c>
      <c r="BD128" s="118">
        <f t="shared" si="50"/>
        <v>0</v>
      </c>
      <c r="BE128" s="118">
        <f t="shared" si="50"/>
        <v>0</v>
      </c>
      <c r="BF128" s="118">
        <f t="shared" si="50"/>
        <v>0</v>
      </c>
      <c r="BG128" s="118">
        <f t="shared" si="50"/>
        <v>0</v>
      </c>
      <c r="BH128" s="118">
        <f t="shared" si="50"/>
        <v>0</v>
      </c>
      <c r="BI128" s="118">
        <f t="shared" si="50"/>
        <v>0</v>
      </c>
      <c r="BJ128" s="119">
        <f t="shared" si="50"/>
        <v>0</v>
      </c>
      <c r="BK128" s="118"/>
      <c r="BL128" s="118"/>
    </row>
    <row r="129" spans="1:64" s="143" customFormat="1" ht="12.75">
      <c r="A129" s="138" t="s">
        <v>126</v>
      </c>
      <c r="B129" s="139" t="e">
        <f>SUM(C129:BJ129)</f>
        <v>#REF!</v>
      </c>
      <c r="C129" s="140">
        <f t="shared" ref="C129:AJ136" si="51">C72*(1+$G$53)^(C$54-1)</f>
        <v>0</v>
      </c>
      <c r="D129" s="141">
        <f t="shared" si="51"/>
        <v>0</v>
      </c>
      <c r="E129" s="141" t="e">
        <f t="shared" si="51"/>
        <v>#REF!</v>
      </c>
      <c r="F129" s="141" t="e">
        <f t="shared" si="51"/>
        <v>#REF!</v>
      </c>
      <c r="G129" s="141" t="e">
        <f t="shared" si="51"/>
        <v>#REF!</v>
      </c>
      <c r="H129" s="141" t="e">
        <f t="shared" si="51"/>
        <v>#REF!</v>
      </c>
      <c r="I129" s="141" t="e">
        <f t="shared" si="51"/>
        <v>#REF!</v>
      </c>
      <c r="J129" s="141" t="e">
        <f t="shared" si="51"/>
        <v>#REF!</v>
      </c>
      <c r="K129" s="141" t="e">
        <f t="shared" si="51"/>
        <v>#REF!</v>
      </c>
      <c r="L129" s="141" t="e">
        <f t="shared" si="51"/>
        <v>#REF!</v>
      </c>
      <c r="M129" s="141" t="e">
        <f t="shared" si="51"/>
        <v>#REF!</v>
      </c>
      <c r="N129" s="141" t="e">
        <f t="shared" si="51"/>
        <v>#REF!</v>
      </c>
      <c r="O129" s="141" t="e">
        <f t="shared" si="51"/>
        <v>#REF!</v>
      </c>
      <c r="P129" s="141" t="e">
        <f t="shared" si="51"/>
        <v>#REF!</v>
      </c>
      <c r="Q129" s="141" t="e">
        <f t="shared" si="51"/>
        <v>#REF!</v>
      </c>
      <c r="R129" s="141" t="e">
        <f t="shared" si="51"/>
        <v>#REF!</v>
      </c>
      <c r="S129" s="141" t="e">
        <f t="shared" si="51"/>
        <v>#REF!</v>
      </c>
      <c r="T129" s="141" t="e">
        <f t="shared" si="51"/>
        <v>#REF!</v>
      </c>
      <c r="U129" s="141" t="e">
        <f t="shared" si="51"/>
        <v>#REF!</v>
      </c>
      <c r="V129" s="141" t="e">
        <f t="shared" si="51"/>
        <v>#REF!</v>
      </c>
      <c r="W129" s="141" t="e">
        <f t="shared" si="51"/>
        <v>#REF!</v>
      </c>
      <c r="X129" s="141" t="e">
        <f t="shared" si="51"/>
        <v>#REF!</v>
      </c>
      <c r="Y129" s="141" t="e">
        <f t="shared" si="51"/>
        <v>#REF!</v>
      </c>
      <c r="Z129" s="141" t="e">
        <f t="shared" si="51"/>
        <v>#REF!</v>
      </c>
      <c r="AA129" s="141" t="e">
        <f t="shared" si="51"/>
        <v>#REF!</v>
      </c>
      <c r="AB129" s="141" t="e">
        <f t="shared" si="51"/>
        <v>#REF!</v>
      </c>
      <c r="AC129" s="141" t="e">
        <f t="shared" si="51"/>
        <v>#REF!</v>
      </c>
      <c r="AD129" s="141" t="e">
        <f t="shared" si="51"/>
        <v>#REF!</v>
      </c>
      <c r="AE129" s="141" t="e">
        <f t="shared" si="51"/>
        <v>#REF!</v>
      </c>
      <c r="AF129" s="141" t="e">
        <f t="shared" si="51"/>
        <v>#REF!</v>
      </c>
      <c r="AG129" s="141" t="e">
        <f t="shared" si="51"/>
        <v>#REF!</v>
      </c>
      <c r="AH129" s="141" t="e">
        <f t="shared" si="51"/>
        <v>#REF!</v>
      </c>
      <c r="AI129" s="141" t="e">
        <f t="shared" si="51"/>
        <v>#REF!</v>
      </c>
      <c r="AJ129" s="141" t="e">
        <f t="shared" si="51"/>
        <v>#REF!</v>
      </c>
      <c r="AK129" s="141"/>
      <c r="AL129" s="141"/>
      <c r="AM129" s="141"/>
      <c r="AN129" s="141"/>
      <c r="AO129" s="141"/>
      <c r="AP129" s="141"/>
      <c r="AQ129" s="141"/>
      <c r="AR129" s="141"/>
      <c r="AS129" s="141"/>
      <c r="AT129" s="141"/>
      <c r="AU129" s="141"/>
      <c r="AV129" s="141"/>
      <c r="AW129" s="141"/>
      <c r="AX129" s="141"/>
      <c r="AY129" s="141"/>
      <c r="AZ129" s="141"/>
      <c r="BA129" s="141"/>
      <c r="BB129" s="141"/>
      <c r="BC129" s="141"/>
      <c r="BD129" s="141"/>
      <c r="BE129" s="141"/>
      <c r="BF129" s="141"/>
      <c r="BG129" s="141"/>
      <c r="BH129" s="141"/>
      <c r="BI129" s="141"/>
      <c r="BJ129" s="142"/>
      <c r="BK129" s="141"/>
      <c r="BL129" s="141"/>
    </row>
    <row r="130" spans="1:64" s="143" customFormat="1" ht="12.75">
      <c r="A130" s="138" t="s">
        <v>127</v>
      </c>
      <c r="B130" s="139">
        <f>SUM(C130:BJ130)</f>
        <v>0</v>
      </c>
      <c r="C130" s="140">
        <f t="shared" si="51"/>
        <v>0</v>
      </c>
      <c r="D130" s="141">
        <f t="shared" si="51"/>
        <v>0</v>
      </c>
      <c r="E130" s="141">
        <f t="shared" si="51"/>
        <v>0</v>
      </c>
      <c r="F130" s="141">
        <f t="shared" si="51"/>
        <v>0</v>
      </c>
      <c r="G130" s="141">
        <f t="shared" si="51"/>
        <v>0</v>
      </c>
      <c r="H130" s="141">
        <f t="shared" si="51"/>
        <v>0</v>
      </c>
      <c r="I130" s="141">
        <f t="shared" si="51"/>
        <v>0</v>
      </c>
      <c r="J130" s="141">
        <f t="shared" si="51"/>
        <v>0</v>
      </c>
      <c r="K130" s="141">
        <f t="shared" si="51"/>
        <v>0</v>
      </c>
      <c r="L130" s="141">
        <f t="shared" si="51"/>
        <v>0</v>
      </c>
      <c r="M130" s="141">
        <f t="shared" si="51"/>
        <v>0</v>
      </c>
      <c r="N130" s="141">
        <f t="shared" si="51"/>
        <v>0</v>
      </c>
      <c r="O130" s="141">
        <f t="shared" si="51"/>
        <v>0</v>
      </c>
      <c r="P130" s="141">
        <f t="shared" si="51"/>
        <v>0</v>
      </c>
      <c r="Q130" s="141">
        <f t="shared" si="51"/>
        <v>0</v>
      </c>
      <c r="R130" s="141">
        <f t="shared" si="51"/>
        <v>0</v>
      </c>
      <c r="S130" s="141">
        <f t="shared" si="51"/>
        <v>0</v>
      </c>
      <c r="T130" s="141">
        <f t="shared" si="51"/>
        <v>0</v>
      </c>
      <c r="U130" s="141">
        <f t="shared" si="51"/>
        <v>0</v>
      </c>
      <c r="V130" s="141">
        <f t="shared" si="51"/>
        <v>0</v>
      </c>
      <c r="W130" s="141">
        <f t="shared" si="51"/>
        <v>0</v>
      </c>
      <c r="X130" s="141">
        <f t="shared" si="51"/>
        <v>0</v>
      </c>
      <c r="Y130" s="141">
        <f t="shared" si="51"/>
        <v>0</v>
      </c>
      <c r="Z130" s="141">
        <f t="shared" si="51"/>
        <v>0</v>
      </c>
      <c r="AA130" s="141">
        <f t="shared" si="51"/>
        <v>0</v>
      </c>
      <c r="AB130" s="141">
        <f t="shared" si="51"/>
        <v>0</v>
      </c>
      <c r="AC130" s="141">
        <f t="shared" si="51"/>
        <v>0</v>
      </c>
      <c r="AD130" s="141">
        <f t="shared" si="51"/>
        <v>0</v>
      </c>
      <c r="AE130" s="141">
        <f t="shared" si="51"/>
        <v>0</v>
      </c>
      <c r="AF130" s="141">
        <f t="shared" si="51"/>
        <v>0</v>
      </c>
      <c r="AG130" s="141">
        <f t="shared" si="51"/>
        <v>0</v>
      </c>
      <c r="AH130" s="141">
        <f t="shared" si="51"/>
        <v>0</v>
      </c>
      <c r="AI130" s="141">
        <f t="shared" si="51"/>
        <v>0</v>
      </c>
      <c r="AJ130" s="141">
        <f t="shared" si="51"/>
        <v>0</v>
      </c>
      <c r="AK130" s="141"/>
      <c r="AL130" s="141"/>
      <c r="AM130" s="141"/>
      <c r="AN130" s="141"/>
      <c r="AO130" s="141"/>
      <c r="AP130" s="141"/>
      <c r="AQ130" s="141"/>
      <c r="AR130" s="141"/>
      <c r="AS130" s="141"/>
      <c r="AT130" s="141"/>
      <c r="AU130" s="141"/>
      <c r="AV130" s="141"/>
      <c r="AW130" s="141"/>
      <c r="AX130" s="141"/>
      <c r="AY130" s="141"/>
      <c r="AZ130" s="141"/>
      <c r="BA130" s="141"/>
      <c r="BB130" s="141"/>
      <c r="BC130" s="141"/>
      <c r="BD130" s="141"/>
      <c r="BE130" s="141"/>
      <c r="BF130" s="141"/>
      <c r="BG130" s="141"/>
      <c r="BH130" s="141"/>
      <c r="BI130" s="141"/>
      <c r="BJ130" s="142"/>
      <c r="BK130" s="141"/>
      <c r="BL130" s="141"/>
    </row>
    <row r="131" spans="1:64" s="143" customFormat="1" ht="12.75">
      <c r="A131" s="138" t="s">
        <v>128</v>
      </c>
      <c r="B131" s="139">
        <f>SUM(C131:BJ131)</f>
        <v>362403431.90142328</v>
      </c>
      <c r="C131" s="140">
        <f t="shared" si="51"/>
        <v>1193003.0099945625</v>
      </c>
      <c r="D131" s="141">
        <f t="shared" si="51"/>
        <v>2481446.2607886898</v>
      </c>
      <c r="E131" s="141">
        <f t="shared" si="51"/>
        <v>3871056.1668303567</v>
      </c>
      <c r="F131" s="141">
        <f t="shared" si="51"/>
        <v>5367864.5513380943</v>
      </c>
      <c r="G131" s="141">
        <f t="shared" si="51"/>
        <v>6978223.9167395243</v>
      </c>
      <c r="H131" s="141">
        <f t="shared" si="51"/>
        <v>7257352.8734091055</v>
      </c>
      <c r="I131" s="141">
        <f t="shared" si="51"/>
        <v>7547646.9883454703</v>
      </c>
      <c r="J131" s="141">
        <f t="shared" si="51"/>
        <v>7849552.8678792883</v>
      </c>
      <c r="K131" s="141">
        <f t="shared" si="51"/>
        <v>8163534.9825944612</v>
      </c>
      <c r="L131" s="141">
        <f t="shared" si="51"/>
        <v>8490076.3818982393</v>
      </c>
      <c r="M131" s="141">
        <f t="shared" si="51"/>
        <v>8829679.4371741693</v>
      </c>
      <c r="N131" s="141">
        <f t="shared" si="51"/>
        <v>9182866.6146611348</v>
      </c>
      <c r="O131" s="141">
        <f t="shared" si="51"/>
        <v>9550181.2792475838</v>
      </c>
      <c r="P131" s="141">
        <f t="shared" si="51"/>
        <v>9932188.530417487</v>
      </c>
      <c r="Q131" s="141">
        <f t="shared" si="51"/>
        <v>10329476.071634186</v>
      </c>
      <c r="R131" s="141">
        <f t="shared" si="51"/>
        <v>10742655.114499554</v>
      </c>
      <c r="S131" s="141">
        <f t="shared" si="51"/>
        <v>11172361.319079537</v>
      </c>
      <c r="T131" s="141">
        <f t="shared" si="51"/>
        <v>11619255.77184272</v>
      </c>
      <c r="U131" s="141">
        <f t="shared" si="51"/>
        <v>12084026.00271643</v>
      </c>
      <c r="V131" s="141">
        <f t="shared" si="51"/>
        <v>12567387.042825086</v>
      </c>
      <c r="W131" s="141">
        <f t="shared" si="51"/>
        <v>13070082.52453809</v>
      </c>
      <c r="X131" s="141">
        <f t="shared" si="51"/>
        <v>13592885.825519616</v>
      </c>
      <c r="Y131" s="141">
        <f t="shared" si="51"/>
        <v>14136601.258540401</v>
      </c>
      <c r="Z131" s="141">
        <f t="shared" si="51"/>
        <v>14702065.308882015</v>
      </c>
      <c r="AA131" s="141">
        <f t="shared" si="51"/>
        <v>15290147.921237297</v>
      </c>
      <c r="AB131" s="141">
        <f t="shared" si="51"/>
        <v>15901753.838086793</v>
      </c>
      <c r="AC131" s="141">
        <f t="shared" si="51"/>
        <v>16537823.991610263</v>
      </c>
      <c r="AD131" s="141">
        <f t="shared" si="51"/>
        <v>17199336.951274674</v>
      </c>
      <c r="AE131" s="141">
        <f t="shared" si="51"/>
        <v>17887310.429325663</v>
      </c>
      <c r="AF131" s="141">
        <f t="shared" si="51"/>
        <v>18602802.846498691</v>
      </c>
      <c r="AG131" s="141">
        <f t="shared" si="51"/>
        <v>15477531.968286909</v>
      </c>
      <c r="AH131" s="141">
        <f t="shared" si="51"/>
        <v>12072474.935263788</v>
      </c>
      <c r="AI131" s="141">
        <f t="shared" si="51"/>
        <v>8370249.2884495612</v>
      </c>
      <c r="AJ131" s="141">
        <f t="shared" si="51"/>
        <v>4352529.6299937721</v>
      </c>
      <c r="AK131" s="141"/>
      <c r="AL131" s="141"/>
      <c r="AM131" s="141"/>
      <c r="AN131" s="141"/>
      <c r="AO131" s="141"/>
      <c r="AP131" s="141"/>
      <c r="AQ131" s="141"/>
      <c r="AR131" s="141"/>
      <c r="AS131" s="141"/>
      <c r="AT131" s="141"/>
      <c r="AU131" s="141"/>
      <c r="AV131" s="141"/>
      <c r="AW131" s="141"/>
      <c r="AX131" s="141"/>
      <c r="AY131" s="141"/>
      <c r="AZ131" s="141"/>
      <c r="BA131" s="141"/>
      <c r="BB131" s="141"/>
      <c r="BC131" s="141"/>
      <c r="BD131" s="141"/>
      <c r="BE131" s="141"/>
      <c r="BF131" s="141"/>
      <c r="BG131" s="141"/>
      <c r="BH131" s="141"/>
      <c r="BI131" s="141"/>
      <c r="BJ131" s="142"/>
      <c r="BK131" s="141"/>
      <c r="BL131" s="141"/>
    </row>
    <row r="132" spans="1:64" s="143" customFormat="1" ht="12.75">
      <c r="A132" s="138" t="s">
        <v>129</v>
      </c>
      <c r="B132" s="139">
        <f>SUM(C132:BJ132)</f>
        <v>17714528.212259389</v>
      </c>
      <c r="C132" s="140">
        <f t="shared" si="51"/>
        <v>102549.28380864453</v>
      </c>
      <c r="D132" s="141">
        <f t="shared" si="51"/>
        <v>319953.76548297092</v>
      </c>
      <c r="E132" s="141">
        <f t="shared" si="51"/>
        <v>332751.9161022898</v>
      </c>
      <c r="F132" s="141">
        <f t="shared" si="51"/>
        <v>346061.99274638138</v>
      </c>
      <c r="G132" s="141">
        <f t="shared" si="51"/>
        <v>359904.47245623666</v>
      </c>
      <c r="H132" s="141">
        <f t="shared" si="51"/>
        <v>374300.65135448618</v>
      </c>
      <c r="I132" s="141">
        <f t="shared" si="51"/>
        <v>389272.67740866565</v>
      </c>
      <c r="J132" s="141">
        <f t="shared" si="51"/>
        <v>404843.5845050122</v>
      </c>
      <c r="K132" s="141">
        <f t="shared" si="51"/>
        <v>421037.32788521278</v>
      </c>
      <c r="L132" s="141">
        <f t="shared" si="51"/>
        <v>437878.82100062136</v>
      </c>
      <c r="M132" s="141">
        <f t="shared" si="51"/>
        <v>455393.97384064621</v>
      </c>
      <c r="N132" s="141">
        <f t="shared" si="51"/>
        <v>473609.73279427201</v>
      </c>
      <c r="O132" s="141">
        <f t="shared" si="51"/>
        <v>492554.12210604298</v>
      </c>
      <c r="P132" s="141">
        <f t="shared" si="51"/>
        <v>512256.28699028475</v>
      </c>
      <c r="Q132" s="141">
        <f t="shared" si="51"/>
        <v>532746.53846989607</v>
      </c>
      <c r="R132" s="141">
        <f t="shared" si="51"/>
        <v>554056.40000869194</v>
      </c>
      <c r="S132" s="141">
        <f t="shared" si="51"/>
        <v>576218.65600903973</v>
      </c>
      <c r="T132" s="141">
        <f t="shared" si="51"/>
        <v>599267.40224940132</v>
      </c>
      <c r="U132" s="141">
        <f t="shared" si="51"/>
        <v>623238.09833937744</v>
      </c>
      <c r="V132" s="141">
        <f t="shared" si="51"/>
        <v>648167.62227295258</v>
      </c>
      <c r="W132" s="141">
        <f t="shared" si="51"/>
        <v>674094.32716387068</v>
      </c>
      <c r="X132" s="141">
        <f t="shared" si="51"/>
        <v>701058.10025042563</v>
      </c>
      <c r="Y132" s="141">
        <f t="shared" si="51"/>
        <v>729100.42426044261</v>
      </c>
      <c r="Z132" s="141">
        <f t="shared" si="51"/>
        <v>758264.44123086019</v>
      </c>
      <c r="AA132" s="141">
        <f t="shared" si="51"/>
        <v>788595.01888009475</v>
      </c>
      <c r="AB132" s="141">
        <f t="shared" si="51"/>
        <v>820138.81963529869</v>
      </c>
      <c r="AC132" s="141">
        <f t="shared" si="51"/>
        <v>852944.37242071051</v>
      </c>
      <c r="AD132" s="141">
        <f t="shared" si="51"/>
        <v>887062.14731753897</v>
      </c>
      <c r="AE132" s="141">
        <f t="shared" si="51"/>
        <v>922544.63321024075</v>
      </c>
      <c r="AF132" s="141">
        <f t="shared" si="51"/>
        <v>959446.41853865038</v>
      </c>
      <c r="AG132" s="141">
        <f t="shared" si="51"/>
        <v>665216.18352013093</v>
      </c>
      <c r="AH132" s="141">
        <f t="shared" si="51"/>
        <v>0</v>
      </c>
      <c r="AI132" s="141">
        <f t="shared" si="51"/>
        <v>0</v>
      </c>
      <c r="AJ132" s="141">
        <f t="shared" si="51"/>
        <v>0</v>
      </c>
      <c r="AK132" s="141"/>
      <c r="AL132" s="141"/>
      <c r="AM132" s="141"/>
      <c r="AN132" s="141"/>
      <c r="AO132" s="141"/>
      <c r="AP132" s="141"/>
      <c r="AQ132" s="141"/>
      <c r="AR132" s="141"/>
      <c r="AS132" s="141"/>
      <c r="AT132" s="141"/>
      <c r="AU132" s="141"/>
      <c r="AV132" s="141"/>
      <c r="AW132" s="141"/>
      <c r="AX132" s="141"/>
      <c r="AY132" s="141"/>
      <c r="AZ132" s="141"/>
      <c r="BA132" s="141"/>
      <c r="BB132" s="141"/>
      <c r="BC132" s="141"/>
      <c r="BD132" s="141"/>
      <c r="BE132" s="141"/>
      <c r="BF132" s="141"/>
      <c r="BG132" s="141"/>
      <c r="BH132" s="141"/>
      <c r="BI132" s="141"/>
      <c r="BJ132" s="142"/>
      <c r="BK132" s="141"/>
      <c r="BL132" s="141"/>
    </row>
    <row r="133" spans="1:64" s="148" customFormat="1">
      <c r="A133" s="111" t="s">
        <v>131</v>
      </c>
      <c r="B133" s="144"/>
      <c r="C133" s="140">
        <f t="shared" si="51"/>
        <v>0</v>
      </c>
      <c r="D133" s="141">
        <f t="shared" si="51"/>
        <v>0</v>
      </c>
      <c r="E133" s="141">
        <f t="shared" si="51"/>
        <v>0</v>
      </c>
      <c r="F133" s="141">
        <f t="shared" si="51"/>
        <v>0</v>
      </c>
      <c r="G133" s="141">
        <f t="shared" si="51"/>
        <v>0</v>
      </c>
      <c r="H133" s="141">
        <f t="shared" si="51"/>
        <v>0</v>
      </c>
      <c r="I133" s="141">
        <f t="shared" si="51"/>
        <v>0</v>
      </c>
      <c r="J133" s="141">
        <f t="shared" si="51"/>
        <v>0</v>
      </c>
      <c r="K133" s="141">
        <f t="shared" si="51"/>
        <v>0</v>
      </c>
      <c r="L133" s="141">
        <f t="shared" si="51"/>
        <v>0</v>
      </c>
      <c r="M133" s="141">
        <f t="shared" si="51"/>
        <v>0</v>
      </c>
      <c r="N133" s="141">
        <f t="shared" si="51"/>
        <v>0</v>
      </c>
      <c r="O133" s="141">
        <f t="shared" si="51"/>
        <v>0</v>
      </c>
      <c r="P133" s="141">
        <f t="shared" si="51"/>
        <v>0</v>
      </c>
      <c r="Q133" s="141">
        <f t="shared" si="51"/>
        <v>0</v>
      </c>
      <c r="R133" s="141">
        <f t="shared" si="51"/>
        <v>0</v>
      </c>
      <c r="S133" s="141">
        <f t="shared" si="51"/>
        <v>0</v>
      </c>
      <c r="T133" s="141">
        <f t="shared" si="51"/>
        <v>0</v>
      </c>
      <c r="U133" s="141">
        <f t="shared" si="51"/>
        <v>0</v>
      </c>
      <c r="V133" s="141">
        <f t="shared" si="51"/>
        <v>0</v>
      </c>
      <c r="W133" s="141">
        <f t="shared" si="51"/>
        <v>0</v>
      </c>
      <c r="X133" s="141">
        <f t="shared" si="51"/>
        <v>0</v>
      </c>
      <c r="Y133" s="141">
        <f t="shared" si="51"/>
        <v>0</v>
      </c>
      <c r="Z133" s="141">
        <f t="shared" si="51"/>
        <v>0</v>
      </c>
      <c r="AA133" s="141">
        <f t="shared" si="51"/>
        <v>0</v>
      </c>
      <c r="AB133" s="141">
        <f t="shared" si="51"/>
        <v>0</v>
      </c>
      <c r="AC133" s="141">
        <f t="shared" si="51"/>
        <v>0</v>
      </c>
      <c r="AD133" s="141">
        <f t="shared" si="51"/>
        <v>0</v>
      </c>
      <c r="AE133" s="141">
        <f t="shared" si="51"/>
        <v>0</v>
      </c>
      <c r="AF133" s="141">
        <f t="shared" si="51"/>
        <v>0</v>
      </c>
      <c r="AG133" s="141">
        <f t="shared" si="51"/>
        <v>0</v>
      </c>
      <c r="AH133" s="141">
        <f t="shared" si="51"/>
        <v>0</v>
      </c>
      <c r="AI133" s="141">
        <f t="shared" si="51"/>
        <v>0</v>
      </c>
      <c r="AJ133" s="141">
        <f t="shared" si="51"/>
        <v>0</v>
      </c>
      <c r="AK133" s="146"/>
      <c r="AL133" s="146"/>
      <c r="AM133" s="146"/>
      <c r="AN133" s="146"/>
      <c r="AO133" s="146"/>
      <c r="AP133" s="146"/>
      <c r="AQ133" s="146"/>
      <c r="AR133" s="146"/>
      <c r="AS133" s="146"/>
      <c r="AT133" s="146"/>
      <c r="AU133" s="146"/>
      <c r="AV133" s="146"/>
      <c r="AW133" s="146"/>
      <c r="AX133" s="146"/>
      <c r="AY133" s="146"/>
      <c r="AZ133" s="146"/>
      <c r="BA133" s="146"/>
      <c r="BB133" s="146"/>
      <c r="BC133" s="146"/>
      <c r="BD133" s="146"/>
      <c r="BE133" s="146"/>
      <c r="BF133" s="146"/>
      <c r="BG133" s="146"/>
      <c r="BH133" s="146"/>
      <c r="BI133" s="146"/>
      <c r="BJ133" s="147"/>
      <c r="BK133" s="146"/>
      <c r="BL133" s="146"/>
    </row>
    <row r="134" spans="1:64" s="153" customFormat="1" ht="12.75">
      <c r="A134" s="138" t="s">
        <v>126</v>
      </c>
      <c r="B134" s="144"/>
      <c r="C134" s="140">
        <f t="shared" si="51"/>
        <v>0</v>
      </c>
      <c r="D134" s="141">
        <f t="shared" si="51"/>
        <v>0</v>
      </c>
      <c r="E134" s="141" t="e">
        <f>E77*(1+$G$53)^(E$54-1)</f>
        <v>#REF!</v>
      </c>
      <c r="F134" s="141" t="e">
        <f t="shared" si="51"/>
        <v>#REF!</v>
      </c>
      <c r="G134" s="141" t="e">
        <f t="shared" si="51"/>
        <v>#REF!</v>
      </c>
      <c r="H134" s="141" t="e">
        <f t="shared" si="51"/>
        <v>#REF!</v>
      </c>
      <c r="I134" s="141" t="e">
        <f t="shared" si="51"/>
        <v>#REF!</v>
      </c>
      <c r="J134" s="141" t="e">
        <f t="shared" si="51"/>
        <v>#REF!</v>
      </c>
      <c r="K134" s="141" t="e">
        <f t="shared" si="51"/>
        <v>#REF!</v>
      </c>
      <c r="L134" s="141" t="e">
        <f t="shared" si="51"/>
        <v>#REF!</v>
      </c>
      <c r="M134" s="141" t="e">
        <f t="shared" si="51"/>
        <v>#REF!</v>
      </c>
      <c r="N134" s="141" t="e">
        <f t="shared" si="51"/>
        <v>#REF!</v>
      </c>
      <c r="O134" s="141" t="e">
        <f t="shared" si="51"/>
        <v>#REF!</v>
      </c>
      <c r="P134" s="141" t="e">
        <f t="shared" si="51"/>
        <v>#REF!</v>
      </c>
      <c r="Q134" s="141" t="e">
        <f t="shared" si="51"/>
        <v>#REF!</v>
      </c>
      <c r="R134" s="141" t="e">
        <f t="shared" si="51"/>
        <v>#REF!</v>
      </c>
      <c r="S134" s="141" t="e">
        <f t="shared" si="51"/>
        <v>#REF!</v>
      </c>
      <c r="T134" s="141" t="e">
        <f t="shared" si="51"/>
        <v>#REF!</v>
      </c>
      <c r="U134" s="141" t="e">
        <f t="shared" si="51"/>
        <v>#REF!</v>
      </c>
      <c r="V134" s="141" t="e">
        <f t="shared" si="51"/>
        <v>#REF!</v>
      </c>
      <c r="W134" s="141" t="e">
        <f t="shared" si="51"/>
        <v>#REF!</v>
      </c>
      <c r="X134" s="141" t="e">
        <f t="shared" si="51"/>
        <v>#REF!</v>
      </c>
      <c r="Y134" s="141" t="e">
        <f t="shared" si="51"/>
        <v>#REF!</v>
      </c>
      <c r="Z134" s="141" t="e">
        <f t="shared" si="51"/>
        <v>#REF!</v>
      </c>
      <c r="AA134" s="141" t="e">
        <f t="shared" si="51"/>
        <v>#REF!</v>
      </c>
      <c r="AB134" s="141" t="e">
        <f t="shared" si="51"/>
        <v>#REF!</v>
      </c>
      <c r="AC134" s="141" t="e">
        <f t="shared" si="51"/>
        <v>#REF!</v>
      </c>
      <c r="AD134" s="141" t="e">
        <f t="shared" si="51"/>
        <v>#REF!</v>
      </c>
      <c r="AE134" s="141" t="e">
        <f t="shared" si="51"/>
        <v>#REF!</v>
      </c>
      <c r="AF134" s="141" t="e">
        <f t="shared" si="51"/>
        <v>#REF!</v>
      </c>
      <c r="AG134" s="141" t="e">
        <f t="shared" si="51"/>
        <v>#REF!</v>
      </c>
      <c r="AH134" s="141" t="e">
        <f t="shared" si="51"/>
        <v>#REF!</v>
      </c>
      <c r="AI134" s="141" t="e">
        <f t="shared" si="51"/>
        <v>#REF!</v>
      </c>
      <c r="AJ134" s="141" t="e">
        <f t="shared" si="51"/>
        <v>#REF!</v>
      </c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2"/>
      <c r="BK134" s="151"/>
      <c r="BL134" s="151"/>
    </row>
    <row r="135" spans="1:64" s="153" customFormat="1" ht="12.75">
      <c r="A135" s="138" t="s">
        <v>127</v>
      </c>
      <c r="B135" s="144"/>
      <c r="C135" s="140">
        <f t="shared" si="51"/>
        <v>0</v>
      </c>
      <c r="D135" s="141">
        <f t="shared" si="51"/>
        <v>0</v>
      </c>
      <c r="E135" s="141">
        <f t="shared" si="51"/>
        <v>0</v>
      </c>
      <c r="F135" s="141">
        <f t="shared" si="51"/>
        <v>0</v>
      </c>
      <c r="G135" s="141">
        <f t="shared" si="51"/>
        <v>0</v>
      </c>
      <c r="H135" s="141">
        <f t="shared" si="51"/>
        <v>0</v>
      </c>
      <c r="I135" s="141">
        <f t="shared" si="51"/>
        <v>0</v>
      </c>
      <c r="J135" s="141">
        <f t="shared" si="51"/>
        <v>0</v>
      </c>
      <c r="K135" s="141">
        <f t="shared" si="51"/>
        <v>0</v>
      </c>
      <c r="L135" s="141">
        <f t="shared" si="51"/>
        <v>0</v>
      </c>
      <c r="M135" s="141">
        <f t="shared" si="51"/>
        <v>0</v>
      </c>
      <c r="N135" s="141">
        <f t="shared" si="51"/>
        <v>0</v>
      </c>
      <c r="O135" s="141">
        <f t="shared" si="51"/>
        <v>0</v>
      </c>
      <c r="P135" s="141">
        <f t="shared" si="51"/>
        <v>0</v>
      </c>
      <c r="Q135" s="141">
        <f t="shared" si="51"/>
        <v>0</v>
      </c>
      <c r="R135" s="141">
        <f t="shared" si="51"/>
        <v>0</v>
      </c>
      <c r="S135" s="141">
        <f t="shared" si="51"/>
        <v>0</v>
      </c>
      <c r="T135" s="141">
        <f t="shared" si="51"/>
        <v>0</v>
      </c>
      <c r="U135" s="141">
        <f t="shared" si="51"/>
        <v>0</v>
      </c>
      <c r="V135" s="141">
        <f t="shared" si="51"/>
        <v>0</v>
      </c>
      <c r="W135" s="141">
        <f t="shared" si="51"/>
        <v>0</v>
      </c>
      <c r="X135" s="141">
        <f t="shared" si="51"/>
        <v>0</v>
      </c>
      <c r="Y135" s="141">
        <f t="shared" si="51"/>
        <v>0</v>
      </c>
      <c r="Z135" s="141">
        <f t="shared" si="51"/>
        <v>0</v>
      </c>
      <c r="AA135" s="141">
        <f t="shared" si="51"/>
        <v>0</v>
      </c>
      <c r="AB135" s="141">
        <f t="shared" si="51"/>
        <v>0</v>
      </c>
      <c r="AC135" s="141">
        <f t="shared" si="51"/>
        <v>0</v>
      </c>
      <c r="AD135" s="141">
        <f t="shared" si="51"/>
        <v>0</v>
      </c>
      <c r="AE135" s="141">
        <f t="shared" si="51"/>
        <v>0</v>
      </c>
      <c r="AF135" s="141">
        <f t="shared" si="51"/>
        <v>0</v>
      </c>
      <c r="AG135" s="141">
        <f t="shared" si="51"/>
        <v>0</v>
      </c>
      <c r="AH135" s="141">
        <f t="shared" si="51"/>
        <v>0</v>
      </c>
      <c r="AI135" s="141">
        <f t="shared" si="51"/>
        <v>0</v>
      </c>
      <c r="AJ135" s="141">
        <f t="shared" si="51"/>
        <v>0</v>
      </c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2"/>
      <c r="BK135" s="151"/>
      <c r="BL135" s="151"/>
    </row>
    <row r="136" spans="1:64" s="153" customFormat="1" ht="12.75">
      <c r="A136" s="138" t="s">
        <v>128</v>
      </c>
      <c r="B136" s="144"/>
      <c r="C136" s="140">
        <f t="shared" si="51"/>
        <v>177757448.4891898</v>
      </c>
      <c r="D136" s="141">
        <f t="shared" si="51"/>
        <v>182386300.16796869</v>
      </c>
      <c r="E136" s="141">
        <f t="shared" si="51"/>
        <v>185810696.00785708</v>
      </c>
      <c r="F136" s="141">
        <f t="shared" si="51"/>
        <v>187875259.29683331</v>
      </c>
      <c r="G136" s="141">
        <f t="shared" si="51"/>
        <v>188412045.75196713</v>
      </c>
      <c r="H136" s="141">
        <f t="shared" si="51"/>
        <v>188691174.70863676</v>
      </c>
      <c r="I136" s="141">
        <f t="shared" si="51"/>
        <v>188691174.70863676</v>
      </c>
      <c r="J136" s="141">
        <f t="shared" si="51"/>
        <v>188389268.82910293</v>
      </c>
      <c r="K136" s="141">
        <f t="shared" si="51"/>
        <v>187761304.59967265</v>
      </c>
      <c r="L136" s="141">
        <f t="shared" si="51"/>
        <v>186781680.40176132</v>
      </c>
      <c r="M136" s="141">
        <f t="shared" si="51"/>
        <v>185423268.1806576</v>
      </c>
      <c r="N136" s="141">
        <f t="shared" si="51"/>
        <v>183657332.29322276</v>
      </c>
      <c r="O136" s="141">
        <f t="shared" si="51"/>
        <v>181453444.30570412</v>
      </c>
      <c r="P136" s="141">
        <f t="shared" si="51"/>
        <v>178779393.54751477</v>
      </c>
      <c r="Q136" s="141">
        <f t="shared" si="51"/>
        <v>175601093.21778119</v>
      </c>
      <c r="R136" s="141">
        <f t="shared" si="51"/>
        <v>171882481.83199286</v>
      </c>
      <c r="S136" s="141">
        <f t="shared" si="51"/>
        <v>167585419.78619304</v>
      </c>
      <c r="T136" s="141">
        <f t="shared" si="51"/>
        <v>162669580.80579805</v>
      </c>
      <c r="U136" s="141">
        <f t="shared" ref="D136:AJ137" si="52">U79*(1+$G$53)^(U$54-1)</f>
        <v>157092338.03531355</v>
      </c>
      <c r="V136" s="141">
        <f t="shared" si="52"/>
        <v>150808644.513901</v>
      </c>
      <c r="W136" s="141">
        <f t="shared" si="52"/>
        <v>143770907.76991895</v>
      </c>
      <c r="X136" s="141">
        <f t="shared" si="52"/>
        <v>135928858.25519612</v>
      </c>
      <c r="Y136" s="141">
        <f t="shared" si="52"/>
        <v>127229411.32686359</v>
      </c>
      <c r="Z136" s="141">
        <f t="shared" si="52"/>
        <v>117616522.4710561</v>
      </c>
      <c r="AA136" s="141">
        <f t="shared" si="52"/>
        <v>107031035.44866107</v>
      </c>
      <c r="AB136" s="141">
        <f t="shared" si="52"/>
        <v>95410523.028520748</v>
      </c>
      <c r="AC136" s="141">
        <f t="shared" si="52"/>
        <v>82689119.958051309</v>
      </c>
      <c r="AD136" s="141">
        <f t="shared" si="52"/>
        <v>68797347.805098683</v>
      </c>
      <c r="AE136" s="141">
        <f t="shared" si="52"/>
        <v>53661931.28797698</v>
      </c>
      <c r="AF136" s="141">
        <f t="shared" si="52"/>
        <v>37205605.692997366</v>
      </c>
      <c r="AG136" s="141">
        <f t="shared" si="52"/>
        <v>23216297.952430345</v>
      </c>
      <c r="AH136" s="141">
        <f t="shared" si="52"/>
        <v>12072474.935263773</v>
      </c>
      <c r="AI136" s="141">
        <f t="shared" si="52"/>
        <v>4185124.6442247634</v>
      </c>
      <c r="AJ136" s="141">
        <f t="shared" si="52"/>
        <v>-1.7838553299920647E-8</v>
      </c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2"/>
      <c r="BK136" s="151"/>
      <c r="BL136" s="151"/>
    </row>
    <row r="137" spans="1:64" s="153" customFormat="1" ht="12.75">
      <c r="A137" s="138" t="s">
        <v>129</v>
      </c>
      <c r="B137" s="144"/>
      <c r="C137" s="140">
        <f t="shared" ref="C137" si="53">C80*(1+$G$53)^(C$54-1)</f>
        <v>9126886.2589693628</v>
      </c>
      <c r="D137" s="141">
        <f t="shared" si="52"/>
        <v>9172007.9438451678</v>
      </c>
      <c r="E137" s="141">
        <f t="shared" si="52"/>
        <v>9206136.3454966862</v>
      </c>
      <c r="F137" s="141">
        <f t="shared" si="52"/>
        <v>9228319.8065701723</v>
      </c>
      <c r="G137" s="141">
        <f t="shared" si="52"/>
        <v>9237548.1263767425</v>
      </c>
      <c r="H137" s="141">
        <f t="shared" si="52"/>
        <v>9232749.4000773281</v>
      </c>
      <c r="I137" s="141">
        <f t="shared" si="52"/>
        <v>9212786.6986717544</v>
      </c>
      <c r="J137" s="141">
        <f t="shared" si="52"/>
        <v>9176454.5821136124</v>
      </c>
      <c r="K137" s="141">
        <f t="shared" si="52"/>
        <v>9122475.4375129454</v>
      </c>
      <c r="L137" s="141">
        <f t="shared" si="52"/>
        <v>9049495.6340128426</v>
      </c>
      <c r="M137" s="141">
        <f t="shared" si="52"/>
        <v>8956081.4855327103</v>
      </c>
      <c r="N137" s="141">
        <f t="shared" si="52"/>
        <v>8840715.0121597461</v>
      </c>
      <c r="O137" s="141">
        <f t="shared" si="52"/>
        <v>8701789.4905400947</v>
      </c>
      <c r="P137" s="141">
        <f t="shared" si="52"/>
        <v>8537604.7831714135</v>
      </c>
      <c r="Q137" s="141">
        <f t="shared" si="52"/>
        <v>8346362.4360283734</v>
      </c>
      <c r="R137" s="141">
        <f t="shared" si="52"/>
        <v>8126160.5334608164</v>
      </c>
      <c r="S137" s="141">
        <f t="shared" si="52"/>
        <v>7874988.2987902099</v>
      </c>
      <c r="T137" s="141">
        <f t="shared" si="52"/>
        <v>7590720.4284924176</v>
      </c>
      <c r="U137" s="141">
        <f t="shared" si="52"/>
        <v>7271111.1472927378</v>
      </c>
      <c r="V137" s="141">
        <f t="shared" si="52"/>
        <v>6913787.9709114945</v>
      </c>
      <c r="W137" s="141">
        <f t="shared" si="52"/>
        <v>6516245.1625840832</v>
      </c>
      <c r="X137" s="141">
        <f t="shared" si="52"/>
        <v>6075836.8688370222</v>
      </c>
      <c r="Y137" s="141">
        <f t="shared" si="52"/>
        <v>5589769.9193300605</v>
      </c>
      <c r="Z137" s="141">
        <f t="shared" si="52"/>
        <v>5055096.2748724017</v>
      </c>
      <c r="AA137" s="141">
        <f t="shared" si="52"/>
        <v>4468705.1069872035</v>
      </c>
      <c r="AB137" s="141">
        <f t="shared" si="52"/>
        <v>3827314.4916313938</v>
      </c>
      <c r="AC137" s="141">
        <f t="shared" si="52"/>
        <v>3127462.6988759385</v>
      </c>
      <c r="AD137" s="141">
        <f t="shared" si="52"/>
        <v>2365499.0595134366</v>
      </c>
      <c r="AE137" s="141">
        <f t="shared" si="52"/>
        <v>1537574.388683734</v>
      </c>
      <c r="AF137" s="141">
        <f t="shared" si="52"/>
        <v>639630.94569243316</v>
      </c>
      <c r="AG137" s="141">
        <f t="shared" si="52"/>
        <v>0</v>
      </c>
      <c r="AH137" s="141">
        <f t="shared" si="52"/>
        <v>0</v>
      </c>
      <c r="AI137" s="141">
        <f t="shared" si="52"/>
        <v>0</v>
      </c>
      <c r="AJ137" s="141">
        <f t="shared" si="52"/>
        <v>0</v>
      </c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2"/>
      <c r="BK137" s="151"/>
      <c r="BL137" s="151"/>
    </row>
    <row r="138" spans="1:64" s="116" customFormat="1">
      <c r="A138" s="111" t="s">
        <v>132</v>
      </c>
      <c r="B138" s="155" t="e">
        <f>SUM(B139:B142)</f>
        <v>#REF!</v>
      </c>
      <c r="C138" s="117">
        <f>SUM(C139:C142)</f>
        <v>18817988.704196237</v>
      </c>
      <c r="D138" s="118">
        <f t="shared" ref="D138:AJ138" si="54">SUM(D139:D142)</f>
        <v>19435970.813808557</v>
      </c>
      <c r="E138" s="118" t="e">
        <f t="shared" si="54"/>
        <v>#REF!</v>
      </c>
      <c r="F138" s="118" t="e">
        <f t="shared" si="54"/>
        <v>#REF!</v>
      </c>
      <c r="G138" s="118" t="e">
        <f t="shared" si="54"/>
        <v>#REF!</v>
      </c>
      <c r="H138" s="118" t="e">
        <f t="shared" si="54"/>
        <v>#REF!</v>
      </c>
      <c r="I138" s="118" t="e">
        <f t="shared" si="54"/>
        <v>#REF!</v>
      </c>
      <c r="J138" s="118" t="e">
        <f t="shared" si="54"/>
        <v>#REF!</v>
      </c>
      <c r="K138" s="118" t="e">
        <f t="shared" si="54"/>
        <v>#REF!</v>
      </c>
      <c r="L138" s="118" t="e">
        <f t="shared" si="54"/>
        <v>#REF!</v>
      </c>
      <c r="M138" s="118" t="e">
        <f t="shared" si="54"/>
        <v>#REF!</v>
      </c>
      <c r="N138" s="118" t="e">
        <f t="shared" si="54"/>
        <v>#REF!</v>
      </c>
      <c r="O138" s="118" t="e">
        <f t="shared" si="54"/>
        <v>#REF!</v>
      </c>
      <c r="P138" s="118" t="e">
        <f t="shared" si="54"/>
        <v>#REF!</v>
      </c>
      <c r="Q138" s="118" t="e">
        <f t="shared" si="54"/>
        <v>#REF!</v>
      </c>
      <c r="R138" s="118" t="e">
        <f t="shared" si="54"/>
        <v>#REF!</v>
      </c>
      <c r="S138" s="118" t="e">
        <f t="shared" si="54"/>
        <v>#REF!</v>
      </c>
      <c r="T138" s="118" t="e">
        <f t="shared" si="54"/>
        <v>#REF!</v>
      </c>
      <c r="U138" s="118" t="e">
        <f t="shared" si="54"/>
        <v>#REF!</v>
      </c>
      <c r="V138" s="118" t="e">
        <f t="shared" si="54"/>
        <v>#REF!</v>
      </c>
      <c r="W138" s="118" t="e">
        <f t="shared" si="54"/>
        <v>#REF!</v>
      </c>
      <c r="X138" s="118" t="e">
        <f t="shared" si="54"/>
        <v>#REF!</v>
      </c>
      <c r="Y138" s="118">
        <f t="shared" si="54"/>
        <v>0</v>
      </c>
      <c r="Z138" s="118">
        <f t="shared" si="54"/>
        <v>0</v>
      </c>
      <c r="AA138" s="118">
        <f t="shared" si="54"/>
        <v>0</v>
      </c>
      <c r="AB138" s="118">
        <f t="shared" si="54"/>
        <v>0</v>
      </c>
      <c r="AC138" s="118">
        <f t="shared" si="54"/>
        <v>0</v>
      </c>
      <c r="AD138" s="118">
        <f t="shared" si="54"/>
        <v>0</v>
      </c>
      <c r="AE138" s="118">
        <f t="shared" si="54"/>
        <v>0</v>
      </c>
      <c r="AF138" s="118">
        <f t="shared" si="54"/>
        <v>0</v>
      </c>
      <c r="AG138" s="118">
        <f t="shared" si="54"/>
        <v>0</v>
      </c>
      <c r="AH138" s="118">
        <f t="shared" si="54"/>
        <v>0</v>
      </c>
      <c r="AI138" s="118">
        <f t="shared" si="54"/>
        <v>0</v>
      </c>
      <c r="AJ138" s="118">
        <f t="shared" si="54"/>
        <v>0</v>
      </c>
      <c r="AK138" s="118"/>
      <c r="AL138" s="118"/>
      <c r="AM138" s="118"/>
      <c r="AN138" s="118"/>
      <c r="AO138" s="118"/>
      <c r="AP138" s="118"/>
      <c r="AQ138" s="118"/>
      <c r="AR138" s="118"/>
      <c r="AS138" s="118"/>
      <c r="AT138" s="118"/>
      <c r="AU138" s="118"/>
      <c r="AV138" s="118"/>
      <c r="AW138" s="118"/>
      <c r="AX138" s="118"/>
      <c r="AY138" s="118"/>
      <c r="AZ138" s="118"/>
      <c r="BA138" s="118"/>
      <c r="BB138" s="118"/>
      <c r="BC138" s="118"/>
      <c r="BD138" s="118"/>
      <c r="BE138" s="118"/>
      <c r="BF138" s="118"/>
      <c r="BG138" s="118"/>
      <c r="BH138" s="118"/>
      <c r="BI138" s="118"/>
      <c r="BJ138" s="119"/>
      <c r="BK138" s="118"/>
      <c r="BL138" s="118"/>
    </row>
    <row r="139" spans="1:64" s="143" customFormat="1" ht="12.75">
      <c r="A139" s="138" t="s">
        <v>126</v>
      </c>
      <c r="B139" s="139" t="e">
        <f>SUM(C139:BJ139)</f>
        <v>#REF!</v>
      </c>
      <c r="C139" s="140">
        <f>C82*(1+$G$53)^(C$54-1)</f>
        <v>0</v>
      </c>
      <c r="D139" s="141">
        <f t="shared" ref="D139:BJ142" si="55">D82*(1+$G$53)^(D$54-1)</f>
        <v>0</v>
      </c>
      <c r="E139" s="141" t="e">
        <f t="shared" si="55"/>
        <v>#REF!</v>
      </c>
      <c r="F139" s="141" t="e">
        <f t="shared" si="55"/>
        <v>#REF!</v>
      </c>
      <c r="G139" s="141" t="e">
        <f t="shared" si="55"/>
        <v>#REF!</v>
      </c>
      <c r="H139" s="141" t="e">
        <f t="shared" si="55"/>
        <v>#REF!</v>
      </c>
      <c r="I139" s="141" t="e">
        <f t="shared" si="55"/>
        <v>#REF!</v>
      </c>
      <c r="J139" s="141" t="e">
        <f t="shared" si="55"/>
        <v>#REF!</v>
      </c>
      <c r="K139" s="141" t="e">
        <f t="shared" si="55"/>
        <v>#REF!</v>
      </c>
      <c r="L139" s="141" t="e">
        <f t="shared" si="55"/>
        <v>#REF!</v>
      </c>
      <c r="M139" s="141" t="e">
        <f t="shared" si="55"/>
        <v>#REF!</v>
      </c>
      <c r="N139" s="141" t="e">
        <f t="shared" si="55"/>
        <v>#REF!</v>
      </c>
      <c r="O139" s="141" t="e">
        <f t="shared" si="55"/>
        <v>#REF!</v>
      </c>
      <c r="P139" s="141" t="e">
        <f t="shared" si="55"/>
        <v>#REF!</v>
      </c>
      <c r="Q139" s="141" t="e">
        <f t="shared" si="55"/>
        <v>#REF!</v>
      </c>
      <c r="R139" s="141" t="e">
        <f t="shared" si="55"/>
        <v>#REF!</v>
      </c>
      <c r="S139" s="141" t="e">
        <f t="shared" si="55"/>
        <v>#REF!</v>
      </c>
      <c r="T139" s="141" t="e">
        <f t="shared" si="55"/>
        <v>#REF!</v>
      </c>
      <c r="U139" s="141" t="e">
        <f t="shared" si="55"/>
        <v>#REF!</v>
      </c>
      <c r="V139" s="141" t="e">
        <f t="shared" si="55"/>
        <v>#REF!</v>
      </c>
      <c r="W139" s="141" t="e">
        <f t="shared" si="55"/>
        <v>#REF!</v>
      </c>
      <c r="X139" s="141" t="e">
        <f t="shared" si="55"/>
        <v>#REF!</v>
      </c>
      <c r="Y139" s="141">
        <f t="shared" si="55"/>
        <v>0</v>
      </c>
      <c r="Z139" s="141">
        <f t="shared" si="55"/>
        <v>0</v>
      </c>
      <c r="AA139" s="141">
        <f t="shared" si="55"/>
        <v>0</v>
      </c>
      <c r="AB139" s="141">
        <f t="shared" si="55"/>
        <v>0</v>
      </c>
      <c r="AC139" s="141">
        <f t="shared" si="55"/>
        <v>0</v>
      </c>
      <c r="AD139" s="141">
        <f t="shared" si="55"/>
        <v>0</v>
      </c>
      <c r="AE139" s="141">
        <f t="shared" si="55"/>
        <v>0</v>
      </c>
      <c r="AF139" s="141">
        <f t="shared" si="55"/>
        <v>0</v>
      </c>
      <c r="AG139" s="141">
        <f t="shared" si="55"/>
        <v>0</v>
      </c>
      <c r="AH139" s="141">
        <f t="shared" si="55"/>
        <v>0</v>
      </c>
      <c r="AI139" s="141">
        <f t="shared" si="55"/>
        <v>0</v>
      </c>
      <c r="AJ139" s="141">
        <f t="shared" si="55"/>
        <v>0</v>
      </c>
      <c r="AK139" s="141">
        <f t="shared" si="55"/>
        <v>0</v>
      </c>
      <c r="AL139" s="141">
        <f t="shared" si="55"/>
        <v>0</v>
      </c>
      <c r="AM139" s="141">
        <f t="shared" si="55"/>
        <v>0</v>
      </c>
      <c r="AN139" s="141">
        <f t="shared" si="55"/>
        <v>0</v>
      </c>
      <c r="AO139" s="141">
        <f t="shared" si="55"/>
        <v>0</v>
      </c>
      <c r="AP139" s="141">
        <f t="shared" si="55"/>
        <v>0</v>
      </c>
      <c r="AQ139" s="141">
        <f t="shared" si="55"/>
        <v>0</v>
      </c>
      <c r="AR139" s="141">
        <f t="shared" si="55"/>
        <v>0</v>
      </c>
      <c r="AS139" s="141">
        <f t="shared" si="55"/>
        <v>0</v>
      </c>
      <c r="AT139" s="141">
        <f t="shared" si="55"/>
        <v>0</v>
      </c>
      <c r="AU139" s="141">
        <f t="shared" si="55"/>
        <v>0</v>
      </c>
      <c r="AV139" s="141">
        <f t="shared" si="55"/>
        <v>0</v>
      </c>
      <c r="AW139" s="141">
        <f t="shared" si="55"/>
        <v>0</v>
      </c>
      <c r="AX139" s="141">
        <f t="shared" si="55"/>
        <v>0</v>
      </c>
      <c r="AY139" s="141">
        <f t="shared" si="55"/>
        <v>0</v>
      </c>
      <c r="AZ139" s="141">
        <f t="shared" si="55"/>
        <v>0</v>
      </c>
      <c r="BA139" s="141">
        <f t="shared" si="55"/>
        <v>0</v>
      </c>
      <c r="BB139" s="141">
        <f t="shared" si="55"/>
        <v>0</v>
      </c>
      <c r="BC139" s="141">
        <f t="shared" si="55"/>
        <v>0</v>
      </c>
      <c r="BD139" s="141">
        <f t="shared" si="55"/>
        <v>0</v>
      </c>
      <c r="BE139" s="141">
        <f t="shared" si="55"/>
        <v>0</v>
      </c>
      <c r="BF139" s="141">
        <f t="shared" si="55"/>
        <v>0</v>
      </c>
      <c r="BG139" s="141">
        <f t="shared" si="55"/>
        <v>0</v>
      </c>
      <c r="BH139" s="141">
        <f t="shared" si="55"/>
        <v>0</v>
      </c>
      <c r="BI139" s="141">
        <f t="shared" si="55"/>
        <v>0</v>
      </c>
      <c r="BJ139" s="141">
        <f t="shared" si="55"/>
        <v>0</v>
      </c>
      <c r="BK139" s="141"/>
      <c r="BL139" s="141"/>
    </row>
    <row r="140" spans="1:64" s="143" customFormat="1" ht="12.75">
      <c r="A140" s="138" t="s">
        <v>127</v>
      </c>
      <c r="B140" s="139">
        <f>SUM(C140:BJ140)</f>
        <v>0</v>
      </c>
      <c r="C140" s="140">
        <f>C83*(1+$G$53)^(C$54-1)</f>
        <v>0</v>
      </c>
      <c r="D140" s="141">
        <f t="shared" si="55"/>
        <v>0</v>
      </c>
      <c r="E140" s="141">
        <f t="shared" si="55"/>
        <v>0</v>
      </c>
      <c r="F140" s="141">
        <f t="shared" si="55"/>
        <v>0</v>
      </c>
      <c r="G140" s="141">
        <f t="shared" si="55"/>
        <v>0</v>
      </c>
      <c r="H140" s="141">
        <f t="shared" si="55"/>
        <v>0</v>
      </c>
      <c r="I140" s="141">
        <f t="shared" si="55"/>
        <v>0</v>
      </c>
      <c r="J140" s="141">
        <f t="shared" si="55"/>
        <v>0</v>
      </c>
      <c r="K140" s="141">
        <f t="shared" si="55"/>
        <v>0</v>
      </c>
      <c r="L140" s="141">
        <f t="shared" si="55"/>
        <v>0</v>
      </c>
      <c r="M140" s="141">
        <f t="shared" si="55"/>
        <v>0</v>
      </c>
      <c r="N140" s="141">
        <f t="shared" si="55"/>
        <v>0</v>
      </c>
      <c r="O140" s="141">
        <f t="shared" si="55"/>
        <v>0</v>
      </c>
      <c r="P140" s="141">
        <f t="shared" si="55"/>
        <v>0</v>
      </c>
      <c r="Q140" s="141">
        <f t="shared" si="55"/>
        <v>0</v>
      </c>
      <c r="R140" s="141">
        <f t="shared" si="55"/>
        <v>0</v>
      </c>
      <c r="S140" s="141">
        <f t="shared" si="55"/>
        <v>0</v>
      </c>
      <c r="T140" s="141">
        <f t="shared" si="55"/>
        <v>0</v>
      </c>
      <c r="U140" s="141">
        <f t="shared" si="55"/>
        <v>0</v>
      </c>
      <c r="V140" s="141">
        <f t="shared" si="55"/>
        <v>0</v>
      </c>
      <c r="W140" s="141">
        <f t="shared" si="55"/>
        <v>0</v>
      </c>
      <c r="X140" s="141">
        <f t="shared" si="55"/>
        <v>0</v>
      </c>
      <c r="Y140" s="141">
        <f t="shared" si="55"/>
        <v>0</v>
      </c>
      <c r="Z140" s="141">
        <f t="shared" si="55"/>
        <v>0</v>
      </c>
      <c r="AA140" s="141">
        <f t="shared" si="55"/>
        <v>0</v>
      </c>
      <c r="AB140" s="141">
        <f t="shared" si="55"/>
        <v>0</v>
      </c>
      <c r="AC140" s="141">
        <f t="shared" si="55"/>
        <v>0</v>
      </c>
      <c r="AD140" s="141">
        <f t="shared" si="55"/>
        <v>0</v>
      </c>
      <c r="AE140" s="141">
        <f t="shared" si="55"/>
        <v>0</v>
      </c>
      <c r="AF140" s="141">
        <f t="shared" si="55"/>
        <v>0</v>
      </c>
      <c r="AG140" s="141">
        <f t="shared" si="55"/>
        <v>0</v>
      </c>
      <c r="AH140" s="141">
        <f t="shared" si="55"/>
        <v>0</v>
      </c>
      <c r="AI140" s="141">
        <f t="shared" si="55"/>
        <v>0</v>
      </c>
      <c r="AJ140" s="141">
        <f t="shared" si="55"/>
        <v>0</v>
      </c>
      <c r="AK140" s="141">
        <f t="shared" si="55"/>
        <v>0</v>
      </c>
      <c r="AL140" s="141">
        <f t="shared" si="55"/>
        <v>0</v>
      </c>
      <c r="AM140" s="141">
        <f t="shared" si="55"/>
        <v>0</v>
      </c>
      <c r="AN140" s="141">
        <f t="shared" si="55"/>
        <v>0</v>
      </c>
      <c r="AO140" s="141">
        <f t="shared" si="55"/>
        <v>0</v>
      </c>
      <c r="AP140" s="141">
        <f t="shared" si="55"/>
        <v>0</v>
      </c>
      <c r="AQ140" s="141">
        <f t="shared" si="55"/>
        <v>0</v>
      </c>
      <c r="AR140" s="141">
        <f t="shared" si="55"/>
        <v>0</v>
      </c>
      <c r="AS140" s="141">
        <f t="shared" si="55"/>
        <v>0</v>
      </c>
      <c r="AT140" s="141">
        <f t="shared" si="55"/>
        <v>0</v>
      </c>
      <c r="AU140" s="141">
        <f t="shared" si="55"/>
        <v>0</v>
      </c>
      <c r="AV140" s="141">
        <f t="shared" si="55"/>
        <v>0</v>
      </c>
      <c r="AW140" s="141">
        <f t="shared" si="55"/>
        <v>0</v>
      </c>
      <c r="AX140" s="141">
        <f t="shared" si="55"/>
        <v>0</v>
      </c>
      <c r="AY140" s="141">
        <f t="shared" si="55"/>
        <v>0</v>
      </c>
      <c r="AZ140" s="141">
        <f t="shared" si="55"/>
        <v>0</v>
      </c>
      <c r="BA140" s="141">
        <f t="shared" si="55"/>
        <v>0</v>
      </c>
      <c r="BB140" s="141">
        <f t="shared" si="55"/>
        <v>0</v>
      </c>
      <c r="BC140" s="141">
        <f t="shared" si="55"/>
        <v>0</v>
      </c>
      <c r="BD140" s="141">
        <f t="shared" si="55"/>
        <v>0</v>
      </c>
      <c r="BE140" s="141">
        <f t="shared" si="55"/>
        <v>0</v>
      </c>
      <c r="BF140" s="141">
        <f t="shared" si="55"/>
        <v>0</v>
      </c>
      <c r="BG140" s="141">
        <f t="shared" si="55"/>
        <v>0</v>
      </c>
      <c r="BH140" s="141">
        <f t="shared" si="55"/>
        <v>0</v>
      </c>
      <c r="BI140" s="141">
        <f t="shared" si="55"/>
        <v>0</v>
      </c>
      <c r="BJ140" s="141">
        <f t="shared" si="55"/>
        <v>0</v>
      </c>
      <c r="BK140" s="141"/>
      <c r="BL140" s="141"/>
    </row>
    <row r="141" spans="1:64" s="143" customFormat="1" ht="12.75">
      <c r="A141" s="138" t="s">
        <v>128</v>
      </c>
      <c r="B141" s="139">
        <f>SUM(C141:BJ141)</f>
        <v>404908191.9038794</v>
      </c>
      <c r="C141" s="140">
        <f>C84*(1+$G$53)^(C$54-1)</f>
        <v>17895045.149918437</v>
      </c>
      <c r="D141" s="141">
        <f t="shared" si="55"/>
        <v>18486774.642875742</v>
      </c>
      <c r="E141" s="141">
        <f t="shared" si="55"/>
        <v>18968175.217468746</v>
      </c>
      <c r="F141" s="141">
        <f t="shared" si="55"/>
        <v>19324312.384817138</v>
      </c>
      <c r="G141" s="141">
        <f t="shared" si="55"/>
        <v>19539026.966870666</v>
      </c>
      <c r="H141" s="141">
        <f t="shared" si="55"/>
        <v>19594852.758204587</v>
      </c>
      <c r="I141" s="141">
        <f t="shared" si="55"/>
        <v>19623882.169698223</v>
      </c>
      <c r="J141" s="141">
        <f t="shared" si="55"/>
        <v>19623882.169698223</v>
      </c>
      <c r="K141" s="141">
        <f t="shared" si="55"/>
        <v>19592483.958226711</v>
      </c>
      <c r="L141" s="141">
        <f t="shared" si="55"/>
        <v>19527175.678365957</v>
      </c>
      <c r="M141" s="141">
        <f t="shared" si="55"/>
        <v>19425294.761783179</v>
      </c>
      <c r="N141" s="141">
        <f t="shared" si="55"/>
        <v>19284019.890788391</v>
      </c>
      <c r="O141" s="141">
        <f t="shared" si="55"/>
        <v>19100362.558495168</v>
      </c>
      <c r="P141" s="141">
        <f t="shared" si="55"/>
        <v>18871158.207793228</v>
      </c>
      <c r="Q141" s="141">
        <f t="shared" si="55"/>
        <v>18593056.928941537</v>
      </c>
      <c r="R141" s="141">
        <f t="shared" si="55"/>
        <v>18262513.694649242</v>
      </c>
      <c r="S141" s="141">
        <f t="shared" si="55"/>
        <v>17875778.110527258</v>
      </c>
      <c r="T141" s="141">
        <f t="shared" si="55"/>
        <v>17428883.657764077</v>
      </c>
      <c r="U141" s="141">
        <f t="shared" si="55"/>
        <v>16917636.403802998</v>
      </c>
      <c r="V141" s="141">
        <f t="shared" si="55"/>
        <v>16337603.15567261</v>
      </c>
      <c r="W141" s="141">
        <f t="shared" si="55"/>
        <v>15684099.029445704</v>
      </c>
      <c r="X141" s="141">
        <f t="shared" si="55"/>
        <v>14952174.408071576</v>
      </c>
      <c r="Y141" s="141">
        <f t="shared" si="55"/>
        <v>0</v>
      </c>
      <c r="Z141" s="141">
        <f t="shared" si="55"/>
        <v>0</v>
      </c>
      <c r="AA141" s="141">
        <f t="shared" si="55"/>
        <v>0</v>
      </c>
      <c r="AB141" s="141">
        <f t="shared" si="55"/>
        <v>0</v>
      </c>
      <c r="AC141" s="141">
        <f t="shared" si="55"/>
        <v>0</v>
      </c>
      <c r="AD141" s="141">
        <f t="shared" si="55"/>
        <v>0</v>
      </c>
      <c r="AE141" s="141">
        <f t="shared" si="55"/>
        <v>0</v>
      </c>
      <c r="AF141" s="141">
        <f t="shared" si="55"/>
        <v>0</v>
      </c>
      <c r="AG141" s="141">
        <f t="shared" si="55"/>
        <v>0</v>
      </c>
      <c r="AH141" s="141">
        <f t="shared" si="55"/>
        <v>0</v>
      </c>
      <c r="AI141" s="141">
        <f t="shared" si="55"/>
        <v>0</v>
      </c>
      <c r="AJ141" s="141">
        <f t="shared" si="55"/>
        <v>0</v>
      </c>
      <c r="AK141" s="141">
        <f t="shared" si="55"/>
        <v>0</v>
      </c>
      <c r="AL141" s="141">
        <f t="shared" si="55"/>
        <v>0</v>
      </c>
      <c r="AM141" s="141">
        <f t="shared" si="55"/>
        <v>0</v>
      </c>
      <c r="AN141" s="141">
        <f t="shared" si="55"/>
        <v>0</v>
      </c>
      <c r="AO141" s="141">
        <f t="shared" si="55"/>
        <v>0</v>
      </c>
      <c r="AP141" s="141">
        <f t="shared" si="55"/>
        <v>0</v>
      </c>
      <c r="AQ141" s="141">
        <f t="shared" si="55"/>
        <v>0</v>
      </c>
      <c r="AR141" s="141">
        <f t="shared" si="55"/>
        <v>0</v>
      </c>
      <c r="AS141" s="141">
        <f t="shared" si="55"/>
        <v>0</v>
      </c>
      <c r="AT141" s="141">
        <f t="shared" si="55"/>
        <v>0</v>
      </c>
      <c r="AU141" s="141">
        <f t="shared" si="55"/>
        <v>0</v>
      </c>
      <c r="AV141" s="141">
        <f t="shared" si="55"/>
        <v>0</v>
      </c>
      <c r="AW141" s="141">
        <f t="shared" si="55"/>
        <v>0</v>
      </c>
      <c r="AX141" s="141">
        <f t="shared" si="55"/>
        <v>0</v>
      </c>
      <c r="AY141" s="141">
        <f t="shared" si="55"/>
        <v>0</v>
      </c>
      <c r="AZ141" s="141">
        <f t="shared" si="55"/>
        <v>0</v>
      </c>
      <c r="BA141" s="141">
        <f t="shared" si="55"/>
        <v>0</v>
      </c>
      <c r="BB141" s="141">
        <f t="shared" si="55"/>
        <v>0</v>
      </c>
      <c r="BC141" s="141">
        <f t="shared" si="55"/>
        <v>0</v>
      </c>
      <c r="BD141" s="141">
        <f t="shared" si="55"/>
        <v>0</v>
      </c>
      <c r="BE141" s="141">
        <f t="shared" si="55"/>
        <v>0</v>
      </c>
      <c r="BF141" s="141">
        <f t="shared" si="55"/>
        <v>0</v>
      </c>
      <c r="BG141" s="141">
        <f t="shared" si="55"/>
        <v>0</v>
      </c>
      <c r="BH141" s="141">
        <f t="shared" si="55"/>
        <v>0</v>
      </c>
      <c r="BI141" s="141">
        <f t="shared" si="55"/>
        <v>0</v>
      </c>
      <c r="BJ141" s="141">
        <f t="shared" si="55"/>
        <v>0</v>
      </c>
      <c r="BK141" s="141"/>
      <c r="BL141" s="141"/>
    </row>
    <row r="142" spans="1:64" s="143" customFormat="1" ht="12.75">
      <c r="A142" s="138" t="s">
        <v>129</v>
      </c>
      <c r="B142" s="139">
        <f>SUM(C142:BJ142)</f>
        <v>19584747.96046932</v>
      </c>
      <c r="C142" s="140">
        <f>C85*(1+$G$53)^(C$54-1)</f>
        <v>922943.55427780084</v>
      </c>
      <c r="D142" s="141">
        <f t="shared" si="55"/>
        <v>949196.17093281378</v>
      </c>
      <c r="E142" s="141">
        <f t="shared" si="55"/>
        <v>953888.82615989761</v>
      </c>
      <c r="F142" s="141">
        <f t="shared" si="55"/>
        <v>957438.17993165541</v>
      </c>
      <c r="G142" s="141">
        <f t="shared" si="55"/>
        <v>959745.25988329807</v>
      </c>
      <c r="H142" s="141">
        <f t="shared" si="55"/>
        <v>960705.00514318142</v>
      </c>
      <c r="I142" s="141">
        <f t="shared" si="55"/>
        <v>960205.93760804215</v>
      </c>
      <c r="J142" s="141">
        <f t="shared" si="55"/>
        <v>958129.81666186254</v>
      </c>
      <c r="K142" s="141">
        <f t="shared" si="55"/>
        <v>954351.27653981582</v>
      </c>
      <c r="L142" s="141">
        <f t="shared" si="55"/>
        <v>948737.44550134649</v>
      </c>
      <c r="M142" s="141">
        <f t="shared" si="55"/>
        <v>941147.54593733558</v>
      </c>
      <c r="N142" s="141">
        <f t="shared" si="55"/>
        <v>931432.47449540184</v>
      </c>
      <c r="O142" s="141">
        <f t="shared" si="55"/>
        <v>919434.36126461369</v>
      </c>
      <c r="P142" s="141">
        <f t="shared" si="55"/>
        <v>904986.10701616982</v>
      </c>
      <c r="Q142" s="141">
        <f t="shared" si="55"/>
        <v>887910.89744982694</v>
      </c>
      <c r="R142" s="141">
        <f t="shared" si="55"/>
        <v>868021.69334695081</v>
      </c>
      <c r="S142" s="141">
        <f t="shared" si="55"/>
        <v>845120.69547992514</v>
      </c>
      <c r="T142" s="141">
        <f t="shared" si="55"/>
        <v>818998.78307418199</v>
      </c>
      <c r="U142" s="141">
        <f t="shared" si="55"/>
        <v>789434.92456321151</v>
      </c>
      <c r="V142" s="141">
        <f t="shared" si="55"/>
        <v>756195.55931844469</v>
      </c>
      <c r="W142" s="141">
        <f t="shared" si="55"/>
        <v>719033.94897479541</v>
      </c>
      <c r="X142" s="141">
        <f t="shared" si="55"/>
        <v>677689.4969087448</v>
      </c>
      <c r="Y142" s="141">
        <f t="shared" si="55"/>
        <v>0</v>
      </c>
      <c r="Z142" s="141">
        <f t="shared" si="55"/>
        <v>0</v>
      </c>
      <c r="AA142" s="141">
        <f t="shared" si="55"/>
        <v>0</v>
      </c>
      <c r="AB142" s="141">
        <f t="shared" si="55"/>
        <v>0</v>
      </c>
      <c r="AC142" s="141">
        <f t="shared" si="55"/>
        <v>0</v>
      </c>
      <c r="AD142" s="141">
        <f t="shared" si="55"/>
        <v>0</v>
      </c>
      <c r="AE142" s="141">
        <f t="shared" si="55"/>
        <v>0</v>
      </c>
      <c r="AF142" s="141">
        <f t="shared" si="55"/>
        <v>0</v>
      </c>
      <c r="AG142" s="141">
        <f t="shared" si="55"/>
        <v>0</v>
      </c>
      <c r="AH142" s="141">
        <f t="shared" si="55"/>
        <v>0</v>
      </c>
      <c r="AI142" s="141">
        <f t="shared" si="55"/>
        <v>0</v>
      </c>
      <c r="AJ142" s="141">
        <f t="shared" si="55"/>
        <v>0</v>
      </c>
      <c r="AK142" s="141">
        <f t="shared" si="55"/>
        <v>0</v>
      </c>
      <c r="AL142" s="141">
        <f t="shared" si="55"/>
        <v>0</v>
      </c>
      <c r="AM142" s="141">
        <f t="shared" si="55"/>
        <v>0</v>
      </c>
      <c r="AN142" s="141">
        <f t="shared" si="55"/>
        <v>0</v>
      </c>
      <c r="AO142" s="141">
        <f t="shared" si="55"/>
        <v>0</v>
      </c>
      <c r="AP142" s="141">
        <f t="shared" si="55"/>
        <v>0</v>
      </c>
      <c r="AQ142" s="141">
        <f t="shared" si="55"/>
        <v>0</v>
      </c>
      <c r="AR142" s="141">
        <f t="shared" si="55"/>
        <v>0</v>
      </c>
      <c r="AS142" s="141">
        <f t="shared" si="55"/>
        <v>0</v>
      </c>
      <c r="AT142" s="141">
        <f t="shared" si="55"/>
        <v>0</v>
      </c>
      <c r="AU142" s="141">
        <f t="shared" si="55"/>
        <v>0</v>
      </c>
      <c r="AV142" s="141">
        <f t="shared" si="55"/>
        <v>0</v>
      </c>
      <c r="AW142" s="141">
        <f t="shared" si="55"/>
        <v>0</v>
      </c>
      <c r="AX142" s="141">
        <f t="shared" si="55"/>
        <v>0</v>
      </c>
      <c r="AY142" s="141">
        <f t="shared" si="55"/>
        <v>0</v>
      </c>
      <c r="AZ142" s="141">
        <f t="shared" si="55"/>
        <v>0</v>
      </c>
      <c r="BA142" s="141">
        <f t="shared" si="55"/>
        <v>0</v>
      </c>
      <c r="BB142" s="141">
        <f t="shared" si="55"/>
        <v>0</v>
      </c>
      <c r="BC142" s="141">
        <f t="shared" si="55"/>
        <v>0</v>
      </c>
      <c r="BD142" s="141">
        <f t="shared" si="55"/>
        <v>0</v>
      </c>
      <c r="BE142" s="141">
        <f t="shared" si="55"/>
        <v>0</v>
      </c>
      <c r="BF142" s="141">
        <f t="shared" si="55"/>
        <v>0</v>
      </c>
      <c r="BG142" s="141">
        <f t="shared" si="55"/>
        <v>0</v>
      </c>
      <c r="BH142" s="141">
        <f t="shared" si="55"/>
        <v>0</v>
      </c>
      <c r="BI142" s="141">
        <f t="shared" si="55"/>
        <v>0</v>
      </c>
      <c r="BJ142" s="141">
        <f t="shared" si="55"/>
        <v>0</v>
      </c>
      <c r="BK142" s="141"/>
      <c r="BL142" s="141"/>
    </row>
    <row r="143" spans="1:64" s="116" customFormat="1">
      <c r="A143" s="111" t="s">
        <v>133</v>
      </c>
      <c r="B143" s="155" t="e">
        <f>SUM(B144:B147)</f>
        <v>#REF!</v>
      </c>
      <c r="C143" s="117">
        <f>SUM(C144:C147)</f>
        <v>1295552.2938032071</v>
      </c>
      <c r="D143" s="118">
        <f>SUM(D144:D147)</f>
        <v>2801400.0262716608</v>
      </c>
      <c r="E143" s="118" t="e">
        <f>SUM(E144:E147)</f>
        <v>#REF!</v>
      </c>
      <c r="F143" s="118" t="e">
        <f t="shared" ref="F143:AJ143" si="56">SUM(F144:F147)</f>
        <v>#REF!</v>
      </c>
      <c r="G143" s="118" t="e">
        <f t="shared" si="56"/>
        <v>#REF!</v>
      </c>
      <c r="H143" s="118" t="e">
        <f t="shared" si="56"/>
        <v>#REF!</v>
      </c>
      <c r="I143" s="118" t="e">
        <f t="shared" si="56"/>
        <v>#REF!</v>
      </c>
      <c r="J143" s="118" t="e">
        <f t="shared" si="56"/>
        <v>#REF!</v>
      </c>
      <c r="K143" s="118" t="e">
        <f t="shared" si="56"/>
        <v>#REF!</v>
      </c>
      <c r="L143" s="118" t="e">
        <f t="shared" si="56"/>
        <v>#REF!</v>
      </c>
      <c r="M143" s="118" t="e">
        <f t="shared" si="56"/>
        <v>#REF!</v>
      </c>
      <c r="N143" s="118" t="e">
        <f t="shared" si="56"/>
        <v>#REF!</v>
      </c>
      <c r="O143" s="118" t="e">
        <f t="shared" si="56"/>
        <v>#REF!</v>
      </c>
      <c r="P143" s="118" t="e">
        <f t="shared" si="56"/>
        <v>#REF!</v>
      </c>
      <c r="Q143" s="118" t="e">
        <f t="shared" si="56"/>
        <v>#REF!</v>
      </c>
      <c r="R143" s="118" t="e">
        <f t="shared" si="56"/>
        <v>#REF!</v>
      </c>
      <c r="S143" s="118" t="e">
        <f t="shared" si="56"/>
        <v>#REF!</v>
      </c>
      <c r="T143" s="118" t="e">
        <f t="shared" si="56"/>
        <v>#REF!</v>
      </c>
      <c r="U143" s="118" t="e">
        <f t="shared" si="56"/>
        <v>#REF!</v>
      </c>
      <c r="V143" s="118" t="e">
        <f t="shared" si="56"/>
        <v>#REF!</v>
      </c>
      <c r="W143" s="118" t="e">
        <f t="shared" si="56"/>
        <v>#REF!</v>
      </c>
      <c r="X143" s="118" t="e">
        <f t="shared" si="56"/>
        <v>#REF!</v>
      </c>
      <c r="Y143" s="118">
        <f t="shared" si="56"/>
        <v>0</v>
      </c>
      <c r="Z143" s="118">
        <f t="shared" si="56"/>
        <v>0</v>
      </c>
      <c r="AA143" s="118">
        <f t="shared" si="56"/>
        <v>0</v>
      </c>
      <c r="AB143" s="118">
        <f t="shared" si="56"/>
        <v>0</v>
      </c>
      <c r="AC143" s="118">
        <f t="shared" si="56"/>
        <v>0</v>
      </c>
      <c r="AD143" s="118">
        <f t="shared" si="56"/>
        <v>0</v>
      </c>
      <c r="AE143" s="118">
        <f t="shared" si="56"/>
        <v>0</v>
      </c>
      <c r="AF143" s="118">
        <f t="shared" si="56"/>
        <v>0</v>
      </c>
      <c r="AG143" s="118">
        <f t="shared" si="56"/>
        <v>0</v>
      </c>
      <c r="AH143" s="118">
        <f t="shared" si="56"/>
        <v>0</v>
      </c>
      <c r="AI143" s="118">
        <f t="shared" si="56"/>
        <v>0</v>
      </c>
      <c r="AJ143" s="118">
        <f t="shared" si="56"/>
        <v>0</v>
      </c>
      <c r="AK143" s="118"/>
      <c r="AL143" s="118"/>
      <c r="AM143" s="118"/>
      <c r="AN143" s="118"/>
      <c r="AO143" s="118"/>
      <c r="AP143" s="118"/>
      <c r="AQ143" s="118"/>
      <c r="AR143" s="118"/>
      <c r="AS143" s="118"/>
      <c r="AT143" s="118"/>
      <c r="AU143" s="118"/>
      <c r="AV143" s="118"/>
      <c r="AW143" s="118"/>
      <c r="AX143" s="118"/>
      <c r="AY143" s="118"/>
      <c r="AZ143" s="118"/>
      <c r="BA143" s="118"/>
      <c r="BB143" s="118"/>
      <c r="BC143" s="118"/>
      <c r="BD143" s="118"/>
      <c r="BE143" s="118"/>
      <c r="BF143" s="118"/>
      <c r="BG143" s="118"/>
      <c r="BH143" s="118"/>
      <c r="BI143" s="118"/>
      <c r="BJ143" s="119"/>
      <c r="BK143" s="118"/>
      <c r="BL143" s="118"/>
    </row>
    <row r="144" spans="1:64" s="143" customFormat="1" ht="12.75">
      <c r="A144" s="138" t="s">
        <v>126</v>
      </c>
      <c r="B144" s="139" t="e">
        <f t="shared" ref="B144:B150" si="57">SUM(C144:BJ144)</f>
        <v>#REF!</v>
      </c>
      <c r="C144" s="140">
        <f t="shared" ref="C144:BJ147" si="58">C87*(1+$G$53)^(C$54-1)</f>
        <v>0</v>
      </c>
      <c r="D144" s="141">
        <f t="shared" si="58"/>
        <v>0</v>
      </c>
      <c r="E144" s="141" t="e">
        <f t="shared" si="58"/>
        <v>#REF!</v>
      </c>
      <c r="F144" s="141" t="e">
        <f t="shared" si="58"/>
        <v>#REF!</v>
      </c>
      <c r="G144" s="141" t="e">
        <f t="shared" si="58"/>
        <v>#REF!</v>
      </c>
      <c r="H144" s="141" t="e">
        <f t="shared" si="58"/>
        <v>#REF!</v>
      </c>
      <c r="I144" s="141" t="e">
        <f t="shared" si="58"/>
        <v>#REF!</v>
      </c>
      <c r="J144" s="141" t="e">
        <f t="shared" si="58"/>
        <v>#REF!</v>
      </c>
      <c r="K144" s="141" t="e">
        <f t="shared" si="58"/>
        <v>#REF!</v>
      </c>
      <c r="L144" s="141" t="e">
        <f t="shared" si="58"/>
        <v>#REF!</v>
      </c>
      <c r="M144" s="141" t="e">
        <f t="shared" si="58"/>
        <v>#REF!</v>
      </c>
      <c r="N144" s="141" t="e">
        <f t="shared" si="58"/>
        <v>#REF!</v>
      </c>
      <c r="O144" s="141" t="e">
        <f t="shared" si="58"/>
        <v>#REF!</v>
      </c>
      <c r="P144" s="141" t="e">
        <f t="shared" si="58"/>
        <v>#REF!</v>
      </c>
      <c r="Q144" s="141" t="e">
        <f t="shared" si="58"/>
        <v>#REF!</v>
      </c>
      <c r="R144" s="141" t="e">
        <f t="shared" si="58"/>
        <v>#REF!</v>
      </c>
      <c r="S144" s="141" t="e">
        <f t="shared" si="58"/>
        <v>#REF!</v>
      </c>
      <c r="T144" s="141" t="e">
        <f t="shared" si="58"/>
        <v>#REF!</v>
      </c>
      <c r="U144" s="141" t="e">
        <f t="shared" si="58"/>
        <v>#REF!</v>
      </c>
      <c r="V144" s="141" t="e">
        <f t="shared" si="58"/>
        <v>#REF!</v>
      </c>
      <c r="W144" s="141" t="e">
        <f t="shared" si="58"/>
        <v>#REF!</v>
      </c>
      <c r="X144" s="141" t="e">
        <f t="shared" si="58"/>
        <v>#REF!</v>
      </c>
      <c r="Y144" s="141">
        <f t="shared" si="58"/>
        <v>0</v>
      </c>
      <c r="Z144" s="141">
        <f t="shared" si="58"/>
        <v>0</v>
      </c>
      <c r="AA144" s="141">
        <f t="shared" si="58"/>
        <v>0</v>
      </c>
      <c r="AB144" s="141">
        <f t="shared" si="58"/>
        <v>0</v>
      </c>
      <c r="AC144" s="141">
        <f t="shared" si="58"/>
        <v>0</v>
      </c>
      <c r="AD144" s="141">
        <f t="shared" si="58"/>
        <v>0</v>
      </c>
      <c r="AE144" s="141">
        <f t="shared" si="58"/>
        <v>0</v>
      </c>
      <c r="AF144" s="141">
        <f t="shared" si="58"/>
        <v>0</v>
      </c>
      <c r="AG144" s="141">
        <f t="shared" si="58"/>
        <v>0</v>
      </c>
      <c r="AH144" s="141">
        <f t="shared" si="58"/>
        <v>0</v>
      </c>
      <c r="AI144" s="141">
        <f t="shared" si="58"/>
        <v>0</v>
      </c>
      <c r="AJ144" s="141">
        <f t="shared" si="58"/>
        <v>0</v>
      </c>
      <c r="AK144" s="141">
        <f t="shared" si="58"/>
        <v>0</v>
      </c>
      <c r="AL144" s="141">
        <f t="shared" si="58"/>
        <v>0</v>
      </c>
      <c r="AM144" s="141">
        <f t="shared" si="58"/>
        <v>0</v>
      </c>
      <c r="AN144" s="141">
        <f t="shared" si="58"/>
        <v>0</v>
      </c>
      <c r="AO144" s="141">
        <f t="shared" si="58"/>
        <v>0</v>
      </c>
      <c r="AP144" s="141">
        <f t="shared" si="58"/>
        <v>0</v>
      </c>
      <c r="AQ144" s="141">
        <f t="shared" si="58"/>
        <v>0</v>
      </c>
      <c r="AR144" s="141">
        <f t="shared" si="58"/>
        <v>0</v>
      </c>
      <c r="AS144" s="141">
        <f t="shared" si="58"/>
        <v>0</v>
      </c>
      <c r="AT144" s="141">
        <f t="shared" si="58"/>
        <v>0</v>
      </c>
      <c r="AU144" s="141">
        <f t="shared" si="58"/>
        <v>0</v>
      </c>
      <c r="AV144" s="141">
        <f t="shared" si="58"/>
        <v>0</v>
      </c>
      <c r="AW144" s="141">
        <f t="shared" si="58"/>
        <v>0</v>
      </c>
      <c r="AX144" s="141">
        <f t="shared" si="58"/>
        <v>0</v>
      </c>
      <c r="AY144" s="141">
        <f t="shared" si="58"/>
        <v>0</v>
      </c>
      <c r="AZ144" s="141">
        <f t="shared" si="58"/>
        <v>0</v>
      </c>
      <c r="BA144" s="141">
        <f t="shared" si="58"/>
        <v>0</v>
      </c>
      <c r="BB144" s="141">
        <f t="shared" si="58"/>
        <v>0</v>
      </c>
      <c r="BC144" s="141">
        <f t="shared" si="58"/>
        <v>0</v>
      </c>
      <c r="BD144" s="141">
        <f t="shared" si="58"/>
        <v>0</v>
      </c>
      <c r="BE144" s="141">
        <f t="shared" si="58"/>
        <v>0</v>
      </c>
      <c r="BF144" s="141">
        <f t="shared" si="58"/>
        <v>0</v>
      </c>
      <c r="BG144" s="141">
        <f t="shared" si="58"/>
        <v>0</v>
      </c>
      <c r="BH144" s="141">
        <f t="shared" si="58"/>
        <v>0</v>
      </c>
      <c r="BI144" s="141">
        <f t="shared" si="58"/>
        <v>0</v>
      </c>
      <c r="BJ144" s="142">
        <f t="shared" si="58"/>
        <v>0</v>
      </c>
      <c r="BK144" s="141"/>
      <c r="BL144" s="141"/>
    </row>
    <row r="145" spans="1:64" s="143" customFormat="1" ht="12.75">
      <c r="A145" s="138" t="s">
        <v>127</v>
      </c>
      <c r="B145" s="139">
        <f t="shared" si="57"/>
        <v>0</v>
      </c>
      <c r="C145" s="140">
        <f t="shared" si="58"/>
        <v>0</v>
      </c>
      <c r="D145" s="141">
        <f t="shared" si="58"/>
        <v>0</v>
      </c>
      <c r="E145" s="141">
        <f t="shared" si="58"/>
        <v>0</v>
      </c>
      <c r="F145" s="141">
        <f t="shared" si="58"/>
        <v>0</v>
      </c>
      <c r="G145" s="141">
        <f t="shared" si="58"/>
        <v>0</v>
      </c>
      <c r="H145" s="141">
        <f t="shared" si="58"/>
        <v>0</v>
      </c>
      <c r="I145" s="141">
        <f t="shared" si="58"/>
        <v>0</v>
      </c>
      <c r="J145" s="141">
        <f t="shared" si="58"/>
        <v>0</v>
      </c>
      <c r="K145" s="141">
        <f t="shared" si="58"/>
        <v>0</v>
      </c>
      <c r="L145" s="141">
        <f t="shared" si="58"/>
        <v>0</v>
      </c>
      <c r="M145" s="141">
        <f t="shared" si="58"/>
        <v>0</v>
      </c>
      <c r="N145" s="141">
        <f t="shared" si="58"/>
        <v>0</v>
      </c>
      <c r="O145" s="141">
        <f t="shared" si="58"/>
        <v>0</v>
      </c>
      <c r="P145" s="141">
        <f t="shared" si="58"/>
        <v>0</v>
      </c>
      <c r="Q145" s="141">
        <f t="shared" si="58"/>
        <v>0</v>
      </c>
      <c r="R145" s="141">
        <f t="shared" si="58"/>
        <v>0</v>
      </c>
      <c r="S145" s="141">
        <f t="shared" si="58"/>
        <v>0</v>
      </c>
      <c r="T145" s="141">
        <f t="shared" si="58"/>
        <v>0</v>
      </c>
      <c r="U145" s="141">
        <f t="shared" si="58"/>
        <v>0</v>
      </c>
      <c r="V145" s="141">
        <f t="shared" si="58"/>
        <v>0</v>
      </c>
      <c r="W145" s="141">
        <f t="shared" si="58"/>
        <v>0</v>
      </c>
      <c r="X145" s="141">
        <f t="shared" si="58"/>
        <v>0</v>
      </c>
      <c r="Y145" s="141">
        <f t="shared" si="58"/>
        <v>0</v>
      </c>
      <c r="Z145" s="141">
        <f t="shared" si="58"/>
        <v>0</v>
      </c>
      <c r="AA145" s="141">
        <f t="shared" si="58"/>
        <v>0</v>
      </c>
      <c r="AB145" s="141">
        <f t="shared" si="58"/>
        <v>0</v>
      </c>
      <c r="AC145" s="141">
        <f t="shared" si="58"/>
        <v>0</v>
      </c>
      <c r="AD145" s="141">
        <f t="shared" si="58"/>
        <v>0</v>
      </c>
      <c r="AE145" s="141">
        <f t="shared" si="58"/>
        <v>0</v>
      </c>
      <c r="AF145" s="141">
        <f t="shared" si="58"/>
        <v>0</v>
      </c>
      <c r="AG145" s="141">
        <f t="shared" si="58"/>
        <v>0</v>
      </c>
      <c r="AH145" s="141">
        <f t="shared" si="58"/>
        <v>0</v>
      </c>
      <c r="AI145" s="141">
        <f t="shared" si="58"/>
        <v>0</v>
      </c>
      <c r="AJ145" s="141">
        <f t="shared" si="58"/>
        <v>0</v>
      </c>
      <c r="AK145" s="141">
        <f t="shared" si="58"/>
        <v>0</v>
      </c>
      <c r="AL145" s="141">
        <f t="shared" si="58"/>
        <v>0</v>
      </c>
      <c r="AM145" s="141">
        <f t="shared" si="58"/>
        <v>0</v>
      </c>
      <c r="AN145" s="141">
        <f t="shared" si="58"/>
        <v>0</v>
      </c>
      <c r="AO145" s="141">
        <f t="shared" si="58"/>
        <v>0</v>
      </c>
      <c r="AP145" s="141">
        <f t="shared" si="58"/>
        <v>0</v>
      </c>
      <c r="AQ145" s="141">
        <f t="shared" si="58"/>
        <v>0</v>
      </c>
      <c r="AR145" s="141">
        <f t="shared" si="58"/>
        <v>0</v>
      </c>
      <c r="AS145" s="141">
        <f t="shared" si="58"/>
        <v>0</v>
      </c>
      <c r="AT145" s="141">
        <f t="shared" si="58"/>
        <v>0</v>
      </c>
      <c r="AU145" s="141">
        <f t="shared" si="58"/>
        <v>0</v>
      </c>
      <c r="AV145" s="141">
        <f t="shared" si="58"/>
        <v>0</v>
      </c>
      <c r="AW145" s="141">
        <f t="shared" si="58"/>
        <v>0</v>
      </c>
      <c r="AX145" s="141">
        <f t="shared" si="58"/>
        <v>0</v>
      </c>
      <c r="AY145" s="141">
        <f t="shared" si="58"/>
        <v>0</v>
      </c>
      <c r="AZ145" s="141">
        <f t="shared" si="58"/>
        <v>0</v>
      </c>
      <c r="BA145" s="141">
        <f t="shared" si="58"/>
        <v>0</v>
      </c>
      <c r="BB145" s="141">
        <f t="shared" si="58"/>
        <v>0</v>
      </c>
      <c r="BC145" s="141">
        <f t="shared" si="58"/>
        <v>0</v>
      </c>
      <c r="BD145" s="141">
        <f t="shared" si="58"/>
        <v>0</v>
      </c>
      <c r="BE145" s="141">
        <f t="shared" si="58"/>
        <v>0</v>
      </c>
      <c r="BF145" s="141">
        <f t="shared" si="58"/>
        <v>0</v>
      </c>
      <c r="BG145" s="141">
        <f t="shared" si="58"/>
        <v>0</v>
      </c>
      <c r="BH145" s="141">
        <f t="shared" si="58"/>
        <v>0</v>
      </c>
      <c r="BI145" s="141">
        <f t="shared" si="58"/>
        <v>0</v>
      </c>
      <c r="BJ145" s="142">
        <f t="shared" si="58"/>
        <v>0</v>
      </c>
      <c r="BK145" s="141"/>
      <c r="BL145" s="141"/>
    </row>
    <row r="146" spans="1:64" s="143" customFormat="1" ht="12.75">
      <c r="A146" s="138" t="s">
        <v>128</v>
      </c>
      <c r="B146" s="139">
        <f t="shared" si="57"/>
        <v>191872803.53397337</v>
      </c>
      <c r="C146" s="140">
        <f t="shared" si="58"/>
        <v>1193003.0099945625</v>
      </c>
      <c r="D146" s="141">
        <f t="shared" si="58"/>
        <v>2481446.2607886898</v>
      </c>
      <c r="E146" s="141">
        <f t="shared" si="58"/>
        <v>3871056.1668303567</v>
      </c>
      <c r="F146" s="141">
        <f t="shared" si="58"/>
        <v>5367864.5513380943</v>
      </c>
      <c r="G146" s="141">
        <f t="shared" si="58"/>
        <v>6978223.9167395243</v>
      </c>
      <c r="H146" s="141">
        <f t="shared" si="58"/>
        <v>7257352.8734091055</v>
      </c>
      <c r="I146" s="141">
        <f t="shared" si="58"/>
        <v>7547646.9883454703</v>
      </c>
      <c r="J146" s="141">
        <f t="shared" si="58"/>
        <v>7849552.8678792883</v>
      </c>
      <c r="K146" s="141">
        <f t="shared" si="58"/>
        <v>8163534.9825944612</v>
      </c>
      <c r="L146" s="141">
        <f t="shared" si="58"/>
        <v>8490076.3818982393</v>
      </c>
      <c r="M146" s="141">
        <f t="shared" si="58"/>
        <v>8829679.4371741693</v>
      </c>
      <c r="N146" s="141">
        <f t="shared" si="58"/>
        <v>9182866.6146611348</v>
      </c>
      <c r="O146" s="141">
        <f t="shared" si="58"/>
        <v>9550181.2792475838</v>
      </c>
      <c r="P146" s="141">
        <f t="shared" si="58"/>
        <v>9932188.530417487</v>
      </c>
      <c r="Q146" s="141">
        <f t="shared" si="58"/>
        <v>10329476.071634186</v>
      </c>
      <c r="R146" s="141">
        <f t="shared" si="58"/>
        <v>10742655.114499554</v>
      </c>
      <c r="S146" s="141">
        <f t="shared" si="58"/>
        <v>11172361.319079537</v>
      </c>
      <c r="T146" s="141">
        <f t="shared" si="58"/>
        <v>11619255.77184272</v>
      </c>
      <c r="U146" s="141">
        <f t="shared" si="58"/>
        <v>12084026.00271643</v>
      </c>
      <c r="V146" s="141">
        <f t="shared" si="58"/>
        <v>12567387.042825086</v>
      </c>
      <c r="W146" s="141">
        <f t="shared" si="58"/>
        <v>13070082.52453809</v>
      </c>
      <c r="X146" s="141">
        <f t="shared" si="58"/>
        <v>13592885.825519616</v>
      </c>
      <c r="Y146" s="141">
        <f t="shared" si="58"/>
        <v>0</v>
      </c>
      <c r="Z146" s="141">
        <f t="shared" si="58"/>
        <v>0</v>
      </c>
      <c r="AA146" s="141">
        <f t="shared" si="58"/>
        <v>0</v>
      </c>
      <c r="AB146" s="141">
        <f t="shared" si="58"/>
        <v>0</v>
      </c>
      <c r="AC146" s="141">
        <f t="shared" si="58"/>
        <v>0</v>
      </c>
      <c r="AD146" s="141">
        <f t="shared" si="58"/>
        <v>0</v>
      </c>
      <c r="AE146" s="141">
        <f t="shared" si="58"/>
        <v>0</v>
      </c>
      <c r="AF146" s="141">
        <f t="shared" si="58"/>
        <v>0</v>
      </c>
      <c r="AG146" s="141">
        <f t="shared" si="58"/>
        <v>0</v>
      </c>
      <c r="AH146" s="141">
        <f t="shared" si="58"/>
        <v>0</v>
      </c>
      <c r="AI146" s="141">
        <f t="shared" si="58"/>
        <v>0</v>
      </c>
      <c r="AJ146" s="141">
        <f t="shared" si="58"/>
        <v>0</v>
      </c>
      <c r="AK146" s="141">
        <f t="shared" si="58"/>
        <v>0</v>
      </c>
      <c r="AL146" s="141">
        <f t="shared" si="58"/>
        <v>0</v>
      </c>
      <c r="AM146" s="141">
        <f t="shared" si="58"/>
        <v>0</v>
      </c>
      <c r="AN146" s="141">
        <f t="shared" si="58"/>
        <v>0</v>
      </c>
      <c r="AO146" s="141">
        <f t="shared" si="58"/>
        <v>0</v>
      </c>
      <c r="AP146" s="141">
        <f t="shared" si="58"/>
        <v>0</v>
      </c>
      <c r="AQ146" s="141">
        <f t="shared" si="58"/>
        <v>0</v>
      </c>
      <c r="AR146" s="141">
        <f t="shared" si="58"/>
        <v>0</v>
      </c>
      <c r="AS146" s="141">
        <f t="shared" si="58"/>
        <v>0</v>
      </c>
      <c r="AT146" s="141">
        <f t="shared" si="58"/>
        <v>0</v>
      </c>
      <c r="AU146" s="141">
        <f t="shared" si="58"/>
        <v>0</v>
      </c>
      <c r="AV146" s="141">
        <f t="shared" si="58"/>
        <v>0</v>
      </c>
      <c r="AW146" s="141">
        <f t="shared" si="58"/>
        <v>0</v>
      </c>
      <c r="AX146" s="141">
        <f t="shared" si="58"/>
        <v>0</v>
      </c>
      <c r="AY146" s="141">
        <f t="shared" si="58"/>
        <v>0</v>
      </c>
      <c r="AZ146" s="141">
        <f t="shared" si="58"/>
        <v>0</v>
      </c>
      <c r="BA146" s="141">
        <f t="shared" si="58"/>
        <v>0</v>
      </c>
      <c r="BB146" s="141">
        <f t="shared" si="58"/>
        <v>0</v>
      </c>
      <c r="BC146" s="141">
        <f t="shared" si="58"/>
        <v>0</v>
      </c>
      <c r="BD146" s="141">
        <f t="shared" si="58"/>
        <v>0</v>
      </c>
      <c r="BE146" s="141">
        <f t="shared" si="58"/>
        <v>0</v>
      </c>
      <c r="BF146" s="141">
        <f t="shared" si="58"/>
        <v>0</v>
      </c>
      <c r="BG146" s="141">
        <f t="shared" si="58"/>
        <v>0</v>
      </c>
      <c r="BH146" s="141">
        <f t="shared" si="58"/>
        <v>0</v>
      </c>
      <c r="BI146" s="141">
        <f t="shared" si="58"/>
        <v>0</v>
      </c>
      <c r="BJ146" s="142">
        <f t="shared" si="58"/>
        <v>0</v>
      </c>
      <c r="BK146" s="141"/>
      <c r="BL146" s="141"/>
    </row>
    <row r="147" spans="1:64" s="143" customFormat="1" ht="12.75">
      <c r="A147" s="138" t="s">
        <v>129</v>
      </c>
      <c r="B147" s="139">
        <f t="shared" si="57"/>
        <v>10331215.753245423</v>
      </c>
      <c r="C147" s="213">
        <f t="shared" si="58"/>
        <v>102549.28380864453</v>
      </c>
      <c r="D147" s="214">
        <f t="shared" si="58"/>
        <v>319953.76548297092</v>
      </c>
      <c r="E147" s="214">
        <f t="shared" si="58"/>
        <v>332751.9161022898</v>
      </c>
      <c r="F147" s="214">
        <f t="shared" si="58"/>
        <v>346061.99274638138</v>
      </c>
      <c r="G147" s="214">
        <f t="shared" si="58"/>
        <v>359904.47245623666</v>
      </c>
      <c r="H147" s="214">
        <f t="shared" si="58"/>
        <v>374300.65135448618</v>
      </c>
      <c r="I147" s="214">
        <f t="shared" si="58"/>
        <v>389272.67740866565</v>
      </c>
      <c r="J147" s="214">
        <f t="shared" si="58"/>
        <v>404843.5845050122</v>
      </c>
      <c r="K147" s="214">
        <f t="shared" si="58"/>
        <v>421037.32788521278</v>
      </c>
      <c r="L147" s="214">
        <f t="shared" si="58"/>
        <v>437878.82100062136</v>
      </c>
      <c r="M147" s="214">
        <f t="shared" si="58"/>
        <v>455393.97384064621</v>
      </c>
      <c r="N147" s="214">
        <f t="shared" si="58"/>
        <v>473609.73279427201</v>
      </c>
      <c r="O147" s="214">
        <f t="shared" si="58"/>
        <v>492554.12210604298</v>
      </c>
      <c r="P147" s="214">
        <f t="shared" si="58"/>
        <v>512256.28699028475</v>
      </c>
      <c r="Q147" s="214">
        <f t="shared" si="58"/>
        <v>532746.53846989607</v>
      </c>
      <c r="R147" s="214">
        <f t="shared" si="58"/>
        <v>554056.40000869194</v>
      </c>
      <c r="S147" s="214">
        <f t="shared" si="58"/>
        <v>576218.65600903973</v>
      </c>
      <c r="T147" s="214">
        <f t="shared" si="58"/>
        <v>599267.40224940132</v>
      </c>
      <c r="U147" s="214">
        <f t="shared" si="58"/>
        <v>623238.09833937744</v>
      </c>
      <c r="V147" s="214">
        <f t="shared" si="58"/>
        <v>648167.62227295258</v>
      </c>
      <c r="W147" s="214">
        <f t="shared" si="58"/>
        <v>674094.32716387068</v>
      </c>
      <c r="X147" s="214">
        <f t="shared" si="58"/>
        <v>701058.10025042563</v>
      </c>
      <c r="Y147" s="214">
        <f t="shared" si="58"/>
        <v>0</v>
      </c>
      <c r="Z147" s="214">
        <f t="shared" si="58"/>
        <v>0</v>
      </c>
      <c r="AA147" s="214">
        <f t="shared" si="58"/>
        <v>0</v>
      </c>
      <c r="AB147" s="214">
        <f t="shared" si="58"/>
        <v>0</v>
      </c>
      <c r="AC147" s="214">
        <f t="shared" si="58"/>
        <v>0</v>
      </c>
      <c r="AD147" s="214">
        <f t="shared" si="58"/>
        <v>0</v>
      </c>
      <c r="AE147" s="214">
        <f t="shared" si="58"/>
        <v>0</v>
      </c>
      <c r="AF147" s="214">
        <f t="shared" si="58"/>
        <v>0</v>
      </c>
      <c r="AG147" s="214">
        <f t="shared" si="58"/>
        <v>0</v>
      </c>
      <c r="AH147" s="214">
        <f t="shared" si="58"/>
        <v>0</v>
      </c>
      <c r="AI147" s="214">
        <f t="shared" si="58"/>
        <v>0</v>
      </c>
      <c r="AJ147" s="214">
        <f t="shared" si="58"/>
        <v>0</v>
      </c>
      <c r="AK147" s="214">
        <f t="shared" si="58"/>
        <v>0</v>
      </c>
      <c r="AL147" s="214">
        <f t="shared" si="58"/>
        <v>0</v>
      </c>
      <c r="AM147" s="214">
        <f t="shared" si="58"/>
        <v>0</v>
      </c>
      <c r="AN147" s="214">
        <f t="shared" si="58"/>
        <v>0</v>
      </c>
      <c r="AO147" s="214">
        <f t="shared" si="58"/>
        <v>0</v>
      </c>
      <c r="AP147" s="214">
        <f t="shared" si="58"/>
        <v>0</v>
      </c>
      <c r="AQ147" s="214">
        <f t="shared" si="58"/>
        <v>0</v>
      </c>
      <c r="AR147" s="214">
        <f t="shared" si="58"/>
        <v>0</v>
      </c>
      <c r="AS147" s="214">
        <f t="shared" si="58"/>
        <v>0</v>
      </c>
      <c r="AT147" s="214">
        <f t="shared" si="58"/>
        <v>0</v>
      </c>
      <c r="AU147" s="214">
        <f t="shared" si="58"/>
        <v>0</v>
      </c>
      <c r="AV147" s="214">
        <f t="shared" si="58"/>
        <v>0</v>
      </c>
      <c r="AW147" s="214">
        <f t="shared" si="58"/>
        <v>0</v>
      </c>
      <c r="AX147" s="214">
        <f t="shared" si="58"/>
        <v>0</v>
      </c>
      <c r="AY147" s="214">
        <f t="shared" si="58"/>
        <v>0</v>
      </c>
      <c r="AZ147" s="214">
        <f t="shared" si="58"/>
        <v>0</v>
      </c>
      <c r="BA147" s="214">
        <f t="shared" si="58"/>
        <v>0</v>
      </c>
      <c r="BB147" s="214">
        <f t="shared" si="58"/>
        <v>0</v>
      </c>
      <c r="BC147" s="214">
        <f t="shared" si="58"/>
        <v>0</v>
      </c>
      <c r="BD147" s="214">
        <f t="shared" si="58"/>
        <v>0</v>
      </c>
      <c r="BE147" s="214">
        <f t="shared" si="58"/>
        <v>0</v>
      </c>
      <c r="BF147" s="214">
        <f t="shared" si="58"/>
        <v>0</v>
      </c>
      <c r="BG147" s="214">
        <f t="shared" si="58"/>
        <v>0</v>
      </c>
      <c r="BH147" s="214">
        <f t="shared" si="58"/>
        <v>0</v>
      </c>
      <c r="BI147" s="214">
        <f t="shared" si="58"/>
        <v>0</v>
      </c>
      <c r="BJ147" s="215">
        <f t="shared" si="58"/>
        <v>0</v>
      </c>
      <c r="BK147" s="141"/>
      <c r="BL147" s="141"/>
    </row>
    <row r="148" spans="1:64" s="160" customFormat="1">
      <c r="A148" s="131" t="s">
        <v>134</v>
      </c>
      <c r="B148" s="156" t="e">
        <f t="shared" si="57"/>
        <v>#REF!</v>
      </c>
      <c r="C148" s="161" t="e">
        <f>C122-C123-C143</f>
        <v>#REF!</v>
      </c>
      <c r="D148" s="162" t="e">
        <f t="shared" ref="D148:BJ148" si="59">D122-D123-D143</f>
        <v>#REF!</v>
      </c>
      <c r="E148" s="162" t="e">
        <f t="shared" si="59"/>
        <v>#REF!</v>
      </c>
      <c r="F148" s="162" t="e">
        <f>F122-F123-F143</f>
        <v>#REF!</v>
      </c>
      <c r="G148" s="162" t="e">
        <f t="shared" si="59"/>
        <v>#REF!</v>
      </c>
      <c r="H148" s="162" t="e">
        <f t="shared" si="59"/>
        <v>#REF!</v>
      </c>
      <c r="I148" s="162" t="e">
        <f t="shared" si="59"/>
        <v>#REF!</v>
      </c>
      <c r="J148" s="162" t="e">
        <f t="shared" si="59"/>
        <v>#REF!</v>
      </c>
      <c r="K148" s="162" t="e">
        <f t="shared" si="59"/>
        <v>#REF!</v>
      </c>
      <c r="L148" s="162" t="e">
        <f t="shared" si="59"/>
        <v>#REF!</v>
      </c>
      <c r="M148" s="162" t="e">
        <f t="shared" si="59"/>
        <v>#REF!</v>
      </c>
      <c r="N148" s="162" t="e">
        <f t="shared" si="59"/>
        <v>#REF!</v>
      </c>
      <c r="O148" s="162" t="e">
        <f t="shared" si="59"/>
        <v>#REF!</v>
      </c>
      <c r="P148" s="162" t="e">
        <f t="shared" si="59"/>
        <v>#REF!</v>
      </c>
      <c r="Q148" s="162" t="e">
        <f t="shared" si="59"/>
        <v>#REF!</v>
      </c>
      <c r="R148" s="162" t="e">
        <f t="shared" si="59"/>
        <v>#REF!</v>
      </c>
      <c r="S148" s="162" t="e">
        <f t="shared" si="59"/>
        <v>#REF!</v>
      </c>
      <c r="T148" s="162" t="e">
        <f t="shared" si="59"/>
        <v>#REF!</v>
      </c>
      <c r="U148" s="162" t="e">
        <f t="shared" si="59"/>
        <v>#REF!</v>
      </c>
      <c r="V148" s="162" t="e">
        <f t="shared" si="59"/>
        <v>#REF!</v>
      </c>
      <c r="W148" s="162" t="e">
        <f t="shared" si="59"/>
        <v>#REF!</v>
      </c>
      <c r="X148" s="162" t="e">
        <f t="shared" si="59"/>
        <v>#REF!</v>
      </c>
      <c r="Y148" s="162" t="e">
        <f t="shared" si="59"/>
        <v>#REF!</v>
      </c>
      <c r="Z148" s="162" t="e">
        <f t="shared" si="59"/>
        <v>#REF!</v>
      </c>
      <c r="AA148" s="162" t="e">
        <f t="shared" si="59"/>
        <v>#REF!</v>
      </c>
      <c r="AB148" s="162" t="e">
        <f t="shared" si="59"/>
        <v>#REF!</v>
      </c>
      <c r="AC148" s="162" t="e">
        <f t="shared" si="59"/>
        <v>#REF!</v>
      </c>
      <c r="AD148" s="162" t="e">
        <f t="shared" si="59"/>
        <v>#REF!</v>
      </c>
      <c r="AE148" s="162" t="e">
        <f t="shared" si="59"/>
        <v>#REF!</v>
      </c>
      <c r="AF148" s="162" t="e">
        <f t="shared" si="59"/>
        <v>#REF!</v>
      </c>
      <c r="AG148" s="162" t="e">
        <f t="shared" si="59"/>
        <v>#REF!</v>
      </c>
      <c r="AH148" s="162" t="e">
        <f t="shared" si="59"/>
        <v>#REF!</v>
      </c>
      <c r="AI148" s="162" t="e">
        <f t="shared" si="59"/>
        <v>#REF!</v>
      </c>
      <c r="AJ148" s="162" t="e">
        <f t="shared" si="59"/>
        <v>#REF!</v>
      </c>
      <c r="AK148" s="162" t="e">
        <f t="shared" si="59"/>
        <v>#REF!</v>
      </c>
      <c r="AL148" s="162" t="e">
        <f t="shared" si="59"/>
        <v>#REF!</v>
      </c>
      <c r="AM148" s="162" t="e">
        <f t="shared" si="59"/>
        <v>#REF!</v>
      </c>
      <c r="AN148" s="162" t="e">
        <f t="shared" si="59"/>
        <v>#REF!</v>
      </c>
      <c r="AO148" s="162" t="e">
        <f t="shared" si="59"/>
        <v>#REF!</v>
      </c>
      <c r="AP148" s="162" t="e">
        <f t="shared" si="59"/>
        <v>#REF!</v>
      </c>
      <c r="AQ148" s="162" t="e">
        <f t="shared" si="59"/>
        <v>#REF!</v>
      </c>
      <c r="AR148" s="162" t="e">
        <f t="shared" si="59"/>
        <v>#REF!</v>
      </c>
      <c r="AS148" s="162" t="e">
        <f t="shared" si="59"/>
        <v>#REF!</v>
      </c>
      <c r="AT148" s="162" t="e">
        <f t="shared" si="59"/>
        <v>#REF!</v>
      </c>
      <c r="AU148" s="162" t="e">
        <f t="shared" si="59"/>
        <v>#REF!</v>
      </c>
      <c r="AV148" s="162" t="e">
        <f t="shared" si="59"/>
        <v>#REF!</v>
      </c>
      <c r="AW148" s="162" t="e">
        <f t="shared" si="59"/>
        <v>#REF!</v>
      </c>
      <c r="AX148" s="162" t="e">
        <f t="shared" si="59"/>
        <v>#REF!</v>
      </c>
      <c r="AY148" s="162" t="e">
        <f t="shared" si="59"/>
        <v>#REF!</v>
      </c>
      <c r="AZ148" s="162" t="e">
        <f t="shared" si="59"/>
        <v>#REF!</v>
      </c>
      <c r="BA148" s="162" t="e">
        <f t="shared" si="59"/>
        <v>#REF!</v>
      </c>
      <c r="BB148" s="162" t="e">
        <f t="shared" si="59"/>
        <v>#REF!</v>
      </c>
      <c r="BC148" s="162" t="e">
        <f t="shared" si="59"/>
        <v>#REF!</v>
      </c>
      <c r="BD148" s="162" t="e">
        <f t="shared" si="59"/>
        <v>#REF!</v>
      </c>
      <c r="BE148" s="162" t="e">
        <f t="shared" si="59"/>
        <v>#REF!</v>
      </c>
      <c r="BF148" s="162" t="e">
        <f t="shared" si="59"/>
        <v>#REF!</v>
      </c>
      <c r="BG148" s="162" t="e">
        <f t="shared" si="59"/>
        <v>#REF!</v>
      </c>
      <c r="BH148" s="162" t="e">
        <f t="shared" si="59"/>
        <v>#REF!</v>
      </c>
      <c r="BI148" s="162" t="e">
        <f t="shared" si="59"/>
        <v>#REF!</v>
      </c>
      <c r="BJ148" s="163" t="e">
        <f t="shared" si="59"/>
        <v>#REF!</v>
      </c>
      <c r="BK148" s="159"/>
      <c r="BL148" s="159"/>
    </row>
    <row r="149" spans="1:64" s="160" customFormat="1">
      <c r="A149" s="131" t="s">
        <v>135</v>
      </c>
      <c r="B149" s="156" t="e">
        <f t="shared" si="57"/>
        <v>#REF!</v>
      </c>
      <c r="C149" s="161" t="e">
        <f t="shared" ref="C149:BJ149" si="60">IF(C148&lt;=0,0,C148*$K$53)</f>
        <v>#REF!</v>
      </c>
      <c r="D149" s="162" t="e">
        <f t="shared" si="60"/>
        <v>#REF!</v>
      </c>
      <c r="E149" s="162" t="e">
        <f t="shared" si="60"/>
        <v>#REF!</v>
      </c>
      <c r="F149" s="162" t="e">
        <f t="shared" si="60"/>
        <v>#REF!</v>
      </c>
      <c r="G149" s="162" t="e">
        <f t="shared" si="60"/>
        <v>#REF!</v>
      </c>
      <c r="H149" s="162" t="e">
        <f t="shared" si="60"/>
        <v>#REF!</v>
      </c>
      <c r="I149" s="162" t="e">
        <f t="shared" si="60"/>
        <v>#REF!</v>
      </c>
      <c r="J149" s="162" t="e">
        <f t="shared" si="60"/>
        <v>#REF!</v>
      </c>
      <c r="K149" s="162" t="e">
        <f t="shared" si="60"/>
        <v>#REF!</v>
      </c>
      <c r="L149" s="162" t="e">
        <f t="shared" si="60"/>
        <v>#REF!</v>
      </c>
      <c r="M149" s="162" t="e">
        <f t="shared" si="60"/>
        <v>#REF!</v>
      </c>
      <c r="N149" s="162" t="e">
        <f t="shared" si="60"/>
        <v>#REF!</v>
      </c>
      <c r="O149" s="162" t="e">
        <f t="shared" si="60"/>
        <v>#REF!</v>
      </c>
      <c r="P149" s="162" t="e">
        <f t="shared" si="60"/>
        <v>#REF!</v>
      </c>
      <c r="Q149" s="162" t="e">
        <f t="shared" si="60"/>
        <v>#REF!</v>
      </c>
      <c r="R149" s="162" t="e">
        <f t="shared" si="60"/>
        <v>#REF!</v>
      </c>
      <c r="S149" s="162" t="e">
        <f t="shared" si="60"/>
        <v>#REF!</v>
      </c>
      <c r="T149" s="162" t="e">
        <f t="shared" si="60"/>
        <v>#REF!</v>
      </c>
      <c r="U149" s="162" t="e">
        <f t="shared" si="60"/>
        <v>#REF!</v>
      </c>
      <c r="V149" s="162" t="e">
        <f t="shared" si="60"/>
        <v>#REF!</v>
      </c>
      <c r="W149" s="162" t="e">
        <f t="shared" si="60"/>
        <v>#REF!</v>
      </c>
      <c r="X149" s="162" t="e">
        <f t="shared" si="60"/>
        <v>#REF!</v>
      </c>
      <c r="Y149" s="162" t="e">
        <f t="shared" si="60"/>
        <v>#REF!</v>
      </c>
      <c r="Z149" s="162" t="e">
        <f t="shared" si="60"/>
        <v>#REF!</v>
      </c>
      <c r="AA149" s="162" t="e">
        <f t="shared" si="60"/>
        <v>#REF!</v>
      </c>
      <c r="AB149" s="162" t="e">
        <f t="shared" si="60"/>
        <v>#REF!</v>
      </c>
      <c r="AC149" s="162" t="e">
        <f t="shared" si="60"/>
        <v>#REF!</v>
      </c>
      <c r="AD149" s="162" t="e">
        <f t="shared" si="60"/>
        <v>#REF!</v>
      </c>
      <c r="AE149" s="162" t="e">
        <f t="shared" si="60"/>
        <v>#REF!</v>
      </c>
      <c r="AF149" s="162" t="e">
        <f t="shared" si="60"/>
        <v>#REF!</v>
      </c>
      <c r="AG149" s="162" t="e">
        <f t="shared" si="60"/>
        <v>#REF!</v>
      </c>
      <c r="AH149" s="162" t="e">
        <f t="shared" si="60"/>
        <v>#REF!</v>
      </c>
      <c r="AI149" s="162" t="e">
        <f t="shared" si="60"/>
        <v>#REF!</v>
      </c>
      <c r="AJ149" s="162" t="e">
        <f t="shared" si="60"/>
        <v>#REF!</v>
      </c>
      <c r="AK149" s="162" t="e">
        <f t="shared" si="60"/>
        <v>#REF!</v>
      </c>
      <c r="AL149" s="162" t="e">
        <f t="shared" si="60"/>
        <v>#REF!</v>
      </c>
      <c r="AM149" s="162" t="e">
        <f t="shared" si="60"/>
        <v>#REF!</v>
      </c>
      <c r="AN149" s="162" t="e">
        <f t="shared" si="60"/>
        <v>#REF!</v>
      </c>
      <c r="AO149" s="162" t="e">
        <f t="shared" si="60"/>
        <v>#REF!</v>
      </c>
      <c r="AP149" s="162" t="e">
        <f t="shared" si="60"/>
        <v>#REF!</v>
      </c>
      <c r="AQ149" s="162" t="e">
        <f t="shared" si="60"/>
        <v>#REF!</v>
      </c>
      <c r="AR149" s="162" t="e">
        <f t="shared" si="60"/>
        <v>#REF!</v>
      </c>
      <c r="AS149" s="162" t="e">
        <f t="shared" si="60"/>
        <v>#REF!</v>
      </c>
      <c r="AT149" s="162" t="e">
        <f t="shared" si="60"/>
        <v>#REF!</v>
      </c>
      <c r="AU149" s="162" t="e">
        <f t="shared" si="60"/>
        <v>#REF!</v>
      </c>
      <c r="AV149" s="162" t="e">
        <f t="shared" si="60"/>
        <v>#REF!</v>
      </c>
      <c r="AW149" s="162" t="e">
        <f t="shared" si="60"/>
        <v>#REF!</v>
      </c>
      <c r="AX149" s="162" t="e">
        <f t="shared" si="60"/>
        <v>#REF!</v>
      </c>
      <c r="AY149" s="162" t="e">
        <f t="shared" si="60"/>
        <v>#REF!</v>
      </c>
      <c r="AZ149" s="162" t="e">
        <f t="shared" si="60"/>
        <v>#REF!</v>
      </c>
      <c r="BA149" s="162" t="e">
        <f t="shared" si="60"/>
        <v>#REF!</v>
      </c>
      <c r="BB149" s="162" t="e">
        <f t="shared" si="60"/>
        <v>#REF!</v>
      </c>
      <c r="BC149" s="162" t="e">
        <f t="shared" si="60"/>
        <v>#REF!</v>
      </c>
      <c r="BD149" s="162" t="e">
        <f t="shared" si="60"/>
        <v>#REF!</v>
      </c>
      <c r="BE149" s="162" t="e">
        <f t="shared" si="60"/>
        <v>#REF!</v>
      </c>
      <c r="BF149" s="162" t="e">
        <f t="shared" si="60"/>
        <v>#REF!</v>
      </c>
      <c r="BG149" s="162" t="e">
        <f t="shared" si="60"/>
        <v>#REF!</v>
      </c>
      <c r="BH149" s="162" t="e">
        <f t="shared" si="60"/>
        <v>#REF!</v>
      </c>
      <c r="BI149" s="162" t="e">
        <f t="shared" si="60"/>
        <v>#REF!</v>
      </c>
      <c r="BJ149" s="163" t="e">
        <f t="shared" si="60"/>
        <v>#REF!</v>
      </c>
      <c r="BK149" s="159"/>
      <c r="BL149" s="159"/>
    </row>
    <row r="150" spans="1:64" s="105" customFormat="1">
      <c r="A150" s="164" t="s">
        <v>136</v>
      </c>
      <c r="B150" s="161" t="e">
        <f t="shared" si="57"/>
        <v>#REF!</v>
      </c>
      <c r="C150" s="133" t="e">
        <f>C148-C149</f>
        <v>#REF!</v>
      </c>
      <c r="D150" s="134" t="e">
        <f>D148-D149</f>
        <v>#REF!</v>
      </c>
      <c r="E150" s="134" t="e">
        <f>E148-E149</f>
        <v>#REF!</v>
      </c>
      <c r="F150" s="134" t="e">
        <f>F148-F149</f>
        <v>#REF!</v>
      </c>
      <c r="G150" s="134" t="e">
        <f t="shared" ref="G150:BJ150" si="61">G148-G149</f>
        <v>#REF!</v>
      </c>
      <c r="H150" s="134" t="e">
        <f t="shared" si="61"/>
        <v>#REF!</v>
      </c>
      <c r="I150" s="134" t="e">
        <f t="shared" si="61"/>
        <v>#REF!</v>
      </c>
      <c r="J150" s="134" t="e">
        <f t="shared" si="61"/>
        <v>#REF!</v>
      </c>
      <c r="K150" s="134" t="e">
        <f t="shared" si="61"/>
        <v>#REF!</v>
      </c>
      <c r="L150" s="134" t="e">
        <f t="shared" si="61"/>
        <v>#REF!</v>
      </c>
      <c r="M150" s="134" t="e">
        <f t="shared" si="61"/>
        <v>#REF!</v>
      </c>
      <c r="N150" s="134" t="e">
        <f t="shared" si="61"/>
        <v>#REF!</v>
      </c>
      <c r="O150" s="134" t="e">
        <f t="shared" si="61"/>
        <v>#REF!</v>
      </c>
      <c r="P150" s="134" t="e">
        <f t="shared" si="61"/>
        <v>#REF!</v>
      </c>
      <c r="Q150" s="134" t="e">
        <f t="shared" si="61"/>
        <v>#REF!</v>
      </c>
      <c r="R150" s="134" t="e">
        <f t="shared" si="61"/>
        <v>#REF!</v>
      </c>
      <c r="S150" s="134" t="e">
        <f t="shared" si="61"/>
        <v>#REF!</v>
      </c>
      <c r="T150" s="134" t="e">
        <f t="shared" si="61"/>
        <v>#REF!</v>
      </c>
      <c r="U150" s="134" t="e">
        <f t="shared" si="61"/>
        <v>#REF!</v>
      </c>
      <c r="V150" s="134" t="e">
        <f t="shared" si="61"/>
        <v>#REF!</v>
      </c>
      <c r="W150" s="134" t="e">
        <f t="shared" si="61"/>
        <v>#REF!</v>
      </c>
      <c r="X150" s="134" t="e">
        <f t="shared" si="61"/>
        <v>#REF!</v>
      </c>
      <c r="Y150" s="134" t="e">
        <f t="shared" si="61"/>
        <v>#REF!</v>
      </c>
      <c r="Z150" s="134" t="e">
        <f t="shared" si="61"/>
        <v>#REF!</v>
      </c>
      <c r="AA150" s="134" t="e">
        <f t="shared" si="61"/>
        <v>#REF!</v>
      </c>
      <c r="AB150" s="134" t="e">
        <f t="shared" si="61"/>
        <v>#REF!</v>
      </c>
      <c r="AC150" s="134" t="e">
        <f t="shared" si="61"/>
        <v>#REF!</v>
      </c>
      <c r="AD150" s="134" t="e">
        <f t="shared" si="61"/>
        <v>#REF!</v>
      </c>
      <c r="AE150" s="134" t="e">
        <f t="shared" si="61"/>
        <v>#REF!</v>
      </c>
      <c r="AF150" s="134" t="e">
        <f t="shared" si="61"/>
        <v>#REF!</v>
      </c>
      <c r="AG150" s="134" t="e">
        <f t="shared" si="61"/>
        <v>#REF!</v>
      </c>
      <c r="AH150" s="134" t="e">
        <f t="shared" si="61"/>
        <v>#REF!</v>
      </c>
      <c r="AI150" s="134" t="e">
        <f t="shared" si="61"/>
        <v>#REF!</v>
      </c>
      <c r="AJ150" s="134" t="e">
        <f t="shared" si="61"/>
        <v>#REF!</v>
      </c>
      <c r="AK150" s="134" t="e">
        <f t="shared" si="61"/>
        <v>#REF!</v>
      </c>
      <c r="AL150" s="134" t="e">
        <f t="shared" si="61"/>
        <v>#REF!</v>
      </c>
      <c r="AM150" s="134" t="e">
        <f t="shared" si="61"/>
        <v>#REF!</v>
      </c>
      <c r="AN150" s="134" t="e">
        <f t="shared" si="61"/>
        <v>#REF!</v>
      </c>
      <c r="AO150" s="134" t="e">
        <f t="shared" si="61"/>
        <v>#REF!</v>
      </c>
      <c r="AP150" s="134" t="e">
        <f t="shared" si="61"/>
        <v>#REF!</v>
      </c>
      <c r="AQ150" s="134" t="e">
        <f t="shared" si="61"/>
        <v>#REF!</v>
      </c>
      <c r="AR150" s="134" t="e">
        <f t="shared" si="61"/>
        <v>#REF!</v>
      </c>
      <c r="AS150" s="134" t="e">
        <f t="shared" si="61"/>
        <v>#REF!</v>
      </c>
      <c r="AT150" s="134" t="e">
        <f t="shared" si="61"/>
        <v>#REF!</v>
      </c>
      <c r="AU150" s="134" t="e">
        <f t="shared" si="61"/>
        <v>#REF!</v>
      </c>
      <c r="AV150" s="134" t="e">
        <f t="shared" si="61"/>
        <v>#REF!</v>
      </c>
      <c r="AW150" s="134" t="e">
        <f t="shared" si="61"/>
        <v>#REF!</v>
      </c>
      <c r="AX150" s="134" t="e">
        <f t="shared" si="61"/>
        <v>#REF!</v>
      </c>
      <c r="AY150" s="134" t="e">
        <f t="shared" si="61"/>
        <v>#REF!</v>
      </c>
      <c r="AZ150" s="134" t="e">
        <f t="shared" si="61"/>
        <v>#REF!</v>
      </c>
      <c r="BA150" s="134" t="e">
        <f t="shared" si="61"/>
        <v>#REF!</v>
      </c>
      <c r="BB150" s="134" t="e">
        <f t="shared" si="61"/>
        <v>#REF!</v>
      </c>
      <c r="BC150" s="134" t="e">
        <f t="shared" si="61"/>
        <v>#REF!</v>
      </c>
      <c r="BD150" s="134" t="e">
        <f t="shared" si="61"/>
        <v>#REF!</v>
      </c>
      <c r="BE150" s="134" t="e">
        <f t="shared" si="61"/>
        <v>#REF!</v>
      </c>
      <c r="BF150" s="134" t="e">
        <f t="shared" si="61"/>
        <v>#REF!</v>
      </c>
      <c r="BG150" s="134" t="e">
        <f t="shared" si="61"/>
        <v>#REF!</v>
      </c>
      <c r="BH150" s="134" t="e">
        <f t="shared" si="61"/>
        <v>#REF!</v>
      </c>
      <c r="BI150" s="134" t="e">
        <f t="shared" si="61"/>
        <v>#REF!</v>
      </c>
      <c r="BJ150" s="135" t="e">
        <f t="shared" si="61"/>
        <v>#REF!</v>
      </c>
      <c r="BK150" s="109"/>
      <c r="BL150" s="109"/>
    </row>
    <row r="151" spans="1:64">
      <c r="A151" s="165" t="s">
        <v>137</v>
      </c>
      <c r="B151" s="161"/>
      <c r="C151" s="166"/>
      <c r="D151" s="167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  <c r="AA151" s="168"/>
      <c r="AB151" s="168"/>
      <c r="AC151" s="168"/>
      <c r="AD151" s="168"/>
      <c r="AE151" s="168"/>
      <c r="AF151" s="168"/>
      <c r="AG151" s="168"/>
      <c r="AH151" s="168"/>
      <c r="AI151" s="168"/>
      <c r="AJ151" s="168"/>
      <c r="AK151" s="168"/>
      <c r="AL151" s="168"/>
      <c r="AM151" s="168"/>
      <c r="AN151" s="168"/>
      <c r="AO151" s="168"/>
      <c r="AP151" s="168"/>
      <c r="AQ151" s="168"/>
      <c r="AR151" s="168"/>
      <c r="AS151" s="168"/>
      <c r="AT151" s="168"/>
      <c r="AU151" s="168"/>
      <c r="AV151" s="168"/>
      <c r="AW151" s="168"/>
      <c r="AX151" s="168"/>
      <c r="AY151" s="168"/>
      <c r="AZ151" s="168"/>
      <c r="BA151" s="168"/>
      <c r="BB151" s="168"/>
      <c r="BC151" s="168"/>
      <c r="BD151" s="168"/>
      <c r="BE151" s="168"/>
      <c r="BF151" s="168"/>
      <c r="BG151" s="168"/>
      <c r="BH151" s="168"/>
      <c r="BI151" s="168"/>
      <c r="BJ151" s="169"/>
    </row>
    <row r="152" spans="1:64" s="174" customFormat="1" ht="12.75">
      <c r="A152" s="120" t="s">
        <v>138</v>
      </c>
      <c r="B152" s="170" t="e">
        <f>SUM(C152:BJ152)</f>
        <v>#REF!</v>
      </c>
      <c r="C152" s="171">
        <f>C123-C128</f>
        <v>37571016.520293005</v>
      </c>
      <c r="D152" s="172">
        <f t="shared" ref="D152:BJ152" si="62">IF(AND(D111&gt;5,D112=0),0,D123-D128)</f>
        <v>40819369.195218109</v>
      </c>
      <c r="E152" s="172" t="e">
        <f t="shared" si="62"/>
        <v>#REF!</v>
      </c>
      <c r="F152" s="172" t="e">
        <f t="shared" si="62"/>
        <v>#REF!</v>
      </c>
      <c r="G152" s="172" t="e">
        <f t="shared" si="62"/>
        <v>#REF!</v>
      </c>
      <c r="H152" s="172" t="e">
        <f t="shared" si="62"/>
        <v>#REF!</v>
      </c>
      <c r="I152" s="172" t="e">
        <f t="shared" si="62"/>
        <v>#REF!</v>
      </c>
      <c r="J152" s="172" t="e">
        <f t="shared" si="62"/>
        <v>#REF!</v>
      </c>
      <c r="K152" s="172" t="e">
        <f t="shared" si="62"/>
        <v>#REF!</v>
      </c>
      <c r="L152" s="172" t="e">
        <f t="shared" si="62"/>
        <v>#REF!</v>
      </c>
      <c r="M152" s="172" t="e">
        <f t="shared" si="62"/>
        <v>#REF!</v>
      </c>
      <c r="N152" s="172" t="e">
        <f t="shared" si="62"/>
        <v>#REF!</v>
      </c>
      <c r="O152" s="172" t="e">
        <f t="shared" si="62"/>
        <v>#REF!</v>
      </c>
      <c r="P152" s="172" t="e">
        <f t="shared" si="62"/>
        <v>#REF!</v>
      </c>
      <c r="Q152" s="172" t="e">
        <f t="shared" si="62"/>
        <v>#REF!</v>
      </c>
      <c r="R152" s="172" t="e">
        <f t="shared" si="62"/>
        <v>#REF!</v>
      </c>
      <c r="S152" s="172" t="e">
        <f t="shared" si="62"/>
        <v>#REF!</v>
      </c>
      <c r="T152" s="172" t="e">
        <f t="shared" si="62"/>
        <v>#REF!</v>
      </c>
      <c r="U152" s="172" t="e">
        <f t="shared" si="62"/>
        <v>#REF!</v>
      </c>
      <c r="V152" s="172" t="e">
        <f t="shared" si="62"/>
        <v>#REF!</v>
      </c>
      <c r="W152" s="172" t="e">
        <f t="shared" si="62"/>
        <v>#REF!</v>
      </c>
      <c r="X152" s="172" t="e">
        <f t="shared" si="62"/>
        <v>#REF!</v>
      </c>
      <c r="Y152" s="172">
        <f t="shared" si="62"/>
        <v>0</v>
      </c>
      <c r="Z152" s="172">
        <f t="shared" si="62"/>
        <v>0</v>
      </c>
      <c r="AA152" s="172">
        <f t="shared" si="62"/>
        <v>0</v>
      </c>
      <c r="AB152" s="172">
        <f t="shared" si="62"/>
        <v>0</v>
      </c>
      <c r="AC152" s="172">
        <f t="shared" si="62"/>
        <v>0</v>
      </c>
      <c r="AD152" s="172">
        <f t="shared" si="62"/>
        <v>0</v>
      </c>
      <c r="AE152" s="172">
        <f t="shared" si="62"/>
        <v>0</v>
      </c>
      <c r="AF152" s="172">
        <f t="shared" si="62"/>
        <v>0</v>
      </c>
      <c r="AG152" s="172">
        <f t="shared" si="62"/>
        <v>0</v>
      </c>
      <c r="AH152" s="172">
        <f t="shared" si="62"/>
        <v>0</v>
      </c>
      <c r="AI152" s="172">
        <f t="shared" si="62"/>
        <v>0</v>
      </c>
      <c r="AJ152" s="172">
        <f t="shared" si="62"/>
        <v>0</v>
      </c>
      <c r="AK152" s="172">
        <f t="shared" si="62"/>
        <v>0</v>
      </c>
      <c r="AL152" s="172">
        <f t="shared" si="62"/>
        <v>0</v>
      </c>
      <c r="AM152" s="172">
        <f t="shared" si="62"/>
        <v>0</v>
      </c>
      <c r="AN152" s="172">
        <f t="shared" si="62"/>
        <v>0</v>
      </c>
      <c r="AO152" s="172">
        <f t="shared" si="62"/>
        <v>0</v>
      </c>
      <c r="AP152" s="172">
        <f t="shared" si="62"/>
        <v>0</v>
      </c>
      <c r="AQ152" s="172">
        <f t="shared" si="62"/>
        <v>0</v>
      </c>
      <c r="AR152" s="172">
        <f t="shared" si="62"/>
        <v>0</v>
      </c>
      <c r="AS152" s="172">
        <f t="shared" si="62"/>
        <v>0</v>
      </c>
      <c r="AT152" s="172">
        <f t="shared" si="62"/>
        <v>0</v>
      </c>
      <c r="AU152" s="172">
        <f t="shared" si="62"/>
        <v>0</v>
      </c>
      <c r="AV152" s="172">
        <f t="shared" si="62"/>
        <v>0</v>
      </c>
      <c r="AW152" s="172">
        <f t="shared" si="62"/>
        <v>0</v>
      </c>
      <c r="AX152" s="172">
        <f t="shared" si="62"/>
        <v>0</v>
      </c>
      <c r="AY152" s="172">
        <f t="shared" si="62"/>
        <v>0</v>
      </c>
      <c r="AZ152" s="172">
        <f t="shared" si="62"/>
        <v>0</v>
      </c>
      <c r="BA152" s="172">
        <f t="shared" si="62"/>
        <v>0</v>
      </c>
      <c r="BB152" s="172">
        <f t="shared" si="62"/>
        <v>0</v>
      </c>
      <c r="BC152" s="172">
        <f t="shared" si="62"/>
        <v>0</v>
      </c>
      <c r="BD152" s="172">
        <f t="shared" si="62"/>
        <v>0</v>
      </c>
      <c r="BE152" s="172">
        <f t="shared" si="62"/>
        <v>0</v>
      </c>
      <c r="BF152" s="172">
        <f t="shared" si="62"/>
        <v>0</v>
      </c>
      <c r="BG152" s="172">
        <f t="shared" si="62"/>
        <v>0</v>
      </c>
      <c r="BH152" s="172">
        <f t="shared" si="62"/>
        <v>0</v>
      </c>
      <c r="BI152" s="172">
        <f t="shared" si="62"/>
        <v>0</v>
      </c>
      <c r="BJ152" s="173">
        <f t="shared" si="62"/>
        <v>0</v>
      </c>
      <c r="BK152" s="172"/>
      <c r="BL152" s="172"/>
    </row>
    <row r="153" spans="1:64" s="174" customFormat="1" ht="12.75">
      <c r="A153" s="120" t="s">
        <v>139</v>
      </c>
      <c r="B153" s="170" t="e">
        <f>SUM(C153:BJ153)</f>
        <v>#REF!</v>
      </c>
      <c r="C153" s="171">
        <f>C143</f>
        <v>1295552.2938032071</v>
      </c>
      <c r="D153" s="172">
        <f>D143</f>
        <v>2801400.0262716608</v>
      </c>
      <c r="E153" s="172" t="e">
        <f t="shared" ref="E153:BJ153" si="63">E143</f>
        <v>#REF!</v>
      </c>
      <c r="F153" s="172" t="e">
        <f t="shared" si="63"/>
        <v>#REF!</v>
      </c>
      <c r="G153" s="172" t="e">
        <f t="shared" si="63"/>
        <v>#REF!</v>
      </c>
      <c r="H153" s="172" t="e">
        <f t="shared" si="63"/>
        <v>#REF!</v>
      </c>
      <c r="I153" s="172" t="e">
        <f t="shared" si="63"/>
        <v>#REF!</v>
      </c>
      <c r="J153" s="172" t="e">
        <f t="shared" si="63"/>
        <v>#REF!</v>
      </c>
      <c r="K153" s="172" t="e">
        <f t="shared" si="63"/>
        <v>#REF!</v>
      </c>
      <c r="L153" s="172" t="e">
        <f t="shared" si="63"/>
        <v>#REF!</v>
      </c>
      <c r="M153" s="172" t="e">
        <f t="shared" si="63"/>
        <v>#REF!</v>
      </c>
      <c r="N153" s="172" t="e">
        <f t="shared" si="63"/>
        <v>#REF!</v>
      </c>
      <c r="O153" s="172" t="e">
        <f t="shared" si="63"/>
        <v>#REF!</v>
      </c>
      <c r="P153" s="172" t="e">
        <f t="shared" si="63"/>
        <v>#REF!</v>
      </c>
      <c r="Q153" s="172" t="e">
        <f t="shared" si="63"/>
        <v>#REF!</v>
      </c>
      <c r="R153" s="172" t="e">
        <f t="shared" si="63"/>
        <v>#REF!</v>
      </c>
      <c r="S153" s="172" t="e">
        <f t="shared" si="63"/>
        <v>#REF!</v>
      </c>
      <c r="T153" s="172" t="e">
        <f t="shared" si="63"/>
        <v>#REF!</v>
      </c>
      <c r="U153" s="172" t="e">
        <f t="shared" si="63"/>
        <v>#REF!</v>
      </c>
      <c r="V153" s="172" t="e">
        <f t="shared" si="63"/>
        <v>#REF!</v>
      </c>
      <c r="W153" s="172" t="e">
        <f t="shared" si="63"/>
        <v>#REF!</v>
      </c>
      <c r="X153" s="172" t="e">
        <f t="shared" si="63"/>
        <v>#REF!</v>
      </c>
      <c r="Y153" s="172">
        <f t="shared" si="63"/>
        <v>0</v>
      </c>
      <c r="Z153" s="172">
        <f t="shared" si="63"/>
        <v>0</v>
      </c>
      <c r="AA153" s="172">
        <f t="shared" si="63"/>
        <v>0</v>
      </c>
      <c r="AB153" s="172">
        <f t="shared" si="63"/>
        <v>0</v>
      </c>
      <c r="AC153" s="172">
        <f t="shared" si="63"/>
        <v>0</v>
      </c>
      <c r="AD153" s="172">
        <f t="shared" si="63"/>
        <v>0</v>
      </c>
      <c r="AE153" s="172">
        <f t="shared" si="63"/>
        <v>0</v>
      </c>
      <c r="AF153" s="172">
        <f t="shared" si="63"/>
        <v>0</v>
      </c>
      <c r="AG153" s="172">
        <f t="shared" si="63"/>
        <v>0</v>
      </c>
      <c r="AH153" s="172">
        <f t="shared" si="63"/>
        <v>0</v>
      </c>
      <c r="AI153" s="172">
        <f t="shared" si="63"/>
        <v>0</v>
      </c>
      <c r="AJ153" s="172">
        <f t="shared" si="63"/>
        <v>0</v>
      </c>
      <c r="AK153" s="172">
        <f t="shared" si="63"/>
        <v>0</v>
      </c>
      <c r="AL153" s="172">
        <f t="shared" si="63"/>
        <v>0</v>
      </c>
      <c r="AM153" s="172">
        <f t="shared" si="63"/>
        <v>0</v>
      </c>
      <c r="AN153" s="172">
        <f t="shared" si="63"/>
        <v>0</v>
      </c>
      <c r="AO153" s="172">
        <f t="shared" si="63"/>
        <v>0</v>
      </c>
      <c r="AP153" s="172">
        <f t="shared" si="63"/>
        <v>0</v>
      </c>
      <c r="AQ153" s="172">
        <f t="shared" si="63"/>
        <v>0</v>
      </c>
      <c r="AR153" s="172">
        <f t="shared" si="63"/>
        <v>0</v>
      </c>
      <c r="AS153" s="172">
        <f t="shared" si="63"/>
        <v>0</v>
      </c>
      <c r="AT153" s="172">
        <f t="shared" si="63"/>
        <v>0</v>
      </c>
      <c r="AU153" s="172">
        <f t="shared" si="63"/>
        <v>0</v>
      </c>
      <c r="AV153" s="172">
        <f t="shared" si="63"/>
        <v>0</v>
      </c>
      <c r="AW153" s="172">
        <f t="shared" si="63"/>
        <v>0</v>
      </c>
      <c r="AX153" s="172">
        <f t="shared" si="63"/>
        <v>0</v>
      </c>
      <c r="AY153" s="172">
        <f t="shared" si="63"/>
        <v>0</v>
      </c>
      <c r="AZ153" s="172">
        <f t="shared" si="63"/>
        <v>0</v>
      </c>
      <c r="BA153" s="172">
        <f t="shared" si="63"/>
        <v>0</v>
      </c>
      <c r="BB153" s="172">
        <f t="shared" si="63"/>
        <v>0</v>
      </c>
      <c r="BC153" s="172">
        <f t="shared" si="63"/>
        <v>0</v>
      </c>
      <c r="BD153" s="172">
        <f t="shared" si="63"/>
        <v>0</v>
      </c>
      <c r="BE153" s="172">
        <f t="shared" si="63"/>
        <v>0</v>
      </c>
      <c r="BF153" s="172">
        <f t="shared" si="63"/>
        <v>0</v>
      </c>
      <c r="BG153" s="172">
        <f t="shared" si="63"/>
        <v>0</v>
      </c>
      <c r="BH153" s="172">
        <f t="shared" si="63"/>
        <v>0</v>
      </c>
      <c r="BI153" s="172">
        <f t="shared" si="63"/>
        <v>0</v>
      </c>
      <c r="BJ153" s="173">
        <f t="shared" si="63"/>
        <v>0</v>
      </c>
      <c r="BK153" s="172"/>
      <c r="BL153" s="172"/>
    </row>
    <row r="154" spans="1:64" s="174" customFormat="1" ht="12.75">
      <c r="A154" s="120" t="s">
        <v>140</v>
      </c>
      <c r="B154" s="170" t="e">
        <f>SUM(C154:BJ154)</f>
        <v>#REF!</v>
      </c>
      <c r="C154" s="171">
        <f>-C123</f>
        <v>-38866568.814096212</v>
      </c>
      <c r="D154" s="172">
        <f>IF(AND(D111&gt;5,E112=0,D112&lt;&gt;0),SUM(D$71:$BJ128)-D123,-D123)</f>
        <v>-43620769.221489772</v>
      </c>
      <c r="E154" s="172" t="e">
        <f>IF(AND(E111&gt;5,F112=0,E112&lt;&gt;0),SUM(E$71:$BJ128)-E123,-E123)</f>
        <v>#REF!</v>
      </c>
      <c r="F154" s="172" t="e">
        <f>IF(AND(F111&gt;5,G112=0,F112&lt;&gt;0),SUM(F$71:$BJ128)-F123,-F123)</f>
        <v>#REF!</v>
      </c>
      <c r="G154" s="172" t="e">
        <f>IF(AND(G111&gt;5,H112=0,G112&lt;&gt;0),SUM(G$71:$BJ128)-G123,-G123)</f>
        <v>#REF!</v>
      </c>
      <c r="H154" s="172">
        <f>IF(AND(H111&gt;5,I112=0,H112&lt;&gt;0),SUM(H$71:$BJ128)-H123,-H123)</f>
        <v>0</v>
      </c>
      <c r="I154" s="172">
        <f>IF(AND(I111&gt;5,J112=0,I112&lt;&gt;0),SUM(I$71:$BJ128)-I123,-I123)</f>
        <v>0</v>
      </c>
      <c r="J154" s="172">
        <f>IF(AND(J111&gt;5,K112=0,J112&lt;&gt;0),SUM(J$71:$BJ128)-J123,-J123)</f>
        <v>0</v>
      </c>
      <c r="K154" s="172">
        <f>IF(AND(K111&gt;5,L112=0,K112&lt;&gt;0),SUM(K$71:$BJ128)-K123,-K123)</f>
        <v>0</v>
      </c>
      <c r="L154" s="172">
        <f>IF(AND(L111&gt;5,M112=0,L112&lt;&gt;0),SUM(L$71:$BJ128)-L123,-L123)</f>
        <v>0</v>
      </c>
      <c r="M154" s="172">
        <f>IF(AND(M111&gt;5,N112=0,M112&lt;&gt;0),SUM(M$71:$BJ128)-M123,-M123)</f>
        <v>0</v>
      </c>
      <c r="N154" s="172">
        <f>IF(AND(N111&gt;5,O112=0,N112&lt;&gt;0),SUM(N$71:$BJ128)-N123,-N123)</f>
        <v>0</v>
      </c>
      <c r="O154" s="172">
        <f>IF(AND(O111&gt;5,P112=0,O112&lt;&gt;0),SUM(O$71:$BJ128)-O123,-O123)</f>
        <v>0</v>
      </c>
      <c r="P154" s="172">
        <f>IF(AND(P111&gt;5,Q112=0,P112&lt;&gt;0),SUM(P$71:$BJ128)-P123,-P123)</f>
        <v>0</v>
      </c>
      <c r="Q154" s="172">
        <f>IF(AND(Q111&gt;5,R112=0,Q112&lt;&gt;0),SUM(Q$71:$BJ128)-Q123,-Q123)</f>
        <v>0</v>
      </c>
      <c r="R154" s="172">
        <f>IF(AND(R111&gt;5,S112=0,R112&lt;&gt;0),SUM(R$71:$BJ128)-R123,-R123)</f>
        <v>0</v>
      </c>
      <c r="S154" s="172">
        <f>IF(AND(S111&gt;5,T112=0,S112&lt;&gt;0),SUM(S$71:$BJ128)-S123,-S123)</f>
        <v>0</v>
      </c>
      <c r="T154" s="172">
        <f>IF(AND(T111&gt;5,U112=0,T112&lt;&gt;0),SUM(T$71:$BJ128)-T123,-T123)</f>
        <v>0</v>
      </c>
      <c r="U154" s="172">
        <f>IF(AND(U111&gt;5,V112=0,U112&lt;&gt;0),SUM(U$71:$BJ128)-U123,-U123)</f>
        <v>0</v>
      </c>
      <c r="V154" s="172">
        <f>IF(AND(V111&gt;5,W112=0,V112&lt;&gt;0),SUM(V$71:$BJ128)-V123,-V123)</f>
        <v>0</v>
      </c>
      <c r="W154" s="172">
        <f>IF(AND(W111&gt;5,X112=0,W112&lt;&gt;0),SUM(W$71:$BJ128)-W123,-W123)</f>
        <v>0</v>
      </c>
      <c r="X154" s="172" t="e">
        <f>IF(AND(X111&gt;5,Y112=0,X112&lt;&gt;0),SUM(X$71:$BJ128)-X123,-X123)</f>
        <v>#REF!</v>
      </c>
      <c r="Y154" s="172">
        <f>IF(AND(Y111&gt;5,Z112=0,Y112&lt;&gt;0),SUM(Y$71:$BJ128)-Y123,-Y123)</f>
        <v>0</v>
      </c>
      <c r="Z154" s="175">
        <f>IF(AND(Z111&gt;5,AA112=0,Z112&lt;&gt;0),SUM(Z$71:$BJ128)-Z123,-Z123)</f>
        <v>0</v>
      </c>
      <c r="AA154" s="172">
        <f>IF(AND(AA111&gt;5,AB112=0,AA112&lt;&gt;0),SUM(AA$71:$BJ128)-AA123,-AA123)</f>
        <v>0</v>
      </c>
      <c r="AB154" s="172">
        <f>IF(AND(AB111&gt;5,AC112=0,AB112&lt;&gt;0),SUM(AB$71:$BJ128)-AB123,-AB123)</f>
        <v>0</v>
      </c>
      <c r="AC154" s="172">
        <f>IF(AND(AC111&gt;5,AD112=0,AC112&lt;&gt;0),SUM(AC$71:$BJ128)-AC123,-AC123)</f>
        <v>0</v>
      </c>
      <c r="AD154" s="172">
        <f>IF(AND(AD111&gt;5,AE112=0,AD112&lt;&gt;0),SUM(AD$71:$BJ128)-AD123,-AD123)</f>
        <v>0</v>
      </c>
      <c r="AE154" s="172">
        <f>IF(AND(AE111&gt;5,AF112=0,AE112&lt;&gt;0),SUM(AE$71:$BJ128)-AE123,-AE123)</f>
        <v>0</v>
      </c>
      <c r="AF154" s="172">
        <f>IF(AND(AF111&gt;5,AG112=0,AF112&lt;&gt;0),SUM(AF$71:$BJ128)-AF123,-AF123)</f>
        <v>0</v>
      </c>
      <c r="AG154" s="172">
        <f>IF(AND(AG111&gt;5,AH112=0,AG112&lt;&gt;0),SUM(AG$71:$BJ128)-AG123,-AG123)</f>
        <v>0</v>
      </c>
      <c r="AH154" s="172">
        <f>IF(AND(AH111&gt;5,AI112=0,AH112&lt;&gt;0),SUM(AH$71:$BJ128)-AH123,-AH123)</f>
        <v>0</v>
      </c>
      <c r="AI154" s="172">
        <f>IF(AND(AI111&gt;5,AJ112=0,AI112&lt;&gt;0),SUM(AI$71:$BJ128)-AI123,-AI123)</f>
        <v>0</v>
      </c>
      <c r="AJ154" s="172">
        <f>IF(AND(AJ111&gt;5,AK112=0,AJ112&lt;&gt;0),SUM(AJ$71:$BJ128)-AJ123,-AJ123)</f>
        <v>0</v>
      </c>
      <c r="AK154" s="172">
        <f>IF(AND(AK111&gt;5,AL112=0,AK112&lt;&gt;0),SUM(AK$71:$BJ128)-AK123,-AK123)</f>
        <v>0</v>
      </c>
      <c r="AL154" s="172">
        <f>IF(AND(AL111&gt;5,AM112=0,AL112&lt;&gt;0),SUM(AL$71:$BJ128)-AL123,-AL123)</f>
        <v>0</v>
      </c>
      <c r="AM154" s="172">
        <f>IF(AND(AM111&gt;5,AN112=0,AM112&lt;&gt;0),SUM(AM$71:$BJ128)-AM123,-AM123)</f>
        <v>0</v>
      </c>
      <c r="AN154" s="172">
        <f>IF(AND(AN111&gt;5,AO112=0,AN112&lt;&gt;0),SUM(AN$71:$BJ128)-AN123,-AN123)</f>
        <v>0</v>
      </c>
      <c r="AO154" s="172">
        <f>IF(AND(AO111&gt;5,AP112=0,AO112&lt;&gt;0),SUM(AO$71:$BJ128)-AO123,-AO123)</f>
        <v>0</v>
      </c>
      <c r="AP154" s="172">
        <f>IF(AND(AP111&gt;5,AQ112=0,AP112&lt;&gt;0),SUM(AP$71:$BJ128)-AP123,-AP123)</f>
        <v>0</v>
      </c>
      <c r="AQ154" s="172">
        <f>IF(AND(AQ111&gt;5,AR112=0,AQ112&lt;&gt;0),SUM(AQ$71:$BJ128)-AQ123,-AQ123)</f>
        <v>0</v>
      </c>
      <c r="AR154" s="172">
        <f>IF(AND(AR111&gt;5,AS112=0,AR112&lt;&gt;0),SUM(AR$71:$BJ128)-AR123,-AR123)</f>
        <v>0</v>
      </c>
      <c r="AS154" s="172">
        <f>IF(AND(AS111&gt;5,AT112=0,AS112&lt;&gt;0),SUM(AS$71:$BJ128)-AS123,-AS123)</f>
        <v>0</v>
      </c>
      <c r="AT154" s="172">
        <f>IF(AND(AT111&gt;5,AU112=0,AT112&lt;&gt;0),SUM(AT$71:$BJ128)-AT123,-AT123)</f>
        <v>0</v>
      </c>
      <c r="AU154" s="172">
        <f>IF(AND(AU111&gt;5,AV112=0,AU112&lt;&gt;0),SUM(AU$71:$BJ128)-AU123,-AU123)</f>
        <v>0</v>
      </c>
      <c r="AV154" s="172">
        <f>IF(AND(AV111&gt;5,AW112=0,AV112&lt;&gt;0),SUM(AV$71:$BJ128)-AV123,-AV123)</f>
        <v>0</v>
      </c>
      <c r="AW154" s="172">
        <f>IF(AND(AW111&gt;5,AX112=0,AW112&lt;&gt;0),SUM(AW$71:$BJ128)-AW123,-AW123)</f>
        <v>0</v>
      </c>
      <c r="AX154" s="172">
        <f>IF(AND(AX111&gt;5,AY112=0,AX112&lt;&gt;0),SUM(AX$71:$BJ128)-AX123,-AX123)</f>
        <v>0</v>
      </c>
      <c r="AY154" s="172">
        <f>IF(AND(AY111&gt;5,AZ112=0,AY112&lt;&gt;0),SUM(AY$71:$BJ128)-AY123,-AY123)</f>
        <v>0</v>
      </c>
      <c r="AZ154" s="172">
        <f>IF(AND(AZ111&gt;5,BA112=0,AZ112&lt;&gt;0),SUM(AZ$71:$BJ128)-AZ123,-AZ123)</f>
        <v>0</v>
      </c>
      <c r="BA154" s="172">
        <f>IF(AND(BA111&gt;5,BB112=0,BA112&lt;&gt;0),SUM(BA$71:$BJ128)-BA123,-BA123)</f>
        <v>0</v>
      </c>
      <c r="BB154" s="172">
        <f>IF(AND(BB111&gt;5,BC112=0,BB112&lt;&gt;0),SUM(BB$71:$BJ128)-BB123,-BB123)</f>
        <v>0</v>
      </c>
      <c r="BC154" s="172">
        <f>IF(AND(BC111&gt;5,BD112=0,BC112&lt;&gt;0),SUM(BC$71:$BJ128)-BC123,-BC123)</f>
        <v>0</v>
      </c>
      <c r="BD154" s="172">
        <f>IF(AND(BD111&gt;5,BE112=0,BD112&lt;&gt;0),SUM(BD$71:$BJ128)-BD123,-BD123)</f>
        <v>0</v>
      </c>
      <c r="BE154" s="172">
        <f>IF(AND(BE111&gt;5,BF112=0,BE112&lt;&gt;0),SUM(BE$71:$BJ128)-BE123,-BE123)</f>
        <v>0</v>
      </c>
      <c r="BF154" s="172">
        <f>IF(AND(BF111&gt;5,BG112=0,BF112&lt;&gt;0),SUM(BF$71:$BJ128)-BF123,-BF123)</f>
        <v>0</v>
      </c>
      <c r="BG154" s="172">
        <f>IF(AND(BG111&gt;5,BH112=0,BG112&lt;&gt;0),SUM(BG$71:$BJ128)-BG123,-BG123)</f>
        <v>0</v>
      </c>
      <c r="BH154" s="172">
        <f>IF(AND(BH111&gt;5,BI112=0,BH112&lt;&gt;0),SUM(BH$71:$BJ128)-BH123,-BH123)</f>
        <v>0</v>
      </c>
      <c r="BI154" s="172">
        <f>IF(AND(BI111&gt;5,BJ112=0,BI112&lt;&gt;0),SUM(BI$71:$BJ128)-BI123,-BI123)</f>
        <v>0</v>
      </c>
      <c r="BJ154" s="173">
        <f>IF(AND(BJ111&gt;5,BK112=0,BJ112&lt;&gt;0),SUM(BJ$71:$BJ128)-BJ123,-BJ123)</f>
        <v>0</v>
      </c>
      <c r="BK154" s="172"/>
      <c r="BL154" s="172"/>
    </row>
    <row r="155" spans="1:64" s="160" customFormat="1">
      <c r="A155" s="176" t="s">
        <v>141</v>
      </c>
      <c r="B155" s="177" t="e">
        <f>SUM(C155:BJ155)</f>
        <v>#REF!</v>
      </c>
      <c r="C155" s="178" t="e">
        <f t="shared" ref="C155:BJ155" si="64">C150+C153</f>
        <v>#REF!</v>
      </c>
      <c r="D155" s="179" t="e">
        <f t="shared" si="64"/>
        <v>#REF!</v>
      </c>
      <c r="E155" s="179" t="e">
        <f t="shared" si="64"/>
        <v>#REF!</v>
      </c>
      <c r="F155" s="179" t="e">
        <f t="shared" si="64"/>
        <v>#REF!</v>
      </c>
      <c r="G155" s="179" t="e">
        <f t="shared" si="64"/>
        <v>#REF!</v>
      </c>
      <c r="H155" s="179" t="e">
        <f t="shared" si="64"/>
        <v>#REF!</v>
      </c>
      <c r="I155" s="179" t="e">
        <f t="shared" si="64"/>
        <v>#REF!</v>
      </c>
      <c r="J155" s="179" t="e">
        <f t="shared" si="64"/>
        <v>#REF!</v>
      </c>
      <c r="K155" s="179" t="e">
        <f t="shared" si="64"/>
        <v>#REF!</v>
      </c>
      <c r="L155" s="179" t="e">
        <f t="shared" si="64"/>
        <v>#REF!</v>
      </c>
      <c r="M155" s="179" t="e">
        <f t="shared" si="64"/>
        <v>#REF!</v>
      </c>
      <c r="N155" s="179" t="e">
        <f t="shared" si="64"/>
        <v>#REF!</v>
      </c>
      <c r="O155" s="179" t="e">
        <f t="shared" si="64"/>
        <v>#REF!</v>
      </c>
      <c r="P155" s="179" t="e">
        <f t="shared" si="64"/>
        <v>#REF!</v>
      </c>
      <c r="Q155" s="179" t="e">
        <f t="shared" si="64"/>
        <v>#REF!</v>
      </c>
      <c r="R155" s="179" t="e">
        <f t="shared" si="64"/>
        <v>#REF!</v>
      </c>
      <c r="S155" s="179" t="e">
        <f t="shared" si="64"/>
        <v>#REF!</v>
      </c>
      <c r="T155" s="179" t="e">
        <f t="shared" si="64"/>
        <v>#REF!</v>
      </c>
      <c r="U155" s="179" t="e">
        <f t="shared" si="64"/>
        <v>#REF!</v>
      </c>
      <c r="V155" s="179" t="e">
        <f t="shared" si="64"/>
        <v>#REF!</v>
      </c>
      <c r="W155" s="179" t="e">
        <f t="shared" si="64"/>
        <v>#REF!</v>
      </c>
      <c r="X155" s="179" t="e">
        <f t="shared" si="64"/>
        <v>#REF!</v>
      </c>
      <c r="Y155" s="179" t="e">
        <f t="shared" si="64"/>
        <v>#REF!</v>
      </c>
      <c r="Z155" s="179" t="e">
        <f t="shared" si="64"/>
        <v>#REF!</v>
      </c>
      <c r="AA155" s="179" t="e">
        <f t="shared" si="64"/>
        <v>#REF!</v>
      </c>
      <c r="AB155" s="179" t="e">
        <f t="shared" si="64"/>
        <v>#REF!</v>
      </c>
      <c r="AC155" s="179" t="e">
        <f t="shared" si="64"/>
        <v>#REF!</v>
      </c>
      <c r="AD155" s="179" t="e">
        <f t="shared" si="64"/>
        <v>#REF!</v>
      </c>
      <c r="AE155" s="179" t="e">
        <f t="shared" si="64"/>
        <v>#REF!</v>
      </c>
      <c r="AF155" s="179" t="e">
        <f t="shared" si="64"/>
        <v>#REF!</v>
      </c>
      <c r="AG155" s="179" t="e">
        <f t="shared" si="64"/>
        <v>#REF!</v>
      </c>
      <c r="AH155" s="179" t="e">
        <f t="shared" si="64"/>
        <v>#REF!</v>
      </c>
      <c r="AI155" s="179" t="e">
        <f t="shared" si="64"/>
        <v>#REF!</v>
      </c>
      <c r="AJ155" s="179" t="e">
        <f t="shared" si="64"/>
        <v>#REF!</v>
      </c>
      <c r="AK155" s="179" t="e">
        <f t="shared" si="64"/>
        <v>#REF!</v>
      </c>
      <c r="AL155" s="179" t="e">
        <f t="shared" si="64"/>
        <v>#REF!</v>
      </c>
      <c r="AM155" s="179" t="e">
        <f t="shared" si="64"/>
        <v>#REF!</v>
      </c>
      <c r="AN155" s="179" t="e">
        <f t="shared" si="64"/>
        <v>#REF!</v>
      </c>
      <c r="AO155" s="179" t="e">
        <f t="shared" si="64"/>
        <v>#REF!</v>
      </c>
      <c r="AP155" s="179" t="e">
        <f t="shared" si="64"/>
        <v>#REF!</v>
      </c>
      <c r="AQ155" s="179" t="e">
        <f t="shared" si="64"/>
        <v>#REF!</v>
      </c>
      <c r="AR155" s="179" t="e">
        <f t="shared" si="64"/>
        <v>#REF!</v>
      </c>
      <c r="AS155" s="179" t="e">
        <f t="shared" si="64"/>
        <v>#REF!</v>
      </c>
      <c r="AT155" s="179" t="e">
        <f t="shared" si="64"/>
        <v>#REF!</v>
      </c>
      <c r="AU155" s="179" t="e">
        <f t="shared" si="64"/>
        <v>#REF!</v>
      </c>
      <c r="AV155" s="179" t="e">
        <f t="shared" si="64"/>
        <v>#REF!</v>
      </c>
      <c r="AW155" s="179" t="e">
        <f t="shared" si="64"/>
        <v>#REF!</v>
      </c>
      <c r="AX155" s="179" t="e">
        <f t="shared" si="64"/>
        <v>#REF!</v>
      </c>
      <c r="AY155" s="179" t="e">
        <f t="shared" si="64"/>
        <v>#REF!</v>
      </c>
      <c r="AZ155" s="179" t="e">
        <f t="shared" si="64"/>
        <v>#REF!</v>
      </c>
      <c r="BA155" s="179" t="e">
        <f t="shared" si="64"/>
        <v>#REF!</v>
      </c>
      <c r="BB155" s="179" t="e">
        <f t="shared" si="64"/>
        <v>#REF!</v>
      </c>
      <c r="BC155" s="179" t="e">
        <f t="shared" si="64"/>
        <v>#REF!</v>
      </c>
      <c r="BD155" s="179" t="e">
        <f t="shared" si="64"/>
        <v>#REF!</v>
      </c>
      <c r="BE155" s="179" t="e">
        <f t="shared" si="64"/>
        <v>#REF!</v>
      </c>
      <c r="BF155" s="179" t="e">
        <f t="shared" si="64"/>
        <v>#REF!</v>
      </c>
      <c r="BG155" s="179" t="e">
        <f t="shared" si="64"/>
        <v>#REF!</v>
      </c>
      <c r="BH155" s="179" t="e">
        <f t="shared" si="64"/>
        <v>#REF!</v>
      </c>
      <c r="BI155" s="179" t="e">
        <f t="shared" si="64"/>
        <v>#REF!</v>
      </c>
      <c r="BJ155" s="180" t="e">
        <f t="shared" si="64"/>
        <v>#REF!</v>
      </c>
    </row>
    <row r="156" spans="1:64" s="80" customFormat="1">
      <c r="A156" s="176" t="s">
        <v>142</v>
      </c>
      <c r="B156" s="177" t="e">
        <f>SUM(C156:BJ156)</f>
        <v>#REF!</v>
      </c>
      <c r="C156" s="181" t="e">
        <f t="shared" ref="C156:BJ156" si="65">C155*(1+$C$53)^-(C111-1)</f>
        <v>#REF!</v>
      </c>
      <c r="D156" s="182" t="e">
        <f t="shared" si="65"/>
        <v>#REF!</v>
      </c>
      <c r="E156" s="182" t="e">
        <f t="shared" si="65"/>
        <v>#REF!</v>
      </c>
      <c r="F156" s="182" t="e">
        <f t="shared" si="65"/>
        <v>#REF!</v>
      </c>
      <c r="G156" s="182" t="e">
        <f t="shared" si="65"/>
        <v>#REF!</v>
      </c>
      <c r="H156" s="182" t="e">
        <f t="shared" si="65"/>
        <v>#REF!</v>
      </c>
      <c r="I156" s="182" t="e">
        <f t="shared" si="65"/>
        <v>#REF!</v>
      </c>
      <c r="J156" s="182" t="e">
        <f t="shared" si="65"/>
        <v>#REF!</v>
      </c>
      <c r="K156" s="182" t="e">
        <f t="shared" si="65"/>
        <v>#REF!</v>
      </c>
      <c r="L156" s="182" t="e">
        <f t="shared" si="65"/>
        <v>#REF!</v>
      </c>
      <c r="M156" s="182" t="e">
        <f t="shared" si="65"/>
        <v>#REF!</v>
      </c>
      <c r="N156" s="182" t="e">
        <f t="shared" si="65"/>
        <v>#REF!</v>
      </c>
      <c r="O156" s="182" t="e">
        <f t="shared" si="65"/>
        <v>#REF!</v>
      </c>
      <c r="P156" s="182" t="e">
        <f t="shared" si="65"/>
        <v>#REF!</v>
      </c>
      <c r="Q156" s="182" t="e">
        <f t="shared" si="65"/>
        <v>#REF!</v>
      </c>
      <c r="R156" s="182" t="e">
        <f t="shared" si="65"/>
        <v>#REF!</v>
      </c>
      <c r="S156" s="182" t="e">
        <f t="shared" si="65"/>
        <v>#REF!</v>
      </c>
      <c r="T156" s="182" t="e">
        <f t="shared" si="65"/>
        <v>#REF!</v>
      </c>
      <c r="U156" s="182" t="e">
        <f t="shared" si="65"/>
        <v>#REF!</v>
      </c>
      <c r="V156" s="182" t="e">
        <f t="shared" si="65"/>
        <v>#REF!</v>
      </c>
      <c r="W156" s="182" t="e">
        <f t="shared" si="65"/>
        <v>#REF!</v>
      </c>
      <c r="X156" s="182" t="e">
        <f t="shared" si="65"/>
        <v>#REF!</v>
      </c>
      <c r="Y156" s="182" t="e">
        <f t="shared" si="65"/>
        <v>#REF!</v>
      </c>
      <c r="Z156" s="182" t="e">
        <f t="shared" si="65"/>
        <v>#REF!</v>
      </c>
      <c r="AA156" s="182" t="e">
        <f t="shared" si="65"/>
        <v>#REF!</v>
      </c>
      <c r="AB156" s="182" t="e">
        <f t="shared" si="65"/>
        <v>#REF!</v>
      </c>
      <c r="AC156" s="182" t="e">
        <f t="shared" si="65"/>
        <v>#REF!</v>
      </c>
      <c r="AD156" s="182" t="e">
        <f t="shared" si="65"/>
        <v>#REF!</v>
      </c>
      <c r="AE156" s="182" t="e">
        <f t="shared" si="65"/>
        <v>#REF!</v>
      </c>
      <c r="AF156" s="182" t="e">
        <f t="shared" si="65"/>
        <v>#REF!</v>
      </c>
      <c r="AG156" s="182" t="e">
        <f t="shared" si="65"/>
        <v>#REF!</v>
      </c>
      <c r="AH156" s="182" t="e">
        <f t="shared" si="65"/>
        <v>#REF!</v>
      </c>
      <c r="AI156" s="182" t="e">
        <f t="shared" si="65"/>
        <v>#REF!</v>
      </c>
      <c r="AJ156" s="182" t="e">
        <f t="shared" si="65"/>
        <v>#REF!</v>
      </c>
      <c r="AK156" s="182" t="e">
        <f t="shared" si="65"/>
        <v>#REF!</v>
      </c>
      <c r="AL156" s="182" t="e">
        <f t="shared" si="65"/>
        <v>#REF!</v>
      </c>
      <c r="AM156" s="182" t="e">
        <f t="shared" si="65"/>
        <v>#REF!</v>
      </c>
      <c r="AN156" s="182" t="e">
        <f t="shared" si="65"/>
        <v>#REF!</v>
      </c>
      <c r="AO156" s="182" t="e">
        <f t="shared" si="65"/>
        <v>#REF!</v>
      </c>
      <c r="AP156" s="182" t="e">
        <f t="shared" si="65"/>
        <v>#REF!</v>
      </c>
      <c r="AQ156" s="182" t="e">
        <f t="shared" si="65"/>
        <v>#REF!</v>
      </c>
      <c r="AR156" s="182" t="e">
        <f t="shared" si="65"/>
        <v>#REF!</v>
      </c>
      <c r="AS156" s="182" t="e">
        <f t="shared" si="65"/>
        <v>#REF!</v>
      </c>
      <c r="AT156" s="182" t="e">
        <f t="shared" si="65"/>
        <v>#REF!</v>
      </c>
      <c r="AU156" s="182" t="e">
        <f t="shared" si="65"/>
        <v>#REF!</v>
      </c>
      <c r="AV156" s="182" t="e">
        <f t="shared" si="65"/>
        <v>#REF!</v>
      </c>
      <c r="AW156" s="182" t="e">
        <f t="shared" si="65"/>
        <v>#REF!</v>
      </c>
      <c r="AX156" s="182" t="e">
        <f t="shared" si="65"/>
        <v>#REF!</v>
      </c>
      <c r="AY156" s="182" t="e">
        <f t="shared" si="65"/>
        <v>#REF!</v>
      </c>
      <c r="AZ156" s="182" t="e">
        <f t="shared" si="65"/>
        <v>#REF!</v>
      </c>
      <c r="BA156" s="182" t="e">
        <f t="shared" si="65"/>
        <v>#REF!</v>
      </c>
      <c r="BB156" s="182" t="e">
        <f t="shared" si="65"/>
        <v>#REF!</v>
      </c>
      <c r="BC156" s="182" t="e">
        <f t="shared" si="65"/>
        <v>#REF!</v>
      </c>
      <c r="BD156" s="182" t="e">
        <f t="shared" si="65"/>
        <v>#REF!</v>
      </c>
      <c r="BE156" s="182" t="e">
        <f t="shared" si="65"/>
        <v>#REF!</v>
      </c>
      <c r="BF156" s="182" t="e">
        <f t="shared" si="65"/>
        <v>#REF!</v>
      </c>
      <c r="BG156" s="182" t="e">
        <f t="shared" si="65"/>
        <v>#REF!</v>
      </c>
      <c r="BH156" s="182" t="e">
        <f t="shared" si="65"/>
        <v>#REF!</v>
      </c>
      <c r="BI156" s="182" t="e">
        <f t="shared" si="65"/>
        <v>#REF!</v>
      </c>
      <c r="BJ156" s="183" t="e">
        <f t="shared" si="65"/>
        <v>#REF!</v>
      </c>
    </row>
    <row r="157" spans="1:64" s="80" customFormat="1">
      <c r="A157" s="184" t="s">
        <v>143</v>
      </c>
      <c r="B157" s="177"/>
      <c r="C157" s="181" t="e">
        <f>C156</f>
        <v>#REF!</v>
      </c>
      <c r="D157" s="182" t="e">
        <f>IF(D156=0, 0, C157+D156)</f>
        <v>#REF!</v>
      </c>
      <c r="E157" s="182" t="e">
        <f>IF(E156=0, 0, D157+E156)</f>
        <v>#REF!</v>
      </c>
      <c r="F157" s="182" t="e">
        <f t="shared" ref="F157:BJ157" si="66">IF(F156=0, 0, E157+F156)</f>
        <v>#REF!</v>
      </c>
      <c r="G157" s="182" t="e">
        <f t="shared" si="66"/>
        <v>#REF!</v>
      </c>
      <c r="H157" s="182" t="e">
        <f t="shared" si="66"/>
        <v>#REF!</v>
      </c>
      <c r="I157" s="182" t="e">
        <f t="shared" si="66"/>
        <v>#REF!</v>
      </c>
      <c r="J157" s="182" t="e">
        <f t="shared" si="66"/>
        <v>#REF!</v>
      </c>
      <c r="K157" s="182" t="e">
        <f t="shared" si="66"/>
        <v>#REF!</v>
      </c>
      <c r="L157" s="182" t="e">
        <f t="shared" si="66"/>
        <v>#REF!</v>
      </c>
      <c r="M157" s="182" t="e">
        <f t="shared" si="66"/>
        <v>#REF!</v>
      </c>
      <c r="N157" s="182" t="e">
        <f t="shared" si="66"/>
        <v>#REF!</v>
      </c>
      <c r="O157" s="182" t="e">
        <f t="shared" si="66"/>
        <v>#REF!</v>
      </c>
      <c r="P157" s="182" t="e">
        <f t="shared" si="66"/>
        <v>#REF!</v>
      </c>
      <c r="Q157" s="182" t="e">
        <f t="shared" si="66"/>
        <v>#REF!</v>
      </c>
      <c r="R157" s="182" t="e">
        <f t="shared" si="66"/>
        <v>#REF!</v>
      </c>
      <c r="S157" s="182" t="e">
        <f t="shared" si="66"/>
        <v>#REF!</v>
      </c>
      <c r="T157" s="182" t="e">
        <f t="shared" si="66"/>
        <v>#REF!</v>
      </c>
      <c r="U157" s="182" t="e">
        <f t="shared" si="66"/>
        <v>#REF!</v>
      </c>
      <c r="V157" s="182" t="e">
        <f t="shared" si="66"/>
        <v>#REF!</v>
      </c>
      <c r="W157" s="182" t="e">
        <f t="shared" si="66"/>
        <v>#REF!</v>
      </c>
      <c r="X157" s="182" t="e">
        <f t="shared" si="66"/>
        <v>#REF!</v>
      </c>
      <c r="Y157" s="182" t="e">
        <f t="shared" si="66"/>
        <v>#REF!</v>
      </c>
      <c r="Z157" s="182" t="e">
        <f>IF(Z156=0, 0, Y157+Z156)</f>
        <v>#REF!</v>
      </c>
      <c r="AA157" s="182" t="e">
        <f t="shared" si="66"/>
        <v>#REF!</v>
      </c>
      <c r="AB157" s="182" t="e">
        <f t="shared" si="66"/>
        <v>#REF!</v>
      </c>
      <c r="AC157" s="182" t="e">
        <f t="shared" si="66"/>
        <v>#REF!</v>
      </c>
      <c r="AD157" s="182" t="e">
        <f t="shared" si="66"/>
        <v>#REF!</v>
      </c>
      <c r="AE157" s="182" t="e">
        <f t="shared" si="66"/>
        <v>#REF!</v>
      </c>
      <c r="AF157" s="182" t="e">
        <f t="shared" si="66"/>
        <v>#REF!</v>
      </c>
      <c r="AG157" s="182" t="e">
        <f t="shared" si="66"/>
        <v>#REF!</v>
      </c>
      <c r="AH157" s="182" t="e">
        <f t="shared" si="66"/>
        <v>#REF!</v>
      </c>
      <c r="AI157" s="182" t="e">
        <f t="shared" si="66"/>
        <v>#REF!</v>
      </c>
      <c r="AJ157" s="182" t="e">
        <f t="shared" si="66"/>
        <v>#REF!</v>
      </c>
      <c r="AK157" s="182" t="e">
        <f t="shared" si="66"/>
        <v>#REF!</v>
      </c>
      <c r="AL157" s="182" t="e">
        <f t="shared" si="66"/>
        <v>#REF!</v>
      </c>
      <c r="AM157" s="182" t="e">
        <f t="shared" si="66"/>
        <v>#REF!</v>
      </c>
      <c r="AN157" s="182" t="e">
        <f t="shared" si="66"/>
        <v>#REF!</v>
      </c>
      <c r="AO157" s="182" t="e">
        <f t="shared" si="66"/>
        <v>#REF!</v>
      </c>
      <c r="AP157" s="182" t="e">
        <f t="shared" si="66"/>
        <v>#REF!</v>
      </c>
      <c r="AQ157" s="182" t="e">
        <f t="shared" si="66"/>
        <v>#REF!</v>
      </c>
      <c r="AR157" s="182" t="e">
        <f t="shared" si="66"/>
        <v>#REF!</v>
      </c>
      <c r="AS157" s="182" t="e">
        <f t="shared" si="66"/>
        <v>#REF!</v>
      </c>
      <c r="AT157" s="182" t="e">
        <f t="shared" si="66"/>
        <v>#REF!</v>
      </c>
      <c r="AU157" s="182" t="e">
        <f t="shared" si="66"/>
        <v>#REF!</v>
      </c>
      <c r="AV157" s="182" t="e">
        <f t="shared" si="66"/>
        <v>#REF!</v>
      </c>
      <c r="AW157" s="182" t="e">
        <f t="shared" si="66"/>
        <v>#REF!</v>
      </c>
      <c r="AX157" s="182" t="e">
        <f t="shared" si="66"/>
        <v>#REF!</v>
      </c>
      <c r="AY157" s="182" t="e">
        <f t="shared" si="66"/>
        <v>#REF!</v>
      </c>
      <c r="AZ157" s="182" t="e">
        <f t="shared" si="66"/>
        <v>#REF!</v>
      </c>
      <c r="BA157" s="182" t="e">
        <f t="shared" si="66"/>
        <v>#REF!</v>
      </c>
      <c r="BB157" s="182" t="e">
        <f t="shared" si="66"/>
        <v>#REF!</v>
      </c>
      <c r="BC157" s="182" t="e">
        <f t="shared" si="66"/>
        <v>#REF!</v>
      </c>
      <c r="BD157" s="182" t="e">
        <f t="shared" si="66"/>
        <v>#REF!</v>
      </c>
      <c r="BE157" s="182" t="e">
        <f t="shared" si="66"/>
        <v>#REF!</v>
      </c>
      <c r="BF157" s="182" t="e">
        <f t="shared" si="66"/>
        <v>#REF!</v>
      </c>
      <c r="BG157" s="182" t="e">
        <f t="shared" si="66"/>
        <v>#REF!</v>
      </c>
      <c r="BH157" s="182" t="e">
        <f t="shared" si="66"/>
        <v>#REF!</v>
      </c>
      <c r="BI157" s="182" t="e">
        <f t="shared" si="66"/>
        <v>#REF!</v>
      </c>
      <c r="BJ157" s="183" t="e">
        <f t="shared" si="66"/>
        <v>#REF!</v>
      </c>
    </row>
    <row r="158" spans="1:64" s="83" customFormat="1">
      <c r="A158" s="78"/>
      <c r="B158" s="81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  <c r="AA158" s="82"/>
      <c r="AB158" s="82"/>
      <c r="AC158" s="82"/>
      <c r="AD158" s="82"/>
      <c r="AE158" s="82"/>
      <c r="AF158" s="82"/>
      <c r="AG158" s="82"/>
      <c r="AH158" s="82"/>
      <c r="AI158" s="82"/>
      <c r="AJ158" s="82"/>
      <c r="AK158" s="82"/>
      <c r="AL158" s="82"/>
      <c r="AM158" s="82"/>
      <c r="AN158" s="82"/>
      <c r="AO158" s="82"/>
      <c r="AP158" s="82"/>
      <c r="AQ158" s="82"/>
      <c r="AR158" s="82"/>
      <c r="AS158" s="82"/>
      <c r="AT158" s="82"/>
      <c r="AU158" s="82"/>
      <c r="AV158" s="82"/>
      <c r="AW158" s="82"/>
      <c r="AX158" s="82"/>
      <c r="AY158" s="82"/>
      <c r="AZ158" s="82"/>
      <c r="BA158" s="82"/>
      <c r="BB158" s="82"/>
      <c r="BC158" s="82"/>
      <c r="BD158" s="82"/>
      <c r="BE158" s="82"/>
      <c r="BF158" s="82"/>
      <c r="BG158" s="82"/>
      <c r="BH158" s="82"/>
      <c r="BI158" s="82"/>
      <c r="BJ158" s="82"/>
    </row>
    <row r="159" spans="1:64" ht="21">
      <c r="A159" s="185" t="s">
        <v>163</v>
      </c>
      <c r="B159" s="93"/>
      <c r="C159" s="186"/>
      <c r="D159" s="186"/>
      <c r="E159" s="186"/>
      <c r="F159" s="186"/>
      <c r="G159" s="186"/>
      <c r="H159" s="186"/>
      <c r="I159" s="186"/>
      <c r="J159" s="186"/>
      <c r="K159" s="186"/>
      <c r="L159" s="186"/>
      <c r="M159" s="186"/>
      <c r="N159" s="186"/>
      <c r="O159" s="186"/>
      <c r="P159" s="186"/>
      <c r="Q159" s="186"/>
      <c r="R159" s="186"/>
      <c r="S159" s="186"/>
      <c r="T159" s="186"/>
      <c r="U159" s="186"/>
      <c r="V159" s="186"/>
      <c r="W159" s="186"/>
      <c r="X159" s="186"/>
      <c r="Y159" s="186"/>
      <c r="Z159" s="186"/>
      <c r="AA159" s="186"/>
      <c r="AB159" s="186"/>
      <c r="AC159" s="186"/>
      <c r="AD159" s="186"/>
      <c r="AE159" s="186"/>
      <c r="AF159" s="186"/>
      <c r="AG159" s="186"/>
      <c r="AH159" s="186"/>
      <c r="AI159" s="186"/>
      <c r="AJ159" s="186"/>
      <c r="AK159" s="186"/>
      <c r="AL159" s="186"/>
      <c r="AM159" s="186"/>
      <c r="AN159" s="186"/>
      <c r="AO159" s="186"/>
      <c r="AP159" s="186"/>
      <c r="AQ159" s="186"/>
      <c r="AR159" s="186"/>
      <c r="AS159" s="186"/>
      <c r="AT159" s="186"/>
      <c r="AU159" s="186"/>
      <c r="AV159" s="186"/>
      <c r="AW159" s="186"/>
      <c r="AX159" s="186"/>
      <c r="AY159" s="186"/>
      <c r="AZ159" s="186"/>
      <c r="BA159" s="186"/>
      <c r="BB159" s="186"/>
      <c r="BC159" s="186"/>
      <c r="BD159" s="186"/>
      <c r="BE159" s="186"/>
      <c r="BF159" s="186"/>
      <c r="BG159" s="186"/>
      <c r="BH159" s="186"/>
      <c r="BI159" s="186"/>
      <c r="BJ159" s="186"/>
    </row>
    <row r="160" spans="1:64">
      <c r="A160" s="187" t="s">
        <v>158</v>
      </c>
      <c r="B160" s="188">
        <f>SUM(C160:BJ160)</f>
        <v>702.48726256162092</v>
      </c>
      <c r="C160" s="189">
        <f t="shared" ref="C160:BJ160" si="67">(C112*(1-$K$53))/(1+$C$53)^(C111-1)</f>
        <v>0</v>
      </c>
      <c r="D160" s="190">
        <f t="shared" si="67"/>
        <v>0</v>
      </c>
      <c r="E160" s="190">
        <f t="shared" si="67"/>
        <v>0</v>
      </c>
      <c r="F160" s="190">
        <f t="shared" si="67"/>
        <v>0</v>
      </c>
      <c r="G160" s="190">
        <f t="shared" si="67"/>
        <v>0</v>
      </c>
      <c r="H160" s="190">
        <f t="shared" si="67"/>
        <v>19.919519770001418</v>
      </c>
      <c r="I160" s="190">
        <f t="shared" si="67"/>
        <v>35.570571017859677</v>
      </c>
      <c r="J160" s="190">
        <f t="shared" si="67"/>
        <v>47.639157613204922</v>
      </c>
      <c r="K160" s="190">
        <f t="shared" si="67"/>
        <v>56.713282872862997</v>
      </c>
      <c r="L160" s="190">
        <f t="shared" si="67"/>
        <v>84.058196823206188</v>
      </c>
      <c r="M160" s="190">
        <f t="shared" si="67"/>
        <v>75.051961449291241</v>
      </c>
      <c r="N160" s="190">
        <f t="shared" si="67"/>
        <v>67.01067986543859</v>
      </c>
      <c r="O160" s="190">
        <f t="shared" si="67"/>
        <v>59.83096416557018</v>
      </c>
      <c r="P160" s="190">
        <f t="shared" si="67"/>
        <v>53.420503719259081</v>
      </c>
      <c r="Q160" s="190">
        <f t="shared" si="67"/>
        <v>47.696878320767027</v>
      </c>
      <c r="R160" s="190">
        <f t="shared" si="67"/>
        <v>42.586498500684854</v>
      </c>
      <c r="S160" s="190">
        <f t="shared" si="67"/>
        <v>38.023659375611466</v>
      </c>
      <c r="T160" s="190">
        <f t="shared" si="67"/>
        <v>33.949695871081666</v>
      </c>
      <c r="U160" s="190">
        <f t="shared" si="67"/>
        <v>18.260159244259384</v>
      </c>
      <c r="V160" s="190">
        <f t="shared" si="67"/>
        <v>12.227785208209408</v>
      </c>
      <c r="W160" s="190">
        <f t="shared" si="67"/>
        <v>7.2784435763151238</v>
      </c>
      <c r="X160" s="190">
        <f t="shared" si="67"/>
        <v>3.2493051679978229</v>
      </c>
      <c r="Y160" s="190">
        <f t="shared" si="67"/>
        <v>0</v>
      </c>
      <c r="Z160" s="190">
        <f t="shared" si="67"/>
        <v>0</v>
      </c>
      <c r="AA160" s="190">
        <f t="shared" si="67"/>
        <v>0</v>
      </c>
      <c r="AB160" s="190">
        <f t="shared" si="67"/>
        <v>0</v>
      </c>
      <c r="AC160" s="190">
        <f t="shared" si="67"/>
        <v>0</v>
      </c>
      <c r="AD160" s="190">
        <f t="shared" si="67"/>
        <v>0</v>
      </c>
      <c r="AE160" s="190">
        <f t="shared" si="67"/>
        <v>0</v>
      </c>
      <c r="AF160" s="190">
        <f t="shared" si="67"/>
        <v>0</v>
      </c>
      <c r="AG160" s="190">
        <f t="shared" si="67"/>
        <v>0</v>
      </c>
      <c r="AH160" s="190">
        <f t="shared" si="67"/>
        <v>0</v>
      </c>
      <c r="AI160" s="190">
        <f t="shared" si="67"/>
        <v>0</v>
      </c>
      <c r="AJ160" s="190">
        <f t="shared" si="67"/>
        <v>0</v>
      </c>
      <c r="AK160" s="190">
        <f t="shared" si="67"/>
        <v>0</v>
      </c>
      <c r="AL160" s="190">
        <f t="shared" si="67"/>
        <v>0</v>
      </c>
      <c r="AM160" s="190">
        <f t="shared" si="67"/>
        <v>0</v>
      </c>
      <c r="AN160" s="190">
        <f t="shared" si="67"/>
        <v>0</v>
      </c>
      <c r="AO160" s="190">
        <f t="shared" si="67"/>
        <v>0</v>
      </c>
      <c r="AP160" s="190">
        <f t="shared" si="67"/>
        <v>0</v>
      </c>
      <c r="AQ160" s="190">
        <f t="shared" si="67"/>
        <v>0</v>
      </c>
      <c r="AR160" s="190">
        <f t="shared" si="67"/>
        <v>0</v>
      </c>
      <c r="AS160" s="190">
        <f t="shared" si="67"/>
        <v>0</v>
      </c>
      <c r="AT160" s="190">
        <f t="shared" si="67"/>
        <v>0</v>
      </c>
      <c r="AU160" s="190">
        <f t="shared" si="67"/>
        <v>0</v>
      </c>
      <c r="AV160" s="190">
        <f t="shared" si="67"/>
        <v>0</v>
      </c>
      <c r="AW160" s="190">
        <f t="shared" si="67"/>
        <v>0</v>
      </c>
      <c r="AX160" s="190">
        <f t="shared" si="67"/>
        <v>0</v>
      </c>
      <c r="AY160" s="190">
        <f t="shared" si="67"/>
        <v>0</v>
      </c>
      <c r="AZ160" s="190">
        <f t="shared" si="67"/>
        <v>0</v>
      </c>
      <c r="BA160" s="190">
        <f t="shared" si="67"/>
        <v>0</v>
      </c>
      <c r="BB160" s="190">
        <f t="shared" si="67"/>
        <v>0</v>
      </c>
      <c r="BC160" s="190">
        <f t="shared" si="67"/>
        <v>0</v>
      </c>
      <c r="BD160" s="190">
        <f t="shared" si="67"/>
        <v>0</v>
      </c>
      <c r="BE160" s="190">
        <f t="shared" si="67"/>
        <v>0</v>
      </c>
      <c r="BF160" s="190">
        <f t="shared" si="67"/>
        <v>0</v>
      </c>
      <c r="BG160" s="190">
        <f t="shared" si="67"/>
        <v>0</v>
      </c>
      <c r="BH160" s="190">
        <f t="shared" si="67"/>
        <v>0</v>
      </c>
      <c r="BI160" s="190">
        <f t="shared" si="67"/>
        <v>0</v>
      </c>
      <c r="BJ160" s="191">
        <f t="shared" si="67"/>
        <v>0</v>
      </c>
    </row>
    <row r="161" spans="1:63">
      <c r="A161" s="192" t="s">
        <v>159</v>
      </c>
      <c r="B161" s="193" t="e">
        <f>SUM(C161:BJ161)</f>
        <v>#REF!</v>
      </c>
      <c r="C161" s="194" t="e">
        <f t="shared" ref="C161:BJ161" si="68">(((C114+C143)*(1-$K$53))-(C153-C123))/(1+$C$53)^(C111-1)</f>
        <v>#REF!</v>
      </c>
      <c r="D161" s="186" t="e">
        <f t="shared" si="68"/>
        <v>#REF!</v>
      </c>
      <c r="E161" s="186" t="e">
        <f t="shared" si="68"/>
        <v>#REF!</v>
      </c>
      <c r="F161" s="186" t="e">
        <f t="shared" si="68"/>
        <v>#REF!</v>
      </c>
      <c r="G161" s="186" t="e">
        <f t="shared" si="68"/>
        <v>#REF!</v>
      </c>
      <c r="H161" s="186" t="e">
        <f t="shared" si="68"/>
        <v>#REF!</v>
      </c>
      <c r="I161" s="186" t="e">
        <f t="shared" si="68"/>
        <v>#REF!</v>
      </c>
      <c r="J161" s="186" t="e">
        <f t="shared" si="68"/>
        <v>#REF!</v>
      </c>
      <c r="K161" s="186" t="e">
        <f t="shared" si="68"/>
        <v>#REF!</v>
      </c>
      <c r="L161" s="186" t="e">
        <f t="shared" si="68"/>
        <v>#REF!</v>
      </c>
      <c r="M161" s="186" t="e">
        <f t="shared" si="68"/>
        <v>#REF!</v>
      </c>
      <c r="N161" s="186" t="e">
        <f t="shared" si="68"/>
        <v>#REF!</v>
      </c>
      <c r="O161" s="186" t="e">
        <f t="shared" si="68"/>
        <v>#REF!</v>
      </c>
      <c r="P161" s="186" t="e">
        <f t="shared" si="68"/>
        <v>#REF!</v>
      </c>
      <c r="Q161" s="186" t="e">
        <f t="shared" si="68"/>
        <v>#REF!</v>
      </c>
      <c r="R161" s="186" t="e">
        <f t="shared" si="68"/>
        <v>#REF!</v>
      </c>
      <c r="S161" s="186" t="e">
        <f t="shared" si="68"/>
        <v>#REF!</v>
      </c>
      <c r="T161" s="186" t="e">
        <f t="shared" si="68"/>
        <v>#REF!</v>
      </c>
      <c r="U161" s="186" t="e">
        <f t="shared" si="68"/>
        <v>#REF!</v>
      </c>
      <c r="V161" s="186" t="e">
        <f t="shared" si="68"/>
        <v>#REF!</v>
      </c>
      <c r="W161" s="186" t="e">
        <f t="shared" si="68"/>
        <v>#REF!</v>
      </c>
      <c r="X161" s="186" t="e">
        <f t="shared" si="68"/>
        <v>#REF!</v>
      </c>
      <c r="Y161" s="186" t="e">
        <f t="shared" si="68"/>
        <v>#REF!</v>
      </c>
      <c r="Z161" s="186" t="e">
        <f t="shared" si="68"/>
        <v>#REF!</v>
      </c>
      <c r="AA161" s="186" t="e">
        <f t="shared" si="68"/>
        <v>#REF!</v>
      </c>
      <c r="AB161" s="186" t="e">
        <f t="shared" si="68"/>
        <v>#REF!</v>
      </c>
      <c r="AC161" s="186" t="e">
        <f t="shared" si="68"/>
        <v>#REF!</v>
      </c>
      <c r="AD161" s="186" t="e">
        <f t="shared" si="68"/>
        <v>#REF!</v>
      </c>
      <c r="AE161" s="186" t="e">
        <f t="shared" si="68"/>
        <v>#REF!</v>
      </c>
      <c r="AF161" s="186" t="e">
        <f t="shared" si="68"/>
        <v>#REF!</v>
      </c>
      <c r="AG161" s="186" t="e">
        <f t="shared" si="68"/>
        <v>#REF!</v>
      </c>
      <c r="AH161" s="186" t="e">
        <f t="shared" si="68"/>
        <v>#REF!</v>
      </c>
      <c r="AI161" s="186" t="e">
        <f t="shared" si="68"/>
        <v>#REF!</v>
      </c>
      <c r="AJ161" s="186" t="e">
        <f t="shared" si="68"/>
        <v>#REF!</v>
      </c>
      <c r="AK161" s="186" t="e">
        <f t="shared" si="68"/>
        <v>#REF!</v>
      </c>
      <c r="AL161" s="186" t="e">
        <f t="shared" si="68"/>
        <v>#REF!</v>
      </c>
      <c r="AM161" s="186" t="e">
        <f t="shared" si="68"/>
        <v>#REF!</v>
      </c>
      <c r="AN161" s="186" t="e">
        <f t="shared" si="68"/>
        <v>#REF!</v>
      </c>
      <c r="AO161" s="186" t="e">
        <f t="shared" si="68"/>
        <v>#REF!</v>
      </c>
      <c r="AP161" s="186" t="e">
        <f t="shared" si="68"/>
        <v>#REF!</v>
      </c>
      <c r="AQ161" s="186" t="e">
        <f t="shared" si="68"/>
        <v>#REF!</v>
      </c>
      <c r="AR161" s="186" t="e">
        <f t="shared" si="68"/>
        <v>#REF!</v>
      </c>
      <c r="AS161" s="186" t="e">
        <f t="shared" si="68"/>
        <v>#REF!</v>
      </c>
      <c r="AT161" s="186" t="e">
        <f t="shared" si="68"/>
        <v>#REF!</v>
      </c>
      <c r="AU161" s="186" t="e">
        <f t="shared" si="68"/>
        <v>#REF!</v>
      </c>
      <c r="AV161" s="186" t="e">
        <f t="shared" si="68"/>
        <v>#REF!</v>
      </c>
      <c r="AW161" s="186" t="e">
        <f t="shared" si="68"/>
        <v>#REF!</v>
      </c>
      <c r="AX161" s="186" t="e">
        <f t="shared" si="68"/>
        <v>#REF!</v>
      </c>
      <c r="AY161" s="186" t="e">
        <f t="shared" si="68"/>
        <v>#REF!</v>
      </c>
      <c r="AZ161" s="186" t="e">
        <f t="shared" si="68"/>
        <v>#REF!</v>
      </c>
      <c r="BA161" s="186" t="e">
        <f t="shared" si="68"/>
        <v>#REF!</v>
      </c>
      <c r="BB161" s="186" t="e">
        <f t="shared" si="68"/>
        <v>#REF!</v>
      </c>
      <c r="BC161" s="186" t="e">
        <f t="shared" si="68"/>
        <v>#REF!</v>
      </c>
      <c r="BD161" s="186" t="e">
        <f t="shared" si="68"/>
        <v>#REF!</v>
      </c>
      <c r="BE161" s="186" t="e">
        <f t="shared" si="68"/>
        <v>#REF!</v>
      </c>
      <c r="BF161" s="186" t="e">
        <f t="shared" si="68"/>
        <v>#REF!</v>
      </c>
      <c r="BG161" s="186" t="e">
        <f t="shared" si="68"/>
        <v>#REF!</v>
      </c>
      <c r="BH161" s="186" t="e">
        <f t="shared" si="68"/>
        <v>#REF!</v>
      </c>
      <c r="BI161" s="186" t="e">
        <f t="shared" si="68"/>
        <v>#REF!</v>
      </c>
      <c r="BJ161" s="195" t="e">
        <f t="shared" si="68"/>
        <v>#REF!</v>
      </c>
    </row>
    <row r="162" spans="1:63">
      <c r="A162" s="196" t="s">
        <v>160</v>
      </c>
      <c r="B162" s="197" t="e">
        <f>B161/B160</f>
        <v>#REF!</v>
      </c>
      <c r="C162" s="194"/>
      <c r="D162" s="186"/>
      <c r="E162" s="186"/>
      <c r="F162" s="186"/>
      <c r="G162" s="186"/>
      <c r="H162" s="186"/>
      <c r="I162" s="186"/>
      <c r="J162" s="186"/>
      <c r="K162" s="186"/>
      <c r="L162" s="186"/>
      <c r="M162" s="186"/>
      <c r="N162" s="186"/>
      <c r="O162" s="186"/>
      <c r="P162" s="186"/>
      <c r="Q162" s="186"/>
      <c r="R162" s="186"/>
      <c r="S162" s="186"/>
      <c r="T162" s="186"/>
      <c r="U162" s="186"/>
      <c r="V162" s="186"/>
      <c r="W162" s="186"/>
      <c r="X162" s="186"/>
      <c r="Y162" s="186"/>
      <c r="Z162" s="186"/>
      <c r="AA162" s="186"/>
      <c r="AB162" s="186"/>
      <c r="AC162" s="186"/>
      <c r="AD162" s="186"/>
      <c r="AE162" s="186"/>
      <c r="AF162" s="186"/>
      <c r="AG162" s="186"/>
      <c r="AH162" s="186"/>
      <c r="AI162" s="186"/>
      <c r="AJ162" s="186"/>
      <c r="AK162" s="186"/>
      <c r="AL162" s="186"/>
      <c r="AM162" s="186"/>
      <c r="AN162" s="186"/>
      <c r="AO162" s="186"/>
      <c r="AP162" s="186"/>
      <c r="AQ162" s="186"/>
      <c r="AR162" s="186"/>
      <c r="AS162" s="186"/>
      <c r="AT162" s="186"/>
      <c r="AU162" s="186"/>
      <c r="AV162" s="186"/>
      <c r="AW162" s="186"/>
      <c r="AX162" s="186"/>
      <c r="AY162" s="186"/>
      <c r="AZ162" s="186"/>
      <c r="BA162" s="186"/>
      <c r="BB162" s="186"/>
      <c r="BC162" s="186"/>
      <c r="BD162" s="186"/>
      <c r="BE162" s="186"/>
      <c r="BF162" s="186"/>
      <c r="BG162" s="186"/>
      <c r="BH162" s="186"/>
      <c r="BI162" s="186"/>
      <c r="BJ162" s="195"/>
    </row>
    <row r="163" spans="1:63">
      <c r="A163" s="187" t="s">
        <v>158</v>
      </c>
      <c r="B163" s="188">
        <f>SUM(C163:BJ163)</f>
        <v>2799.9999999999995</v>
      </c>
      <c r="C163" s="189">
        <f t="shared" ref="C163:BJ163" si="69">(C112*(1-$K$53))/(1)^(C111-1)</f>
        <v>0</v>
      </c>
      <c r="D163" s="190">
        <f t="shared" si="69"/>
        <v>0</v>
      </c>
      <c r="E163" s="190">
        <f t="shared" si="69"/>
        <v>0</v>
      </c>
      <c r="F163" s="190">
        <f t="shared" si="69"/>
        <v>0</v>
      </c>
      <c r="G163" s="190">
        <f t="shared" si="69"/>
        <v>0</v>
      </c>
      <c r="H163" s="190">
        <f t="shared" si="69"/>
        <v>35.10499999999999</v>
      </c>
      <c r="I163" s="190">
        <f t="shared" si="69"/>
        <v>70.20999999999998</v>
      </c>
      <c r="J163" s="190">
        <f t="shared" si="69"/>
        <v>105.31499999999997</v>
      </c>
      <c r="K163" s="190">
        <f t="shared" si="69"/>
        <v>140.41999999999996</v>
      </c>
      <c r="L163" s="190">
        <f t="shared" si="69"/>
        <v>233.1</v>
      </c>
      <c r="M163" s="190">
        <f t="shared" si="69"/>
        <v>233.1</v>
      </c>
      <c r="N163" s="190">
        <f t="shared" si="69"/>
        <v>233.1</v>
      </c>
      <c r="O163" s="190">
        <f t="shared" si="69"/>
        <v>233.1</v>
      </c>
      <c r="P163" s="190">
        <f t="shared" si="69"/>
        <v>233.1</v>
      </c>
      <c r="Q163" s="190">
        <f t="shared" si="69"/>
        <v>233.1</v>
      </c>
      <c r="R163" s="190">
        <f t="shared" si="69"/>
        <v>233.1</v>
      </c>
      <c r="S163" s="190">
        <f t="shared" si="69"/>
        <v>233.1</v>
      </c>
      <c r="T163" s="190">
        <f t="shared" si="69"/>
        <v>233.1</v>
      </c>
      <c r="U163" s="190">
        <f t="shared" si="69"/>
        <v>140.41999999999996</v>
      </c>
      <c r="V163" s="190">
        <f t="shared" si="69"/>
        <v>105.31499999999997</v>
      </c>
      <c r="W163" s="190">
        <f t="shared" si="69"/>
        <v>70.20999999999998</v>
      </c>
      <c r="X163" s="190">
        <f t="shared" si="69"/>
        <v>35.10499999999999</v>
      </c>
      <c r="Y163" s="190">
        <f t="shared" si="69"/>
        <v>0</v>
      </c>
      <c r="Z163" s="190">
        <f t="shared" si="69"/>
        <v>0</v>
      </c>
      <c r="AA163" s="190">
        <f t="shared" si="69"/>
        <v>0</v>
      </c>
      <c r="AB163" s="190">
        <f t="shared" si="69"/>
        <v>0</v>
      </c>
      <c r="AC163" s="190">
        <f t="shared" si="69"/>
        <v>0</v>
      </c>
      <c r="AD163" s="190">
        <f t="shared" si="69"/>
        <v>0</v>
      </c>
      <c r="AE163" s="190">
        <f t="shared" si="69"/>
        <v>0</v>
      </c>
      <c r="AF163" s="190">
        <f t="shared" si="69"/>
        <v>0</v>
      </c>
      <c r="AG163" s="190">
        <f t="shared" si="69"/>
        <v>0</v>
      </c>
      <c r="AH163" s="190">
        <f t="shared" si="69"/>
        <v>0</v>
      </c>
      <c r="AI163" s="190">
        <f t="shared" si="69"/>
        <v>0</v>
      </c>
      <c r="AJ163" s="190">
        <f t="shared" si="69"/>
        <v>0</v>
      </c>
      <c r="AK163" s="190">
        <f t="shared" si="69"/>
        <v>0</v>
      </c>
      <c r="AL163" s="190">
        <f t="shared" si="69"/>
        <v>0</v>
      </c>
      <c r="AM163" s="190">
        <f t="shared" si="69"/>
        <v>0</v>
      </c>
      <c r="AN163" s="190">
        <f t="shared" si="69"/>
        <v>0</v>
      </c>
      <c r="AO163" s="190">
        <f t="shared" si="69"/>
        <v>0</v>
      </c>
      <c r="AP163" s="190">
        <f t="shared" si="69"/>
        <v>0</v>
      </c>
      <c r="AQ163" s="190">
        <f t="shared" si="69"/>
        <v>0</v>
      </c>
      <c r="AR163" s="190">
        <f t="shared" si="69"/>
        <v>0</v>
      </c>
      <c r="AS163" s="190">
        <f t="shared" si="69"/>
        <v>0</v>
      </c>
      <c r="AT163" s="190">
        <f t="shared" si="69"/>
        <v>0</v>
      </c>
      <c r="AU163" s="190">
        <f t="shared" si="69"/>
        <v>0</v>
      </c>
      <c r="AV163" s="190">
        <f t="shared" si="69"/>
        <v>0</v>
      </c>
      <c r="AW163" s="190">
        <f t="shared" si="69"/>
        <v>0</v>
      </c>
      <c r="AX163" s="190">
        <f t="shared" si="69"/>
        <v>0</v>
      </c>
      <c r="AY163" s="190">
        <f t="shared" si="69"/>
        <v>0</v>
      </c>
      <c r="AZ163" s="190">
        <f t="shared" si="69"/>
        <v>0</v>
      </c>
      <c r="BA163" s="190">
        <f t="shared" si="69"/>
        <v>0</v>
      </c>
      <c r="BB163" s="190">
        <f t="shared" si="69"/>
        <v>0</v>
      </c>
      <c r="BC163" s="190">
        <f t="shared" si="69"/>
        <v>0</v>
      </c>
      <c r="BD163" s="190">
        <f t="shared" si="69"/>
        <v>0</v>
      </c>
      <c r="BE163" s="190">
        <f t="shared" si="69"/>
        <v>0</v>
      </c>
      <c r="BF163" s="190">
        <f t="shared" si="69"/>
        <v>0</v>
      </c>
      <c r="BG163" s="190">
        <f t="shared" si="69"/>
        <v>0</v>
      </c>
      <c r="BH163" s="190">
        <f t="shared" si="69"/>
        <v>0</v>
      </c>
      <c r="BI163" s="190">
        <f t="shared" si="69"/>
        <v>0</v>
      </c>
      <c r="BJ163" s="191">
        <f t="shared" si="69"/>
        <v>0</v>
      </c>
    </row>
    <row r="164" spans="1:63">
      <c r="A164" s="192" t="s">
        <v>159</v>
      </c>
      <c r="B164" s="193" t="e">
        <f>SUM(C164:BJ164)</f>
        <v>#REF!</v>
      </c>
      <c r="C164" s="194" t="e">
        <f t="shared" ref="C164:BJ164" si="70">(((C114+C143)*(1-$K$53))-(C153-C123))/(1)^(C111-1)</f>
        <v>#REF!</v>
      </c>
      <c r="D164" s="186" t="e">
        <f t="shared" si="70"/>
        <v>#REF!</v>
      </c>
      <c r="E164" s="186" t="e">
        <f t="shared" si="70"/>
        <v>#REF!</v>
      </c>
      <c r="F164" s="186" t="e">
        <f t="shared" si="70"/>
        <v>#REF!</v>
      </c>
      <c r="G164" s="186" t="e">
        <f t="shared" si="70"/>
        <v>#REF!</v>
      </c>
      <c r="H164" s="186" t="e">
        <f t="shared" si="70"/>
        <v>#REF!</v>
      </c>
      <c r="I164" s="186" t="e">
        <f t="shared" si="70"/>
        <v>#REF!</v>
      </c>
      <c r="J164" s="186" t="e">
        <f t="shared" si="70"/>
        <v>#REF!</v>
      </c>
      <c r="K164" s="186" t="e">
        <f t="shared" si="70"/>
        <v>#REF!</v>
      </c>
      <c r="L164" s="186" t="e">
        <f t="shared" si="70"/>
        <v>#REF!</v>
      </c>
      <c r="M164" s="186" t="e">
        <f t="shared" si="70"/>
        <v>#REF!</v>
      </c>
      <c r="N164" s="186" t="e">
        <f t="shared" si="70"/>
        <v>#REF!</v>
      </c>
      <c r="O164" s="186" t="e">
        <f t="shared" si="70"/>
        <v>#REF!</v>
      </c>
      <c r="P164" s="186" t="e">
        <f t="shared" si="70"/>
        <v>#REF!</v>
      </c>
      <c r="Q164" s="186" t="e">
        <f t="shared" si="70"/>
        <v>#REF!</v>
      </c>
      <c r="R164" s="186" t="e">
        <f t="shared" si="70"/>
        <v>#REF!</v>
      </c>
      <c r="S164" s="186" t="e">
        <f t="shared" si="70"/>
        <v>#REF!</v>
      </c>
      <c r="T164" s="186" t="e">
        <f t="shared" si="70"/>
        <v>#REF!</v>
      </c>
      <c r="U164" s="186" t="e">
        <f t="shared" si="70"/>
        <v>#REF!</v>
      </c>
      <c r="V164" s="186" t="e">
        <f t="shared" si="70"/>
        <v>#REF!</v>
      </c>
      <c r="W164" s="186" t="e">
        <f t="shared" si="70"/>
        <v>#REF!</v>
      </c>
      <c r="X164" s="186" t="e">
        <f t="shared" si="70"/>
        <v>#REF!</v>
      </c>
      <c r="Y164" s="186" t="e">
        <f t="shared" si="70"/>
        <v>#REF!</v>
      </c>
      <c r="Z164" s="186" t="e">
        <f t="shared" si="70"/>
        <v>#REF!</v>
      </c>
      <c r="AA164" s="186" t="e">
        <f t="shared" si="70"/>
        <v>#REF!</v>
      </c>
      <c r="AB164" s="186" t="e">
        <f t="shared" si="70"/>
        <v>#REF!</v>
      </c>
      <c r="AC164" s="186" t="e">
        <f t="shared" si="70"/>
        <v>#REF!</v>
      </c>
      <c r="AD164" s="186" t="e">
        <f t="shared" si="70"/>
        <v>#REF!</v>
      </c>
      <c r="AE164" s="186" t="e">
        <f t="shared" si="70"/>
        <v>#REF!</v>
      </c>
      <c r="AF164" s="186" t="e">
        <f t="shared" si="70"/>
        <v>#REF!</v>
      </c>
      <c r="AG164" s="186" t="e">
        <f t="shared" si="70"/>
        <v>#REF!</v>
      </c>
      <c r="AH164" s="186" t="e">
        <f t="shared" si="70"/>
        <v>#REF!</v>
      </c>
      <c r="AI164" s="186" t="e">
        <f t="shared" si="70"/>
        <v>#REF!</v>
      </c>
      <c r="AJ164" s="186" t="e">
        <f t="shared" si="70"/>
        <v>#REF!</v>
      </c>
      <c r="AK164" s="186" t="e">
        <f t="shared" si="70"/>
        <v>#REF!</v>
      </c>
      <c r="AL164" s="186" t="e">
        <f t="shared" si="70"/>
        <v>#REF!</v>
      </c>
      <c r="AM164" s="186" t="e">
        <f t="shared" si="70"/>
        <v>#REF!</v>
      </c>
      <c r="AN164" s="186" t="e">
        <f t="shared" si="70"/>
        <v>#REF!</v>
      </c>
      <c r="AO164" s="186" t="e">
        <f t="shared" si="70"/>
        <v>#REF!</v>
      </c>
      <c r="AP164" s="186" t="e">
        <f t="shared" si="70"/>
        <v>#REF!</v>
      </c>
      <c r="AQ164" s="186" t="e">
        <f t="shared" si="70"/>
        <v>#REF!</v>
      </c>
      <c r="AR164" s="186" t="e">
        <f t="shared" si="70"/>
        <v>#REF!</v>
      </c>
      <c r="AS164" s="186" t="e">
        <f t="shared" si="70"/>
        <v>#REF!</v>
      </c>
      <c r="AT164" s="186" t="e">
        <f t="shared" si="70"/>
        <v>#REF!</v>
      </c>
      <c r="AU164" s="186" t="e">
        <f t="shared" si="70"/>
        <v>#REF!</v>
      </c>
      <c r="AV164" s="186" t="e">
        <f t="shared" si="70"/>
        <v>#REF!</v>
      </c>
      <c r="AW164" s="186" t="e">
        <f t="shared" si="70"/>
        <v>#REF!</v>
      </c>
      <c r="AX164" s="186" t="e">
        <f t="shared" si="70"/>
        <v>#REF!</v>
      </c>
      <c r="AY164" s="186" t="e">
        <f t="shared" si="70"/>
        <v>#REF!</v>
      </c>
      <c r="AZ164" s="186" t="e">
        <f t="shared" si="70"/>
        <v>#REF!</v>
      </c>
      <c r="BA164" s="186" t="e">
        <f t="shared" si="70"/>
        <v>#REF!</v>
      </c>
      <c r="BB164" s="186" t="e">
        <f t="shared" si="70"/>
        <v>#REF!</v>
      </c>
      <c r="BC164" s="186" t="e">
        <f t="shared" si="70"/>
        <v>#REF!</v>
      </c>
      <c r="BD164" s="186" t="e">
        <f t="shared" si="70"/>
        <v>#REF!</v>
      </c>
      <c r="BE164" s="186" t="e">
        <f t="shared" si="70"/>
        <v>#REF!</v>
      </c>
      <c r="BF164" s="186" t="e">
        <f t="shared" si="70"/>
        <v>#REF!</v>
      </c>
      <c r="BG164" s="186" t="e">
        <f t="shared" si="70"/>
        <v>#REF!</v>
      </c>
      <c r="BH164" s="186" t="e">
        <f t="shared" si="70"/>
        <v>#REF!</v>
      </c>
      <c r="BI164" s="186" t="e">
        <f t="shared" si="70"/>
        <v>#REF!</v>
      </c>
      <c r="BJ164" s="195" t="e">
        <f t="shared" si="70"/>
        <v>#REF!</v>
      </c>
      <c r="BK164" s="186"/>
    </row>
    <row r="165" spans="1:63">
      <c r="A165" s="196" t="s">
        <v>161</v>
      </c>
      <c r="B165" s="197" t="e">
        <f>B164/B163</f>
        <v>#REF!</v>
      </c>
      <c r="C165" s="166"/>
      <c r="D165" s="167"/>
      <c r="E165" s="167"/>
      <c r="F165" s="167"/>
      <c r="G165" s="167"/>
      <c r="H165" s="167"/>
      <c r="I165" s="167"/>
      <c r="J165" s="167"/>
      <c r="K165" s="167"/>
      <c r="L165" s="167"/>
      <c r="M165" s="167"/>
      <c r="N165" s="167"/>
      <c r="O165" s="167"/>
      <c r="P165" s="167"/>
      <c r="Q165" s="167"/>
      <c r="R165" s="167"/>
      <c r="S165" s="167"/>
      <c r="T165" s="167"/>
      <c r="U165" s="167"/>
      <c r="V165" s="167"/>
      <c r="W165" s="167"/>
      <c r="X165" s="167"/>
      <c r="Y165" s="167"/>
      <c r="Z165" s="167"/>
      <c r="AA165" s="167"/>
      <c r="AB165" s="167"/>
      <c r="AC165" s="167"/>
      <c r="AD165" s="167"/>
      <c r="AE165" s="167"/>
      <c r="AF165" s="167"/>
      <c r="AG165" s="167"/>
      <c r="AH165" s="167"/>
      <c r="AI165" s="167"/>
      <c r="AJ165" s="167"/>
      <c r="AK165" s="167"/>
      <c r="AL165" s="167"/>
      <c r="AM165" s="167"/>
      <c r="AN165" s="167"/>
      <c r="AO165" s="167"/>
      <c r="AP165" s="167"/>
      <c r="AQ165" s="167"/>
      <c r="AR165" s="167"/>
      <c r="AS165" s="167"/>
      <c r="AT165" s="167"/>
      <c r="AU165" s="167"/>
      <c r="AV165" s="167"/>
      <c r="AW165" s="167"/>
      <c r="AX165" s="167"/>
      <c r="AY165" s="167"/>
      <c r="AZ165" s="167"/>
      <c r="BA165" s="167"/>
      <c r="BB165" s="167"/>
      <c r="BC165" s="167"/>
      <c r="BD165" s="167"/>
      <c r="BE165" s="167"/>
      <c r="BF165" s="167"/>
      <c r="BG165" s="167"/>
      <c r="BH165" s="167"/>
      <c r="BI165" s="167"/>
      <c r="BJ165" s="198"/>
    </row>
    <row r="166" spans="1:63">
      <c r="A166" s="216" t="s">
        <v>164</v>
      </c>
      <c r="B166" s="217">
        <v>12</v>
      </c>
      <c r="C166" s="218"/>
      <c r="D166" s="186"/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186"/>
      <c r="P166" s="186"/>
      <c r="Q166" s="186"/>
      <c r="R166" s="186"/>
      <c r="S166" s="186"/>
      <c r="T166" s="186"/>
      <c r="U166" s="186"/>
      <c r="V166" s="186"/>
      <c r="W166" s="186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6"/>
      <c r="AH166" s="186"/>
      <c r="AI166" s="186"/>
      <c r="AJ166" s="186"/>
      <c r="AK166" s="186"/>
      <c r="AL166" s="186"/>
      <c r="AM166" s="186"/>
      <c r="AN166" s="186"/>
      <c r="AO166" s="186"/>
      <c r="AP166" s="186"/>
      <c r="AQ166" s="186"/>
      <c r="AR166" s="186"/>
      <c r="AS166" s="186"/>
      <c r="AT166" s="186"/>
      <c r="AU166" s="186"/>
      <c r="AV166" s="186"/>
      <c r="AW166" s="186"/>
      <c r="AX166" s="186"/>
      <c r="AY166" s="186"/>
      <c r="AZ166" s="186"/>
      <c r="BA166" s="186"/>
      <c r="BB166" s="186"/>
      <c r="BC166" s="186"/>
      <c r="BD166" s="186"/>
      <c r="BE166" s="186"/>
      <c r="BF166" s="186"/>
      <c r="BG166" s="186"/>
      <c r="BH166" s="186"/>
      <c r="BI166" s="186"/>
      <c r="BJ166" s="186"/>
    </row>
    <row r="167" spans="1:63">
      <c r="A167" s="219"/>
      <c r="B167" s="220"/>
    </row>
    <row r="168" spans="1:63">
      <c r="A168" s="105"/>
      <c r="B168" s="221"/>
      <c r="C168" s="221"/>
      <c r="D168" s="221"/>
      <c r="E168" s="221"/>
      <c r="F168" s="221"/>
      <c r="G168" s="160"/>
      <c r="H168" s="221"/>
      <c r="I168" s="221"/>
      <c r="J168" s="221"/>
      <c r="K168" s="221"/>
      <c r="L168" s="221"/>
    </row>
    <row r="169" spans="1:63" ht="28.5">
      <c r="A169" s="84">
        <v>2</v>
      </c>
      <c r="B169" s="85" t="s">
        <v>147</v>
      </c>
      <c r="C169" s="86">
        <v>0.12</v>
      </c>
      <c r="D169" s="85" t="s">
        <v>148</v>
      </c>
      <c r="E169" s="86">
        <v>0.25</v>
      </c>
      <c r="F169" s="85" t="s">
        <v>149</v>
      </c>
      <c r="G169" s="86">
        <v>0.04</v>
      </c>
      <c r="H169" s="85" t="s">
        <v>150</v>
      </c>
      <c r="I169" s="87">
        <v>0.1</v>
      </c>
      <c r="J169" s="85" t="s">
        <v>151</v>
      </c>
      <c r="K169" s="86">
        <v>0.3</v>
      </c>
      <c r="L169" s="85" t="s">
        <v>152</v>
      </c>
      <c r="M169" s="87">
        <v>0.26</v>
      </c>
      <c r="N169" s="85" t="s">
        <v>153</v>
      </c>
      <c r="O169" s="88">
        <v>30</v>
      </c>
    </row>
    <row r="170" spans="1:63" s="94" customFormat="1">
      <c r="A170" s="90" t="s">
        <v>154</v>
      </c>
      <c r="B170" s="91" t="s">
        <v>155</v>
      </c>
      <c r="C170" s="91">
        <v>1</v>
      </c>
      <c r="D170" s="92">
        <v>2</v>
      </c>
      <c r="E170" s="92">
        <v>3</v>
      </c>
      <c r="F170" s="92">
        <v>4</v>
      </c>
      <c r="G170" s="92">
        <v>5</v>
      </c>
      <c r="H170" s="92">
        <v>6</v>
      </c>
      <c r="I170" s="92">
        <v>7</v>
      </c>
      <c r="J170" s="92">
        <v>8</v>
      </c>
      <c r="K170" s="92">
        <v>9</v>
      </c>
      <c r="L170" s="92">
        <v>10</v>
      </c>
      <c r="M170" s="92">
        <v>11</v>
      </c>
      <c r="N170" s="92">
        <v>12</v>
      </c>
      <c r="O170" s="92">
        <v>13</v>
      </c>
      <c r="P170" s="92">
        <v>14</v>
      </c>
      <c r="Q170" s="92">
        <v>15</v>
      </c>
      <c r="R170" s="92">
        <v>16</v>
      </c>
      <c r="S170" s="92">
        <v>17</v>
      </c>
      <c r="T170" s="92">
        <v>18</v>
      </c>
      <c r="U170" s="92">
        <v>19</v>
      </c>
      <c r="V170" s="92">
        <v>20</v>
      </c>
      <c r="W170" s="92">
        <v>21</v>
      </c>
      <c r="X170" s="92">
        <v>22</v>
      </c>
      <c r="Y170" s="92">
        <v>23</v>
      </c>
      <c r="Z170" s="92">
        <v>24</v>
      </c>
      <c r="AA170" s="92">
        <v>25</v>
      </c>
      <c r="AB170" s="92">
        <v>26</v>
      </c>
      <c r="AC170" s="92">
        <v>27</v>
      </c>
      <c r="AD170" s="92">
        <v>28</v>
      </c>
      <c r="AE170" s="92">
        <v>29</v>
      </c>
      <c r="AF170" s="92">
        <v>30</v>
      </c>
      <c r="AG170" s="92">
        <v>31</v>
      </c>
      <c r="AH170" s="92">
        <v>32</v>
      </c>
      <c r="AI170" s="92">
        <v>33</v>
      </c>
      <c r="AJ170" s="92">
        <v>34</v>
      </c>
      <c r="AK170" s="92">
        <v>35</v>
      </c>
      <c r="AL170" s="92">
        <v>36</v>
      </c>
      <c r="AM170" s="92">
        <v>37</v>
      </c>
      <c r="AN170" s="92">
        <v>38</v>
      </c>
      <c r="AO170" s="92">
        <v>39</v>
      </c>
      <c r="AP170" s="92">
        <v>40</v>
      </c>
      <c r="AQ170" s="92">
        <v>41</v>
      </c>
      <c r="AR170" s="92">
        <v>42</v>
      </c>
      <c r="AS170" s="92">
        <v>43</v>
      </c>
      <c r="AT170" s="92">
        <v>44</v>
      </c>
      <c r="AU170" s="92">
        <v>45</v>
      </c>
      <c r="AV170" s="92">
        <v>46</v>
      </c>
      <c r="AW170" s="92">
        <v>47</v>
      </c>
      <c r="AX170" s="92">
        <v>48</v>
      </c>
      <c r="AY170" s="92">
        <v>49</v>
      </c>
      <c r="AZ170" s="92">
        <v>50</v>
      </c>
      <c r="BA170" s="92">
        <v>51</v>
      </c>
      <c r="BB170" s="92">
        <v>52</v>
      </c>
      <c r="BC170" s="92">
        <v>53</v>
      </c>
      <c r="BD170" s="92">
        <v>54</v>
      </c>
      <c r="BE170" s="92">
        <v>55</v>
      </c>
      <c r="BF170" s="92">
        <v>56</v>
      </c>
      <c r="BG170" s="92">
        <v>57</v>
      </c>
      <c r="BH170" s="92">
        <v>58</v>
      </c>
      <c r="BI170" s="92">
        <v>59</v>
      </c>
      <c r="BJ170" s="93">
        <v>60</v>
      </c>
    </row>
    <row r="171" spans="1:63" s="100" customFormat="1">
      <c r="A171" s="95" t="s">
        <v>156</v>
      </c>
      <c r="B171" s="96">
        <f>SUM(C171:BJ171)</f>
        <v>3999.9999999999995</v>
      </c>
      <c r="C171" s="97">
        <v>0</v>
      </c>
      <c r="D171" s="98">
        <v>0</v>
      </c>
      <c r="E171" s="98">
        <v>0</v>
      </c>
      <c r="F171" s="98">
        <v>0</v>
      </c>
      <c r="G171" s="98">
        <v>0</v>
      </c>
      <c r="H171" s="98">
        <v>60.349999999999994</v>
      </c>
      <c r="I171" s="98">
        <v>120.69999999999999</v>
      </c>
      <c r="J171" s="98">
        <v>181.04999999999995</v>
      </c>
      <c r="K171" s="98">
        <v>241.39999999999998</v>
      </c>
      <c r="L171" s="98">
        <v>399</v>
      </c>
      <c r="M171" s="98">
        <v>399</v>
      </c>
      <c r="N171" s="98">
        <v>399</v>
      </c>
      <c r="O171" s="98">
        <v>399</v>
      </c>
      <c r="P171" s="98">
        <v>399</v>
      </c>
      <c r="Q171" s="98">
        <v>399</v>
      </c>
      <c r="R171" s="98">
        <v>399</v>
      </c>
      <c r="S171" s="98">
        <v>241.39999999999998</v>
      </c>
      <c r="T171" s="98">
        <v>181.04999999999995</v>
      </c>
      <c r="U171" s="98">
        <v>120.69999999999999</v>
      </c>
      <c r="V171" s="98">
        <v>60.349999999999994</v>
      </c>
      <c r="W171" s="98">
        <v>0</v>
      </c>
      <c r="X171" s="98">
        <v>0</v>
      </c>
      <c r="Y171" s="98">
        <v>0</v>
      </c>
      <c r="Z171" s="98">
        <v>0</v>
      </c>
      <c r="AA171" s="98">
        <v>0</v>
      </c>
      <c r="AB171" s="98">
        <v>0</v>
      </c>
      <c r="AC171" s="98">
        <v>0</v>
      </c>
      <c r="AD171" s="98">
        <v>0</v>
      </c>
      <c r="AE171" s="98">
        <v>0</v>
      </c>
      <c r="AF171" s="98">
        <v>0</v>
      </c>
      <c r="AG171" s="98">
        <v>0</v>
      </c>
      <c r="AH171" s="98">
        <v>0</v>
      </c>
      <c r="AI171" s="98">
        <v>0</v>
      </c>
      <c r="AJ171" s="98">
        <v>0</v>
      </c>
      <c r="AK171" s="98">
        <v>0</v>
      </c>
      <c r="AL171" s="98">
        <v>0</v>
      </c>
      <c r="AM171" s="98">
        <v>0</v>
      </c>
      <c r="AN171" s="98">
        <v>0</v>
      </c>
      <c r="AO171" s="98">
        <v>0</v>
      </c>
      <c r="AP171" s="98">
        <v>0</v>
      </c>
      <c r="AQ171" s="98">
        <v>0</v>
      </c>
      <c r="AR171" s="98">
        <v>0</v>
      </c>
      <c r="AS171" s="98">
        <v>0</v>
      </c>
      <c r="AT171" s="98">
        <v>0</v>
      </c>
      <c r="AU171" s="98">
        <v>0</v>
      </c>
      <c r="AV171" s="98">
        <v>0</v>
      </c>
      <c r="AW171" s="98">
        <v>0</v>
      </c>
      <c r="AX171" s="98">
        <v>0</v>
      </c>
      <c r="AY171" s="98">
        <v>0</v>
      </c>
      <c r="AZ171" s="98">
        <v>0</v>
      </c>
      <c r="BA171" s="98">
        <v>0</v>
      </c>
      <c r="BB171" s="98">
        <v>0</v>
      </c>
      <c r="BC171" s="98">
        <v>0</v>
      </c>
      <c r="BD171" s="98">
        <v>0</v>
      </c>
      <c r="BE171" s="98">
        <v>0</v>
      </c>
      <c r="BF171" s="98">
        <v>0</v>
      </c>
      <c r="BG171" s="98">
        <v>0</v>
      </c>
      <c r="BH171" s="98">
        <v>0</v>
      </c>
      <c r="BI171" s="98">
        <v>0</v>
      </c>
      <c r="BJ171" s="99">
        <v>0</v>
      </c>
    </row>
    <row r="172" spans="1:63" s="105" customFormat="1">
      <c r="A172" s="101" t="s">
        <v>115</v>
      </c>
      <c r="B172" s="102">
        <f>SUM(C172:BJ172)</f>
        <v>2289272228.6393523</v>
      </c>
      <c r="C172" s="222">
        <f>(C180*(1+$E169))+(C171*$B278)+(C171*$B278*$M169)</f>
        <v>6912695.4675715892</v>
      </c>
      <c r="D172" s="103">
        <f>(D180*(1+$E169))+(D171*$B278)+(D171*$B278*$M169)</f>
        <v>6912695.4675715892</v>
      </c>
      <c r="E172" s="103">
        <f t="shared" ref="E172:BJ172" si="71">(E180*(1+$E169))+(E171*$B278)+(E171*$B278*$M169)</f>
        <v>6912695.4675715892</v>
      </c>
      <c r="F172" s="103">
        <f t="shared" si="71"/>
        <v>6912695.4675715892</v>
      </c>
      <c r="G172" s="103">
        <f t="shared" si="71"/>
        <v>6912695.4675715892</v>
      </c>
      <c r="H172" s="103">
        <f t="shared" si="71"/>
        <v>34017918.285261288</v>
      </c>
      <c r="I172" s="103">
        <f t="shared" si="71"/>
        <v>68035836.570522577</v>
      </c>
      <c r="J172" s="103">
        <f t="shared" si="71"/>
        <v>102053754.85578385</v>
      </c>
      <c r="K172" s="103">
        <f t="shared" si="71"/>
        <v>136071673.14104515</v>
      </c>
      <c r="L172" s="103">
        <f t="shared" si="71"/>
        <v>224907197.94232404</v>
      </c>
      <c r="M172" s="103">
        <f t="shared" si="71"/>
        <v>224907197.94232404</v>
      </c>
      <c r="N172" s="103">
        <f t="shared" si="71"/>
        <v>224907197.94232404</v>
      </c>
      <c r="O172" s="103">
        <f t="shared" si="71"/>
        <v>224907197.94232404</v>
      </c>
      <c r="P172" s="103">
        <f t="shared" si="71"/>
        <v>224907197.94232404</v>
      </c>
      <c r="Q172" s="103">
        <f t="shared" si="71"/>
        <v>224907197.94232404</v>
      </c>
      <c r="R172" s="103">
        <f t="shared" si="71"/>
        <v>224907197.94232404</v>
      </c>
      <c r="S172" s="103">
        <f t="shared" si="71"/>
        <v>136071673.14104515</v>
      </c>
      <c r="T172" s="103">
        <f t="shared" si="71"/>
        <v>102053754.85578385</v>
      </c>
      <c r="U172" s="103">
        <f t="shared" si="71"/>
        <v>68035836.570522577</v>
      </c>
      <c r="V172" s="103">
        <f t="shared" si="71"/>
        <v>34017918.285261288</v>
      </c>
      <c r="W172" s="103">
        <f t="shared" si="71"/>
        <v>0</v>
      </c>
      <c r="X172" s="103">
        <f t="shared" si="71"/>
        <v>0</v>
      </c>
      <c r="Y172" s="103">
        <f t="shared" si="71"/>
        <v>0</v>
      </c>
      <c r="Z172" s="103">
        <f t="shared" si="71"/>
        <v>0</v>
      </c>
      <c r="AA172" s="103">
        <f t="shared" si="71"/>
        <v>0</v>
      </c>
      <c r="AB172" s="103">
        <f t="shared" si="71"/>
        <v>0</v>
      </c>
      <c r="AC172" s="103">
        <f t="shared" si="71"/>
        <v>0</v>
      </c>
      <c r="AD172" s="103">
        <f t="shared" si="71"/>
        <v>0</v>
      </c>
      <c r="AE172" s="103">
        <f t="shared" si="71"/>
        <v>0</v>
      </c>
      <c r="AF172" s="103">
        <f t="shared" si="71"/>
        <v>0</v>
      </c>
      <c r="AG172" s="103">
        <f t="shared" si="71"/>
        <v>0</v>
      </c>
      <c r="AH172" s="103">
        <f t="shared" si="71"/>
        <v>0</v>
      </c>
      <c r="AI172" s="103">
        <f t="shared" si="71"/>
        <v>0</v>
      </c>
      <c r="AJ172" s="103">
        <f t="shared" si="71"/>
        <v>0</v>
      </c>
      <c r="AK172" s="103">
        <f t="shared" si="71"/>
        <v>0</v>
      </c>
      <c r="AL172" s="103">
        <f t="shared" si="71"/>
        <v>0</v>
      </c>
      <c r="AM172" s="103">
        <f t="shared" si="71"/>
        <v>0</v>
      </c>
      <c r="AN172" s="103">
        <f t="shared" si="71"/>
        <v>0</v>
      </c>
      <c r="AO172" s="103">
        <f t="shared" si="71"/>
        <v>0</v>
      </c>
      <c r="AP172" s="103">
        <f t="shared" si="71"/>
        <v>0</v>
      </c>
      <c r="AQ172" s="103">
        <f t="shared" si="71"/>
        <v>0</v>
      </c>
      <c r="AR172" s="103">
        <f t="shared" si="71"/>
        <v>0</v>
      </c>
      <c r="AS172" s="103">
        <f t="shared" si="71"/>
        <v>0</v>
      </c>
      <c r="AT172" s="103">
        <f t="shared" si="71"/>
        <v>0</v>
      </c>
      <c r="AU172" s="103">
        <f t="shared" si="71"/>
        <v>0</v>
      </c>
      <c r="AV172" s="103">
        <f t="shared" si="71"/>
        <v>0</v>
      </c>
      <c r="AW172" s="103">
        <f t="shared" si="71"/>
        <v>0</v>
      </c>
      <c r="AX172" s="103">
        <f t="shared" si="71"/>
        <v>0</v>
      </c>
      <c r="AY172" s="103">
        <f t="shared" si="71"/>
        <v>0</v>
      </c>
      <c r="AZ172" s="103">
        <f t="shared" si="71"/>
        <v>0</v>
      </c>
      <c r="BA172" s="103">
        <f t="shared" si="71"/>
        <v>0</v>
      </c>
      <c r="BB172" s="103">
        <f t="shared" si="71"/>
        <v>0</v>
      </c>
      <c r="BC172" s="103">
        <f t="shared" si="71"/>
        <v>0</v>
      </c>
      <c r="BD172" s="103">
        <f t="shared" si="71"/>
        <v>0</v>
      </c>
      <c r="BE172" s="103">
        <f t="shared" si="71"/>
        <v>0</v>
      </c>
      <c r="BF172" s="103">
        <f t="shared" si="71"/>
        <v>0</v>
      </c>
      <c r="BG172" s="103">
        <f t="shared" si="71"/>
        <v>0</v>
      </c>
      <c r="BH172" s="103">
        <f t="shared" si="71"/>
        <v>0</v>
      </c>
      <c r="BI172" s="103">
        <f t="shared" si="71"/>
        <v>0</v>
      </c>
      <c r="BJ172" s="104">
        <f t="shared" si="71"/>
        <v>0</v>
      </c>
    </row>
    <row r="173" spans="1:63" s="105" customFormat="1">
      <c r="A173" s="106" t="s">
        <v>116</v>
      </c>
      <c r="B173" s="107">
        <f>SUM(B180,B174:B175)</f>
        <v>368669629.63769537</v>
      </c>
      <c r="C173" s="133">
        <f>SUM(C174,C175,C180)</f>
        <v>5530156.3740572715</v>
      </c>
      <c r="D173" s="134">
        <f>D174+D175+D180</f>
        <v>5530156.3740572715</v>
      </c>
      <c r="E173" s="134">
        <f t="shared" ref="E173:BJ173" si="72">E174+E175+E180</f>
        <v>5530156.3740572715</v>
      </c>
      <c r="F173" s="134">
        <f t="shared" si="72"/>
        <v>5530156.3740572715</v>
      </c>
      <c r="G173" s="134">
        <f t="shared" si="72"/>
        <v>5530156.3740572715</v>
      </c>
      <c r="H173" s="134">
        <f t="shared" si="72"/>
        <v>5145121.8656907827</v>
      </c>
      <c r="I173" s="134">
        <f t="shared" si="72"/>
        <v>10290243.731381565</v>
      </c>
      <c r="J173" s="134">
        <f t="shared" si="72"/>
        <v>15435365.597072344</v>
      </c>
      <c r="K173" s="134">
        <f t="shared" si="72"/>
        <v>20580487.462763131</v>
      </c>
      <c r="L173" s="134">
        <f t="shared" si="72"/>
        <v>34016630.064799041</v>
      </c>
      <c r="M173" s="134">
        <f t="shared" si="72"/>
        <v>34016630.064799041</v>
      </c>
      <c r="N173" s="134">
        <f t="shared" si="72"/>
        <v>34016630.064799041</v>
      </c>
      <c r="O173" s="134">
        <f t="shared" si="72"/>
        <v>34016630.064799041</v>
      </c>
      <c r="P173" s="134">
        <f t="shared" si="72"/>
        <v>34016630.064799041</v>
      </c>
      <c r="Q173" s="134">
        <f t="shared" si="72"/>
        <v>34016630.064799041</v>
      </c>
      <c r="R173" s="134">
        <f t="shared" si="72"/>
        <v>34016630.064799041</v>
      </c>
      <c r="S173" s="134">
        <f t="shared" si="72"/>
        <v>20580487.462763131</v>
      </c>
      <c r="T173" s="134">
        <f t="shared" si="72"/>
        <v>15435365.597072344</v>
      </c>
      <c r="U173" s="134">
        <f t="shared" si="72"/>
        <v>10290243.731381565</v>
      </c>
      <c r="V173" s="134">
        <f t="shared" si="72"/>
        <v>5145121.8656907827</v>
      </c>
      <c r="W173" s="134">
        <f t="shared" si="72"/>
        <v>0</v>
      </c>
      <c r="X173" s="134">
        <f t="shared" si="72"/>
        <v>0</v>
      </c>
      <c r="Y173" s="134">
        <f t="shared" si="72"/>
        <v>0</v>
      </c>
      <c r="Z173" s="134">
        <f t="shared" si="72"/>
        <v>0</v>
      </c>
      <c r="AA173" s="134">
        <f t="shared" si="72"/>
        <v>0</v>
      </c>
      <c r="AB173" s="134">
        <f t="shared" si="72"/>
        <v>0</v>
      </c>
      <c r="AC173" s="134">
        <f t="shared" si="72"/>
        <v>0</v>
      </c>
      <c r="AD173" s="134">
        <f t="shared" si="72"/>
        <v>0</v>
      </c>
      <c r="AE173" s="134">
        <f t="shared" si="72"/>
        <v>0</v>
      </c>
      <c r="AF173" s="134">
        <f t="shared" si="72"/>
        <v>0</v>
      </c>
      <c r="AG173" s="134">
        <f t="shared" si="72"/>
        <v>0</v>
      </c>
      <c r="AH173" s="134">
        <f t="shared" si="72"/>
        <v>0</v>
      </c>
      <c r="AI173" s="134">
        <f t="shared" si="72"/>
        <v>0</v>
      </c>
      <c r="AJ173" s="134">
        <f t="shared" si="72"/>
        <v>0</v>
      </c>
      <c r="AK173" s="134">
        <f t="shared" si="72"/>
        <v>0</v>
      </c>
      <c r="AL173" s="134">
        <f t="shared" si="72"/>
        <v>0</v>
      </c>
      <c r="AM173" s="134">
        <f t="shared" si="72"/>
        <v>0</v>
      </c>
      <c r="AN173" s="134">
        <f t="shared" si="72"/>
        <v>0</v>
      </c>
      <c r="AO173" s="134">
        <f t="shared" si="72"/>
        <v>0</v>
      </c>
      <c r="AP173" s="134">
        <f t="shared" si="72"/>
        <v>0</v>
      </c>
      <c r="AQ173" s="134">
        <f t="shared" si="72"/>
        <v>0</v>
      </c>
      <c r="AR173" s="134">
        <f t="shared" si="72"/>
        <v>0</v>
      </c>
      <c r="AS173" s="134">
        <f t="shared" si="72"/>
        <v>0</v>
      </c>
      <c r="AT173" s="134">
        <f t="shared" si="72"/>
        <v>0</v>
      </c>
      <c r="AU173" s="134">
        <f t="shared" si="72"/>
        <v>0</v>
      </c>
      <c r="AV173" s="134">
        <f t="shared" si="72"/>
        <v>0</v>
      </c>
      <c r="AW173" s="134">
        <f t="shared" si="72"/>
        <v>0</v>
      </c>
      <c r="AX173" s="134">
        <f t="shared" si="72"/>
        <v>0</v>
      </c>
      <c r="AY173" s="134">
        <f t="shared" si="72"/>
        <v>0</v>
      </c>
      <c r="AZ173" s="134">
        <f t="shared" si="72"/>
        <v>0</v>
      </c>
      <c r="BA173" s="134">
        <f t="shared" si="72"/>
        <v>0</v>
      </c>
      <c r="BB173" s="134">
        <f t="shared" si="72"/>
        <v>0</v>
      </c>
      <c r="BC173" s="134">
        <f t="shared" si="72"/>
        <v>0</v>
      </c>
      <c r="BD173" s="134">
        <f t="shared" si="72"/>
        <v>0</v>
      </c>
      <c r="BE173" s="134">
        <f t="shared" si="72"/>
        <v>0</v>
      </c>
      <c r="BF173" s="134">
        <f t="shared" si="72"/>
        <v>0</v>
      </c>
      <c r="BG173" s="134">
        <f t="shared" si="72"/>
        <v>0</v>
      </c>
      <c r="BH173" s="134">
        <f t="shared" si="72"/>
        <v>0</v>
      </c>
      <c r="BI173" s="134">
        <f t="shared" si="72"/>
        <v>0</v>
      </c>
      <c r="BJ173" s="135">
        <f t="shared" si="72"/>
        <v>0</v>
      </c>
    </row>
    <row r="174" spans="1:63" s="116" customFormat="1">
      <c r="A174" s="111" t="s">
        <v>117</v>
      </c>
      <c r="B174" s="112">
        <f>SUM(C174:BJ174)</f>
        <v>92141390.517174691</v>
      </c>
      <c r="C174" s="223">
        <v>0</v>
      </c>
      <c r="D174" s="118">
        <v>0</v>
      </c>
      <c r="E174" s="118">
        <v>0</v>
      </c>
      <c r="F174" s="118">
        <v>0</v>
      </c>
      <c r="G174" s="118">
        <v>0</v>
      </c>
      <c r="H174" s="118">
        <v>1390183.2294278727</v>
      </c>
      <c r="I174" s="118">
        <v>2780366.4588557454</v>
      </c>
      <c r="J174" s="118">
        <v>4170549.6882836176</v>
      </c>
      <c r="K174" s="118">
        <v>5560732.9177114908</v>
      </c>
      <c r="L174" s="118">
        <v>9191103.7040881738</v>
      </c>
      <c r="M174" s="118">
        <v>9191103.7040881738</v>
      </c>
      <c r="N174" s="118">
        <v>9191103.7040881738</v>
      </c>
      <c r="O174" s="118">
        <v>9191103.7040881738</v>
      </c>
      <c r="P174" s="118">
        <v>9191103.7040881738</v>
      </c>
      <c r="Q174" s="118">
        <v>9191103.7040881738</v>
      </c>
      <c r="R174" s="118">
        <v>9191103.7040881738</v>
      </c>
      <c r="S174" s="118">
        <v>5560732.9177114908</v>
      </c>
      <c r="T174" s="118">
        <v>4170549.6882836176</v>
      </c>
      <c r="U174" s="118">
        <v>2780366.4588557454</v>
      </c>
      <c r="V174" s="118">
        <v>1390183.2294278727</v>
      </c>
      <c r="W174" s="118">
        <v>0</v>
      </c>
      <c r="X174" s="118">
        <v>0</v>
      </c>
      <c r="Y174" s="118">
        <v>0</v>
      </c>
      <c r="Z174" s="118">
        <v>0</v>
      </c>
      <c r="AA174" s="118">
        <v>0</v>
      </c>
      <c r="AB174" s="118">
        <v>0</v>
      </c>
      <c r="AC174" s="118">
        <v>0</v>
      </c>
      <c r="AD174" s="118">
        <v>0</v>
      </c>
      <c r="AE174" s="118">
        <v>0</v>
      </c>
      <c r="AF174" s="118">
        <v>0</v>
      </c>
      <c r="AG174" s="118">
        <v>0</v>
      </c>
      <c r="AH174" s="118">
        <v>0</v>
      </c>
      <c r="AI174" s="118">
        <v>0</v>
      </c>
      <c r="AJ174" s="118">
        <v>0</v>
      </c>
      <c r="AK174" s="118">
        <v>0</v>
      </c>
      <c r="AL174" s="118">
        <v>0</v>
      </c>
      <c r="AM174" s="118">
        <v>0</v>
      </c>
      <c r="AN174" s="118">
        <v>0</v>
      </c>
      <c r="AO174" s="118">
        <v>0</v>
      </c>
      <c r="AP174" s="118">
        <v>0</v>
      </c>
      <c r="AQ174" s="118">
        <v>0</v>
      </c>
      <c r="AR174" s="118">
        <v>0</v>
      </c>
      <c r="AS174" s="118">
        <v>0</v>
      </c>
      <c r="AT174" s="118">
        <v>0</v>
      </c>
      <c r="AU174" s="118">
        <v>0</v>
      </c>
      <c r="AV174" s="118">
        <v>0</v>
      </c>
      <c r="AW174" s="118">
        <v>0</v>
      </c>
      <c r="AX174" s="118">
        <v>0</v>
      </c>
      <c r="AY174" s="118">
        <v>0</v>
      </c>
      <c r="AZ174" s="118">
        <v>0</v>
      </c>
      <c r="BA174" s="118">
        <v>0</v>
      </c>
      <c r="BB174" s="118">
        <v>0</v>
      </c>
      <c r="BC174" s="118">
        <v>0</v>
      </c>
      <c r="BD174" s="118">
        <v>0</v>
      </c>
      <c r="BE174" s="118">
        <v>0</v>
      </c>
      <c r="BF174" s="118">
        <v>0</v>
      </c>
      <c r="BG174" s="118">
        <v>0</v>
      </c>
      <c r="BH174" s="118">
        <v>0</v>
      </c>
      <c r="BI174" s="118">
        <v>0</v>
      </c>
      <c r="BJ174" s="119">
        <v>0</v>
      </c>
    </row>
    <row r="175" spans="1:63" s="116" customFormat="1">
      <c r="A175" s="111" t="s">
        <v>118</v>
      </c>
      <c r="B175" s="112">
        <f>SUM(B176:B179)</f>
        <v>248877457.25023431</v>
      </c>
      <c r="C175" s="117">
        <f>SUM(C176:C179)</f>
        <v>0</v>
      </c>
      <c r="D175" s="118">
        <f>SUM(D176:D179)</f>
        <v>0</v>
      </c>
      <c r="E175" s="118">
        <f t="shared" ref="E175:BJ175" si="73">SUM(E176:E179)</f>
        <v>0</v>
      </c>
      <c r="F175" s="118">
        <f t="shared" si="73"/>
        <v>0</v>
      </c>
      <c r="G175" s="118">
        <f t="shared" si="73"/>
        <v>0</v>
      </c>
      <c r="H175" s="118">
        <f t="shared" si="73"/>
        <v>3754938.6362629095</v>
      </c>
      <c r="I175" s="118">
        <f t="shared" si="73"/>
        <v>7509877.272525819</v>
      </c>
      <c r="J175" s="118">
        <f t="shared" si="73"/>
        <v>11264815.908788728</v>
      </c>
      <c r="K175" s="118">
        <f t="shared" si="73"/>
        <v>15019754.545051638</v>
      </c>
      <c r="L175" s="118">
        <f t="shared" si="73"/>
        <v>24825526.36071087</v>
      </c>
      <c r="M175" s="118">
        <f t="shared" si="73"/>
        <v>24825526.36071087</v>
      </c>
      <c r="N175" s="118">
        <f t="shared" si="73"/>
        <v>24825526.36071087</v>
      </c>
      <c r="O175" s="118">
        <f t="shared" si="73"/>
        <v>24825526.36071087</v>
      </c>
      <c r="P175" s="118">
        <f t="shared" si="73"/>
        <v>24825526.36071087</v>
      </c>
      <c r="Q175" s="118">
        <f t="shared" si="73"/>
        <v>24825526.36071087</v>
      </c>
      <c r="R175" s="118">
        <f t="shared" si="73"/>
        <v>24825526.36071087</v>
      </c>
      <c r="S175" s="118">
        <f t="shared" si="73"/>
        <v>15019754.545051638</v>
      </c>
      <c r="T175" s="118">
        <f t="shared" si="73"/>
        <v>11264815.908788728</v>
      </c>
      <c r="U175" s="118">
        <f t="shared" si="73"/>
        <v>7509877.272525819</v>
      </c>
      <c r="V175" s="118">
        <f t="shared" si="73"/>
        <v>3754938.6362629095</v>
      </c>
      <c r="W175" s="118">
        <f t="shared" si="73"/>
        <v>0</v>
      </c>
      <c r="X175" s="118">
        <f t="shared" si="73"/>
        <v>0</v>
      </c>
      <c r="Y175" s="118">
        <f t="shared" si="73"/>
        <v>0</v>
      </c>
      <c r="Z175" s="118">
        <f t="shared" si="73"/>
        <v>0</v>
      </c>
      <c r="AA175" s="118">
        <f t="shared" si="73"/>
        <v>0</v>
      </c>
      <c r="AB175" s="118">
        <f t="shared" si="73"/>
        <v>0</v>
      </c>
      <c r="AC175" s="118">
        <f t="shared" si="73"/>
        <v>0</v>
      </c>
      <c r="AD175" s="118">
        <f t="shared" si="73"/>
        <v>0</v>
      </c>
      <c r="AE175" s="118">
        <f t="shared" si="73"/>
        <v>0</v>
      </c>
      <c r="AF175" s="118">
        <f t="shared" si="73"/>
        <v>0</v>
      </c>
      <c r="AG175" s="118">
        <f t="shared" si="73"/>
        <v>0</v>
      </c>
      <c r="AH175" s="118">
        <f t="shared" si="73"/>
        <v>0</v>
      </c>
      <c r="AI175" s="118">
        <f t="shared" si="73"/>
        <v>0</v>
      </c>
      <c r="AJ175" s="118">
        <f t="shared" si="73"/>
        <v>0</v>
      </c>
      <c r="AK175" s="118">
        <f t="shared" si="73"/>
        <v>0</v>
      </c>
      <c r="AL175" s="118">
        <f t="shared" si="73"/>
        <v>0</v>
      </c>
      <c r="AM175" s="118">
        <f t="shared" si="73"/>
        <v>0</v>
      </c>
      <c r="AN175" s="118">
        <f t="shared" si="73"/>
        <v>0</v>
      </c>
      <c r="AO175" s="118">
        <f t="shared" si="73"/>
        <v>0</v>
      </c>
      <c r="AP175" s="118">
        <f t="shared" si="73"/>
        <v>0</v>
      </c>
      <c r="AQ175" s="118">
        <f t="shared" si="73"/>
        <v>0</v>
      </c>
      <c r="AR175" s="118">
        <f t="shared" si="73"/>
        <v>0</v>
      </c>
      <c r="AS175" s="118">
        <f t="shared" si="73"/>
        <v>0</v>
      </c>
      <c r="AT175" s="118">
        <f t="shared" si="73"/>
        <v>0</v>
      </c>
      <c r="AU175" s="118">
        <f t="shared" si="73"/>
        <v>0</v>
      </c>
      <c r="AV175" s="118">
        <f t="shared" si="73"/>
        <v>0</v>
      </c>
      <c r="AW175" s="118">
        <f t="shared" si="73"/>
        <v>0</v>
      </c>
      <c r="AX175" s="118">
        <f t="shared" si="73"/>
        <v>0</v>
      </c>
      <c r="AY175" s="118">
        <f t="shared" si="73"/>
        <v>0</v>
      </c>
      <c r="AZ175" s="118">
        <f t="shared" si="73"/>
        <v>0</v>
      </c>
      <c r="BA175" s="118">
        <f t="shared" si="73"/>
        <v>0</v>
      </c>
      <c r="BB175" s="118">
        <f t="shared" si="73"/>
        <v>0</v>
      </c>
      <c r="BC175" s="118">
        <f t="shared" si="73"/>
        <v>0</v>
      </c>
      <c r="BD175" s="118">
        <f t="shared" si="73"/>
        <v>0</v>
      </c>
      <c r="BE175" s="118">
        <f t="shared" si="73"/>
        <v>0</v>
      </c>
      <c r="BF175" s="118">
        <f t="shared" si="73"/>
        <v>0</v>
      </c>
      <c r="BG175" s="118">
        <f t="shared" si="73"/>
        <v>0</v>
      </c>
      <c r="BH175" s="118">
        <f t="shared" si="73"/>
        <v>0</v>
      </c>
      <c r="BI175" s="118">
        <f t="shared" si="73"/>
        <v>0</v>
      </c>
      <c r="BJ175" s="119">
        <f t="shared" si="73"/>
        <v>0</v>
      </c>
    </row>
    <row r="176" spans="1:63" s="125" customFormat="1" ht="12.75">
      <c r="A176" s="120" t="s">
        <v>119</v>
      </c>
      <c r="B176" s="121">
        <f t="shared" ref="B176:B181" si="74">SUM(C176:BJ176)</f>
        <v>90028550.217954546</v>
      </c>
      <c r="C176" s="224">
        <v>0</v>
      </c>
      <c r="D176" s="123">
        <v>0</v>
      </c>
      <c r="E176" s="123">
        <v>0</v>
      </c>
      <c r="F176" s="123">
        <v>0</v>
      </c>
      <c r="G176" s="123">
        <v>0</v>
      </c>
      <c r="H176" s="123">
        <v>1358305.7514133889</v>
      </c>
      <c r="I176" s="123">
        <v>2716611.5028267778</v>
      </c>
      <c r="J176" s="123">
        <v>4074917.2542401659</v>
      </c>
      <c r="K176" s="123">
        <v>5433223.0056535555</v>
      </c>
      <c r="L176" s="123">
        <v>8980347.8842409644</v>
      </c>
      <c r="M176" s="123">
        <v>8980347.8842409644</v>
      </c>
      <c r="N176" s="123">
        <v>8980347.8842409644</v>
      </c>
      <c r="O176" s="123">
        <v>8980347.8842409644</v>
      </c>
      <c r="P176" s="123">
        <v>8980347.8842409644</v>
      </c>
      <c r="Q176" s="123">
        <v>8980347.8842409644</v>
      </c>
      <c r="R176" s="123">
        <v>8980347.8842409644</v>
      </c>
      <c r="S176" s="123">
        <v>5433223.0056535555</v>
      </c>
      <c r="T176" s="123">
        <v>4074917.2542401659</v>
      </c>
      <c r="U176" s="123">
        <v>2716611.5028267778</v>
      </c>
      <c r="V176" s="123">
        <v>1358305.7514133889</v>
      </c>
      <c r="W176" s="123">
        <v>0</v>
      </c>
      <c r="X176" s="123">
        <v>0</v>
      </c>
      <c r="Y176" s="123">
        <v>0</v>
      </c>
      <c r="Z176" s="123">
        <v>0</v>
      </c>
      <c r="AA176" s="123">
        <v>0</v>
      </c>
      <c r="AB176" s="123">
        <v>0</v>
      </c>
      <c r="AC176" s="123">
        <v>0</v>
      </c>
      <c r="AD176" s="123">
        <v>0</v>
      </c>
      <c r="AE176" s="123">
        <v>0</v>
      </c>
      <c r="AF176" s="123">
        <v>0</v>
      </c>
      <c r="AG176" s="123">
        <v>0</v>
      </c>
      <c r="AH176" s="123">
        <v>0</v>
      </c>
      <c r="AI176" s="123">
        <v>0</v>
      </c>
      <c r="AJ176" s="123">
        <v>0</v>
      </c>
      <c r="AK176" s="123">
        <v>0</v>
      </c>
      <c r="AL176" s="123">
        <v>0</v>
      </c>
      <c r="AM176" s="123">
        <v>0</v>
      </c>
      <c r="AN176" s="123">
        <v>0</v>
      </c>
      <c r="AO176" s="123">
        <v>0</v>
      </c>
      <c r="AP176" s="123">
        <v>0</v>
      </c>
      <c r="AQ176" s="123">
        <v>0</v>
      </c>
      <c r="AR176" s="123">
        <v>0</v>
      </c>
      <c r="AS176" s="123">
        <v>0</v>
      </c>
      <c r="AT176" s="123">
        <v>0</v>
      </c>
      <c r="AU176" s="123">
        <v>0</v>
      </c>
      <c r="AV176" s="123">
        <v>0</v>
      </c>
      <c r="AW176" s="123">
        <v>0</v>
      </c>
      <c r="AX176" s="123">
        <v>0</v>
      </c>
      <c r="AY176" s="123">
        <v>0</v>
      </c>
      <c r="AZ176" s="123">
        <v>0</v>
      </c>
      <c r="BA176" s="123">
        <v>0</v>
      </c>
      <c r="BB176" s="123">
        <v>0</v>
      </c>
      <c r="BC176" s="123">
        <v>0</v>
      </c>
      <c r="BD176" s="123">
        <v>0</v>
      </c>
      <c r="BE176" s="123">
        <v>0</v>
      </c>
      <c r="BF176" s="123">
        <v>0</v>
      </c>
      <c r="BG176" s="123">
        <v>0</v>
      </c>
      <c r="BH176" s="123">
        <v>0</v>
      </c>
      <c r="BI176" s="123">
        <v>0</v>
      </c>
      <c r="BJ176" s="124">
        <v>0</v>
      </c>
    </row>
    <row r="177" spans="1:67" s="125" customFormat="1" ht="12.75">
      <c r="A177" s="120" t="s">
        <v>120</v>
      </c>
      <c r="B177" s="121">
        <f t="shared" si="74"/>
        <v>128428751.90953174</v>
      </c>
      <c r="C177" s="224">
        <v>0</v>
      </c>
      <c r="D177" s="123">
        <v>0</v>
      </c>
      <c r="E177" s="123">
        <v>0</v>
      </c>
      <c r="F177" s="123">
        <v>0</v>
      </c>
      <c r="G177" s="123">
        <v>0</v>
      </c>
      <c r="H177" s="123">
        <v>1937668.7944350599</v>
      </c>
      <c r="I177" s="123">
        <v>3875337.5888701198</v>
      </c>
      <c r="J177" s="123">
        <v>5813006.383305179</v>
      </c>
      <c r="K177" s="123">
        <v>7750675.1777402395</v>
      </c>
      <c r="L177" s="123">
        <v>12810768.002975792</v>
      </c>
      <c r="M177" s="123">
        <v>12810768.002975792</v>
      </c>
      <c r="N177" s="123">
        <v>12810768.002975792</v>
      </c>
      <c r="O177" s="123">
        <v>12810768.002975792</v>
      </c>
      <c r="P177" s="123">
        <v>12810768.002975792</v>
      </c>
      <c r="Q177" s="123">
        <v>12810768.002975792</v>
      </c>
      <c r="R177" s="123">
        <v>12810768.002975792</v>
      </c>
      <c r="S177" s="123">
        <v>7750675.1777402395</v>
      </c>
      <c r="T177" s="123">
        <v>5813006.383305179</v>
      </c>
      <c r="U177" s="123">
        <v>3875337.5888701198</v>
      </c>
      <c r="V177" s="123">
        <v>1937668.7944350599</v>
      </c>
      <c r="W177" s="123">
        <v>0</v>
      </c>
      <c r="X177" s="123">
        <v>0</v>
      </c>
      <c r="Y177" s="123">
        <v>0</v>
      </c>
      <c r="Z177" s="123">
        <v>0</v>
      </c>
      <c r="AA177" s="123">
        <v>0</v>
      </c>
      <c r="AB177" s="123">
        <v>0</v>
      </c>
      <c r="AC177" s="123">
        <v>0</v>
      </c>
      <c r="AD177" s="123">
        <v>0</v>
      </c>
      <c r="AE177" s="123">
        <v>0</v>
      </c>
      <c r="AF177" s="123">
        <v>0</v>
      </c>
      <c r="AG177" s="123">
        <v>0</v>
      </c>
      <c r="AH177" s="123">
        <v>0</v>
      </c>
      <c r="AI177" s="123">
        <v>0</v>
      </c>
      <c r="AJ177" s="123">
        <v>0</v>
      </c>
      <c r="AK177" s="123">
        <v>0</v>
      </c>
      <c r="AL177" s="123">
        <v>0</v>
      </c>
      <c r="AM177" s="123">
        <v>0</v>
      </c>
      <c r="AN177" s="123">
        <v>0</v>
      </c>
      <c r="AO177" s="123">
        <v>0</v>
      </c>
      <c r="AP177" s="123">
        <v>0</v>
      </c>
      <c r="AQ177" s="123">
        <v>0</v>
      </c>
      <c r="AR177" s="123">
        <v>0</v>
      </c>
      <c r="AS177" s="123">
        <v>0</v>
      </c>
      <c r="AT177" s="123">
        <v>0</v>
      </c>
      <c r="AU177" s="123">
        <v>0</v>
      </c>
      <c r="AV177" s="123">
        <v>0</v>
      </c>
      <c r="AW177" s="123">
        <v>0</v>
      </c>
      <c r="AX177" s="123">
        <v>0</v>
      </c>
      <c r="AY177" s="123">
        <v>0</v>
      </c>
      <c r="AZ177" s="123">
        <v>0</v>
      </c>
      <c r="BA177" s="123">
        <v>0</v>
      </c>
      <c r="BB177" s="123">
        <v>0</v>
      </c>
      <c r="BC177" s="123">
        <v>0</v>
      </c>
      <c r="BD177" s="123">
        <v>0</v>
      </c>
      <c r="BE177" s="123">
        <v>0</v>
      </c>
      <c r="BF177" s="123">
        <v>0</v>
      </c>
      <c r="BG177" s="123">
        <v>0</v>
      </c>
      <c r="BH177" s="123">
        <v>0</v>
      </c>
      <c r="BI177" s="123">
        <v>0</v>
      </c>
      <c r="BJ177" s="124">
        <v>0</v>
      </c>
      <c r="BO177" s="126"/>
    </row>
    <row r="178" spans="1:67" s="125" customFormat="1" ht="12.75">
      <c r="A178" s="120" t="s">
        <v>121</v>
      </c>
      <c r="B178" s="121">
        <f t="shared" si="74"/>
        <v>26036353.964031044</v>
      </c>
      <c r="C178" s="224">
        <v>0</v>
      </c>
      <c r="D178" s="123">
        <v>0</v>
      </c>
      <c r="E178" s="123">
        <v>0</v>
      </c>
      <c r="F178" s="123">
        <v>0</v>
      </c>
      <c r="G178" s="123">
        <v>0</v>
      </c>
      <c r="H178" s="123">
        <v>392823.49043231842</v>
      </c>
      <c r="I178" s="123">
        <v>785646.98086463683</v>
      </c>
      <c r="J178" s="123">
        <v>1178470.4712969551</v>
      </c>
      <c r="K178" s="123">
        <v>1571293.9617292737</v>
      </c>
      <c r="L178" s="123">
        <v>2597126.3079120968</v>
      </c>
      <c r="M178" s="123">
        <v>2597126.3079120968</v>
      </c>
      <c r="N178" s="123">
        <v>2597126.3079120968</v>
      </c>
      <c r="O178" s="123">
        <v>2597126.3079120968</v>
      </c>
      <c r="P178" s="123">
        <v>2597126.3079120968</v>
      </c>
      <c r="Q178" s="123">
        <v>2597126.3079120968</v>
      </c>
      <c r="R178" s="123">
        <v>2597126.3079120968</v>
      </c>
      <c r="S178" s="123">
        <v>1571293.9617292737</v>
      </c>
      <c r="T178" s="123">
        <v>1178470.4712969551</v>
      </c>
      <c r="U178" s="123">
        <v>785646.98086463683</v>
      </c>
      <c r="V178" s="123">
        <v>392823.49043231842</v>
      </c>
      <c r="W178" s="123">
        <v>0</v>
      </c>
      <c r="X178" s="123">
        <v>0</v>
      </c>
      <c r="Y178" s="123">
        <v>0</v>
      </c>
      <c r="Z178" s="123">
        <v>0</v>
      </c>
      <c r="AA178" s="123">
        <v>0</v>
      </c>
      <c r="AB178" s="123">
        <v>0</v>
      </c>
      <c r="AC178" s="123">
        <v>0</v>
      </c>
      <c r="AD178" s="123">
        <v>0</v>
      </c>
      <c r="AE178" s="123">
        <v>0</v>
      </c>
      <c r="AF178" s="123">
        <v>0</v>
      </c>
      <c r="AG178" s="123">
        <v>0</v>
      </c>
      <c r="AH178" s="123">
        <v>0</v>
      </c>
      <c r="AI178" s="123">
        <v>0</v>
      </c>
      <c r="AJ178" s="123">
        <v>0</v>
      </c>
      <c r="AK178" s="123">
        <v>0</v>
      </c>
      <c r="AL178" s="123">
        <v>0</v>
      </c>
      <c r="AM178" s="123">
        <v>0</v>
      </c>
      <c r="AN178" s="123">
        <v>0</v>
      </c>
      <c r="AO178" s="123">
        <v>0</v>
      </c>
      <c r="AP178" s="123">
        <v>0</v>
      </c>
      <c r="AQ178" s="123">
        <v>0</v>
      </c>
      <c r="AR178" s="123">
        <v>0</v>
      </c>
      <c r="AS178" s="123">
        <v>0</v>
      </c>
      <c r="AT178" s="123">
        <v>0</v>
      </c>
      <c r="AU178" s="123">
        <v>0</v>
      </c>
      <c r="AV178" s="123">
        <v>0</v>
      </c>
      <c r="AW178" s="123">
        <v>0</v>
      </c>
      <c r="AX178" s="123">
        <v>0</v>
      </c>
      <c r="AY178" s="123">
        <v>0</v>
      </c>
      <c r="AZ178" s="123">
        <v>0</v>
      </c>
      <c r="BA178" s="123">
        <v>0</v>
      </c>
      <c r="BB178" s="123">
        <v>0</v>
      </c>
      <c r="BC178" s="123">
        <v>0</v>
      </c>
      <c r="BD178" s="123">
        <v>0</v>
      </c>
      <c r="BE178" s="123">
        <v>0</v>
      </c>
      <c r="BF178" s="123">
        <v>0</v>
      </c>
      <c r="BG178" s="123">
        <v>0</v>
      </c>
      <c r="BH178" s="123">
        <v>0</v>
      </c>
      <c r="BI178" s="123">
        <v>0</v>
      </c>
      <c r="BJ178" s="124">
        <v>0</v>
      </c>
    </row>
    <row r="179" spans="1:67" s="125" customFormat="1" ht="12.75">
      <c r="A179" s="120" t="s">
        <v>122</v>
      </c>
      <c r="B179" s="121">
        <f t="shared" si="74"/>
        <v>4383801.1587169757</v>
      </c>
      <c r="C179" s="224">
        <v>0</v>
      </c>
      <c r="D179" s="123">
        <v>0</v>
      </c>
      <c r="E179" s="123">
        <v>0</v>
      </c>
      <c r="F179" s="123">
        <v>0</v>
      </c>
      <c r="G179" s="123">
        <v>0</v>
      </c>
      <c r="H179" s="123">
        <v>66140.599982142361</v>
      </c>
      <c r="I179" s="123">
        <v>132281.19996428472</v>
      </c>
      <c r="J179" s="123">
        <v>198421.79994642705</v>
      </c>
      <c r="K179" s="123">
        <v>264562.39992856944</v>
      </c>
      <c r="L179" s="123">
        <v>437284.16558201832</v>
      </c>
      <c r="M179" s="123">
        <v>437284.16558201832</v>
      </c>
      <c r="N179" s="123">
        <v>437284.16558201832</v>
      </c>
      <c r="O179" s="123">
        <v>437284.16558201832</v>
      </c>
      <c r="P179" s="123">
        <v>437284.16558201832</v>
      </c>
      <c r="Q179" s="123">
        <v>437284.16558201832</v>
      </c>
      <c r="R179" s="123">
        <v>437284.16558201832</v>
      </c>
      <c r="S179" s="123">
        <v>264562.39992856944</v>
      </c>
      <c r="T179" s="123">
        <v>198421.79994642705</v>
      </c>
      <c r="U179" s="123">
        <v>132281.19996428472</v>
      </c>
      <c r="V179" s="123">
        <v>66140.599982142361</v>
      </c>
      <c r="W179" s="123">
        <v>0</v>
      </c>
      <c r="X179" s="123">
        <v>0</v>
      </c>
      <c r="Y179" s="123">
        <v>0</v>
      </c>
      <c r="Z179" s="123">
        <v>0</v>
      </c>
      <c r="AA179" s="123">
        <v>0</v>
      </c>
      <c r="AB179" s="123">
        <v>0</v>
      </c>
      <c r="AC179" s="123">
        <v>0</v>
      </c>
      <c r="AD179" s="123">
        <v>0</v>
      </c>
      <c r="AE179" s="123">
        <v>0</v>
      </c>
      <c r="AF179" s="123">
        <v>0</v>
      </c>
      <c r="AG179" s="123">
        <v>0</v>
      </c>
      <c r="AH179" s="123">
        <v>0</v>
      </c>
      <c r="AI179" s="123">
        <v>0</v>
      </c>
      <c r="AJ179" s="123">
        <v>0</v>
      </c>
      <c r="AK179" s="123">
        <v>0</v>
      </c>
      <c r="AL179" s="123">
        <v>0</v>
      </c>
      <c r="AM179" s="123">
        <v>0</v>
      </c>
      <c r="AN179" s="123">
        <v>0</v>
      </c>
      <c r="AO179" s="123">
        <v>0</v>
      </c>
      <c r="AP179" s="123">
        <v>0</v>
      </c>
      <c r="AQ179" s="123">
        <v>0</v>
      </c>
      <c r="AR179" s="123">
        <v>0</v>
      </c>
      <c r="AS179" s="123">
        <v>0</v>
      </c>
      <c r="AT179" s="123">
        <v>0</v>
      </c>
      <c r="AU179" s="123">
        <v>0</v>
      </c>
      <c r="AV179" s="123">
        <v>0</v>
      </c>
      <c r="AW179" s="123">
        <v>0</v>
      </c>
      <c r="AX179" s="123">
        <v>0</v>
      </c>
      <c r="AY179" s="123">
        <v>0</v>
      </c>
      <c r="AZ179" s="123">
        <v>0</v>
      </c>
      <c r="BA179" s="123">
        <v>0</v>
      </c>
      <c r="BB179" s="123">
        <v>0</v>
      </c>
      <c r="BC179" s="123">
        <v>0</v>
      </c>
      <c r="BD179" s="123">
        <v>0</v>
      </c>
      <c r="BE179" s="123">
        <v>0</v>
      </c>
      <c r="BF179" s="123">
        <v>0</v>
      </c>
      <c r="BG179" s="123">
        <v>0</v>
      </c>
      <c r="BH179" s="123">
        <v>0</v>
      </c>
      <c r="BI179" s="123">
        <v>0</v>
      </c>
      <c r="BJ179" s="124">
        <v>0</v>
      </c>
    </row>
    <row r="180" spans="1:67" s="116" customFormat="1">
      <c r="A180" s="127" t="s">
        <v>123</v>
      </c>
      <c r="B180" s="112">
        <f t="shared" si="74"/>
        <v>27650781.870286357</v>
      </c>
      <c r="C180" s="225">
        <v>5530156.3740572715</v>
      </c>
      <c r="D180" s="129">
        <f>C180</f>
        <v>5530156.3740572715</v>
      </c>
      <c r="E180" s="129">
        <f>D180</f>
        <v>5530156.3740572715</v>
      </c>
      <c r="F180" s="129">
        <f>E180</f>
        <v>5530156.3740572715</v>
      </c>
      <c r="G180" s="129">
        <f>F180</f>
        <v>5530156.3740572715</v>
      </c>
      <c r="H180" s="129"/>
      <c r="I180" s="129"/>
      <c r="J180" s="129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J180" s="129"/>
      <c r="AK180" s="129"/>
      <c r="AL180" s="129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129"/>
      <c r="BE180" s="129"/>
      <c r="BF180" s="129"/>
      <c r="BG180" s="129"/>
      <c r="BH180" s="129"/>
      <c r="BI180" s="129"/>
      <c r="BJ180" s="130"/>
    </row>
    <row r="181" spans="1:67" s="105" customFormat="1" ht="22.5" customHeight="1">
      <c r="A181" s="131" t="s">
        <v>124</v>
      </c>
      <c r="B181" s="132">
        <f t="shared" si="74"/>
        <v>1920602599.001657</v>
      </c>
      <c r="C181" s="102">
        <f>C172-C174-C175-C180</f>
        <v>1382539.0935143176</v>
      </c>
      <c r="D181" s="103">
        <f>D172-D174-D175-D180</f>
        <v>1382539.0935143176</v>
      </c>
      <c r="E181" s="103">
        <f t="shared" ref="E181:BJ181" si="75">E172-E174-E175-E180</f>
        <v>1382539.0935143176</v>
      </c>
      <c r="F181" s="103">
        <f t="shared" si="75"/>
        <v>1382539.0935143176</v>
      </c>
      <c r="G181" s="103">
        <f t="shared" si="75"/>
        <v>1382539.0935143176</v>
      </c>
      <c r="H181" s="103">
        <f t="shared" si="75"/>
        <v>28872796.419570506</v>
      </c>
      <c r="I181" s="103">
        <f t="shared" si="75"/>
        <v>57745592.839141011</v>
      </c>
      <c r="J181" s="103">
        <f t="shared" si="75"/>
        <v>86618389.258711502</v>
      </c>
      <c r="K181" s="103">
        <f t="shared" si="75"/>
        <v>115491185.67828202</v>
      </c>
      <c r="L181" s="103">
        <f t="shared" si="75"/>
        <v>190890567.877525</v>
      </c>
      <c r="M181" s="103">
        <f t="shared" si="75"/>
        <v>190890567.877525</v>
      </c>
      <c r="N181" s="103">
        <f t="shared" si="75"/>
        <v>190890567.877525</v>
      </c>
      <c r="O181" s="103">
        <f t="shared" si="75"/>
        <v>190890567.877525</v>
      </c>
      <c r="P181" s="103">
        <f t="shared" si="75"/>
        <v>190890567.877525</v>
      </c>
      <c r="Q181" s="103">
        <f t="shared" si="75"/>
        <v>190890567.877525</v>
      </c>
      <c r="R181" s="103">
        <f t="shared" si="75"/>
        <v>190890567.877525</v>
      </c>
      <c r="S181" s="103">
        <f t="shared" si="75"/>
        <v>115491185.67828202</v>
      </c>
      <c r="T181" s="103">
        <f t="shared" si="75"/>
        <v>86618389.258711502</v>
      </c>
      <c r="U181" s="103">
        <f t="shared" si="75"/>
        <v>57745592.839141011</v>
      </c>
      <c r="V181" s="103">
        <f t="shared" si="75"/>
        <v>28872796.419570506</v>
      </c>
      <c r="W181" s="103">
        <f t="shared" si="75"/>
        <v>0</v>
      </c>
      <c r="X181" s="103">
        <f t="shared" si="75"/>
        <v>0</v>
      </c>
      <c r="Y181" s="103">
        <f t="shared" si="75"/>
        <v>0</v>
      </c>
      <c r="Z181" s="103">
        <f t="shared" si="75"/>
        <v>0</v>
      </c>
      <c r="AA181" s="103">
        <f t="shared" si="75"/>
        <v>0</v>
      </c>
      <c r="AB181" s="103">
        <f t="shared" si="75"/>
        <v>0</v>
      </c>
      <c r="AC181" s="103">
        <f t="shared" si="75"/>
        <v>0</v>
      </c>
      <c r="AD181" s="103">
        <f t="shared" si="75"/>
        <v>0</v>
      </c>
      <c r="AE181" s="103">
        <f t="shared" si="75"/>
        <v>0</v>
      </c>
      <c r="AF181" s="103">
        <f t="shared" si="75"/>
        <v>0</v>
      </c>
      <c r="AG181" s="103">
        <f t="shared" si="75"/>
        <v>0</v>
      </c>
      <c r="AH181" s="103">
        <f t="shared" si="75"/>
        <v>0</v>
      </c>
      <c r="AI181" s="103">
        <f t="shared" si="75"/>
        <v>0</v>
      </c>
      <c r="AJ181" s="103">
        <f t="shared" si="75"/>
        <v>0</v>
      </c>
      <c r="AK181" s="103">
        <f t="shared" si="75"/>
        <v>0</v>
      </c>
      <c r="AL181" s="103">
        <f t="shared" si="75"/>
        <v>0</v>
      </c>
      <c r="AM181" s="103">
        <f t="shared" si="75"/>
        <v>0</v>
      </c>
      <c r="AN181" s="103">
        <f t="shared" si="75"/>
        <v>0</v>
      </c>
      <c r="AO181" s="103">
        <f t="shared" si="75"/>
        <v>0</v>
      </c>
      <c r="AP181" s="103">
        <f t="shared" si="75"/>
        <v>0</v>
      </c>
      <c r="AQ181" s="103">
        <f t="shared" si="75"/>
        <v>0</v>
      </c>
      <c r="AR181" s="103">
        <f t="shared" si="75"/>
        <v>0</v>
      </c>
      <c r="AS181" s="103">
        <f t="shared" si="75"/>
        <v>0</v>
      </c>
      <c r="AT181" s="103">
        <f t="shared" si="75"/>
        <v>0</v>
      </c>
      <c r="AU181" s="103">
        <f t="shared" si="75"/>
        <v>0</v>
      </c>
      <c r="AV181" s="103">
        <f t="shared" si="75"/>
        <v>0</v>
      </c>
      <c r="AW181" s="103">
        <f t="shared" si="75"/>
        <v>0</v>
      </c>
      <c r="AX181" s="103">
        <f t="shared" si="75"/>
        <v>0</v>
      </c>
      <c r="AY181" s="103">
        <f t="shared" si="75"/>
        <v>0</v>
      </c>
      <c r="AZ181" s="103">
        <f t="shared" si="75"/>
        <v>0</v>
      </c>
      <c r="BA181" s="103">
        <f t="shared" si="75"/>
        <v>0</v>
      </c>
      <c r="BB181" s="103">
        <f t="shared" si="75"/>
        <v>0</v>
      </c>
      <c r="BC181" s="103">
        <f t="shared" si="75"/>
        <v>0</v>
      </c>
      <c r="BD181" s="103">
        <f t="shared" si="75"/>
        <v>0</v>
      </c>
      <c r="BE181" s="103">
        <f t="shared" si="75"/>
        <v>0</v>
      </c>
      <c r="BF181" s="103">
        <f t="shared" si="75"/>
        <v>0</v>
      </c>
      <c r="BG181" s="103">
        <f t="shared" si="75"/>
        <v>0</v>
      </c>
      <c r="BH181" s="103">
        <f t="shared" si="75"/>
        <v>0</v>
      </c>
      <c r="BI181" s="103">
        <f t="shared" si="75"/>
        <v>0</v>
      </c>
      <c r="BJ181" s="104">
        <f t="shared" si="75"/>
        <v>0</v>
      </c>
      <c r="BK181" s="109"/>
      <c r="BL181" s="109"/>
    </row>
    <row r="182" spans="1:67" s="116" customFormat="1">
      <c r="A182" s="136" t="s">
        <v>125</v>
      </c>
      <c r="B182" s="137">
        <f t="shared" ref="B182:G182" si="76">SUM(B183:B186)</f>
        <v>299550644.98244774</v>
      </c>
      <c r="C182" s="113">
        <f t="shared" si="76"/>
        <v>35198374.388465576</v>
      </c>
      <c r="D182" s="114">
        <f t="shared" si="76"/>
        <v>37957542.668367475</v>
      </c>
      <c r="E182" s="114">
        <f t="shared" si="76"/>
        <v>75464909.308538228</v>
      </c>
      <c r="F182" s="114">
        <f t="shared" si="76"/>
        <v>75464909.308538228</v>
      </c>
      <c r="G182" s="114">
        <f t="shared" si="76"/>
        <v>75464909.308538228</v>
      </c>
      <c r="H182" s="114"/>
      <c r="I182" s="114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  <c r="AJ182" s="114"/>
      <c r="AK182" s="114"/>
      <c r="AL182" s="114"/>
      <c r="AM182" s="114"/>
      <c r="AN182" s="114"/>
      <c r="AO182" s="114"/>
      <c r="AP182" s="114"/>
      <c r="AQ182" s="114"/>
      <c r="AR182" s="114"/>
      <c r="AS182" s="114"/>
      <c r="AT182" s="114"/>
      <c r="AU182" s="114"/>
      <c r="AV182" s="114"/>
      <c r="AW182" s="114"/>
      <c r="AX182" s="114"/>
      <c r="AY182" s="114"/>
      <c r="AZ182" s="114"/>
      <c r="BA182" s="114"/>
      <c r="BB182" s="114"/>
      <c r="BC182" s="114"/>
      <c r="BD182" s="114"/>
      <c r="BE182" s="114"/>
      <c r="BF182" s="114"/>
      <c r="BG182" s="114"/>
      <c r="BH182" s="114"/>
      <c r="BI182" s="114"/>
      <c r="BJ182" s="115"/>
    </row>
    <row r="183" spans="1:67" s="143" customFormat="1" ht="12.75">
      <c r="A183" s="138" t="s">
        <v>126</v>
      </c>
      <c r="B183" s="139">
        <f>SUM(C183:BJ183)</f>
        <v>9077109.5999236479</v>
      </c>
      <c r="C183" s="140"/>
      <c r="D183" s="141"/>
      <c r="E183" s="226">
        <v>3025703.1999745495</v>
      </c>
      <c r="F183" s="141">
        <f t="shared" ref="F183:G185" si="77">E183</f>
        <v>3025703.1999745495</v>
      </c>
      <c r="G183" s="141">
        <f t="shared" si="77"/>
        <v>3025703.1999745495</v>
      </c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  <c r="AH183" s="141"/>
      <c r="AI183" s="141"/>
      <c r="AJ183" s="141"/>
      <c r="AK183" s="141"/>
      <c r="AL183" s="141"/>
      <c r="AM183" s="141"/>
      <c r="AN183" s="141"/>
      <c r="AO183" s="141"/>
      <c r="AP183" s="141"/>
      <c r="AQ183" s="141"/>
      <c r="AR183" s="141"/>
      <c r="AS183" s="141"/>
      <c r="AT183" s="141"/>
      <c r="AU183" s="141"/>
      <c r="AV183" s="141"/>
      <c r="AW183" s="141"/>
      <c r="AX183" s="141"/>
      <c r="AY183" s="141"/>
      <c r="AZ183" s="141"/>
      <c r="BA183" s="141"/>
      <c r="BB183" s="141"/>
      <c r="BC183" s="141"/>
      <c r="BD183" s="141"/>
      <c r="BE183" s="141"/>
      <c r="BF183" s="141"/>
      <c r="BG183" s="141"/>
      <c r="BH183" s="141"/>
      <c r="BI183" s="141"/>
      <c r="BJ183" s="142"/>
      <c r="BK183" s="141"/>
      <c r="BL183" s="141"/>
    </row>
    <row r="184" spans="1:67" s="143" customFormat="1" ht="12.75">
      <c r="A184" s="138" t="s">
        <v>127</v>
      </c>
      <c r="B184" s="139">
        <f>SUM(C184:BJ184)</f>
        <v>120000000</v>
      </c>
      <c r="C184" s="140"/>
      <c r="D184" s="141"/>
      <c r="E184" s="141">
        <v>40000000</v>
      </c>
      <c r="F184" s="141">
        <f t="shared" si="77"/>
        <v>40000000</v>
      </c>
      <c r="G184" s="141">
        <f t="shared" si="77"/>
        <v>40000000</v>
      </c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  <c r="AH184" s="141"/>
      <c r="AI184" s="141"/>
      <c r="AJ184" s="141"/>
      <c r="AK184" s="141"/>
      <c r="AL184" s="141"/>
      <c r="AM184" s="141"/>
      <c r="AN184" s="141"/>
      <c r="AO184" s="141"/>
      <c r="AP184" s="141"/>
      <c r="AQ184" s="141"/>
      <c r="AR184" s="141"/>
      <c r="AS184" s="141"/>
      <c r="AT184" s="141"/>
      <c r="AU184" s="141"/>
      <c r="AV184" s="141"/>
      <c r="AW184" s="141"/>
      <c r="AX184" s="141"/>
      <c r="AY184" s="141"/>
      <c r="AZ184" s="141"/>
      <c r="BA184" s="141"/>
      <c r="BB184" s="141"/>
      <c r="BC184" s="141"/>
      <c r="BD184" s="141"/>
      <c r="BE184" s="141"/>
      <c r="BF184" s="141"/>
      <c r="BG184" s="141"/>
      <c r="BH184" s="141"/>
      <c r="BI184" s="141"/>
      <c r="BJ184" s="142"/>
      <c r="BK184" s="141"/>
      <c r="BL184" s="141"/>
    </row>
    <row r="185" spans="1:67" s="143" customFormat="1" ht="12.75">
      <c r="A185" s="138" t="s">
        <v>128</v>
      </c>
      <c r="B185" s="139">
        <f>SUM(C185:BJ185)</f>
        <v>162196030.5428184</v>
      </c>
      <c r="C185" s="140">
        <v>32439206.10856368</v>
      </c>
      <c r="D185" s="141">
        <f>C185</f>
        <v>32439206.10856368</v>
      </c>
      <c r="E185" s="141">
        <f>D185</f>
        <v>32439206.10856368</v>
      </c>
      <c r="F185" s="141">
        <f t="shared" si="77"/>
        <v>32439206.10856368</v>
      </c>
      <c r="G185" s="141">
        <f t="shared" si="77"/>
        <v>32439206.10856368</v>
      </c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  <c r="AH185" s="141"/>
      <c r="AI185" s="141"/>
      <c r="AJ185" s="141"/>
      <c r="AK185" s="141"/>
      <c r="AL185" s="141"/>
      <c r="AM185" s="141"/>
      <c r="AN185" s="141"/>
      <c r="AO185" s="141"/>
      <c r="AP185" s="141"/>
      <c r="AQ185" s="141"/>
      <c r="AR185" s="141"/>
      <c r="AS185" s="141"/>
      <c r="AT185" s="141"/>
      <c r="AU185" s="141"/>
      <c r="AV185" s="141"/>
      <c r="AW185" s="141"/>
      <c r="AX185" s="141"/>
      <c r="AY185" s="141"/>
      <c r="AZ185" s="141"/>
      <c r="BA185" s="141"/>
      <c r="BB185" s="141"/>
      <c r="BC185" s="141"/>
      <c r="BD185" s="141"/>
      <c r="BE185" s="141"/>
      <c r="BF185" s="141"/>
      <c r="BG185" s="141"/>
      <c r="BH185" s="141"/>
      <c r="BI185" s="141"/>
      <c r="BJ185" s="142"/>
      <c r="BK185" s="141"/>
      <c r="BL185" s="141"/>
    </row>
    <row r="186" spans="1:67" s="143" customFormat="1" ht="12.75">
      <c r="A186" s="138" t="s">
        <v>129</v>
      </c>
      <c r="B186" s="139">
        <f>SUM(C186:BJ186)</f>
        <v>8277504.8397056926</v>
      </c>
      <c r="C186" s="140">
        <v>2759168.2799018975</v>
      </c>
      <c r="D186" s="141">
        <v>5518336.5598037951</v>
      </c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  <c r="AH186" s="141"/>
      <c r="AI186" s="141"/>
      <c r="AJ186" s="141"/>
      <c r="AK186" s="141"/>
      <c r="AL186" s="141"/>
      <c r="AM186" s="141"/>
      <c r="AN186" s="141"/>
      <c r="AO186" s="141"/>
      <c r="AP186" s="141"/>
      <c r="AQ186" s="141"/>
      <c r="AR186" s="141"/>
      <c r="AS186" s="141"/>
      <c r="AT186" s="141"/>
      <c r="AU186" s="141"/>
      <c r="AV186" s="141"/>
      <c r="AW186" s="141"/>
      <c r="AX186" s="141"/>
      <c r="AY186" s="141"/>
      <c r="AZ186" s="141"/>
      <c r="BA186" s="141"/>
      <c r="BB186" s="141"/>
      <c r="BC186" s="141"/>
      <c r="BD186" s="141"/>
      <c r="BE186" s="141"/>
      <c r="BF186" s="141"/>
      <c r="BG186" s="141"/>
      <c r="BH186" s="141"/>
      <c r="BI186" s="141"/>
      <c r="BJ186" s="142"/>
      <c r="BK186" s="141"/>
      <c r="BL186" s="141"/>
    </row>
    <row r="187" spans="1:67" s="116" customFormat="1">
      <c r="A187" s="111" t="s">
        <v>130</v>
      </c>
      <c r="B187" s="137">
        <f>SUM(B188:B191)</f>
        <v>299550644.98244786</v>
      </c>
      <c r="C187" s="117">
        <f>SUM(C188:C191)</f>
        <v>1173279.146282186</v>
      </c>
      <c r="D187" s="118">
        <f>SUM(D188:D191)</f>
        <v>2438530.5685611018</v>
      </c>
      <c r="E187" s="118">
        <f t="shared" ref="E187:BJ187" si="78">SUM(E188:E191)</f>
        <v>4954027.5455123764</v>
      </c>
      <c r="F187" s="118">
        <f t="shared" si="78"/>
        <v>7469524.5224636504</v>
      </c>
      <c r="G187" s="118">
        <f t="shared" si="78"/>
        <v>9985021.4994149245</v>
      </c>
      <c r="H187" s="118">
        <f t="shared" si="78"/>
        <v>9985021.4994149245</v>
      </c>
      <c r="I187" s="118">
        <f t="shared" si="78"/>
        <v>9985021.4994149245</v>
      </c>
      <c r="J187" s="118">
        <f t="shared" si="78"/>
        <v>9985021.4994149245</v>
      </c>
      <c r="K187" s="118">
        <f t="shared" si="78"/>
        <v>9985021.4994149245</v>
      </c>
      <c r="L187" s="118">
        <f t="shared" si="78"/>
        <v>9985021.4994149245</v>
      </c>
      <c r="M187" s="118">
        <f t="shared" si="78"/>
        <v>9985021.4994149245</v>
      </c>
      <c r="N187" s="118">
        <f t="shared" si="78"/>
        <v>9985021.4994149245</v>
      </c>
      <c r="O187" s="118">
        <f t="shared" si="78"/>
        <v>9985021.4994149245</v>
      </c>
      <c r="P187" s="118">
        <f t="shared" si="78"/>
        <v>9985021.4994149245</v>
      </c>
      <c r="Q187" s="118">
        <f t="shared" si="78"/>
        <v>9985021.4994149245</v>
      </c>
      <c r="R187" s="118">
        <f t="shared" si="78"/>
        <v>9985021.4994149245</v>
      </c>
      <c r="S187" s="118">
        <f t="shared" si="78"/>
        <v>9985021.4994149245</v>
      </c>
      <c r="T187" s="118">
        <f t="shared" si="78"/>
        <v>9985021.4994149245</v>
      </c>
      <c r="U187" s="118">
        <f t="shared" si="78"/>
        <v>9985021.4994149245</v>
      </c>
      <c r="V187" s="118">
        <f t="shared" si="78"/>
        <v>9985021.4994149245</v>
      </c>
      <c r="W187" s="118">
        <f t="shared" si="78"/>
        <v>9985021.4994149245</v>
      </c>
      <c r="X187" s="118">
        <f t="shared" si="78"/>
        <v>9985021.4994149245</v>
      </c>
      <c r="Y187" s="118">
        <f t="shared" si="78"/>
        <v>9985021.4994149245</v>
      </c>
      <c r="Z187" s="118">
        <f t="shared" si="78"/>
        <v>9985021.4994149245</v>
      </c>
      <c r="AA187" s="118">
        <f t="shared" si="78"/>
        <v>9985021.4994149245</v>
      </c>
      <c r="AB187" s="118">
        <f t="shared" si="78"/>
        <v>9985021.4994149245</v>
      </c>
      <c r="AC187" s="118">
        <f t="shared" si="78"/>
        <v>9985021.4994149245</v>
      </c>
      <c r="AD187" s="118">
        <f t="shared" si="78"/>
        <v>9985021.4994149245</v>
      </c>
      <c r="AE187" s="118">
        <f t="shared" si="78"/>
        <v>9985021.4994149245</v>
      </c>
      <c r="AF187" s="118">
        <f t="shared" si="78"/>
        <v>9985021.4994149245</v>
      </c>
      <c r="AG187" s="118">
        <f t="shared" si="78"/>
        <v>8811742.3531327397</v>
      </c>
      <c r="AH187" s="118">
        <f t="shared" si="78"/>
        <v>7546490.9308538232</v>
      </c>
      <c r="AI187" s="118">
        <f t="shared" si="78"/>
        <v>5030993.9539025482</v>
      </c>
      <c r="AJ187" s="118">
        <f t="shared" si="78"/>
        <v>2515496.9769512741</v>
      </c>
      <c r="AK187" s="118">
        <f t="shared" si="78"/>
        <v>0</v>
      </c>
      <c r="AL187" s="118">
        <f t="shared" si="78"/>
        <v>0</v>
      </c>
      <c r="AM187" s="118">
        <f t="shared" si="78"/>
        <v>0</v>
      </c>
      <c r="AN187" s="118">
        <f t="shared" si="78"/>
        <v>0</v>
      </c>
      <c r="AO187" s="118">
        <f t="shared" si="78"/>
        <v>0</v>
      </c>
      <c r="AP187" s="118">
        <f t="shared" si="78"/>
        <v>0</v>
      </c>
      <c r="AQ187" s="118">
        <f t="shared" si="78"/>
        <v>0</v>
      </c>
      <c r="AR187" s="118">
        <f t="shared" si="78"/>
        <v>0</v>
      </c>
      <c r="AS187" s="118">
        <f t="shared" si="78"/>
        <v>0</v>
      </c>
      <c r="AT187" s="118">
        <f t="shared" si="78"/>
        <v>0</v>
      </c>
      <c r="AU187" s="118">
        <f t="shared" si="78"/>
        <v>0</v>
      </c>
      <c r="AV187" s="118">
        <f t="shared" si="78"/>
        <v>0</v>
      </c>
      <c r="AW187" s="118">
        <f t="shared" si="78"/>
        <v>0</v>
      </c>
      <c r="AX187" s="118">
        <f t="shared" si="78"/>
        <v>0</v>
      </c>
      <c r="AY187" s="118">
        <f t="shared" si="78"/>
        <v>0</v>
      </c>
      <c r="AZ187" s="118">
        <f t="shared" si="78"/>
        <v>0</v>
      </c>
      <c r="BA187" s="118">
        <f t="shared" si="78"/>
        <v>0</v>
      </c>
      <c r="BB187" s="118">
        <f t="shared" si="78"/>
        <v>0</v>
      </c>
      <c r="BC187" s="118">
        <f t="shared" si="78"/>
        <v>0</v>
      </c>
      <c r="BD187" s="118">
        <f t="shared" si="78"/>
        <v>0</v>
      </c>
      <c r="BE187" s="118">
        <f t="shared" si="78"/>
        <v>0</v>
      </c>
      <c r="BF187" s="118">
        <f t="shared" si="78"/>
        <v>0</v>
      </c>
      <c r="BG187" s="118">
        <f t="shared" si="78"/>
        <v>0</v>
      </c>
      <c r="BH187" s="118">
        <f t="shared" si="78"/>
        <v>0</v>
      </c>
      <c r="BI187" s="118">
        <f t="shared" si="78"/>
        <v>0</v>
      </c>
      <c r="BJ187" s="119">
        <f t="shared" si="78"/>
        <v>0</v>
      </c>
      <c r="BK187" s="118"/>
      <c r="BL187" s="118"/>
    </row>
    <row r="188" spans="1:67" s="143" customFormat="1" ht="12.75">
      <c r="A188" s="138" t="s">
        <v>126</v>
      </c>
      <c r="B188" s="139">
        <f>SUM(C188:BJ188)</f>
        <v>9077109.5999236461</v>
      </c>
      <c r="C188" s="140"/>
      <c r="D188" s="141"/>
      <c r="E188" s="226">
        <f>$C183/$O169+$D183/$O169+$E183/$O169</f>
        <v>100856.77333248498</v>
      </c>
      <c r="F188" s="141">
        <f>$C183/$O169+$D183/$O169+$E183/$O169+$F183/$O169</f>
        <v>201713.54666496997</v>
      </c>
      <c r="G188" s="141">
        <f>$C183/$O169+$D183/$O169+$E183/$O169+$F183/$O169+$G183/$O169</f>
        <v>302570.31999745494</v>
      </c>
      <c r="H188" s="141">
        <f t="shared" ref="H188:AH191" si="79">G188</f>
        <v>302570.31999745494</v>
      </c>
      <c r="I188" s="141">
        <f t="shared" si="79"/>
        <v>302570.31999745494</v>
      </c>
      <c r="J188" s="141">
        <f t="shared" si="79"/>
        <v>302570.31999745494</v>
      </c>
      <c r="K188" s="141">
        <f t="shared" si="79"/>
        <v>302570.31999745494</v>
      </c>
      <c r="L188" s="141">
        <f t="shared" si="79"/>
        <v>302570.31999745494</v>
      </c>
      <c r="M188" s="141">
        <f t="shared" si="79"/>
        <v>302570.31999745494</v>
      </c>
      <c r="N188" s="141">
        <f t="shared" si="79"/>
        <v>302570.31999745494</v>
      </c>
      <c r="O188" s="141">
        <f t="shared" si="79"/>
        <v>302570.31999745494</v>
      </c>
      <c r="P188" s="141">
        <f t="shared" si="79"/>
        <v>302570.31999745494</v>
      </c>
      <c r="Q188" s="141">
        <f t="shared" si="79"/>
        <v>302570.31999745494</v>
      </c>
      <c r="R188" s="141">
        <f t="shared" si="79"/>
        <v>302570.31999745494</v>
      </c>
      <c r="S188" s="141">
        <f t="shared" si="79"/>
        <v>302570.31999745494</v>
      </c>
      <c r="T188" s="141">
        <f t="shared" si="79"/>
        <v>302570.31999745494</v>
      </c>
      <c r="U188" s="141">
        <f t="shared" si="79"/>
        <v>302570.31999745494</v>
      </c>
      <c r="V188" s="141">
        <f t="shared" si="79"/>
        <v>302570.31999745494</v>
      </c>
      <c r="W188" s="141">
        <f t="shared" si="79"/>
        <v>302570.31999745494</v>
      </c>
      <c r="X188" s="141">
        <f t="shared" si="79"/>
        <v>302570.31999745494</v>
      </c>
      <c r="Y188" s="141">
        <f t="shared" si="79"/>
        <v>302570.31999745494</v>
      </c>
      <c r="Z188" s="141">
        <f t="shared" si="79"/>
        <v>302570.31999745494</v>
      </c>
      <c r="AA188" s="141">
        <f t="shared" si="79"/>
        <v>302570.31999745494</v>
      </c>
      <c r="AB188" s="141">
        <f t="shared" si="79"/>
        <v>302570.31999745494</v>
      </c>
      <c r="AC188" s="141">
        <f t="shared" si="79"/>
        <v>302570.31999745494</v>
      </c>
      <c r="AD188" s="141">
        <f t="shared" si="79"/>
        <v>302570.31999745494</v>
      </c>
      <c r="AE188" s="141">
        <f t="shared" si="79"/>
        <v>302570.31999745494</v>
      </c>
      <c r="AF188" s="141">
        <f t="shared" si="79"/>
        <v>302570.31999745494</v>
      </c>
      <c r="AG188" s="141">
        <f t="shared" si="79"/>
        <v>302570.31999745494</v>
      </c>
      <c r="AH188" s="141">
        <f t="shared" si="79"/>
        <v>302570.31999745494</v>
      </c>
      <c r="AI188" s="141">
        <f>F188</f>
        <v>201713.54666496997</v>
      </c>
      <c r="AJ188" s="141">
        <f>E188</f>
        <v>100856.77333248498</v>
      </c>
      <c r="AK188" s="141"/>
      <c r="AL188" s="141"/>
      <c r="AM188" s="141"/>
      <c r="AN188" s="141"/>
      <c r="AO188" s="141"/>
      <c r="AP188" s="141"/>
      <c r="AQ188" s="141"/>
      <c r="AR188" s="141"/>
      <c r="AS188" s="141"/>
      <c r="AT188" s="141"/>
      <c r="AU188" s="141"/>
      <c r="AV188" s="141"/>
      <c r="AW188" s="141"/>
      <c r="AX188" s="141"/>
      <c r="AY188" s="141"/>
      <c r="AZ188" s="141"/>
      <c r="BA188" s="141"/>
      <c r="BB188" s="141"/>
      <c r="BC188" s="141"/>
      <c r="BD188" s="141"/>
      <c r="BE188" s="141"/>
      <c r="BF188" s="141"/>
      <c r="BG188" s="141"/>
      <c r="BH188" s="141"/>
      <c r="BI188" s="141"/>
      <c r="BJ188" s="142"/>
      <c r="BK188" s="141"/>
      <c r="BL188" s="141"/>
    </row>
    <row r="189" spans="1:67" s="143" customFormat="1" ht="12.75">
      <c r="A189" s="138" t="s">
        <v>127</v>
      </c>
      <c r="B189" s="139">
        <f>SUM(C189:BJ189)</f>
        <v>120000000</v>
      </c>
      <c r="C189" s="140"/>
      <c r="D189" s="141"/>
      <c r="E189" s="226">
        <f>$C184/$O169+$D184/$O169+$E184/$O169</f>
        <v>1333333.3333333333</v>
      </c>
      <c r="F189" s="141">
        <f>$C184/$O169+$D184/$O169+$E184/$O169+$F184/$O169</f>
        <v>2666666.6666666665</v>
      </c>
      <c r="G189" s="141">
        <f>$C184/$O169+$D184/$O169+$E184/$O169+$F184/$O169+$G184/$O169</f>
        <v>4000000</v>
      </c>
      <c r="H189" s="141">
        <f t="shared" si="79"/>
        <v>4000000</v>
      </c>
      <c r="I189" s="141">
        <f t="shared" si="79"/>
        <v>4000000</v>
      </c>
      <c r="J189" s="141">
        <f t="shared" si="79"/>
        <v>4000000</v>
      </c>
      <c r="K189" s="141">
        <f t="shared" si="79"/>
        <v>4000000</v>
      </c>
      <c r="L189" s="141">
        <f t="shared" si="79"/>
        <v>4000000</v>
      </c>
      <c r="M189" s="141">
        <f t="shared" si="79"/>
        <v>4000000</v>
      </c>
      <c r="N189" s="141">
        <f t="shared" si="79"/>
        <v>4000000</v>
      </c>
      <c r="O189" s="141">
        <f t="shared" si="79"/>
        <v>4000000</v>
      </c>
      <c r="P189" s="141">
        <f t="shared" si="79"/>
        <v>4000000</v>
      </c>
      <c r="Q189" s="141">
        <f t="shared" si="79"/>
        <v>4000000</v>
      </c>
      <c r="R189" s="141">
        <f t="shared" si="79"/>
        <v>4000000</v>
      </c>
      <c r="S189" s="141">
        <f t="shared" si="79"/>
        <v>4000000</v>
      </c>
      <c r="T189" s="141">
        <f t="shared" si="79"/>
        <v>4000000</v>
      </c>
      <c r="U189" s="141">
        <f t="shared" si="79"/>
        <v>4000000</v>
      </c>
      <c r="V189" s="141">
        <f t="shared" si="79"/>
        <v>4000000</v>
      </c>
      <c r="W189" s="141">
        <f t="shared" si="79"/>
        <v>4000000</v>
      </c>
      <c r="X189" s="141">
        <f t="shared" si="79"/>
        <v>4000000</v>
      </c>
      <c r="Y189" s="141">
        <f t="shared" si="79"/>
        <v>4000000</v>
      </c>
      <c r="Z189" s="141">
        <f t="shared" si="79"/>
        <v>4000000</v>
      </c>
      <c r="AA189" s="141">
        <f t="shared" si="79"/>
        <v>4000000</v>
      </c>
      <c r="AB189" s="141">
        <f t="shared" si="79"/>
        <v>4000000</v>
      </c>
      <c r="AC189" s="141">
        <f t="shared" si="79"/>
        <v>4000000</v>
      </c>
      <c r="AD189" s="141">
        <f t="shared" si="79"/>
        <v>4000000</v>
      </c>
      <c r="AE189" s="141">
        <f t="shared" si="79"/>
        <v>4000000</v>
      </c>
      <c r="AF189" s="141">
        <f t="shared" si="79"/>
        <v>4000000</v>
      </c>
      <c r="AG189" s="141">
        <f t="shared" si="79"/>
        <v>4000000</v>
      </c>
      <c r="AH189" s="141">
        <f t="shared" si="79"/>
        <v>4000000</v>
      </c>
      <c r="AI189" s="141">
        <f>F189</f>
        <v>2666666.6666666665</v>
      </c>
      <c r="AJ189" s="141">
        <f>E189</f>
        <v>1333333.3333333333</v>
      </c>
      <c r="AK189" s="141"/>
      <c r="AL189" s="141"/>
      <c r="AM189" s="141"/>
      <c r="AN189" s="141"/>
      <c r="AO189" s="141"/>
      <c r="AP189" s="141"/>
      <c r="AQ189" s="141"/>
      <c r="AR189" s="141"/>
      <c r="AS189" s="141"/>
      <c r="AT189" s="141"/>
      <c r="AU189" s="141"/>
      <c r="AV189" s="141"/>
      <c r="AW189" s="141"/>
      <c r="AX189" s="141"/>
      <c r="AY189" s="141"/>
      <c r="AZ189" s="141"/>
      <c r="BA189" s="141"/>
      <c r="BB189" s="141"/>
      <c r="BC189" s="141"/>
      <c r="BD189" s="141"/>
      <c r="BE189" s="141"/>
      <c r="BF189" s="141"/>
      <c r="BG189" s="141"/>
      <c r="BH189" s="141"/>
      <c r="BI189" s="141"/>
      <c r="BJ189" s="142"/>
      <c r="BK189" s="141"/>
      <c r="BL189" s="141"/>
    </row>
    <row r="190" spans="1:67" s="143" customFormat="1" ht="12.75">
      <c r="A190" s="138" t="s">
        <v>128</v>
      </c>
      <c r="B190" s="139">
        <f>SUM(C190:BJ190)</f>
        <v>162196030.54281849</v>
      </c>
      <c r="C190" s="227">
        <f>$C185/$O169</f>
        <v>1081306.8702854561</v>
      </c>
      <c r="D190" s="141">
        <f>$C185/$O169+$D185/$O169</f>
        <v>2162613.7405709121</v>
      </c>
      <c r="E190" s="141">
        <f>$C185/$O169+$D185/$O169+$E185/$O169</f>
        <v>3243920.6108563682</v>
      </c>
      <c r="F190" s="141">
        <f>$C185/$O169+$D185/$O169+$E185/$O169+$F185/$O169</f>
        <v>4325227.4811418243</v>
      </c>
      <c r="G190" s="141">
        <f>$C185/$O169+$D185/$O169+$E185/$O169+$F185/$O169+$G185/$O169</f>
        <v>5406534.3514272803</v>
      </c>
      <c r="H190" s="141">
        <f t="shared" si="79"/>
        <v>5406534.3514272803</v>
      </c>
      <c r="I190" s="141">
        <f t="shared" si="79"/>
        <v>5406534.3514272803</v>
      </c>
      <c r="J190" s="141">
        <f t="shared" si="79"/>
        <v>5406534.3514272803</v>
      </c>
      <c r="K190" s="141">
        <f t="shared" si="79"/>
        <v>5406534.3514272803</v>
      </c>
      <c r="L190" s="141">
        <f t="shared" si="79"/>
        <v>5406534.3514272803</v>
      </c>
      <c r="M190" s="141">
        <f t="shared" si="79"/>
        <v>5406534.3514272803</v>
      </c>
      <c r="N190" s="141">
        <f t="shared" si="79"/>
        <v>5406534.3514272803</v>
      </c>
      <c r="O190" s="141">
        <f t="shared" si="79"/>
        <v>5406534.3514272803</v>
      </c>
      <c r="P190" s="141">
        <f t="shared" si="79"/>
        <v>5406534.3514272803</v>
      </c>
      <c r="Q190" s="141">
        <f t="shared" si="79"/>
        <v>5406534.3514272803</v>
      </c>
      <c r="R190" s="141">
        <f t="shared" si="79"/>
        <v>5406534.3514272803</v>
      </c>
      <c r="S190" s="141">
        <f t="shared" si="79"/>
        <v>5406534.3514272803</v>
      </c>
      <c r="T190" s="141">
        <f t="shared" si="79"/>
        <v>5406534.3514272803</v>
      </c>
      <c r="U190" s="141">
        <f t="shared" si="79"/>
        <v>5406534.3514272803</v>
      </c>
      <c r="V190" s="141">
        <f t="shared" si="79"/>
        <v>5406534.3514272803</v>
      </c>
      <c r="W190" s="141">
        <f t="shared" si="79"/>
        <v>5406534.3514272803</v>
      </c>
      <c r="X190" s="141">
        <f t="shared" si="79"/>
        <v>5406534.3514272803</v>
      </c>
      <c r="Y190" s="141">
        <f t="shared" si="79"/>
        <v>5406534.3514272803</v>
      </c>
      <c r="Z190" s="141">
        <f t="shared" si="79"/>
        <v>5406534.3514272803</v>
      </c>
      <c r="AA190" s="141">
        <f t="shared" si="79"/>
        <v>5406534.3514272803</v>
      </c>
      <c r="AB190" s="141">
        <f t="shared" si="79"/>
        <v>5406534.3514272803</v>
      </c>
      <c r="AC190" s="141">
        <f t="shared" si="79"/>
        <v>5406534.3514272803</v>
      </c>
      <c r="AD190" s="141">
        <f t="shared" si="79"/>
        <v>5406534.3514272803</v>
      </c>
      <c r="AE190" s="141">
        <f t="shared" si="79"/>
        <v>5406534.3514272803</v>
      </c>
      <c r="AF190" s="141">
        <f t="shared" si="79"/>
        <v>5406534.3514272803</v>
      </c>
      <c r="AG190" s="141">
        <f>F190</f>
        <v>4325227.4811418243</v>
      </c>
      <c r="AH190" s="141">
        <f>E190</f>
        <v>3243920.6108563682</v>
      </c>
      <c r="AI190" s="141">
        <f>D190</f>
        <v>2162613.7405709121</v>
      </c>
      <c r="AJ190" s="141">
        <f>C190</f>
        <v>1081306.8702854561</v>
      </c>
      <c r="AK190" s="141"/>
      <c r="AL190" s="141"/>
      <c r="AM190" s="141"/>
      <c r="AN190" s="141"/>
      <c r="AO190" s="141"/>
      <c r="AP190" s="141"/>
      <c r="AQ190" s="141"/>
      <c r="AR190" s="141"/>
      <c r="AS190" s="141"/>
      <c r="AT190" s="141"/>
      <c r="AU190" s="141"/>
      <c r="AV190" s="141"/>
      <c r="AW190" s="141"/>
      <c r="AX190" s="141"/>
      <c r="AY190" s="141"/>
      <c r="AZ190" s="141"/>
      <c r="BA190" s="141"/>
      <c r="BB190" s="141"/>
      <c r="BC190" s="141"/>
      <c r="BD190" s="141"/>
      <c r="BE190" s="141"/>
      <c r="BF190" s="141"/>
      <c r="BG190" s="141"/>
      <c r="BH190" s="141"/>
      <c r="BI190" s="141"/>
      <c r="BJ190" s="142"/>
      <c r="BK190" s="141"/>
      <c r="BL190" s="141"/>
    </row>
    <row r="191" spans="1:67" s="143" customFormat="1" ht="12.75">
      <c r="A191" s="138" t="s">
        <v>129</v>
      </c>
      <c r="B191" s="139">
        <f>SUM(C191:BJ191)</f>
        <v>8277504.8397056973</v>
      </c>
      <c r="C191" s="227">
        <f>$C186/$O169</f>
        <v>91972.275996729921</v>
      </c>
      <c r="D191" s="141">
        <f>$C186/$O169+$D186/$O169</f>
        <v>275916.82799018978</v>
      </c>
      <c r="E191" s="141">
        <f>$C186/$O169+$D186/$O169+$E186/$O169</f>
        <v>275916.82799018978</v>
      </c>
      <c r="F191" s="141">
        <f>$C186/$O169+$D186/$O169+$E186/$O169+$F186/$O169</f>
        <v>275916.82799018978</v>
      </c>
      <c r="G191" s="141">
        <f>$C186/$O169+$D186/$O169+$E186/$O169+$F186/$O169+$G186/$O169</f>
        <v>275916.82799018978</v>
      </c>
      <c r="H191" s="141">
        <f t="shared" si="79"/>
        <v>275916.82799018978</v>
      </c>
      <c r="I191" s="141">
        <f t="shared" si="79"/>
        <v>275916.82799018978</v>
      </c>
      <c r="J191" s="141">
        <f t="shared" si="79"/>
        <v>275916.82799018978</v>
      </c>
      <c r="K191" s="141">
        <f t="shared" si="79"/>
        <v>275916.82799018978</v>
      </c>
      <c r="L191" s="141">
        <f t="shared" si="79"/>
        <v>275916.82799018978</v>
      </c>
      <c r="M191" s="141">
        <f t="shared" si="79"/>
        <v>275916.82799018978</v>
      </c>
      <c r="N191" s="141">
        <f t="shared" si="79"/>
        <v>275916.82799018978</v>
      </c>
      <c r="O191" s="141">
        <f t="shared" si="79"/>
        <v>275916.82799018978</v>
      </c>
      <c r="P191" s="141">
        <f t="shared" si="79"/>
        <v>275916.82799018978</v>
      </c>
      <c r="Q191" s="141">
        <f t="shared" si="79"/>
        <v>275916.82799018978</v>
      </c>
      <c r="R191" s="141">
        <f t="shared" si="79"/>
        <v>275916.82799018978</v>
      </c>
      <c r="S191" s="141">
        <f t="shared" si="79"/>
        <v>275916.82799018978</v>
      </c>
      <c r="T191" s="141">
        <f t="shared" si="79"/>
        <v>275916.82799018978</v>
      </c>
      <c r="U191" s="141">
        <f t="shared" si="79"/>
        <v>275916.82799018978</v>
      </c>
      <c r="V191" s="141">
        <f t="shared" si="79"/>
        <v>275916.82799018978</v>
      </c>
      <c r="W191" s="141">
        <f t="shared" si="79"/>
        <v>275916.82799018978</v>
      </c>
      <c r="X191" s="141">
        <f t="shared" si="79"/>
        <v>275916.82799018978</v>
      </c>
      <c r="Y191" s="141">
        <f t="shared" si="79"/>
        <v>275916.82799018978</v>
      </c>
      <c r="Z191" s="141">
        <f t="shared" si="79"/>
        <v>275916.82799018978</v>
      </c>
      <c r="AA191" s="141">
        <f t="shared" si="79"/>
        <v>275916.82799018978</v>
      </c>
      <c r="AB191" s="141">
        <f t="shared" si="79"/>
        <v>275916.82799018978</v>
      </c>
      <c r="AC191" s="141">
        <f t="shared" si="79"/>
        <v>275916.82799018978</v>
      </c>
      <c r="AD191" s="141">
        <f t="shared" si="79"/>
        <v>275916.82799018978</v>
      </c>
      <c r="AE191" s="141">
        <f t="shared" si="79"/>
        <v>275916.82799018978</v>
      </c>
      <c r="AF191" s="141">
        <f t="shared" si="79"/>
        <v>275916.82799018978</v>
      </c>
      <c r="AG191" s="141">
        <f>AF191-C191</f>
        <v>183944.55199345987</v>
      </c>
      <c r="AH191" s="141"/>
      <c r="AI191" s="141"/>
      <c r="AJ191" s="141"/>
      <c r="AK191" s="141"/>
      <c r="AL191" s="141"/>
      <c r="AM191" s="141"/>
      <c r="AN191" s="141"/>
      <c r="AO191" s="141"/>
      <c r="AP191" s="141"/>
      <c r="AQ191" s="141"/>
      <c r="AR191" s="141"/>
      <c r="AS191" s="141"/>
      <c r="AT191" s="141"/>
      <c r="AU191" s="141"/>
      <c r="AV191" s="141"/>
      <c r="AW191" s="141"/>
      <c r="AX191" s="141"/>
      <c r="AY191" s="141"/>
      <c r="AZ191" s="141"/>
      <c r="BA191" s="141"/>
      <c r="BB191" s="141"/>
      <c r="BC191" s="141"/>
      <c r="BD191" s="141"/>
      <c r="BE191" s="141"/>
      <c r="BF191" s="141"/>
      <c r="BG191" s="141"/>
      <c r="BH191" s="141"/>
      <c r="BI191" s="141"/>
      <c r="BJ191" s="142"/>
      <c r="BK191" s="141"/>
      <c r="BL191" s="141"/>
    </row>
    <row r="192" spans="1:67" s="148" customFormat="1">
      <c r="A192" s="111" t="s">
        <v>131</v>
      </c>
      <c r="B192" s="144"/>
      <c r="C192" s="145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  <c r="AH192" s="146"/>
      <c r="AI192" s="146"/>
      <c r="AJ192" s="146"/>
      <c r="AK192" s="146"/>
      <c r="AL192" s="146"/>
      <c r="AM192" s="146"/>
      <c r="AN192" s="146"/>
      <c r="AO192" s="146"/>
      <c r="AP192" s="146"/>
      <c r="AQ192" s="146"/>
      <c r="AR192" s="146"/>
      <c r="AS192" s="146"/>
      <c r="AT192" s="146"/>
      <c r="AU192" s="146"/>
      <c r="AV192" s="146"/>
      <c r="AW192" s="146"/>
      <c r="AX192" s="146"/>
      <c r="AY192" s="146"/>
      <c r="AZ192" s="146"/>
      <c r="BA192" s="146"/>
      <c r="BB192" s="146"/>
      <c r="BC192" s="146"/>
      <c r="BD192" s="146"/>
      <c r="BE192" s="146"/>
      <c r="BF192" s="146"/>
      <c r="BG192" s="146"/>
      <c r="BH192" s="146"/>
      <c r="BI192" s="146"/>
      <c r="BJ192" s="147"/>
      <c r="BK192" s="146"/>
      <c r="BL192" s="146"/>
    </row>
    <row r="193" spans="1:64" s="153" customFormat="1" ht="12.75">
      <c r="A193" s="138" t="s">
        <v>126</v>
      </c>
      <c r="B193" s="144"/>
      <c r="C193" s="149"/>
      <c r="D193" s="150"/>
      <c r="E193" s="151">
        <f>$B183-E188</f>
        <v>8976252.8265911639</v>
      </c>
      <c r="F193" s="151">
        <f t="shared" ref="F193:AJ196" si="80">E193-F188</f>
        <v>8774539.2799261939</v>
      </c>
      <c r="G193" s="151">
        <f t="shared" si="80"/>
        <v>8471968.9599287398</v>
      </c>
      <c r="H193" s="151">
        <f t="shared" si="80"/>
        <v>8169398.6399312848</v>
      </c>
      <c r="I193" s="151">
        <f t="shared" si="80"/>
        <v>7866828.3199338298</v>
      </c>
      <c r="J193" s="151">
        <f t="shared" si="80"/>
        <v>7564257.9999363748</v>
      </c>
      <c r="K193" s="151">
        <f t="shared" si="80"/>
        <v>7261687.6799389198</v>
      </c>
      <c r="L193" s="151">
        <f t="shared" si="80"/>
        <v>6959117.3599414648</v>
      </c>
      <c r="M193" s="151">
        <f t="shared" si="80"/>
        <v>6656547.0399440099</v>
      </c>
      <c r="N193" s="151">
        <f t="shared" si="80"/>
        <v>6353976.7199465549</v>
      </c>
      <c r="O193" s="151">
        <f t="shared" si="80"/>
        <v>6051406.3999490999</v>
      </c>
      <c r="P193" s="151">
        <f t="shared" si="80"/>
        <v>5748836.0799516449</v>
      </c>
      <c r="Q193" s="151">
        <f t="shared" si="80"/>
        <v>5446265.7599541899</v>
      </c>
      <c r="R193" s="151">
        <f t="shared" si="80"/>
        <v>5143695.4399567349</v>
      </c>
      <c r="S193" s="151">
        <f t="shared" si="80"/>
        <v>4841125.1199592799</v>
      </c>
      <c r="T193" s="151">
        <f t="shared" si="80"/>
        <v>4538554.7999618249</v>
      </c>
      <c r="U193" s="151">
        <f t="shared" si="80"/>
        <v>4235984.4799643699</v>
      </c>
      <c r="V193" s="151">
        <f t="shared" si="80"/>
        <v>3933414.1599669149</v>
      </c>
      <c r="W193" s="151">
        <f t="shared" si="80"/>
        <v>3630843.8399694599</v>
      </c>
      <c r="X193" s="151">
        <f t="shared" si="80"/>
        <v>3328273.5199720049</v>
      </c>
      <c r="Y193" s="151">
        <f t="shared" si="80"/>
        <v>3025703.1999745499</v>
      </c>
      <c r="Z193" s="151">
        <f t="shared" si="80"/>
        <v>2723132.8799770949</v>
      </c>
      <c r="AA193" s="151">
        <f t="shared" si="80"/>
        <v>2420562.5599796399</v>
      </c>
      <c r="AB193" s="151">
        <f t="shared" si="80"/>
        <v>2117992.239982185</v>
      </c>
      <c r="AC193" s="151">
        <f t="shared" si="80"/>
        <v>1815421.91998473</v>
      </c>
      <c r="AD193" s="151">
        <f t="shared" si="80"/>
        <v>1512851.599987275</v>
      </c>
      <c r="AE193" s="151">
        <f t="shared" si="80"/>
        <v>1210281.27998982</v>
      </c>
      <c r="AF193" s="151">
        <f t="shared" si="80"/>
        <v>907710.95999236498</v>
      </c>
      <c r="AG193" s="151">
        <f t="shared" si="80"/>
        <v>605140.63999490999</v>
      </c>
      <c r="AH193" s="151">
        <f t="shared" si="80"/>
        <v>302570.31999745505</v>
      </c>
      <c r="AI193" s="151">
        <f t="shared" si="80"/>
        <v>100856.77333248509</v>
      </c>
      <c r="AJ193" s="151">
        <f t="shared" si="80"/>
        <v>0</v>
      </c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2"/>
      <c r="BK193" s="151"/>
      <c r="BL193" s="151"/>
    </row>
    <row r="194" spans="1:64" s="153" customFormat="1" ht="12.75">
      <c r="A194" s="138" t="s">
        <v>127</v>
      </c>
      <c r="B194" s="144"/>
      <c r="C194" s="149"/>
      <c r="D194" s="150"/>
      <c r="E194" s="151">
        <f>$B184-E189</f>
        <v>118666666.66666667</v>
      </c>
      <c r="F194" s="151">
        <f t="shared" si="80"/>
        <v>116000000</v>
      </c>
      <c r="G194" s="151">
        <f t="shared" si="80"/>
        <v>112000000</v>
      </c>
      <c r="H194" s="151">
        <f t="shared" si="80"/>
        <v>108000000</v>
      </c>
      <c r="I194" s="151">
        <f t="shared" si="80"/>
        <v>104000000</v>
      </c>
      <c r="J194" s="151">
        <f t="shared" si="80"/>
        <v>100000000</v>
      </c>
      <c r="K194" s="151">
        <f t="shared" si="80"/>
        <v>96000000</v>
      </c>
      <c r="L194" s="151">
        <f t="shared" si="80"/>
        <v>92000000</v>
      </c>
      <c r="M194" s="151">
        <f t="shared" si="80"/>
        <v>88000000</v>
      </c>
      <c r="N194" s="151">
        <f t="shared" si="80"/>
        <v>84000000</v>
      </c>
      <c r="O194" s="151">
        <f t="shared" si="80"/>
        <v>80000000</v>
      </c>
      <c r="P194" s="151">
        <f t="shared" si="80"/>
        <v>76000000</v>
      </c>
      <c r="Q194" s="151">
        <f t="shared" si="80"/>
        <v>72000000</v>
      </c>
      <c r="R194" s="151">
        <f t="shared" si="80"/>
        <v>68000000</v>
      </c>
      <c r="S194" s="151">
        <f t="shared" si="80"/>
        <v>64000000</v>
      </c>
      <c r="T194" s="151">
        <f t="shared" si="80"/>
        <v>60000000</v>
      </c>
      <c r="U194" s="151">
        <f t="shared" si="80"/>
        <v>56000000</v>
      </c>
      <c r="V194" s="151">
        <f t="shared" si="80"/>
        <v>52000000</v>
      </c>
      <c r="W194" s="151">
        <f t="shared" si="80"/>
        <v>48000000</v>
      </c>
      <c r="X194" s="151">
        <f t="shared" si="80"/>
        <v>44000000</v>
      </c>
      <c r="Y194" s="151">
        <f t="shared" si="80"/>
        <v>40000000</v>
      </c>
      <c r="Z194" s="151">
        <f t="shared" si="80"/>
        <v>36000000</v>
      </c>
      <c r="AA194" s="151">
        <f t="shared" si="80"/>
        <v>32000000</v>
      </c>
      <c r="AB194" s="151">
        <f t="shared" si="80"/>
        <v>28000000</v>
      </c>
      <c r="AC194" s="151">
        <f t="shared" si="80"/>
        <v>24000000</v>
      </c>
      <c r="AD194" s="151">
        <f t="shared" si="80"/>
        <v>20000000</v>
      </c>
      <c r="AE194" s="151">
        <f t="shared" si="80"/>
        <v>16000000</v>
      </c>
      <c r="AF194" s="151">
        <f t="shared" si="80"/>
        <v>12000000</v>
      </c>
      <c r="AG194" s="151">
        <f t="shared" si="80"/>
        <v>8000000</v>
      </c>
      <c r="AH194" s="151">
        <f t="shared" si="80"/>
        <v>4000000</v>
      </c>
      <c r="AI194" s="151">
        <f t="shared" si="80"/>
        <v>1333333.3333333335</v>
      </c>
      <c r="AJ194" s="151">
        <f t="shared" si="80"/>
        <v>0</v>
      </c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2"/>
      <c r="BK194" s="151"/>
      <c r="BL194" s="151"/>
    </row>
    <row r="195" spans="1:64" s="153" customFormat="1" ht="12.75">
      <c r="A195" s="138" t="s">
        <v>128</v>
      </c>
      <c r="B195" s="144"/>
      <c r="C195" s="154">
        <f>$B185-C190</f>
        <v>161114723.67253295</v>
      </c>
      <c r="D195" s="151">
        <f>C195-D190</f>
        <v>158952109.93196204</v>
      </c>
      <c r="E195" s="151">
        <f>D195-E190</f>
        <v>155708189.32110569</v>
      </c>
      <c r="F195" s="151">
        <f t="shared" si="80"/>
        <v>151382961.83996385</v>
      </c>
      <c r="G195" s="151">
        <f t="shared" si="80"/>
        <v>145976427.48853657</v>
      </c>
      <c r="H195" s="151">
        <f t="shared" si="80"/>
        <v>140569893.13710928</v>
      </c>
      <c r="I195" s="151">
        <f t="shared" si="80"/>
        <v>135163358.78568199</v>
      </c>
      <c r="J195" s="151">
        <f t="shared" si="80"/>
        <v>129756824.43425471</v>
      </c>
      <c r="K195" s="151">
        <f t="shared" si="80"/>
        <v>124350290.08282742</v>
      </c>
      <c r="L195" s="151">
        <f t="shared" si="80"/>
        <v>118943755.73140013</v>
      </c>
      <c r="M195" s="151">
        <f t="shared" si="80"/>
        <v>113537221.37997285</v>
      </c>
      <c r="N195" s="151">
        <f t="shared" si="80"/>
        <v>108130687.02854556</v>
      </c>
      <c r="O195" s="151">
        <f t="shared" si="80"/>
        <v>102724152.67711827</v>
      </c>
      <c r="P195" s="151">
        <f t="shared" si="80"/>
        <v>97317618.325690985</v>
      </c>
      <c r="Q195" s="151">
        <f t="shared" si="80"/>
        <v>91911083.974263698</v>
      </c>
      <c r="R195" s="151">
        <f t="shared" si="80"/>
        <v>86504549.622836411</v>
      </c>
      <c r="S195" s="151">
        <f t="shared" si="80"/>
        <v>81098015.271409124</v>
      </c>
      <c r="T195" s="151">
        <f t="shared" si="80"/>
        <v>75691480.919981837</v>
      </c>
      <c r="U195" s="151">
        <f t="shared" si="80"/>
        <v>70284946.56855455</v>
      </c>
      <c r="V195" s="151">
        <f t="shared" si="80"/>
        <v>64878412.217127271</v>
      </c>
      <c r="W195" s="151">
        <f t="shared" si="80"/>
        <v>59471877.865699992</v>
      </c>
      <c r="X195" s="151">
        <f t="shared" si="80"/>
        <v>54065343.514272712</v>
      </c>
      <c r="Y195" s="151">
        <f t="shared" si="80"/>
        <v>48658809.162845433</v>
      </c>
      <c r="Z195" s="151">
        <f t="shared" si="80"/>
        <v>43252274.811418153</v>
      </c>
      <c r="AA195" s="151">
        <f t="shared" si="80"/>
        <v>37845740.459990874</v>
      </c>
      <c r="AB195" s="151">
        <f t="shared" si="80"/>
        <v>32439206.108563595</v>
      </c>
      <c r="AC195" s="151">
        <f t="shared" si="80"/>
        <v>27032671.757136315</v>
      </c>
      <c r="AD195" s="151">
        <f t="shared" si="80"/>
        <v>21626137.405709036</v>
      </c>
      <c r="AE195" s="151">
        <f t="shared" si="80"/>
        <v>16219603.054281756</v>
      </c>
      <c r="AF195" s="151">
        <f t="shared" si="80"/>
        <v>10813068.702854477</v>
      </c>
      <c r="AG195" s="151">
        <f t="shared" si="80"/>
        <v>6487841.2217126526</v>
      </c>
      <c r="AH195" s="151">
        <f t="shared" si="80"/>
        <v>3243920.6108562844</v>
      </c>
      <c r="AI195" s="151">
        <f t="shared" si="80"/>
        <v>1081306.8702853722</v>
      </c>
      <c r="AJ195" s="151">
        <f t="shared" si="80"/>
        <v>-8.3819031715393066E-8</v>
      </c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2"/>
      <c r="BK195" s="151"/>
      <c r="BL195" s="151"/>
    </row>
    <row r="196" spans="1:64" s="153" customFormat="1" ht="12.75">
      <c r="A196" s="138" t="s">
        <v>129</v>
      </c>
      <c r="B196" s="144"/>
      <c r="C196" s="154">
        <f>$B186-C191</f>
        <v>8185532.5637089629</v>
      </c>
      <c r="D196" s="151">
        <f>C196-D191</f>
        <v>7909615.7357187727</v>
      </c>
      <c r="E196" s="151">
        <f>D196-E191</f>
        <v>7633698.9077285826</v>
      </c>
      <c r="F196" s="151">
        <f t="shared" si="80"/>
        <v>7357782.0797383925</v>
      </c>
      <c r="G196" s="151">
        <f t="shared" si="80"/>
        <v>7081865.2517482024</v>
      </c>
      <c r="H196" s="151">
        <f t="shared" si="80"/>
        <v>6805948.4237580122</v>
      </c>
      <c r="I196" s="151">
        <f t="shared" si="80"/>
        <v>6530031.5957678221</v>
      </c>
      <c r="J196" s="151">
        <f t="shared" si="80"/>
        <v>6254114.767777632</v>
      </c>
      <c r="K196" s="151">
        <f t="shared" si="80"/>
        <v>5978197.9397874419</v>
      </c>
      <c r="L196" s="151">
        <f t="shared" si="80"/>
        <v>5702281.1117972517</v>
      </c>
      <c r="M196" s="151">
        <f t="shared" si="80"/>
        <v>5426364.2838070616</v>
      </c>
      <c r="N196" s="151">
        <f t="shared" si="80"/>
        <v>5150447.4558168715</v>
      </c>
      <c r="O196" s="151">
        <f t="shared" si="80"/>
        <v>4874530.6278266814</v>
      </c>
      <c r="P196" s="151">
        <f t="shared" si="80"/>
        <v>4598613.7998364912</v>
      </c>
      <c r="Q196" s="151">
        <f t="shared" si="80"/>
        <v>4322696.9718463011</v>
      </c>
      <c r="R196" s="151">
        <f t="shared" si="80"/>
        <v>4046780.1438561114</v>
      </c>
      <c r="S196" s="151">
        <f t="shared" si="80"/>
        <v>3770863.3158659218</v>
      </c>
      <c r="T196" s="151">
        <f t="shared" si="80"/>
        <v>3494946.4878757321</v>
      </c>
      <c r="U196" s="151">
        <f t="shared" si="80"/>
        <v>3219029.6598855425</v>
      </c>
      <c r="V196" s="151">
        <f t="shared" si="80"/>
        <v>2943112.8318953528</v>
      </c>
      <c r="W196" s="151">
        <f t="shared" si="80"/>
        <v>2667196.0039051631</v>
      </c>
      <c r="X196" s="151">
        <f t="shared" si="80"/>
        <v>2391279.1759149735</v>
      </c>
      <c r="Y196" s="151">
        <f t="shared" si="80"/>
        <v>2115362.3479247838</v>
      </c>
      <c r="Z196" s="151">
        <f t="shared" si="80"/>
        <v>1839445.5199345942</v>
      </c>
      <c r="AA196" s="151">
        <f t="shared" si="80"/>
        <v>1563528.6919444045</v>
      </c>
      <c r="AB196" s="151">
        <f t="shared" si="80"/>
        <v>1287611.8639542148</v>
      </c>
      <c r="AC196" s="151">
        <f t="shared" si="80"/>
        <v>1011695.0359640251</v>
      </c>
      <c r="AD196" s="151">
        <f t="shared" si="80"/>
        <v>735778.20797383529</v>
      </c>
      <c r="AE196" s="151">
        <f t="shared" si="80"/>
        <v>459861.37998364551</v>
      </c>
      <c r="AF196" s="151">
        <f t="shared" si="80"/>
        <v>183944.55199345574</v>
      </c>
      <c r="AG196" s="151">
        <f t="shared" si="80"/>
        <v>-4.1327439248561859E-9</v>
      </c>
      <c r="AH196" s="151">
        <f t="shared" si="80"/>
        <v>-4.1327439248561859E-9</v>
      </c>
      <c r="AI196" s="151">
        <f t="shared" si="80"/>
        <v>-4.1327439248561859E-9</v>
      </c>
      <c r="AJ196" s="151">
        <f t="shared" si="80"/>
        <v>-4.1327439248561859E-9</v>
      </c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2"/>
      <c r="BK196" s="151"/>
      <c r="BL196" s="151"/>
    </row>
    <row r="197" spans="1:64" s="116" customFormat="1">
      <c r="A197" s="111" t="s">
        <v>132</v>
      </c>
      <c r="B197" s="155">
        <f>SUM(B198:B201)</f>
        <v>426473938.58727258</v>
      </c>
      <c r="C197" s="117">
        <f>SUM(C198:C201)</f>
        <v>17047353.53825241</v>
      </c>
      <c r="D197" s="118">
        <f t="shared" ref="D197:AJ197" si="81">SUM(D198:D201)</f>
        <v>16930025.623624191</v>
      </c>
      <c r="E197" s="118">
        <f t="shared" si="81"/>
        <v>29593883.526760444</v>
      </c>
      <c r="F197" s="118">
        <f t="shared" si="81"/>
        <v>29098480.772209212</v>
      </c>
      <c r="G197" s="118">
        <f t="shared" si="81"/>
        <v>28351528.319962844</v>
      </c>
      <c r="H197" s="118">
        <f t="shared" si="81"/>
        <v>27353026.170021348</v>
      </c>
      <c r="I197" s="118">
        <f t="shared" si="81"/>
        <v>26354524.020079859</v>
      </c>
      <c r="J197" s="118">
        <f t="shared" si="81"/>
        <v>25356021.870138362</v>
      </c>
      <c r="K197" s="118">
        <f t="shared" si="81"/>
        <v>24357519.720196873</v>
      </c>
      <c r="L197" s="118">
        <f t="shared" si="81"/>
        <v>23359017.570255376</v>
      </c>
      <c r="M197" s="118">
        <f t="shared" si="81"/>
        <v>22360515.420313887</v>
      </c>
      <c r="N197" s="118">
        <f t="shared" si="81"/>
        <v>21362013.270372391</v>
      </c>
      <c r="O197" s="118">
        <f t="shared" si="81"/>
        <v>20363511.120430902</v>
      </c>
      <c r="P197" s="118">
        <f t="shared" si="81"/>
        <v>19365008.970489405</v>
      </c>
      <c r="Q197" s="118">
        <f t="shared" si="81"/>
        <v>18366506.820547912</v>
      </c>
      <c r="R197" s="118">
        <f t="shared" si="81"/>
        <v>17368004.670606419</v>
      </c>
      <c r="S197" s="118">
        <f t="shared" si="81"/>
        <v>16369502.520664927</v>
      </c>
      <c r="T197" s="118">
        <f t="shared" si="81"/>
        <v>15371000.370723434</v>
      </c>
      <c r="U197" s="118">
        <f t="shared" si="81"/>
        <v>14372498.220781939</v>
      </c>
      <c r="V197" s="118">
        <f t="shared" si="81"/>
        <v>13373996.070840446</v>
      </c>
      <c r="W197" s="118">
        <f t="shared" si="81"/>
        <v>0</v>
      </c>
      <c r="X197" s="118">
        <f t="shared" si="81"/>
        <v>0</v>
      </c>
      <c r="Y197" s="118">
        <f t="shared" si="81"/>
        <v>0</v>
      </c>
      <c r="Z197" s="118">
        <f t="shared" si="81"/>
        <v>0</v>
      </c>
      <c r="AA197" s="118">
        <f t="shared" si="81"/>
        <v>0</v>
      </c>
      <c r="AB197" s="118">
        <f t="shared" si="81"/>
        <v>0</v>
      </c>
      <c r="AC197" s="118">
        <f t="shared" si="81"/>
        <v>0</v>
      </c>
      <c r="AD197" s="118">
        <f t="shared" si="81"/>
        <v>0</v>
      </c>
      <c r="AE197" s="118">
        <f t="shared" si="81"/>
        <v>0</v>
      </c>
      <c r="AF197" s="118">
        <f t="shared" si="81"/>
        <v>0</v>
      </c>
      <c r="AG197" s="118">
        <f t="shared" si="81"/>
        <v>0</v>
      </c>
      <c r="AH197" s="118">
        <f t="shared" si="81"/>
        <v>0</v>
      </c>
      <c r="AI197" s="118">
        <f t="shared" si="81"/>
        <v>0</v>
      </c>
      <c r="AJ197" s="118">
        <f t="shared" si="81"/>
        <v>0</v>
      </c>
      <c r="AK197" s="118"/>
      <c r="AL197" s="118"/>
      <c r="AM197" s="118"/>
      <c r="AN197" s="118"/>
      <c r="AO197" s="118"/>
      <c r="AP197" s="118"/>
      <c r="AQ197" s="118"/>
      <c r="AR197" s="118"/>
      <c r="AS197" s="118"/>
      <c r="AT197" s="118"/>
      <c r="AU197" s="118"/>
      <c r="AV197" s="118"/>
      <c r="AW197" s="118"/>
      <c r="AX197" s="118"/>
      <c r="AY197" s="118"/>
      <c r="AZ197" s="118"/>
      <c r="BA197" s="118"/>
      <c r="BB197" s="118"/>
      <c r="BC197" s="118"/>
      <c r="BD197" s="118"/>
      <c r="BE197" s="118"/>
      <c r="BF197" s="118"/>
      <c r="BG197" s="118"/>
      <c r="BH197" s="118"/>
      <c r="BI197" s="118"/>
      <c r="BJ197" s="119"/>
      <c r="BK197" s="118"/>
      <c r="BL197" s="118"/>
    </row>
    <row r="198" spans="1:64" s="143" customFormat="1" ht="12.75">
      <c r="A198" s="138" t="s">
        <v>126</v>
      </c>
      <c r="B198" s="139">
        <f>SUM(C198:BJ198)</f>
        <v>12213755.250563933</v>
      </c>
      <c r="C198" s="140"/>
      <c r="D198" s="141"/>
      <c r="E198" s="226">
        <f>IF(AND(E170&gt;5,E171=0),0,(E193+E188)*$I169)</f>
        <v>907710.95999236486</v>
      </c>
      <c r="F198" s="141">
        <f>IF(AND(F170&gt;5,F171=0),0,(F193+F188)*$I169)</f>
        <v>897625.28265911643</v>
      </c>
      <c r="G198" s="141">
        <f t="shared" ref="G198:BJ198" si="82">IF(AND(G170&gt;5,G171=0),0,(G193+G188)*$I169)</f>
        <v>877453.92799261946</v>
      </c>
      <c r="H198" s="141">
        <f t="shared" si="82"/>
        <v>847196.89599287405</v>
      </c>
      <c r="I198" s="141">
        <f t="shared" si="82"/>
        <v>816939.86399312853</v>
      </c>
      <c r="J198" s="141">
        <f t="shared" si="82"/>
        <v>786682.83199338301</v>
      </c>
      <c r="K198" s="141">
        <f t="shared" si="82"/>
        <v>756425.79999363748</v>
      </c>
      <c r="L198" s="141">
        <f t="shared" si="82"/>
        <v>726168.76799389208</v>
      </c>
      <c r="M198" s="141">
        <f t="shared" si="82"/>
        <v>695911.73599414655</v>
      </c>
      <c r="N198" s="141">
        <f t="shared" si="82"/>
        <v>665654.70399440103</v>
      </c>
      <c r="O198" s="141">
        <f t="shared" si="82"/>
        <v>635397.67199465551</v>
      </c>
      <c r="P198" s="141">
        <f t="shared" si="82"/>
        <v>605140.63999490999</v>
      </c>
      <c r="Q198" s="141">
        <f t="shared" si="82"/>
        <v>574883.60799516446</v>
      </c>
      <c r="R198" s="141">
        <f t="shared" si="82"/>
        <v>544626.57599541906</v>
      </c>
      <c r="S198" s="141">
        <f t="shared" si="82"/>
        <v>514369.54399567354</v>
      </c>
      <c r="T198" s="141">
        <f t="shared" si="82"/>
        <v>484112.51199592801</v>
      </c>
      <c r="U198" s="141">
        <f t="shared" si="82"/>
        <v>453855.47999618249</v>
      </c>
      <c r="V198" s="141">
        <f t="shared" si="82"/>
        <v>423598.44799643703</v>
      </c>
      <c r="W198" s="141">
        <f t="shared" si="82"/>
        <v>0</v>
      </c>
      <c r="X198" s="141">
        <f t="shared" si="82"/>
        <v>0</v>
      </c>
      <c r="Y198" s="141">
        <f t="shared" si="82"/>
        <v>0</v>
      </c>
      <c r="Z198" s="141">
        <f t="shared" si="82"/>
        <v>0</v>
      </c>
      <c r="AA198" s="141">
        <f t="shared" si="82"/>
        <v>0</v>
      </c>
      <c r="AB198" s="141">
        <f t="shared" si="82"/>
        <v>0</v>
      </c>
      <c r="AC198" s="141">
        <f t="shared" si="82"/>
        <v>0</v>
      </c>
      <c r="AD198" s="141">
        <f t="shared" si="82"/>
        <v>0</v>
      </c>
      <c r="AE198" s="141">
        <f t="shared" si="82"/>
        <v>0</v>
      </c>
      <c r="AF198" s="141">
        <f t="shared" si="82"/>
        <v>0</v>
      </c>
      <c r="AG198" s="141">
        <f t="shared" si="82"/>
        <v>0</v>
      </c>
      <c r="AH198" s="141">
        <f t="shared" si="82"/>
        <v>0</v>
      </c>
      <c r="AI198" s="141">
        <f t="shared" si="82"/>
        <v>0</v>
      </c>
      <c r="AJ198" s="141">
        <f t="shared" si="82"/>
        <v>0</v>
      </c>
      <c r="AK198" s="141">
        <f t="shared" si="82"/>
        <v>0</v>
      </c>
      <c r="AL198" s="141">
        <f t="shared" si="82"/>
        <v>0</v>
      </c>
      <c r="AM198" s="141">
        <f t="shared" si="82"/>
        <v>0</v>
      </c>
      <c r="AN198" s="141">
        <f t="shared" si="82"/>
        <v>0</v>
      </c>
      <c r="AO198" s="141">
        <f t="shared" si="82"/>
        <v>0</v>
      </c>
      <c r="AP198" s="141">
        <f t="shared" si="82"/>
        <v>0</v>
      </c>
      <c r="AQ198" s="141">
        <f t="shared" si="82"/>
        <v>0</v>
      </c>
      <c r="AR198" s="141">
        <f t="shared" si="82"/>
        <v>0</v>
      </c>
      <c r="AS198" s="141">
        <f t="shared" si="82"/>
        <v>0</v>
      </c>
      <c r="AT198" s="141">
        <f t="shared" si="82"/>
        <v>0</v>
      </c>
      <c r="AU198" s="141">
        <f t="shared" si="82"/>
        <v>0</v>
      </c>
      <c r="AV198" s="141">
        <f t="shared" si="82"/>
        <v>0</v>
      </c>
      <c r="AW198" s="141">
        <f t="shared" si="82"/>
        <v>0</v>
      </c>
      <c r="AX198" s="141">
        <f t="shared" si="82"/>
        <v>0</v>
      </c>
      <c r="AY198" s="141">
        <f t="shared" si="82"/>
        <v>0</v>
      </c>
      <c r="AZ198" s="141">
        <f t="shared" si="82"/>
        <v>0</v>
      </c>
      <c r="BA198" s="141">
        <f t="shared" si="82"/>
        <v>0</v>
      </c>
      <c r="BB198" s="141">
        <f t="shared" si="82"/>
        <v>0</v>
      </c>
      <c r="BC198" s="141">
        <f t="shared" si="82"/>
        <v>0</v>
      </c>
      <c r="BD198" s="141">
        <f t="shared" si="82"/>
        <v>0</v>
      </c>
      <c r="BE198" s="141">
        <f t="shared" si="82"/>
        <v>0</v>
      </c>
      <c r="BF198" s="141">
        <f t="shared" si="82"/>
        <v>0</v>
      </c>
      <c r="BG198" s="141">
        <f t="shared" si="82"/>
        <v>0</v>
      </c>
      <c r="BH198" s="141">
        <f t="shared" si="82"/>
        <v>0</v>
      </c>
      <c r="BI198" s="141">
        <f t="shared" si="82"/>
        <v>0</v>
      </c>
      <c r="BJ198" s="142">
        <f t="shared" si="82"/>
        <v>0</v>
      </c>
      <c r="BK198" s="141"/>
      <c r="BL198" s="141"/>
    </row>
    <row r="199" spans="1:64" s="143" customFormat="1" ht="12.75">
      <c r="A199" s="138" t="s">
        <v>127</v>
      </c>
      <c r="B199" s="139">
        <f>SUM(C199:BJ199)</f>
        <v>161466666.66666669</v>
      </c>
      <c r="C199" s="140"/>
      <c r="D199" s="141"/>
      <c r="E199" s="226">
        <f>IF(AND(E170&gt;5,E171=0),0,(E194+E189)*$I169)</f>
        <v>12000000</v>
      </c>
      <c r="F199" s="141">
        <f t="shared" ref="F199:BJ199" si="83">IF(AND(F170&gt;5,F171=0),0,(F194+F189)*$I169)</f>
        <v>11866666.666666668</v>
      </c>
      <c r="G199" s="141">
        <f t="shared" si="83"/>
        <v>11600000</v>
      </c>
      <c r="H199" s="141">
        <f t="shared" si="83"/>
        <v>11200000</v>
      </c>
      <c r="I199" s="141">
        <f t="shared" si="83"/>
        <v>10800000</v>
      </c>
      <c r="J199" s="141">
        <f t="shared" si="83"/>
        <v>10400000</v>
      </c>
      <c r="K199" s="141">
        <f t="shared" si="83"/>
        <v>10000000</v>
      </c>
      <c r="L199" s="141">
        <f t="shared" si="83"/>
        <v>9600000</v>
      </c>
      <c r="M199" s="141">
        <f t="shared" si="83"/>
        <v>9200000</v>
      </c>
      <c r="N199" s="141">
        <f t="shared" si="83"/>
        <v>8800000</v>
      </c>
      <c r="O199" s="141">
        <f t="shared" si="83"/>
        <v>8400000</v>
      </c>
      <c r="P199" s="141">
        <f t="shared" si="83"/>
        <v>8000000</v>
      </c>
      <c r="Q199" s="141">
        <f t="shared" si="83"/>
        <v>7600000</v>
      </c>
      <c r="R199" s="141">
        <f t="shared" si="83"/>
        <v>7200000</v>
      </c>
      <c r="S199" s="141">
        <f t="shared" si="83"/>
        <v>6800000</v>
      </c>
      <c r="T199" s="141">
        <f t="shared" si="83"/>
        <v>6400000</v>
      </c>
      <c r="U199" s="141">
        <f t="shared" si="83"/>
        <v>6000000</v>
      </c>
      <c r="V199" s="141">
        <f t="shared" si="83"/>
        <v>5600000</v>
      </c>
      <c r="W199" s="141">
        <f t="shared" si="83"/>
        <v>0</v>
      </c>
      <c r="X199" s="141">
        <f t="shared" si="83"/>
        <v>0</v>
      </c>
      <c r="Y199" s="141">
        <f t="shared" si="83"/>
        <v>0</v>
      </c>
      <c r="Z199" s="141">
        <f t="shared" si="83"/>
        <v>0</v>
      </c>
      <c r="AA199" s="141">
        <f t="shared" si="83"/>
        <v>0</v>
      </c>
      <c r="AB199" s="141">
        <f t="shared" si="83"/>
        <v>0</v>
      </c>
      <c r="AC199" s="141">
        <f t="shared" si="83"/>
        <v>0</v>
      </c>
      <c r="AD199" s="141">
        <f t="shared" si="83"/>
        <v>0</v>
      </c>
      <c r="AE199" s="141">
        <f t="shared" si="83"/>
        <v>0</v>
      </c>
      <c r="AF199" s="141">
        <f t="shared" si="83"/>
        <v>0</v>
      </c>
      <c r="AG199" s="141">
        <f t="shared" si="83"/>
        <v>0</v>
      </c>
      <c r="AH199" s="141">
        <f t="shared" si="83"/>
        <v>0</v>
      </c>
      <c r="AI199" s="141">
        <f t="shared" si="83"/>
        <v>0</v>
      </c>
      <c r="AJ199" s="141">
        <f t="shared" si="83"/>
        <v>0</v>
      </c>
      <c r="AK199" s="141">
        <f t="shared" si="83"/>
        <v>0</v>
      </c>
      <c r="AL199" s="141">
        <f t="shared" si="83"/>
        <v>0</v>
      </c>
      <c r="AM199" s="141">
        <f t="shared" si="83"/>
        <v>0</v>
      </c>
      <c r="AN199" s="141">
        <f t="shared" si="83"/>
        <v>0</v>
      </c>
      <c r="AO199" s="141">
        <f t="shared" si="83"/>
        <v>0</v>
      </c>
      <c r="AP199" s="141">
        <f t="shared" si="83"/>
        <v>0</v>
      </c>
      <c r="AQ199" s="141">
        <f t="shared" si="83"/>
        <v>0</v>
      </c>
      <c r="AR199" s="141">
        <f t="shared" si="83"/>
        <v>0</v>
      </c>
      <c r="AS199" s="141">
        <f t="shared" si="83"/>
        <v>0</v>
      </c>
      <c r="AT199" s="141">
        <f t="shared" si="83"/>
        <v>0</v>
      </c>
      <c r="AU199" s="141">
        <f t="shared" si="83"/>
        <v>0</v>
      </c>
      <c r="AV199" s="141">
        <f t="shared" si="83"/>
        <v>0</v>
      </c>
      <c r="AW199" s="141">
        <f t="shared" si="83"/>
        <v>0</v>
      </c>
      <c r="AX199" s="141">
        <f t="shared" si="83"/>
        <v>0</v>
      </c>
      <c r="AY199" s="141">
        <f t="shared" si="83"/>
        <v>0</v>
      </c>
      <c r="AZ199" s="141">
        <f t="shared" si="83"/>
        <v>0</v>
      </c>
      <c r="BA199" s="141">
        <f t="shared" si="83"/>
        <v>0</v>
      </c>
      <c r="BB199" s="141">
        <f t="shared" si="83"/>
        <v>0</v>
      </c>
      <c r="BC199" s="141">
        <f t="shared" si="83"/>
        <v>0</v>
      </c>
      <c r="BD199" s="141">
        <f t="shared" si="83"/>
        <v>0</v>
      </c>
      <c r="BE199" s="141">
        <f t="shared" si="83"/>
        <v>0</v>
      </c>
      <c r="BF199" s="141">
        <f t="shared" si="83"/>
        <v>0</v>
      </c>
      <c r="BG199" s="141">
        <f t="shared" si="83"/>
        <v>0</v>
      </c>
      <c r="BH199" s="141">
        <f t="shared" si="83"/>
        <v>0</v>
      </c>
      <c r="BI199" s="141">
        <f t="shared" si="83"/>
        <v>0</v>
      </c>
      <c r="BJ199" s="142">
        <f t="shared" si="83"/>
        <v>0</v>
      </c>
      <c r="BK199" s="141"/>
      <c r="BL199" s="141"/>
    </row>
    <row r="200" spans="1:64" s="143" customFormat="1" ht="12.75">
      <c r="A200" s="138" t="s">
        <v>128</v>
      </c>
      <c r="B200" s="139">
        <f>SUM(C200:BJ200)</f>
        <v>241131432.07365662</v>
      </c>
      <c r="C200" s="227">
        <f>IF(AND(C170&gt;5,C171=0),0,(C195+C190)*$I169)</f>
        <v>16219603.05428184</v>
      </c>
      <c r="D200" s="141">
        <f>IF(AND(D170&gt;5,D171=0),0,(D195+D190)*$I169)</f>
        <v>16111472.367253296</v>
      </c>
      <c r="E200" s="141">
        <f t="shared" ref="E200:BJ200" si="84">IF(AND(E170&gt;5,E171=0),0,(E195+E190)*$I169)</f>
        <v>15895210.993196204</v>
      </c>
      <c r="F200" s="141">
        <f t="shared" si="84"/>
        <v>15570818.93211057</v>
      </c>
      <c r="G200" s="141">
        <f t="shared" si="84"/>
        <v>15138296.183996387</v>
      </c>
      <c r="H200" s="141">
        <f t="shared" si="84"/>
        <v>14597642.748853657</v>
      </c>
      <c r="I200" s="141">
        <f t="shared" si="84"/>
        <v>14056989.313710928</v>
      </c>
      <c r="J200" s="141">
        <f t="shared" si="84"/>
        <v>13516335.8785682</v>
      </c>
      <c r="K200" s="141">
        <f t="shared" si="84"/>
        <v>12975682.443425471</v>
      </c>
      <c r="L200" s="141">
        <f t="shared" si="84"/>
        <v>12435029.008282743</v>
      </c>
      <c r="M200" s="141">
        <f t="shared" si="84"/>
        <v>11894375.573140014</v>
      </c>
      <c r="N200" s="141">
        <f t="shared" si="84"/>
        <v>11353722.137997285</v>
      </c>
      <c r="O200" s="141">
        <f t="shared" si="84"/>
        <v>10813068.702854557</v>
      </c>
      <c r="P200" s="141">
        <f t="shared" si="84"/>
        <v>10272415.267711828</v>
      </c>
      <c r="Q200" s="141">
        <f t="shared" si="84"/>
        <v>9731761.8325690981</v>
      </c>
      <c r="R200" s="141">
        <f t="shared" si="84"/>
        <v>9191108.3974263705</v>
      </c>
      <c r="S200" s="141">
        <f t="shared" si="84"/>
        <v>8650454.9622836411</v>
      </c>
      <c r="T200" s="141">
        <f t="shared" si="84"/>
        <v>8109801.5271409126</v>
      </c>
      <c r="U200" s="141">
        <f t="shared" si="84"/>
        <v>7569148.0919981841</v>
      </c>
      <c r="V200" s="141">
        <f t="shared" si="84"/>
        <v>7028494.6568554556</v>
      </c>
      <c r="W200" s="141">
        <f t="shared" si="84"/>
        <v>0</v>
      </c>
      <c r="X200" s="141">
        <f t="shared" si="84"/>
        <v>0</v>
      </c>
      <c r="Y200" s="141">
        <f t="shared" si="84"/>
        <v>0</v>
      </c>
      <c r="Z200" s="141">
        <f t="shared" si="84"/>
        <v>0</v>
      </c>
      <c r="AA200" s="141">
        <f t="shared" si="84"/>
        <v>0</v>
      </c>
      <c r="AB200" s="141">
        <f t="shared" si="84"/>
        <v>0</v>
      </c>
      <c r="AC200" s="141">
        <f t="shared" si="84"/>
        <v>0</v>
      </c>
      <c r="AD200" s="141">
        <f t="shared" si="84"/>
        <v>0</v>
      </c>
      <c r="AE200" s="141">
        <f t="shared" si="84"/>
        <v>0</v>
      </c>
      <c r="AF200" s="141">
        <f t="shared" si="84"/>
        <v>0</v>
      </c>
      <c r="AG200" s="141">
        <f t="shared" si="84"/>
        <v>0</v>
      </c>
      <c r="AH200" s="141">
        <f t="shared" si="84"/>
        <v>0</v>
      </c>
      <c r="AI200" s="141">
        <f t="shared" si="84"/>
        <v>0</v>
      </c>
      <c r="AJ200" s="141">
        <f t="shared" si="84"/>
        <v>0</v>
      </c>
      <c r="AK200" s="141">
        <f t="shared" si="84"/>
        <v>0</v>
      </c>
      <c r="AL200" s="141">
        <f t="shared" si="84"/>
        <v>0</v>
      </c>
      <c r="AM200" s="141">
        <f t="shared" si="84"/>
        <v>0</v>
      </c>
      <c r="AN200" s="141">
        <f t="shared" si="84"/>
        <v>0</v>
      </c>
      <c r="AO200" s="141">
        <f t="shared" si="84"/>
        <v>0</v>
      </c>
      <c r="AP200" s="141">
        <f t="shared" si="84"/>
        <v>0</v>
      </c>
      <c r="AQ200" s="141">
        <f t="shared" si="84"/>
        <v>0</v>
      </c>
      <c r="AR200" s="141">
        <f t="shared" si="84"/>
        <v>0</v>
      </c>
      <c r="AS200" s="141">
        <f t="shared" si="84"/>
        <v>0</v>
      </c>
      <c r="AT200" s="141">
        <f t="shared" si="84"/>
        <v>0</v>
      </c>
      <c r="AU200" s="141">
        <f t="shared" si="84"/>
        <v>0</v>
      </c>
      <c r="AV200" s="141">
        <f t="shared" si="84"/>
        <v>0</v>
      </c>
      <c r="AW200" s="141">
        <f t="shared" si="84"/>
        <v>0</v>
      </c>
      <c r="AX200" s="141">
        <f t="shared" si="84"/>
        <v>0</v>
      </c>
      <c r="AY200" s="141">
        <f t="shared" si="84"/>
        <v>0</v>
      </c>
      <c r="AZ200" s="141">
        <f t="shared" si="84"/>
        <v>0</v>
      </c>
      <c r="BA200" s="141">
        <f t="shared" si="84"/>
        <v>0</v>
      </c>
      <c r="BB200" s="141">
        <f t="shared" si="84"/>
        <v>0</v>
      </c>
      <c r="BC200" s="141">
        <f t="shared" si="84"/>
        <v>0</v>
      </c>
      <c r="BD200" s="141">
        <f t="shared" si="84"/>
        <v>0</v>
      </c>
      <c r="BE200" s="141">
        <f t="shared" si="84"/>
        <v>0</v>
      </c>
      <c r="BF200" s="141">
        <f t="shared" si="84"/>
        <v>0</v>
      </c>
      <c r="BG200" s="141">
        <f t="shared" si="84"/>
        <v>0</v>
      </c>
      <c r="BH200" s="141">
        <f t="shared" si="84"/>
        <v>0</v>
      </c>
      <c r="BI200" s="141">
        <f t="shared" si="84"/>
        <v>0</v>
      </c>
      <c r="BJ200" s="142">
        <f t="shared" si="84"/>
        <v>0</v>
      </c>
      <c r="BK200" s="141"/>
      <c r="BL200" s="141"/>
    </row>
    <row r="201" spans="1:64" s="143" customFormat="1" ht="12.75">
      <c r="A201" s="138" t="s">
        <v>129</v>
      </c>
      <c r="B201" s="139">
        <f>SUM(C201:BJ201)</f>
        <v>11662084.596385345</v>
      </c>
      <c r="C201" s="227">
        <f>IF(AND(C170&gt;5,C171=0),0,(C196+C191)*$I169)</f>
        <v>827750.48397056933</v>
      </c>
      <c r="D201" s="141">
        <f>IF(AND(D170&gt;5,D171=0),0,(D196+D191)*$I169)</f>
        <v>818553.25637089636</v>
      </c>
      <c r="E201" s="141">
        <f t="shared" ref="E201:BJ201" si="85">IF(AND(E170&gt;5,E171=0),0,(E196+E191)*$I169)</f>
        <v>790961.57357187732</v>
      </c>
      <c r="F201" s="141">
        <f t="shared" si="85"/>
        <v>763369.89077285829</v>
      </c>
      <c r="G201" s="141">
        <f t="shared" si="85"/>
        <v>735778.20797383925</v>
      </c>
      <c r="H201" s="141">
        <f t="shared" si="85"/>
        <v>708186.52517482033</v>
      </c>
      <c r="I201" s="141">
        <f t="shared" si="85"/>
        <v>680594.84237580129</v>
      </c>
      <c r="J201" s="141">
        <f t="shared" si="85"/>
        <v>653003.15957678226</v>
      </c>
      <c r="K201" s="141">
        <f t="shared" si="85"/>
        <v>625411.47677776322</v>
      </c>
      <c r="L201" s="141">
        <f t="shared" si="85"/>
        <v>597819.79397874419</v>
      </c>
      <c r="M201" s="141">
        <f t="shared" si="85"/>
        <v>570228.11117972515</v>
      </c>
      <c r="N201" s="141">
        <f t="shared" si="85"/>
        <v>542636.42838070623</v>
      </c>
      <c r="O201" s="141">
        <f t="shared" si="85"/>
        <v>515044.7455816872</v>
      </c>
      <c r="P201" s="141">
        <f t="shared" si="85"/>
        <v>487453.06278266816</v>
      </c>
      <c r="Q201" s="141">
        <f t="shared" si="85"/>
        <v>459861.37998364912</v>
      </c>
      <c r="R201" s="141">
        <f t="shared" si="85"/>
        <v>432269.69718463015</v>
      </c>
      <c r="S201" s="141">
        <f t="shared" si="85"/>
        <v>404678.01438561117</v>
      </c>
      <c r="T201" s="141">
        <f t="shared" si="85"/>
        <v>377086.33158659219</v>
      </c>
      <c r="U201" s="141">
        <f t="shared" si="85"/>
        <v>349494.64878757321</v>
      </c>
      <c r="V201" s="141">
        <f t="shared" si="85"/>
        <v>321902.96598855429</v>
      </c>
      <c r="W201" s="141">
        <f t="shared" si="85"/>
        <v>0</v>
      </c>
      <c r="X201" s="141">
        <f t="shared" si="85"/>
        <v>0</v>
      </c>
      <c r="Y201" s="141">
        <f t="shared" si="85"/>
        <v>0</v>
      </c>
      <c r="Z201" s="141">
        <f t="shared" si="85"/>
        <v>0</v>
      </c>
      <c r="AA201" s="141">
        <f t="shared" si="85"/>
        <v>0</v>
      </c>
      <c r="AB201" s="141">
        <f t="shared" si="85"/>
        <v>0</v>
      </c>
      <c r="AC201" s="141">
        <f t="shared" si="85"/>
        <v>0</v>
      </c>
      <c r="AD201" s="141">
        <f t="shared" si="85"/>
        <v>0</v>
      </c>
      <c r="AE201" s="141">
        <f t="shared" si="85"/>
        <v>0</v>
      </c>
      <c r="AF201" s="141">
        <f t="shared" si="85"/>
        <v>0</v>
      </c>
      <c r="AG201" s="141">
        <f t="shared" si="85"/>
        <v>0</v>
      </c>
      <c r="AH201" s="141">
        <f t="shared" si="85"/>
        <v>0</v>
      </c>
      <c r="AI201" s="141">
        <f t="shared" si="85"/>
        <v>0</v>
      </c>
      <c r="AJ201" s="141">
        <f t="shared" si="85"/>
        <v>0</v>
      </c>
      <c r="AK201" s="141">
        <f t="shared" si="85"/>
        <v>0</v>
      </c>
      <c r="AL201" s="141">
        <f t="shared" si="85"/>
        <v>0</v>
      </c>
      <c r="AM201" s="141">
        <f t="shared" si="85"/>
        <v>0</v>
      </c>
      <c r="AN201" s="141">
        <f t="shared" si="85"/>
        <v>0</v>
      </c>
      <c r="AO201" s="141">
        <f t="shared" si="85"/>
        <v>0</v>
      </c>
      <c r="AP201" s="141">
        <f t="shared" si="85"/>
        <v>0</v>
      </c>
      <c r="AQ201" s="141">
        <f t="shared" si="85"/>
        <v>0</v>
      </c>
      <c r="AR201" s="141">
        <f t="shared" si="85"/>
        <v>0</v>
      </c>
      <c r="AS201" s="141">
        <f t="shared" si="85"/>
        <v>0</v>
      </c>
      <c r="AT201" s="141">
        <f t="shared" si="85"/>
        <v>0</v>
      </c>
      <c r="AU201" s="141">
        <f t="shared" si="85"/>
        <v>0</v>
      </c>
      <c r="AV201" s="141">
        <f t="shared" si="85"/>
        <v>0</v>
      </c>
      <c r="AW201" s="141">
        <f t="shared" si="85"/>
        <v>0</v>
      </c>
      <c r="AX201" s="141">
        <f t="shared" si="85"/>
        <v>0</v>
      </c>
      <c r="AY201" s="141">
        <f t="shared" si="85"/>
        <v>0</v>
      </c>
      <c r="AZ201" s="141">
        <f t="shared" si="85"/>
        <v>0</v>
      </c>
      <c r="BA201" s="141">
        <f t="shared" si="85"/>
        <v>0</v>
      </c>
      <c r="BB201" s="141">
        <f t="shared" si="85"/>
        <v>0</v>
      </c>
      <c r="BC201" s="141">
        <f t="shared" si="85"/>
        <v>0</v>
      </c>
      <c r="BD201" s="141">
        <f t="shared" si="85"/>
        <v>0</v>
      </c>
      <c r="BE201" s="141">
        <f t="shared" si="85"/>
        <v>0</v>
      </c>
      <c r="BF201" s="141">
        <f t="shared" si="85"/>
        <v>0</v>
      </c>
      <c r="BG201" s="141">
        <f t="shared" si="85"/>
        <v>0</v>
      </c>
      <c r="BH201" s="141">
        <f t="shared" si="85"/>
        <v>0</v>
      </c>
      <c r="BI201" s="141">
        <f t="shared" si="85"/>
        <v>0</v>
      </c>
      <c r="BJ201" s="142">
        <f t="shared" si="85"/>
        <v>0</v>
      </c>
      <c r="BK201" s="141"/>
      <c r="BL201" s="141"/>
    </row>
    <row r="202" spans="1:64" s="116" customFormat="1">
      <c r="A202" s="111" t="s">
        <v>133</v>
      </c>
      <c r="B202" s="155">
        <f>SUM(B203:B206)</f>
        <v>175795705.77345815</v>
      </c>
      <c r="C202" s="117">
        <f>SUM(C203:C206)</f>
        <v>1173279.146282186</v>
      </c>
      <c r="D202" s="118">
        <f>SUM(D203:D206)</f>
        <v>2438530.5685611018</v>
      </c>
      <c r="E202" s="118">
        <f>SUM(E203:E206)</f>
        <v>4954027.5455123764</v>
      </c>
      <c r="F202" s="118">
        <f t="shared" ref="F202:AJ202" si="86">SUM(F203:F206)</f>
        <v>7469524.5224636504</v>
      </c>
      <c r="G202" s="118">
        <f t="shared" si="86"/>
        <v>9985021.4994149245</v>
      </c>
      <c r="H202" s="118">
        <f t="shared" si="86"/>
        <v>9985021.4994149245</v>
      </c>
      <c r="I202" s="118">
        <f t="shared" si="86"/>
        <v>9985021.4994149245</v>
      </c>
      <c r="J202" s="118">
        <f t="shared" si="86"/>
        <v>9985021.4994149245</v>
      </c>
      <c r="K202" s="118">
        <f t="shared" si="86"/>
        <v>9985021.4994149245</v>
      </c>
      <c r="L202" s="118">
        <f t="shared" si="86"/>
        <v>9985021.4994149245</v>
      </c>
      <c r="M202" s="118">
        <f t="shared" si="86"/>
        <v>9985021.4994149245</v>
      </c>
      <c r="N202" s="118">
        <f t="shared" si="86"/>
        <v>9985021.4994149245</v>
      </c>
      <c r="O202" s="118">
        <f t="shared" si="86"/>
        <v>9985021.4994149245</v>
      </c>
      <c r="P202" s="118">
        <f t="shared" si="86"/>
        <v>9985021.4994149245</v>
      </c>
      <c r="Q202" s="118">
        <f t="shared" si="86"/>
        <v>9985021.4994149245</v>
      </c>
      <c r="R202" s="118">
        <f t="shared" si="86"/>
        <v>9985021.4994149245</v>
      </c>
      <c r="S202" s="118">
        <f t="shared" si="86"/>
        <v>9985021.4994149245</v>
      </c>
      <c r="T202" s="118">
        <f t="shared" si="86"/>
        <v>9985021.4994149245</v>
      </c>
      <c r="U202" s="118">
        <f t="shared" si="86"/>
        <v>9985021.4994149245</v>
      </c>
      <c r="V202" s="118">
        <f t="shared" si="86"/>
        <v>9985021.4994149245</v>
      </c>
      <c r="W202" s="118">
        <f t="shared" si="86"/>
        <v>0</v>
      </c>
      <c r="X202" s="118">
        <f t="shared" si="86"/>
        <v>0</v>
      </c>
      <c r="Y202" s="118">
        <f t="shared" si="86"/>
        <v>0</v>
      </c>
      <c r="Z202" s="118">
        <f t="shared" si="86"/>
        <v>0</v>
      </c>
      <c r="AA202" s="118">
        <f t="shared" si="86"/>
        <v>0</v>
      </c>
      <c r="AB202" s="118">
        <f t="shared" si="86"/>
        <v>0</v>
      </c>
      <c r="AC202" s="118">
        <f t="shared" si="86"/>
        <v>0</v>
      </c>
      <c r="AD202" s="118">
        <f t="shared" si="86"/>
        <v>0</v>
      </c>
      <c r="AE202" s="118">
        <f t="shared" si="86"/>
        <v>0</v>
      </c>
      <c r="AF202" s="118">
        <f t="shared" si="86"/>
        <v>0</v>
      </c>
      <c r="AG202" s="118">
        <f t="shared" si="86"/>
        <v>0</v>
      </c>
      <c r="AH202" s="118">
        <f t="shared" si="86"/>
        <v>0</v>
      </c>
      <c r="AI202" s="118">
        <f t="shared" si="86"/>
        <v>0</v>
      </c>
      <c r="AJ202" s="118">
        <f t="shared" si="86"/>
        <v>0</v>
      </c>
      <c r="AK202" s="118"/>
      <c r="AL202" s="118"/>
      <c r="AM202" s="118"/>
      <c r="AN202" s="118"/>
      <c r="AO202" s="118"/>
      <c r="AP202" s="118"/>
      <c r="AQ202" s="118"/>
      <c r="AR202" s="118"/>
      <c r="AS202" s="118"/>
      <c r="AT202" s="118"/>
      <c r="AU202" s="118"/>
      <c r="AV202" s="118"/>
      <c r="AW202" s="118"/>
      <c r="AX202" s="118"/>
      <c r="AY202" s="118"/>
      <c r="AZ202" s="118"/>
      <c r="BA202" s="118"/>
      <c r="BB202" s="118"/>
      <c r="BC202" s="118"/>
      <c r="BD202" s="118"/>
      <c r="BE202" s="118"/>
      <c r="BF202" s="118"/>
      <c r="BG202" s="118"/>
      <c r="BH202" s="118"/>
      <c r="BI202" s="118"/>
      <c r="BJ202" s="119"/>
      <c r="BK202" s="118"/>
      <c r="BL202" s="118"/>
    </row>
    <row r="203" spans="1:64" s="143" customFormat="1" ht="12.75">
      <c r="A203" s="138" t="s">
        <v>126</v>
      </c>
      <c r="B203" s="139">
        <f t="shared" ref="B203:B209" si="87">SUM(C203:BJ203)</f>
        <v>5143695.439956734</v>
      </c>
      <c r="C203" s="227">
        <f>IF(AND(C170&gt;5,C171=0),0,C188)</f>
        <v>0</v>
      </c>
      <c r="D203" s="141">
        <f>IF(AND(D170&gt;5,D171=0),0,D188)</f>
        <v>0</v>
      </c>
      <c r="E203" s="141">
        <f t="shared" ref="E203:BJ203" si="88">IF(AND(E170&gt;5,E171=0),0,E188)</f>
        <v>100856.77333248498</v>
      </c>
      <c r="F203" s="141">
        <f t="shared" si="88"/>
        <v>201713.54666496997</v>
      </c>
      <c r="G203" s="141">
        <f t="shared" si="88"/>
        <v>302570.31999745494</v>
      </c>
      <c r="H203" s="141">
        <f t="shared" si="88"/>
        <v>302570.31999745494</v>
      </c>
      <c r="I203" s="141">
        <f t="shared" si="88"/>
        <v>302570.31999745494</v>
      </c>
      <c r="J203" s="141">
        <f t="shared" si="88"/>
        <v>302570.31999745494</v>
      </c>
      <c r="K203" s="141">
        <f t="shared" si="88"/>
        <v>302570.31999745494</v>
      </c>
      <c r="L203" s="141">
        <f t="shared" si="88"/>
        <v>302570.31999745494</v>
      </c>
      <c r="M203" s="141">
        <f t="shared" si="88"/>
        <v>302570.31999745494</v>
      </c>
      <c r="N203" s="141">
        <f t="shared" si="88"/>
        <v>302570.31999745494</v>
      </c>
      <c r="O203" s="141">
        <f t="shared" si="88"/>
        <v>302570.31999745494</v>
      </c>
      <c r="P203" s="141">
        <f t="shared" si="88"/>
        <v>302570.31999745494</v>
      </c>
      <c r="Q203" s="141">
        <f t="shared" si="88"/>
        <v>302570.31999745494</v>
      </c>
      <c r="R203" s="141">
        <f t="shared" si="88"/>
        <v>302570.31999745494</v>
      </c>
      <c r="S203" s="141">
        <f t="shared" si="88"/>
        <v>302570.31999745494</v>
      </c>
      <c r="T203" s="141">
        <f t="shared" si="88"/>
        <v>302570.31999745494</v>
      </c>
      <c r="U203" s="141">
        <f t="shared" si="88"/>
        <v>302570.31999745494</v>
      </c>
      <c r="V203" s="141">
        <f t="shared" si="88"/>
        <v>302570.31999745494</v>
      </c>
      <c r="W203" s="141">
        <f t="shared" si="88"/>
        <v>0</v>
      </c>
      <c r="X203" s="141">
        <f t="shared" si="88"/>
        <v>0</v>
      </c>
      <c r="Y203" s="141">
        <f t="shared" si="88"/>
        <v>0</v>
      </c>
      <c r="Z203" s="141">
        <f t="shared" si="88"/>
        <v>0</v>
      </c>
      <c r="AA203" s="141">
        <f t="shared" si="88"/>
        <v>0</v>
      </c>
      <c r="AB203" s="141">
        <f t="shared" si="88"/>
        <v>0</v>
      </c>
      <c r="AC203" s="141">
        <f t="shared" si="88"/>
        <v>0</v>
      </c>
      <c r="AD203" s="141">
        <f t="shared" si="88"/>
        <v>0</v>
      </c>
      <c r="AE203" s="141">
        <f t="shared" si="88"/>
        <v>0</v>
      </c>
      <c r="AF203" s="141">
        <f t="shared" si="88"/>
        <v>0</v>
      </c>
      <c r="AG203" s="141">
        <f t="shared" si="88"/>
        <v>0</v>
      </c>
      <c r="AH203" s="141">
        <f t="shared" si="88"/>
        <v>0</v>
      </c>
      <c r="AI203" s="141">
        <f t="shared" si="88"/>
        <v>0</v>
      </c>
      <c r="AJ203" s="141">
        <f t="shared" si="88"/>
        <v>0</v>
      </c>
      <c r="AK203" s="141">
        <f t="shared" si="88"/>
        <v>0</v>
      </c>
      <c r="AL203" s="141">
        <f t="shared" si="88"/>
        <v>0</v>
      </c>
      <c r="AM203" s="141">
        <f t="shared" si="88"/>
        <v>0</v>
      </c>
      <c r="AN203" s="141">
        <f t="shared" si="88"/>
        <v>0</v>
      </c>
      <c r="AO203" s="141">
        <f t="shared" si="88"/>
        <v>0</v>
      </c>
      <c r="AP203" s="141">
        <f t="shared" si="88"/>
        <v>0</v>
      </c>
      <c r="AQ203" s="141">
        <f t="shared" si="88"/>
        <v>0</v>
      </c>
      <c r="AR203" s="141">
        <f t="shared" si="88"/>
        <v>0</v>
      </c>
      <c r="AS203" s="141">
        <f t="shared" si="88"/>
        <v>0</v>
      </c>
      <c r="AT203" s="141">
        <f t="shared" si="88"/>
        <v>0</v>
      </c>
      <c r="AU203" s="141">
        <f t="shared" si="88"/>
        <v>0</v>
      </c>
      <c r="AV203" s="141">
        <f t="shared" si="88"/>
        <v>0</v>
      </c>
      <c r="AW203" s="141">
        <f t="shared" si="88"/>
        <v>0</v>
      </c>
      <c r="AX203" s="141">
        <f t="shared" si="88"/>
        <v>0</v>
      </c>
      <c r="AY203" s="141">
        <f t="shared" si="88"/>
        <v>0</v>
      </c>
      <c r="AZ203" s="141">
        <f t="shared" si="88"/>
        <v>0</v>
      </c>
      <c r="BA203" s="141">
        <f t="shared" si="88"/>
        <v>0</v>
      </c>
      <c r="BB203" s="141">
        <f t="shared" si="88"/>
        <v>0</v>
      </c>
      <c r="BC203" s="141">
        <f t="shared" si="88"/>
        <v>0</v>
      </c>
      <c r="BD203" s="141">
        <f t="shared" si="88"/>
        <v>0</v>
      </c>
      <c r="BE203" s="141">
        <f t="shared" si="88"/>
        <v>0</v>
      </c>
      <c r="BF203" s="141">
        <f t="shared" si="88"/>
        <v>0</v>
      </c>
      <c r="BG203" s="141">
        <f t="shared" si="88"/>
        <v>0</v>
      </c>
      <c r="BH203" s="141">
        <f t="shared" si="88"/>
        <v>0</v>
      </c>
      <c r="BI203" s="141">
        <f t="shared" si="88"/>
        <v>0</v>
      </c>
      <c r="BJ203" s="142">
        <f t="shared" si="88"/>
        <v>0</v>
      </c>
      <c r="BK203" s="141"/>
      <c r="BL203" s="141"/>
    </row>
    <row r="204" spans="1:64" s="143" customFormat="1" ht="12.75">
      <c r="A204" s="138" t="s">
        <v>127</v>
      </c>
      <c r="B204" s="139">
        <f t="shared" si="87"/>
        <v>68000000</v>
      </c>
      <c r="C204" s="227">
        <f>IF(AND(C170&gt;5,C171=0),0,C189)</f>
        <v>0</v>
      </c>
      <c r="D204" s="141">
        <f>IF(AND(D170&gt;5,D171=0),0,D189)</f>
        <v>0</v>
      </c>
      <c r="E204" s="141">
        <f t="shared" ref="E204:BJ204" si="89">IF(AND(E170&gt;5,E171=0),0,E189)</f>
        <v>1333333.3333333333</v>
      </c>
      <c r="F204" s="141">
        <f t="shared" si="89"/>
        <v>2666666.6666666665</v>
      </c>
      <c r="G204" s="141">
        <f t="shared" si="89"/>
        <v>4000000</v>
      </c>
      <c r="H204" s="141">
        <f t="shared" si="89"/>
        <v>4000000</v>
      </c>
      <c r="I204" s="141">
        <f t="shared" si="89"/>
        <v>4000000</v>
      </c>
      <c r="J204" s="141">
        <f t="shared" si="89"/>
        <v>4000000</v>
      </c>
      <c r="K204" s="141">
        <f t="shared" si="89"/>
        <v>4000000</v>
      </c>
      <c r="L204" s="141">
        <f t="shared" si="89"/>
        <v>4000000</v>
      </c>
      <c r="M204" s="141">
        <f t="shared" si="89"/>
        <v>4000000</v>
      </c>
      <c r="N204" s="141">
        <f t="shared" si="89"/>
        <v>4000000</v>
      </c>
      <c r="O204" s="141">
        <f t="shared" si="89"/>
        <v>4000000</v>
      </c>
      <c r="P204" s="141">
        <f t="shared" si="89"/>
        <v>4000000</v>
      </c>
      <c r="Q204" s="141">
        <f t="shared" si="89"/>
        <v>4000000</v>
      </c>
      <c r="R204" s="141">
        <f t="shared" si="89"/>
        <v>4000000</v>
      </c>
      <c r="S204" s="141">
        <f t="shared" si="89"/>
        <v>4000000</v>
      </c>
      <c r="T204" s="141">
        <f t="shared" si="89"/>
        <v>4000000</v>
      </c>
      <c r="U204" s="141">
        <f t="shared" si="89"/>
        <v>4000000</v>
      </c>
      <c r="V204" s="141">
        <f t="shared" si="89"/>
        <v>4000000</v>
      </c>
      <c r="W204" s="141">
        <f t="shared" si="89"/>
        <v>0</v>
      </c>
      <c r="X204" s="141">
        <f t="shared" si="89"/>
        <v>0</v>
      </c>
      <c r="Y204" s="141">
        <f t="shared" si="89"/>
        <v>0</v>
      </c>
      <c r="Z204" s="141">
        <f t="shared" si="89"/>
        <v>0</v>
      </c>
      <c r="AA204" s="141">
        <f t="shared" si="89"/>
        <v>0</v>
      </c>
      <c r="AB204" s="141">
        <f t="shared" si="89"/>
        <v>0</v>
      </c>
      <c r="AC204" s="141">
        <f t="shared" si="89"/>
        <v>0</v>
      </c>
      <c r="AD204" s="141">
        <f t="shared" si="89"/>
        <v>0</v>
      </c>
      <c r="AE204" s="141">
        <f t="shared" si="89"/>
        <v>0</v>
      </c>
      <c r="AF204" s="141">
        <f t="shared" si="89"/>
        <v>0</v>
      </c>
      <c r="AG204" s="141">
        <f t="shared" si="89"/>
        <v>0</v>
      </c>
      <c r="AH204" s="141">
        <f t="shared" si="89"/>
        <v>0</v>
      </c>
      <c r="AI204" s="141">
        <f t="shared" si="89"/>
        <v>0</v>
      </c>
      <c r="AJ204" s="141">
        <f t="shared" si="89"/>
        <v>0</v>
      </c>
      <c r="AK204" s="141">
        <f t="shared" si="89"/>
        <v>0</v>
      </c>
      <c r="AL204" s="141">
        <f t="shared" si="89"/>
        <v>0</v>
      </c>
      <c r="AM204" s="141">
        <f t="shared" si="89"/>
        <v>0</v>
      </c>
      <c r="AN204" s="141">
        <f t="shared" si="89"/>
        <v>0</v>
      </c>
      <c r="AO204" s="141">
        <f t="shared" si="89"/>
        <v>0</v>
      </c>
      <c r="AP204" s="141">
        <f t="shared" si="89"/>
        <v>0</v>
      </c>
      <c r="AQ204" s="141">
        <f t="shared" si="89"/>
        <v>0</v>
      </c>
      <c r="AR204" s="141">
        <f t="shared" si="89"/>
        <v>0</v>
      </c>
      <c r="AS204" s="141">
        <f t="shared" si="89"/>
        <v>0</v>
      </c>
      <c r="AT204" s="141">
        <f t="shared" si="89"/>
        <v>0</v>
      </c>
      <c r="AU204" s="141">
        <f t="shared" si="89"/>
        <v>0</v>
      </c>
      <c r="AV204" s="141">
        <f t="shared" si="89"/>
        <v>0</v>
      </c>
      <c r="AW204" s="141">
        <f t="shared" si="89"/>
        <v>0</v>
      </c>
      <c r="AX204" s="141">
        <f t="shared" si="89"/>
        <v>0</v>
      </c>
      <c r="AY204" s="141">
        <f t="shared" si="89"/>
        <v>0</v>
      </c>
      <c r="AZ204" s="141">
        <f t="shared" si="89"/>
        <v>0</v>
      </c>
      <c r="BA204" s="141">
        <f t="shared" si="89"/>
        <v>0</v>
      </c>
      <c r="BB204" s="141">
        <f t="shared" si="89"/>
        <v>0</v>
      </c>
      <c r="BC204" s="141">
        <f t="shared" si="89"/>
        <v>0</v>
      </c>
      <c r="BD204" s="141">
        <f t="shared" si="89"/>
        <v>0</v>
      </c>
      <c r="BE204" s="141">
        <f t="shared" si="89"/>
        <v>0</v>
      </c>
      <c r="BF204" s="141">
        <f t="shared" si="89"/>
        <v>0</v>
      </c>
      <c r="BG204" s="141">
        <f t="shared" si="89"/>
        <v>0</v>
      </c>
      <c r="BH204" s="141">
        <f t="shared" si="89"/>
        <v>0</v>
      </c>
      <c r="BI204" s="141">
        <f t="shared" si="89"/>
        <v>0</v>
      </c>
      <c r="BJ204" s="142">
        <f t="shared" si="89"/>
        <v>0</v>
      </c>
      <c r="BK204" s="141"/>
      <c r="BL204" s="141"/>
    </row>
    <row r="205" spans="1:64" s="143" customFormat="1" ht="12.75">
      <c r="A205" s="138" t="s">
        <v>128</v>
      </c>
      <c r="B205" s="139">
        <f t="shared" si="87"/>
        <v>97317618.325691074</v>
      </c>
      <c r="C205" s="227">
        <f>IF(AND(C170&gt;5,C171=0),0,C190)</f>
        <v>1081306.8702854561</v>
      </c>
      <c r="D205" s="141">
        <f>IF(AND(D170&gt;5,D171=0),0,D190)</f>
        <v>2162613.7405709121</v>
      </c>
      <c r="E205" s="141">
        <f t="shared" ref="E205:BJ205" si="90">IF(AND(E170&gt;5,E171=0),0,E190)</f>
        <v>3243920.6108563682</v>
      </c>
      <c r="F205" s="141">
        <f t="shared" si="90"/>
        <v>4325227.4811418243</v>
      </c>
      <c r="G205" s="141">
        <f t="shared" si="90"/>
        <v>5406534.3514272803</v>
      </c>
      <c r="H205" s="141">
        <f t="shared" si="90"/>
        <v>5406534.3514272803</v>
      </c>
      <c r="I205" s="141">
        <f t="shared" si="90"/>
        <v>5406534.3514272803</v>
      </c>
      <c r="J205" s="141">
        <f t="shared" si="90"/>
        <v>5406534.3514272803</v>
      </c>
      <c r="K205" s="141">
        <f t="shared" si="90"/>
        <v>5406534.3514272803</v>
      </c>
      <c r="L205" s="141">
        <f t="shared" si="90"/>
        <v>5406534.3514272803</v>
      </c>
      <c r="M205" s="141">
        <f t="shared" si="90"/>
        <v>5406534.3514272803</v>
      </c>
      <c r="N205" s="141">
        <f t="shared" si="90"/>
        <v>5406534.3514272803</v>
      </c>
      <c r="O205" s="141">
        <f t="shared" si="90"/>
        <v>5406534.3514272803</v>
      </c>
      <c r="P205" s="141">
        <f t="shared" si="90"/>
        <v>5406534.3514272803</v>
      </c>
      <c r="Q205" s="141">
        <f t="shared" si="90"/>
        <v>5406534.3514272803</v>
      </c>
      <c r="R205" s="141">
        <f t="shared" si="90"/>
        <v>5406534.3514272803</v>
      </c>
      <c r="S205" s="141">
        <f t="shared" si="90"/>
        <v>5406534.3514272803</v>
      </c>
      <c r="T205" s="141">
        <f t="shared" si="90"/>
        <v>5406534.3514272803</v>
      </c>
      <c r="U205" s="141">
        <f t="shared" si="90"/>
        <v>5406534.3514272803</v>
      </c>
      <c r="V205" s="141">
        <f t="shared" si="90"/>
        <v>5406534.3514272803</v>
      </c>
      <c r="W205" s="141">
        <f t="shared" si="90"/>
        <v>0</v>
      </c>
      <c r="X205" s="141">
        <f t="shared" si="90"/>
        <v>0</v>
      </c>
      <c r="Y205" s="141">
        <f t="shared" si="90"/>
        <v>0</v>
      </c>
      <c r="Z205" s="141">
        <f t="shared" si="90"/>
        <v>0</v>
      </c>
      <c r="AA205" s="141">
        <f t="shared" si="90"/>
        <v>0</v>
      </c>
      <c r="AB205" s="141">
        <f t="shared" si="90"/>
        <v>0</v>
      </c>
      <c r="AC205" s="141">
        <f t="shared" si="90"/>
        <v>0</v>
      </c>
      <c r="AD205" s="141">
        <f t="shared" si="90"/>
        <v>0</v>
      </c>
      <c r="AE205" s="141">
        <f t="shared" si="90"/>
        <v>0</v>
      </c>
      <c r="AF205" s="141">
        <f t="shared" si="90"/>
        <v>0</v>
      </c>
      <c r="AG205" s="141">
        <f t="shared" si="90"/>
        <v>0</v>
      </c>
      <c r="AH205" s="141">
        <f t="shared" si="90"/>
        <v>0</v>
      </c>
      <c r="AI205" s="141">
        <f t="shared" si="90"/>
        <v>0</v>
      </c>
      <c r="AJ205" s="141">
        <f t="shared" si="90"/>
        <v>0</v>
      </c>
      <c r="AK205" s="141">
        <f t="shared" si="90"/>
        <v>0</v>
      </c>
      <c r="AL205" s="141">
        <f t="shared" si="90"/>
        <v>0</v>
      </c>
      <c r="AM205" s="141">
        <f t="shared" si="90"/>
        <v>0</v>
      </c>
      <c r="AN205" s="141">
        <f t="shared" si="90"/>
        <v>0</v>
      </c>
      <c r="AO205" s="141">
        <f t="shared" si="90"/>
        <v>0</v>
      </c>
      <c r="AP205" s="141">
        <f t="shared" si="90"/>
        <v>0</v>
      </c>
      <c r="AQ205" s="141">
        <f t="shared" si="90"/>
        <v>0</v>
      </c>
      <c r="AR205" s="141">
        <f t="shared" si="90"/>
        <v>0</v>
      </c>
      <c r="AS205" s="141">
        <f t="shared" si="90"/>
        <v>0</v>
      </c>
      <c r="AT205" s="141">
        <f t="shared" si="90"/>
        <v>0</v>
      </c>
      <c r="AU205" s="141">
        <f t="shared" si="90"/>
        <v>0</v>
      </c>
      <c r="AV205" s="141">
        <f t="shared" si="90"/>
        <v>0</v>
      </c>
      <c r="AW205" s="141">
        <f t="shared" si="90"/>
        <v>0</v>
      </c>
      <c r="AX205" s="141">
        <f t="shared" si="90"/>
        <v>0</v>
      </c>
      <c r="AY205" s="141">
        <f t="shared" si="90"/>
        <v>0</v>
      </c>
      <c r="AZ205" s="141">
        <f t="shared" si="90"/>
        <v>0</v>
      </c>
      <c r="BA205" s="141">
        <f t="shared" si="90"/>
        <v>0</v>
      </c>
      <c r="BB205" s="141">
        <f t="shared" si="90"/>
        <v>0</v>
      </c>
      <c r="BC205" s="141">
        <f t="shared" si="90"/>
        <v>0</v>
      </c>
      <c r="BD205" s="141">
        <f t="shared" si="90"/>
        <v>0</v>
      </c>
      <c r="BE205" s="141">
        <f t="shared" si="90"/>
        <v>0</v>
      </c>
      <c r="BF205" s="141">
        <f t="shared" si="90"/>
        <v>0</v>
      </c>
      <c r="BG205" s="141">
        <f t="shared" si="90"/>
        <v>0</v>
      </c>
      <c r="BH205" s="141">
        <f t="shared" si="90"/>
        <v>0</v>
      </c>
      <c r="BI205" s="141">
        <f t="shared" si="90"/>
        <v>0</v>
      </c>
      <c r="BJ205" s="142">
        <f t="shared" si="90"/>
        <v>0</v>
      </c>
      <c r="BK205" s="141"/>
      <c r="BL205" s="141"/>
    </row>
    <row r="206" spans="1:64" s="143" customFormat="1" ht="12.75">
      <c r="A206" s="228" t="s">
        <v>129</v>
      </c>
      <c r="B206" s="229">
        <f t="shared" si="87"/>
        <v>5334392.0078103365</v>
      </c>
      <c r="C206" s="230">
        <f>IF(AND(C170&gt;5,C171=0),0,C191)</f>
        <v>91972.275996729921</v>
      </c>
      <c r="D206" s="214">
        <f>IF(AND(D170&gt;5,D171=0),0,D191)</f>
        <v>275916.82799018978</v>
      </c>
      <c r="E206" s="214">
        <f t="shared" ref="E206:BJ206" si="91">IF(AND(E170&gt;5,E171=0),0,E191)</f>
        <v>275916.82799018978</v>
      </c>
      <c r="F206" s="214">
        <f t="shared" si="91"/>
        <v>275916.82799018978</v>
      </c>
      <c r="G206" s="214">
        <f t="shared" si="91"/>
        <v>275916.82799018978</v>
      </c>
      <c r="H206" s="214">
        <f t="shared" si="91"/>
        <v>275916.82799018978</v>
      </c>
      <c r="I206" s="214">
        <f t="shared" si="91"/>
        <v>275916.82799018978</v>
      </c>
      <c r="J206" s="214">
        <f t="shared" si="91"/>
        <v>275916.82799018978</v>
      </c>
      <c r="K206" s="214">
        <f t="shared" si="91"/>
        <v>275916.82799018978</v>
      </c>
      <c r="L206" s="214">
        <f t="shared" si="91"/>
        <v>275916.82799018978</v>
      </c>
      <c r="M206" s="214">
        <f t="shared" si="91"/>
        <v>275916.82799018978</v>
      </c>
      <c r="N206" s="214">
        <f t="shared" si="91"/>
        <v>275916.82799018978</v>
      </c>
      <c r="O206" s="214">
        <f t="shared" si="91"/>
        <v>275916.82799018978</v>
      </c>
      <c r="P206" s="214">
        <f t="shared" si="91"/>
        <v>275916.82799018978</v>
      </c>
      <c r="Q206" s="214">
        <f t="shared" si="91"/>
        <v>275916.82799018978</v>
      </c>
      <c r="R206" s="214">
        <f t="shared" si="91"/>
        <v>275916.82799018978</v>
      </c>
      <c r="S206" s="214">
        <f t="shared" si="91"/>
        <v>275916.82799018978</v>
      </c>
      <c r="T206" s="214">
        <f t="shared" si="91"/>
        <v>275916.82799018978</v>
      </c>
      <c r="U206" s="214">
        <f t="shared" si="91"/>
        <v>275916.82799018978</v>
      </c>
      <c r="V206" s="214">
        <f t="shared" si="91"/>
        <v>275916.82799018978</v>
      </c>
      <c r="W206" s="214">
        <f t="shared" si="91"/>
        <v>0</v>
      </c>
      <c r="X206" s="214">
        <f t="shared" si="91"/>
        <v>0</v>
      </c>
      <c r="Y206" s="214">
        <f t="shared" si="91"/>
        <v>0</v>
      </c>
      <c r="Z206" s="214">
        <f t="shared" si="91"/>
        <v>0</v>
      </c>
      <c r="AA206" s="214">
        <f t="shared" si="91"/>
        <v>0</v>
      </c>
      <c r="AB206" s="214">
        <f t="shared" si="91"/>
        <v>0</v>
      </c>
      <c r="AC206" s="214">
        <f t="shared" si="91"/>
        <v>0</v>
      </c>
      <c r="AD206" s="214">
        <f t="shared" si="91"/>
        <v>0</v>
      </c>
      <c r="AE206" s="214">
        <f t="shared" si="91"/>
        <v>0</v>
      </c>
      <c r="AF206" s="214">
        <f t="shared" si="91"/>
        <v>0</v>
      </c>
      <c r="AG206" s="214">
        <f t="shared" si="91"/>
        <v>0</v>
      </c>
      <c r="AH206" s="214">
        <f t="shared" si="91"/>
        <v>0</v>
      </c>
      <c r="AI206" s="214">
        <f t="shared" si="91"/>
        <v>0</v>
      </c>
      <c r="AJ206" s="214">
        <f t="shared" si="91"/>
        <v>0</v>
      </c>
      <c r="AK206" s="214">
        <f t="shared" si="91"/>
        <v>0</v>
      </c>
      <c r="AL206" s="214">
        <f t="shared" si="91"/>
        <v>0</v>
      </c>
      <c r="AM206" s="214">
        <f t="shared" si="91"/>
        <v>0</v>
      </c>
      <c r="AN206" s="214">
        <f t="shared" si="91"/>
        <v>0</v>
      </c>
      <c r="AO206" s="214">
        <f t="shared" si="91"/>
        <v>0</v>
      </c>
      <c r="AP206" s="214">
        <f t="shared" si="91"/>
        <v>0</v>
      </c>
      <c r="AQ206" s="214">
        <f t="shared" si="91"/>
        <v>0</v>
      </c>
      <c r="AR206" s="214">
        <f t="shared" si="91"/>
        <v>0</v>
      </c>
      <c r="AS206" s="214">
        <f t="shared" si="91"/>
        <v>0</v>
      </c>
      <c r="AT206" s="214">
        <f t="shared" si="91"/>
        <v>0</v>
      </c>
      <c r="AU206" s="214">
        <f t="shared" si="91"/>
        <v>0</v>
      </c>
      <c r="AV206" s="214">
        <f t="shared" si="91"/>
        <v>0</v>
      </c>
      <c r="AW206" s="214">
        <f t="shared" si="91"/>
        <v>0</v>
      </c>
      <c r="AX206" s="214">
        <f t="shared" si="91"/>
        <v>0</v>
      </c>
      <c r="AY206" s="214">
        <f t="shared" si="91"/>
        <v>0</v>
      </c>
      <c r="AZ206" s="214">
        <f t="shared" si="91"/>
        <v>0</v>
      </c>
      <c r="BA206" s="214">
        <f t="shared" si="91"/>
        <v>0</v>
      </c>
      <c r="BB206" s="214">
        <f t="shared" si="91"/>
        <v>0</v>
      </c>
      <c r="BC206" s="214">
        <f t="shared" si="91"/>
        <v>0</v>
      </c>
      <c r="BD206" s="214">
        <f t="shared" si="91"/>
        <v>0</v>
      </c>
      <c r="BE206" s="214">
        <f t="shared" si="91"/>
        <v>0</v>
      </c>
      <c r="BF206" s="214">
        <f t="shared" si="91"/>
        <v>0</v>
      </c>
      <c r="BG206" s="214">
        <f t="shared" si="91"/>
        <v>0</v>
      </c>
      <c r="BH206" s="214">
        <f t="shared" si="91"/>
        <v>0</v>
      </c>
      <c r="BI206" s="214">
        <f t="shared" si="91"/>
        <v>0</v>
      </c>
      <c r="BJ206" s="215">
        <f t="shared" si="91"/>
        <v>0</v>
      </c>
      <c r="BK206" s="141"/>
      <c r="BL206" s="141"/>
    </row>
    <row r="207" spans="1:64" s="160" customFormat="1">
      <c r="A207" s="131" t="s">
        <v>134</v>
      </c>
      <c r="B207" s="156">
        <f t="shared" si="87"/>
        <v>1445256248.2457509</v>
      </c>
      <c r="C207" s="156">
        <f>C181-C182-C202</f>
        <v>-34989114.441233449</v>
      </c>
      <c r="D207" s="157">
        <f t="shared" ref="D207:BJ207" si="92">D181-D182-D202</f>
        <v>-39013534.143414259</v>
      </c>
      <c r="E207" s="157">
        <f t="shared" si="92"/>
        <v>-79036397.760536283</v>
      </c>
      <c r="F207" s="157">
        <f t="shared" si="92"/>
        <v>-81551894.737487555</v>
      </c>
      <c r="G207" s="157">
        <f t="shared" si="92"/>
        <v>-84067391.714438826</v>
      </c>
      <c r="H207" s="157">
        <f t="shared" si="92"/>
        <v>18887774.920155581</v>
      </c>
      <c r="I207" s="157">
        <f t="shared" si="92"/>
        <v>47760571.33972609</v>
      </c>
      <c r="J207" s="157">
        <f t="shared" si="92"/>
        <v>76633367.759296581</v>
      </c>
      <c r="K207" s="157">
        <f t="shared" si="92"/>
        <v>105506164.1788671</v>
      </c>
      <c r="L207" s="157">
        <f t="shared" si="92"/>
        <v>180905546.37811008</v>
      </c>
      <c r="M207" s="157">
        <f t="shared" si="92"/>
        <v>180905546.37811008</v>
      </c>
      <c r="N207" s="157">
        <f t="shared" si="92"/>
        <v>180905546.37811008</v>
      </c>
      <c r="O207" s="157">
        <f t="shared" si="92"/>
        <v>180905546.37811008</v>
      </c>
      <c r="P207" s="157">
        <f t="shared" si="92"/>
        <v>180905546.37811008</v>
      </c>
      <c r="Q207" s="157">
        <f t="shared" si="92"/>
        <v>180905546.37811008</v>
      </c>
      <c r="R207" s="157">
        <f t="shared" si="92"/>
        <v>180905546.37811008</v>
      </c>
      <c r="S207" s="157">
        <f t="shared" si="92"/>
        <v>105506164.1788671</v>
      </c>
      <c r="T207" s="157">
        <f t="shared" si="92"/>
        <v>76633367.759296581</v>
      </c>
      <c r="U207" s="157">
        <f t="shared" si="92"/>
        <v>47760571.33972609</v>
      </c>
      <c r="V207" s="157">
        <f t="shared" si="92"/>
        <v>18887774.920155581</v>
      </c>
      <c r="W207" s="157">
        <f t="shared" si="92"/>
        <v>0</v>
      </c>
      <c r="X207" s="157">
        <f t="shared" si="92"/>
        <v>0</v>
      </c>
      <c r="Y207" s="157">
        <f t="shared" si="92"/>
        <v>0</v>
      </c>
      <c r="Z207" s="157">
        <f t="shared" si="92"/>
        <v>0</v>
      </c>
      <c r="AA207" s="157">
        <f t="shared" si="92"/>
        <v>0</v>
      </c>
      <c r="AB207" s="157">
        <f t="shared" si="92"/>
        <v>0</v>
      </c>
      <c r="AC207" s="157">
        <f t="shared" si="92"/>
        <v>0</v>
      </c>
      <c r="AD207" s="157">
        <f t="shared" si="92"/>
        <v>0</v>
      </c>
      <c r="AE207" s="157">
        <f t="shared" si="92"/>
        <v>0</v>
      </c>
      <c r="AF207" s="157">
        <f t="shared" si="92"/>
        <v>0</v>
      </c>
      <c r="AG207" s="157">
        <f t="shared" si="92"/>
        <v>0</v>
      </c>
      <c r="AH207" s="157">
        <f t="shared" si="92"/>
        <v>0</v>
      </c>
      <c r="AI207" s="157">
        <f t="shared" si="92"/>
        <v>0</v>
      </c>
      <c r="AJ207" s="157">
        <f t="shared" si="92"/>
        <v>0</v>
      </c>
      <c r="AK207" s="157">
        <f t="shared" si="92"/>
        <v>0</v>
      </c>
      <c r="AL207" s="157">
        <f t="shared" si="92"/>
        <v>0</v>
      </c>
      <c r="AM207" s="157">
        <f t="shared" si="92"/>
        <v>0</v>
      </c>
      <c r="AN207" s="157">
        <f t="shared" si="92"/>
        <v>0</v>
      </c>
      <c r="AO207" s="157">
        <f t="shared" si="92"/>
        <v>0</v>
      </c>
      <c r="AP207" s="157">
        <f t="shared" si="92"/>
        <v>0</v>
      </c>
      <c r="AQ207" s="157">
        <f t="shared" si="92"/>
        <v>0</v>
      </c>
      <c r="AR207" s="157">
        <f t="shared" si="92"/>
        <v>0</v>
      </c>
      <c r="AS207" s="157">
        <f t="shared" si="92"/>
        <v>0</v>
      </c>
      <c r="AT207" s="157">
        <f t="shared" si="92"/>
        <v>0</v>
      </c>
      <c r="AU207" s="157">
        <f t="shared" si="92"/>
        <v>0</v>
      </c>
      <c r="AV207" s="157">
        <f t="shared" si="92"/>
        <v>0</v>
      </c>
      <c r="AW207" s="157">
        <f t="shared" si="92"/>
        <v>0</v>
      </c>
      <c r="AX207" s="157">
        <f t="shared" si="92"/>
        <v>0</v>
      </c>
      <c r="AY207" s="157">
        <f t="shared" si="92"/>
        <v>0</v>
      </c>
      <c r="AZ207" s="157">
        <f t="shared" si="92"/>
        <v>0</v>
      </c>
      <c r="BA207" s="157">
        <f t="shared" si="92"/>
        <v>0</v>
      </c>
      <c r="BB207" s="157">
        <f t="shared" si="92"/>
        <v>0</v>
      </c>
      <c r="BC207" s="157">
        <f t="shared" si="92"/>
        <v>0</v>
      </c>
      <c r="BD207" s="157">
        <f t="shared" si="92"/>
        <v>0</v>
      </c>
      <c r="BE207" s="157">
        <f t="shared" si="92"/>
        <v>0</v>
      </c>
      <c r="BF207" s="157">
        <f t="shared" si="92"/>
        <v>0</v>
      </c>
      <c r="BG207" s="157">
        <f t="shared" si="92"/>
        <v>0</v>
      </c>
      <c r="BH207" s="157">
        <f t="shared" si="92"/>
        <v>0</v>
      </c>
      <c r="BI207" s="157">
        <f t="shared" si="92"/>
        <v>0</v>
      </c>
      <c r="BJ207" s="158">
        <f t="shared" si="92"/>
        <v>0</v>
      </c>
      <c r="BK207" s="159"/>
      <c r="BL207" s="159"/>
    </row>
    <row r="208" spans="1:64" s="160" customFormat="1">
      <c r="A208" s="131" t="s">
        <v>135</v>
      </c>
      <c r="B208" s="156">
        <f t="shared" si="87"/>
        <v>529174374.31285834</v>
      </c>
      <c r="C208" s="231">
        <f>IF(C207&lt;=0,0,C207*$K169)</f>
        <v>0</v>
      </c>
      <c r="D208" s="157">
        <f>IF(D207&lt;=0,0,D207*$K169)</f>
        <v>0</v>
      </c>
      <c r="E208" s="157">
        <f t="shared" ref="E208:BJ208" si="93">IF(E207&lt;=0,0,E207*$K169)</f>
        <v>0</v>
      </c>
      <c r="F208" s="157">
        <f t="shared" si="93"/>
        <v>0</v>
      </c>
      <c r="G208" s="157">
        <f t="shared" si="93"/>
        <v>0</v>
      </c>
      <c r="H208" s="157">
        <f t="shared" si="93"/>
        <v>5666332.476046674</v>
      </c>
      <c r="I208" s="157">
        <f t="shared" si="93"/>
        <v>14328171.401917826</v>
      </c>
      <c r="J208" s="157">
        <f t="shared" si="93"/>
        <v>22990010.327788975</v>
      </c>
      <c r="K208" s="157">
        <f t="shared" si="93"/>
        <v>31651849.253660128</v>
      </c>
      <c r="L208" s="157">
        <f t="shared" si="93"/>
        <v>54271663.913433023</v>
      </c>
      <c r="M208" s="157">
        <f t="shared" si="93"/>
        <v>54271663.913433023</v>
      </c>
      <c r="N208" s="157">
        <f t="shared" si="93"/>
        <v>54271663.913433023</v>
      </c>
      <c r="O208" s="157">
        <f t="shared" si="93"/>
        <v>54271663.913433023</v>
      </c>
      <c r="P208" s="157">
        <f t="shared" si="93"/>
        <v>54271663.913433023</v>
      </c>
      <c r="Q208" s="157">
        <f t="shared" si="93"/>
        <v>54271663.913433023</v>
      </c>
      <c r="R208" s="157">
        <f t="shared" si="93"/>
        <v>54271663.913433023</v>
      </c>
      <c r="S208" s="157">
        <f t="shared" si="93"/>
        <v>31651849.253660128</v>
      </c>
      <c r="T208" s="157">
        <f t="shared" si="93"/>
        <v>22990010.327788975</v>
      </c>
      <c r="U208" s="157">
        <f t="shared" si="93"/>
        <v>14328171.401917826</v>
      </c>
      <c r="V208" s="157">
        <f t="shared" si="93"/>
        <v>5666332.476046674</v>
      </c>
      <c r="W208" s="157">
        <f t="shared" si="93"/>
        <v>0</v>
      </c>
      <c r="X208" s="157">
        <f t="shared" si="93"/>
        <v>0</v>
      </c>
      <c r="Y208" s="157">
        <f t="shared" si="93"/>
        <v>0</v>
      </c>
      <c r="Z208" s="157">
        <f t="shared" si="93"/>
        <v>0</v>
      </c>
      <c r="AA208" s="157">
        <f t="shared" si="93"/>
        <v>0</v>
      </c>
      <c r="AB208" s="157">
        <f t="shared" si="93"/>
        <v>0</v>
      </c>
      <c r="AC208" s="157">
        <f t="shared" si="93"/>
        <v>0</v>
      </c>
      <c r="AD208" s="157">
        <f t="shared" si="93"/>
        <v>0</v>
      </c>
      <c r="AE208" s="157">
        <f t="shared" si="93"/>
        <v>0</v>
      </c>
      <c r="AF208" s="157">
        <f t="shared" si="93"/>
        <v>0</v>
      </c>
      <c r="AG208" s="157">
        <f t="shared" si="93"/>
        <v>0</v>
      </c>
      <c r="AH208" s="157">
        <f t="shared" si="93"/>
        <v>0</v>
      </c>
      <c r="AI208" s="157">
        <f t="shared" si="93"/>
        <v>0</v>
      </c>
      <c r="AJ208" s="157">
        <f t="shared" si="93"/>
        <v>0</v>
      </c>
      <c r="AK208" s="157">
        <f t="shared" si="93"/>
        <v>0</v>
      </c>
      <c r="AL208" s="157">
        <f t="shared" si="93"/>
        <v>0</v>
      </c>
      <c r="AM208" s="157">
        <f t="shared" si="93"/>
        <v>0</v>
      </c>
      <c r="AN208" s="157">
        <f t="shared" si="93"/>
        <v>0</v>
      </c>
      <c r="AO208" s="157">
        <f t="shared" si="93"/>
        <v>0</v>
      </c>
      <c r="AP208" s="157">
        <f t="shared" si="93"/>
        <v>0</v>
      </c>
      <c r="AQ208" s="157">
        <f t="shared" si="93"/>
        <v>0</v>
      </c>
      <c r="AR208" s="157">
        <f t="shared" si="93"/>
        <v>0</v>
      </c>
      <c r="AS208" s="157">
        <f t="shared" si="93"/>
        <v>0</v>
      </c>
      <c r="AT208" s="157">
        <f t="shared" si="93"/>
        <v>0</v>
      </c>
      <c r="AU208" s="157">
        <f t="shared" si="93"/>
        <v>0</v>
      </c>
      <c r="AV208" s="157">
        <f t="shared" si="93"/>
        <v>0</v>
      </c>
      <c r="AW208" s="157">
        <f t="shared" si="93"/>
        <v>0</v>
      </c>
      <c r="AX208" s="157">
        <f t="shared" si="93"/>
        <v>0</v>
      </c>
      <c r="AY208" s="157">
        <f t="shared" si="93"/>
        <v>0</v>
      </c>
      <c r="AZ208" s="157">
        <f t="shared" si="93"/>
        <v>0</v>
      </c>
      <c r="BA208" s="157">
        <f t="shared" si="93"/>
        <v>0</v>
      </c>
      <c r="BB208" s="157">
        <f t="shared" si="93"/>
        <v>0</v>
      </c>
      <c r="BC208" s="157">
        <f t="shared" si="93"/>
        <v>0</v>
      </c>
      <c r="BD208" s="157">
        <f t="shared" si="93"/>
        <v>0</v>
      </c>
      <c r="BE208" s="157">
        <f t="shared" si="93"/>
        <v>0</v>
      </c>
      <c r="BF208" s="157">
        <f t="shared" si="93"/>
        <v>0</v>
      </c>
      <c r="BG208" s="157">
        <f t="shared" si="93"/>
        <v>0</v>
      </c>
      <c r="BH208" s="157">
        <f t="shared" si="93"/>
        <v>0</v>
      </c>
      <c r="BI208" s="157">
        <f t="shared" si="93"/>
        <v>0</v>
      </c>
      <c r="BJ208" s="158">
        <f t="shared" si="93"/>
        <v>0</v>
      </c>
      <c r="BK208" s="159"/>
      <c r="BL208" s="159"/>
    </row>
    <row r="209" spans="1:64" s="105" customFormat="1">
      <c r="A209" s="164" t="s">
        <v>136</v>
      </c>
      <c r="B209" s="161">
        <f t="shared" si="87"/>
        <v>916081873.93289268</v>
      </c>
      <c r="C209" s="133">
        <f>C207-C208</f>
        <v>-34989114.441233449</v>
      </c>
      <c r="D209" s="134">
        <f>D207-D208</f>
        <v>-39013534.143414259</v>
      </c>
      <c r="E209" s="134">
        <f>E207-E208</f>
        <v>-79036397.760536283</v>
      </c>
      <c r="F209" s="134">
        <f>F207-F208</f>
        <v>-81551894.737487555</v>
      </c>
      <c r="G209" s="134">
        <f t="shared" ref="G209:BJ209" si="94">G207-G208</f>
        <v>-84067391.714438826</v>
      </c>
      <c r="H209" s="134">
        <f t="shared" si="94"/>
        <v>13221442.444108907</v>
      </c>
      <c r="I209" s="134">
        <f t="shared" si="94"/>
        <v>33432399.937808264</v>
      </c>
      <c r="J209" s="134">
        <f t="shared" si="94"/>
        <v>53643357.431507602</v>
      </c>
      <c r="K209" s="134">
        <f t="shared" si="94"/>
        <v>73854314.925206974</v>
      </c>
      <c r="L209" s="134">
        <f t="shared" si="94"/>
        <v>126633882.46467707</v>
      </c>
      <c r="M209" s="134">
        <f t="shared" si="94"/>
        <v>126633882.46467707</v>
      </c>
      <c r="N209" s="134">
        <f t="shared" si="94"/>
        <v>126633882.46467707</v>
      </c>
      <c r="O209" s="134">
        <f t="shared" si="94"/>
        <v>126633882.46467707</v>
      </c>
      <c r="P209" s="134">
        <f t="shared" si="94"/>
        <v>126633882.46467707</v>
      </c>
      <c r="Q209" s="134">
        <f t="shared" si="94"/>
        <v>126633882.46467707</v>
      </c>
      <c r="R209" s="134">
        <f t="shared" si="94"/>
        <v>126633882.46467707</v>
      </c>
      <c r="S209" s="134">
        <f t="shared" si="94"/>
        <v>73854314.925206974</v>
      </c>
      <c r="T209" s="134">
        <f t="shared" si="94"/>
        <v>53643357.431507602</v>
      </c>
      <c r="U209" s="134">
        <f t="shared" si="94"/>
        <v>33432399.937808264</v>
      </c>
      <c r="V209" s="134">
        <f t="shared" si="94"/>
        <v>13221442.444108907</v>
      </c>
      <c r="W209" s="134">
        <f t="shared" si="94"/>
        <v>0</v>
      </c>
      <c r="X209" s="134">
        <f t="shared" si="94"/>
        <v>0</v>
      </c>
      <c r="Y209" s="134">
        <f t="shared" si="94"/>
        <v>0</v>
      </c>
      <c r="Z209" s="134">
        <f t="shared" si="94"/>
        <v>0</v>
      </c>
      <c r="AA209" s="134">
        <f t="shared" si="94"/>
        <v>0</v>
      </c>
      <c r="AB209" s="134">
        <f t="shared" si="94"/>
        <v>0</v>
      </c>
      <c r="AC209" s="134">
        <f t="shared" si="94"/>
        <v>0</v>
      </c>
      <c r="AD209" s="134">
        <f t="shared" si="94"/>
        <v>0</v>
      </c>
      <c r="AE209" s="134">
        <f t="shared" si="94"/>
        <v>0</v>
      </c>
      <c r="AF209" s="134">
        <f t="shared" si="94"/>
        <v>0</v>
      </c>
      <c r="AG209" s="134">
        <f t="shared" si="94"/>
        <v>0</v>
      </c>
      <c r="AH209" s="134">
        <f t="shared" si="94"/>
        <v>0</v>
      </c>
      <c r="AI209" s="134">
        <f t="shared" si="94"/>
        <v>0</v>
      </c>
      <c r="AJ209" s="134">
        <f t="shared" si="94"/>
        <v>0</v>
      </c>
      <c r="AK209" s="134">
        <f t="shared" si="94"/>
        <v>0</v>
      </c>
      <c r="AL209" s="134">
        <f t="shared" si="94"/>
        <v>0</v>
      </c>
      <c r="AM209" s="134">
        <f t="shared" si="94"/>
        <v>0</v>
      </c>
      <c r="AN209" s="134">
        <f t="shared" si="94"/>
        <v>0</v>
      </c>
      <c r="AO209" s="134">
        <f t="shared" si="94"/>
        <v>0</v>
      </c>
      <c r="AP209" s="134">
        <f t="shared" si="94"/>
        <v>0</v>
      </c>
      <c r="AQ209" s="134">
        <f t="shared" si="94"/>
        <v>0</v>
      </c>
      <c r="AR209" s="134">
        <f t="shared" si="94"/>
        <v>0</v>
      </c>
      <c r="AS209" s="134">
        <f t="shared" si="94"/>
        <v>0</v>
      </c>
      <c r="AT209" s="134">
        <f t="shared" si="94"/>
        <v>0</v>
      </c>
      <c r="AU209" s="134">
        <f t="shared" si="94"/>
        <v>0</v>
      </c>
      <c r="AV209" s="134">
        <f t="shared" si="94"/>
        <v>0</v>
      </c>
      <c r="AW209" s="134">
        <f t="shared" si="94"/>
        <v>0</v>
      </c>
      <c r="AX209" s="134">
        <f t="shared" si="94"/>
        <v>0</v>
      </c>
      <c r="AY209" s="134">
        <f t="shared" si="94"/>
        <v>0</v>
      </c>
      <c r="AZ209" s="134">
        <f t="shared" si="94"/>
        <v>0</v>
      </c>
      <c r="BA209" s="134">
        <f t="shared" si="94"/>
        <v>0</v>
      </c>
      <c r="BB209" s="134">
        <f t="shared" si="94"/>
        <v>0</v>
      </c>
      <c r="BC209" s="134">
        <f t="shared" si="94"/>
        <v>0</v>
      </c>
      <c r="BD209" s="134">
        <f t="shared" si="94"/>
        <v>0</v>
      </c>
      <c r="BE209" s="134">
        <f t="shared" si="94"/>
        <v>0</v>
      </c>
      <c r="BF209" s="134">
        <f t="shared" si="94"/>
        <v>0</v>
      </c>
      <c r="BG209" s="134">
        <f t="shared" si="94"/>
        <v>0</v>
      </c>
      <c r="BH209" s="134">
        <f t="shared" si="94"/>
        <v>0</v>
      </c>
      <c r="BI209" s="134">
        <f t="shared" si="94"/>
        <v>0</v>
      </c>
      <c r="BJ209" s="135">
        <f t="shared" si="94"/>
        <v>0</v>
      </c>
      <c r="BK209" s="109"/>
      <c r="BL209" s="109"/>
    </row>
    <row r="210" spans="1:64">
      <c r="A210" s="165" t="s">
        <v>137</v>
      </c>
      <c r="B210" s="161" t="e">
        <f>SUM(B211:B213)</f>
        <v>#REF!</v>
      </c>
      <c r="C210" s="166"/>
      <c r="D210" s="167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168"/>
      <c r="R210" s="168"/>
      <c r="S210" s="168"/>
      <c r="T210" s="168"/>
      <c r="U210" s="168"/>
      <c r="V210" s="168"/>
      <c r="W210" s="168"/>
      <c r="X210" s="168"/>
      <c r="Y210" s="168"/>
      <c r="Z210" s="168"/>
      <c r="AA210" s="168"/>
      <c r="AB210" s="168"/>
      <c r="AC210" s="168"/>
      <c r="AD210" s="168"/>
      <c r="AE210" s="168"/>
      <c r="AF210" s="168"/>
      <c r="AG210" s="168"/>
      <c r="AH210" s="168"/>
      <c r="AI210" s="168"/>
      <c r="AJ210" s="168"/>
      <c r="AK210" s="168"/>
      <c r="AL210" s="168"/>
      <c r="AM210" s="168"/>
      <c r="AN210" s="168"/>
      <c r="AO210" s="168"/>
      <c r="AP210" s="168"/>
      <c r="AQ210" s="168"/>
      <c r="AR210" s="168"/>
      <c r="AS210" s="168"/>
      <c r="AT210" s="168"/>
      <c r="AU210" s="168"/>
      <c r="AV210" s="168"/>
      <c r="AW210" s="168"/>
      <c r="AX210" s="168"/>
      <c r="AY210" s="168"/>
      <c r="AZ210" s="168"/>
      <c r="BA210" s="168"/>
      <c r="BB210" s="168"/>
      <c r="BC210" s="168"/>
      <c r="BD210" s="168"/>
      <c r="BE210" s="168"/>
      <c r="BF210" s="168"/>
      <c r="BG210" s="168"/>
      <c r="BH210" s="168"/>
      <c r="BI210" s="168"/>
      <c r="BJ210" s="169"/>
    </row>
    <row r="211" spans="1:64" s="174" customFormat="1" ht="12.75">
      <c r="A211" s="120" t="s">
        <v>138</v>
      </c>
      <c r="B211" s="170">
        <f>SUM(C211:BJ211)</f>
        <v>123754939.20898968</v>
      </c>
      <c r="C211" s="171">
        <f>C182-C187</f>
        <v>34025095.242183387</v>
      </c>
      <c r="D211" s="172">
        <f>IF(AND(D170&gt;5,D171=0),0,D182-D187)</f>
        <v>35519012.099806376</v>
      </c>
      <c r="E211" s="172">
        <f t="shared" ref="E211:BJ211" si="95">IF(AND(E170&gt;5,E171=0),0,E182-E187)</f>
        <v>70510881.76302585</v>
      </c>
      <c r="F211" s="172">
        <f t="shared" si="95"/>
        <v>67995384.786074579</v>
      </c>
      <c r="G211" s="172">
        <f t="shared" si="95"/>
        <v>65479887.809123307</v>
      </c>
      <c r="H211" s="172">
        <f t="shared" si="95"/>
        <v>-9985021.4994149245</v>
      </c>
      <c r="I211" s="172">
        <f t="shared" si="95"/>
        <v>-9985021.4994149245</v>
      </c>
      <c r="J211" s="172">
        <f t="shared" si="95"/>
        <v>-9985021.4994149245</v>
      </c>
      <c r="K211" s="172">
        <f t="shared" si="95"/>
        <v>-9985021.4994149245</v>
      </c>
      <c r="L211" s="172">
        <f t="shared" si="95"/>
        <v>-9985021.4994149245</v>
      </c>
      <c r="M211" s="172">
        <f t="shared" si="95"/>
        <v>-9985021.4994149245</v>
      </c>
      <c r="N211" s="172">
        <f t="shared" si="95"/>
        <v>-9985021.4994149245</v>
      </c>
      <c r="O211" s="172">
        <f t="shared" si="95"/>
        <v>-9985021.4994149245</v>
      </c>
      <c r="P211" s="172">
        <f t="shared" si="95"/>
        <v>-9985021.4994149245</v>
      </c>
      <c r="Q211" s="172">
        <f t="shared" si="95"/>
        <v>-9985021.4994149245</v>
      </c>
      <c r="R211" s="172">
        <f t="shared" si="95"/>
        <v>-9985021.4994149245</v>
      </c>
      <c r="S211" s="172">
        <f t="shared" si="95"/>
        <v>-9985021.4994149245</v>
      </c>
      <c r="T211" s="172">
        <f t="shared" si="95"/>
        <v>-9985021.4994149245</v>
      </c>
      <c r="U211" s="172">
        <f t="shared" si="95"/>
        <v>-9985021.4994149245</v>
      </c>
      <c r="V211" s="172">
        <f t="shared" si="95"/>
        <v>-9985021.4994149245</v>
      </c>
      <c r="W211" s="172">
        <f t="shared" si="95"/>
        <v>0</v>
      </c>
      <c r="X211" s="172">
        <f t="shared" si="95"/>
        <v>0</v>
      </c>
      <c r="Y211" s="172">
        <f t="shared" si="95"/>
        <v>0</v>
      </c>
      <c r="Z211" s="172">
        <f t="shared" si="95"/>
        <v>0</v>
      </c>
      <c r="AA211" s="172">
        <f t="shared" si="95"/>
        <v>0</v>
      </c>
      <c r="AB211" s="172">
        <f t="shared" si="95"/>
        <v>0</v>
      </c>
      <c r="AC211" s="172">
        <f t="shared" si="95"/>
        <v>0</v>
      </c>
      <c r="AD211" s="172">
        <f t="shared" si="95"/>
        <v>0</v>
      </c>
      <c r="AE211" s="172">
        <f t="shared" si="95"/>
        <v>0</v>
      </c>
      <c r="AF211" s="172">
        <f t="shared" si="95"/>
        <v>0</v>
      </c>
      <c r="AG211" s="172">
        <f t="shared" si="95"/>
        <v>0</v>
      </c>
      <c r="AH211" s="172">
        <f t="shared" si="95"/>
        <v>0</v>
      </c>
      <c r="AI211" s="172">
        <f t="shared" si="95"/>
        <v>0</v>
      </c>
      <c r="AJ211" s="172">
        <f t="shared" si="95"/>
        <v>0</v>
      </c>
      <c r="AK211" s="172">
        <f t="shared" si="95"/>
        <v>0</v>
      </c>
      <c r="AL211" s="172">
        <f t="shared" si="95"/>
        <v>0</v>
      </c>
      <c r="AM211" s="172">
        <f t="shared" si="95"/>
        <v>0</v>
      </c>
      <c r="AN211" s="172">
        <f t="shared" si="95"/>
        <v>0</v>
      </c>
      <c r="AO211" s="172">
        <f t="shared" si="95"/>
        <v>0</v>
      </c>
      <c r="AP211" s="172">
        <f t="shared" si="95"/>
        <v>0</v>
      </c>
      <c r="AQ211" s="172">
        <f t="shared" si="95"/>
        <v>0</v>
      </c>
      <c r="AR211" s="172">
        <f t="shared" si="95"/>
        <v>0</v>
      </c>
      <c r="AS211" s="172">
        <f t="shared" si="95"/>
        <v>0</v>
      </c>
      <c r="AT211" s="172">
        <f t="shared" si="95"/>
        <v>0</v>
      </c>
      <c r="AU211" s="172">
        <f t="shared" si="95"/>
        <v>0</v>
      </c>
      <c r="AV211" s="172">
        <f t="shared" si="95"/>
        <v>0</v>
      </c>
      <c r="AW211" s="172">
        <f t="shared" si="95"/>
        <v>0</v>
      </c>
      <c r="AX211" s="172">
        <f t="shared" si="95"/>
        <v>0</v>
      </c>
      <c r="AY211" s="172">
        <f t="shared" si="95"/>
        <v>0</v>
      </c>
      <c r="AZ211" s="172">
        <f t="shared" si="95"/>
        <v>0</v>
      </c>
      <c r="BA211" s="172">
        <f t="shared" si="95"/>
        <v>0</v>
      </c>
      <c r="BB211" s="172">
        <f t="shared" si="95"/>
        <v>0</v>
      </c>
      <c r="BC211" s="172">
        <f t="shared" si="95"/>
        <v>0</v>
      </c>
      <c r="BD211" s="172">
        <f t="shared" si="95"/>
        <v>0</v>
      </c>
      <c r="BE211" s="172">
        <f t="shared" si="95"/>
        <v>0</v>
      </c>
      <c r="BF211" s="172">
        <f t="shared" si="95"/>
        <v>0</v>
      </c>
      <c r="BG211" s="172">
        <f t="shared" si="95"/>
        <v>0</v>
      </c>
      <c r="BH211" s="172">
        <f t="shared" si="95"/>
        <v>0</v>
      </c>
      <c r="BI211" s="172">
        <f t="shared" si="95"/>
        <v>0</v>
      </c>
      <c r="BJ211" s="173">
        <f t="shared" si="95"/>
        <v>0</v>
      </c>
      <c r="BK211" s="172"/>
      <c r="BL211" s="172"/>
    </row>
    <row r="212" spans="1:64" s="174" customFormat="1" ht="12.75">
      <c r="A212" s="120" t="s">
        <v>139</v>
      </c>
      <c r="B212" s="170">
        <f>SUM(C212:BJ212)</f>
        <v>175795705.77345806</v>
      </c>
      <c r="C212" s="171">
        <f>C202</f>
        <v>1173279.146282186</v>
      </c>
      <c r="D212" s="172">
        <f>D202</f>
        <v>2438530.5685611018</v>
      </c>
      <c r="E212" s="172">
        <f t="shared" ref="E212:BJ212" si="96">E202</f>
        <v>4954027.5455123764</v>
      </c>
      <c r="F212" s="172">
        <f t="shared" si="96"/>
        <v>7469524.5224636504</v>
      </c>
      <c r="G212" s="172">
        <f t="shared" si="96"/>
        <v>9985021.4994149245</v>
      </c>
      <c r="H212" s="172">
        <f t="shared" si="96"/>
        <v>9985021.4994149245</v>
      </c>
      <c r="I212" s="172">
        <f t="shared" si="96"/>
        <v>9985021.4994149245</v>
      </c>
      <c r="J212" s="172">
        <f t="shared" si="96"/>
        <v>9985021.4994149245</v>
      </c>
      <c r="K212" s="172">
        <f t="shared" si="96"/>
        <v>9985021.4994149245</v>
      </c>
      <c r="L212" s="172">
        <f t="shared" si="96"/>
        <v>9985021.4994149245</v>
      </c>
      <c r="M212" s="172">
        <f t="shared" si="96"/>
        <v>9985021.4994149245</v>
      </c>
      <c r="N212" s="172">
        <f t="shared" si="96"/>
        <v>9985021.4994149245</v>
      </c>
      <c r="O212" s="172">
        <f t="shared" si="96"/>
        <v>9985021.4994149245</v>
      </c>
      <c r="P212" s="172">
        <f t="shared" si="96"/>
        <v>9985021.4994149245</v>
      </c>
      <c r="Q212" s="172">
        <f t="shared" si="96"/>
        <v>9985021.4994149245</v>
      </c>
      <c r="R212" s="172">
        <f t="shared" si="96"/>
        <v>9985021.4994149245</v>
      </c>
      <c r="S212" s="172">
        <f t="shared" si="96"/>
        <v>9985021.4994149245</v>
      </c>
      <c r="T212" s="172">
        <f t="shared" si="96"/>
        <v>9985021.4994149245</v>
      </c>
      <c r="U212" s="172">
        <f t="shared" si="96"/>
        <v>9985021.4994149245</v>
      </c>
      <c r="V212" s="172">
        <f t="shared" si="96"/>
        <v>9985021.4994149245</v>
      </c>
      <c r="W212" s="172">
        <f t="shared" si="96"/>
        <v>0</v>
      </c>
      <c r="X212" s="172">
        <f t="shared" si="96"/>
        <v>0</v>
      </c>
      <c r="Y212" s="172">
        <f t="shared" si="96"/>
        <v>0</v>
      </c>
      <c r="Z212" s="172">
        <f t="shared" si="96"/>
        <v>0</v>
      </c>
      <c r="AA212" s="172">
        <f t="shared" si="96"/>
        <v>0</v>
      </c>
      <c r="AB212" s="172">
        <f t="shared" si="96"/>
        <v>0</v>
      </c>
      <c r="AC212" s="172">
        <f t="shared" si="96"/>
        <v>0</v>
      </c>
      <c r="AD212" s="172">
        <f t="shared" si="96"/>
        <v>0</v>
      </c>
      <c r="AE212" s="172">
        <f t="shared" si="96"/>
        <v>0</v>
      </c>
      <c r="AF212" s="172">
        <f t="shared" si="96"/>
        <v>0</v>
      </c>
      <c r="AG212" s="172">
        <f t="shared" si="96"/>
        <v>0</v>
      </c>
      <c r="AH212" s="172">
        <f t="shared" si="96"/>
        <v>0</v>
      </c>
      <c r="AI212" s="172">
        <f t="shared" si="96"/>
        <v>0</v>
      </c>
      <c r="AJ212" s="172">
        <f t="shared" si="96"/>
        <v>0</v>
      </c>
      <c r="AK212" s="172">
        <f t="shared" si="96"/>
        <v>0</v>
      </c>
      <c r="AL212" s="172">
        <f t="shared" si="96"/>
        <v>0</v>
      </c>
      <c r="AM212" s="172">
        <f t="shared" si="96"/>
        <v>0</v>
      </c>
      <c r="AN212" s="172">
        <f t="shared" si="96"/>
        <v>0</v>
      </c>
      <c r="AO212" s="172">
        <f t="shared" si="96"/>
        <v>0</v>
      </c>
      <c r="AP212" s="172">
        <f t="shared" si="96"/>
        <v>0</v>
      </c>
      <c r="AQ212" s="172">
        <f t="shared" si="96"/>
        <v>0</v>
      </c>
      <c r="AR212" s="172">
        <f t="shared" si="96"/>
        <v>0</v>
      </c>
      <c r="AS212" s="172">
        <f t="shared" si="96"/>
        <v>0</v>
      </c>
      <c r="AT212" s="172">
        <f t="shared" si="96"/>
        <v>0</v>
      </c>
      <c r="AU212" s="172">
        <f t="shared" si="96"/>
        <v>0</v>
      </c>
      <c r="AV212" s="172">
        <f t="shared" si="96"/>
        <v>0</v>
      </c>
      <c r="AW212" s="172">
        <f t="shared" si="96"/>
        <v>0</v>
      </c>
      <c r="AX212" s="172">
        <f t="shared" si="96"/>
        <v>0</v>
      </c>
      <c r="AY212" s="172">
        <f t="shared" si="96"/>
        <v>0</v>
      </c>
      <c r="AZ212" s="172">
        <f t="shared" si="96"/>
        <v>0</v>
      </c>
      <c r="BA212" s="172">
        <f t="shared" si="96"/>
        <v>0</v>
      </c>
      <c r="BB212" s="172">
        <f t="shared" si="96"/>
        <v>0</v>
      </c>
      <c r="BC212" s="172">
        <f t="shared" si="96"/>
        <v>0</v>
      </c>
      <c r="BD212" s="172">
        <f t="shared" si="96"/>
        <v>0</v>
      </c>
      <c r="BE212" s="172">
        <f t="shared" si="96"/>
        <v>0</v>
      </c>
      <c r="BF212" s="172">
        <f t="shared" si="96"/>
        <v>0</v>
      </c>
      <c r="BG212" s="172">
        <f t="shared" si="96"/>
        <v>0</v>
      </c>
      <c r="BH212" s="172">
        <f t="shared" si="96"/>
        <v>0</v>
      </c>
      <c r="BI212" s="172">
        <f t="shared" si="96"/>
        <v>0</v>
      </c>
      <c r="BJ212" s="173">
        <f t="shared" si="96"/>
        <v>0</v>
      </c>
      <c r="BK212" s="172"/>
      <c r="BL212" s="172"/>
    </row>
    <row r="213" spans="1:64" s="174" customFormat="1" ht="12.75">
      <c r="A213" s="120" t="s">
        <v>140</v>
      </c>
      <c r="B213" s="170" t="e">
        <f>SUM(C213:BJ213)</f>
        <v>#REF!</v>
      </c>
      <c r="C213" s="171">
        <f>-C182</f>
        <v>-35198374.388465576</v>
      </c>
      <c r="D213" s="172">
        <f>IF(AND(D170&gt;5,E171=0,D171&lt;&gt;0),SUM(D$71:$BJ187)-D182,-D182)</f>
        <v>-37957542.668367475</v>
      </c>
      <c r="E213" s="172">
        <f>IF(AND(E170&gt;5,F171=0,E171&lt;&gt;0),SUM(E$71:$BJ187)-E182,-E182)</f>
        <v>-75464909.308538228</v>
      </c>
      <c r="F213" s="172">
        <f>IF(AND(F170&gt;5,G171=0,F171&lt;&gt;0),SUM(F$71:$BJ187)-F182,-F182)</f>
        <v>-75464909.308538228</v>
      </c>
      <c r="G213" s="172">
        <f>IF(AND(G170&gt;5,H171=0,G171&lt;&gt;0),SUM(G$71:$BJ187)-G182,-G182)</f>
        <v>-75464909.308538228</v>
      </c>
      <c r="H213" s="172">
        <f>IF(AND(H170&gt;5,I171=0,H171&lt;&gt;0),SUM(H$71:$BJ187)-H182,-H182)</f>
        <v>0</v>
      </c>
      <c r="I213" s="172">
        <f>IF(AND(I170&gt;5,J171=0,I171&lt;&gt;0),SUM(I$71:$BJ187)-I182,-I182)</f>
        <v>0</v>
      </c>
      <c r="J213" s="172">
        <f>IF(AND(J170&gt;5,K171=0,J171&lt;&gt;0),SUM(J$71:$BJ187)-J182,-J182)</f>
        <v>0</v>
      </c>
      <c r="K213" s="172">
        <f>IF(AND(K170&gt;5,L171=0,K171&lt;&gt;0),SUM(K$71:$BJ187)-K182,-K182)</f>
        <v>0</v>
      </c>
      <c r="L213" s="172">
        <f>IF(AND(L170&gt;5,M171=0,L171&lt;&gt;0),SUM(L$71:$BJ187)-L182,-L182)</f>
        <v>0</v>
      </c>
      <c r="M213" s="172">
        <f>IF(AND(M170&gt;5,N171=0,M171&lt;&gt;0),SUM(M$71:$BJ187)-M182,-M182)</f>
        <v>0</v>
      </c>
      <c r="N213" s="172">
        <f>IF(AND(N170&gt;5,O171=0,N171&lt;&gt;0),SUM(N$71:$BJ187)-N182,-N182)</f>
        <v>0</v>
      </c>
      <c r="O213" s="172">
        <f>IF(AND(O170&gt;5,P171=0,O171&lt;&gt;0),SUM(O$71:$BJ187)-O182,-O182)</f>
        <v>0</v>
      </c>
      <c r="P213" s="172">
        <f>IF(AND(P170&gt;5,Q171=0,P171&lt;&gt;0),SUM(P$71:$BJ187)-P182,-P182)</f>
        <v>0</v>
      </c>
      <c r="Q213" s="172">
        <f>IF(AND(Q170&gt;5,R171=0,Q171&lt;&gt;0),SUM(Q$71:$BJ187)-Q182,-Q182)</f>
        <v>0</v>
      </c>
      <c r="R213" s="172">
        <f>IF(AND(R170&gt;5,S171=0,R171&lt;&gt;0),SUM(R$71:$BJ187)-R182,-R182)</f>
        <v>0</v>
      </c>
      <c r="S213" s="172">
        <f>IF(AND(S170&gt;5,T171=0,S171&lt;&gt;0),SUM(S$71:$BJ187)-S182,-S182)</f>
        <v>0</v>
      </c>
      <c r="T213" s="172">
        <f>IF(AND(T170&gt;5,U171=0,T171&lt;&gt;0),SUM(T$71:$BJ187)-T182,-T182)</f>
        <v>0</v>
      </c>
      <c r="U213" s="172">
        <f>IF(AND(U170&gt;5,V171=0,U171&lt;&gt;0),SUM(U$71:$BJ187)-U182,-U182)</f>
        <v>0</v>
      </c>
      <c r="V213" s="172" t="e">
        <f>IF(AND(V170&gt;5,W171=0,V171&lt;&gt;0),SUM(V$71:$BJ187)-V182,-V182)</f>
        <v>#REF!</v>
      </c>
      <c r="W213" s="172">
        <f>IF(AND(W170&gt;5,X171=0,W171&lt;&gt;0),SUM(W$71:$BJ187)-W182,-W182)</f>
        <v>0</v>
      </c>
      <c r="X213" s="172">
        <f>IF(AND(X170&gt;5,Y171=0,X171&lt;&gt;0),SUM(X$71:$BJ187)-X182,-X182)</f>
        <v>0</v>
      </c>
      <c r="Y213" s="172">
        <f>IF(AND(Y170&gt;5,Z171=0,Y171&lt;&gt;0),SUM(Y$71:$BJ187)-Y182,-Y182)</f>
        <v>0</v>
      </c>
      <c r="Z213" s="175">
        <f>IF(AND(Z170&gt;5,AA171=0,Z171&lt;&gt;0),SUM(Z$71:$BJ187)-Z182,-Z182)</f>
        <v>0</v>
      </c>
      <c r="AA213" s="172">
        <f>IF(AND(AA170&gt;5,AB171=0,AA171&lt;&gt;0),SUM(AA$71:$BJ187)-AA182,-AA182)</f>
        <v>0</v>
      </c>
      <c r="AB213" s="172">
        <f>IF(AND(AB170&gt;5,AC171=0,AB171&lt;&gt;0),SUM(AB$71:$BJ187)-AB182,-AB182)</f>
        <v>0</v>
      </c>
      <c r="AC213" s="172">
        <f>IF(AND(AC170&gt;5,AD171=0,AC171&lt;&gt;0),SUM(AC$71:$BJ187)-AC182,-AC182)</f>
        <v>0</v>
      </c>
      <c r="AD213" s="172">
        <f>IF(AND(AD170&gt;5,AE171=0,AD171&lt;&gt;0),SUM(AD$71:$BJ187)-AD182,-AD182)</f>
        <v>0</v>
      </c>
      <c r="AE213" s="172">
        <f>IF(AND(AE170&gt;5,AF171=0,AE171&lt;&gt;0),SUM(AE$71:$BJ187)-AE182,-AE182)</f>
        <v>0</v>
      </c>
      <c r="AF213" s="172">
        <f>IF(AND(AF170&gt;5,AG171=0,AF171&lt;&gt;0),SUM(AF$71:$BJ187)-AF182,-AF182)</f>
        <v>0</v>
      </c>
      <c r="AG213" s="172">
        <f>IF(AND(AG170&gt;5,AH171=0,AG171&lt;&gt;0),SUM(AG$71:$BJ187)-AG182,-AG182)</f>
        <v>0</v>
      </c>
      <c r="AH213" s="172">
        <f>IF(AND(AH170&gt;5,AI171=0,AH171&lt;&gt;0),SUM(AH$71:$BJ187)-AH182,-AH182)</f>
        <v>0</v>
      </c>
      <c r="AI213" s="172">
        <f>IF(AND(AI170&gt;5,AJ171=0,AI171&lt;&gt;0),SUM(AI$71:$BJ187)-AI182,-AI182)</f>
        <v>0</v>
      </c>
      <c r="AJ213" s="172">
        <f>IF(AND(AJ170&gt;5,AK171=0,AJ171&lt;&gt;0),SUM(AJ$71:$BJ187)-AJ182,-AJ182)</f>
        <v>0</v>
      </c>
      <c r="AK213" s="172">
        <f>IF(AND(AK170&gt;5,AL171=0,AK171&lt;&gt;0),SUM(AK$71:$BJ187)-AK182,-AK182)</f>
        <v>0</v>
      </c>
      <c r="AL213" s="172">
        <f>IF(AND(AL170&gt;5,AM171=0,AL171&lt;&gt;0),SUM(AL$71:$BJ187)-AL182,-AL182)</f>
        <v>0</v>
      </c>
      <c r="AM213" s="172">
        <f>IF(AND(AM170&gt;5,AN171=0,AM171&lt;&gt;0),SUM(AM$71:$BJ187)-AM182,-AM182)</f>
        <v>0</v>
      </c>
      <c r="AN213" s="172">
        <f>IF(AND(AN170&gt;5,AO171=0,AN171&lt;&gt;0),SUM(AN$71:$BJ187)-AN182,-AN182)</f>
        <v>0</v>
      </c>
      <c r="AO213" s="172">
        <f>IF(AND(AO170&gt;5,AP171=0,AO171&lt;&gt;0),SUM(AO$71:$BJ187)-AO182,-AO182)</f>
        <v>0</v>
      </c>
      <c r="AP213" s="172">
        <f>IF(AND(AP170&gt;5,AQ171=0,AP171&lt;&gt;0),SUM(AP$71:$BJ187)-AP182,-AP182)</f>
        <v>0</v>
      </c>
      <c r="AQ213" s="172">
        <f>IF(AND(AQ170&gt;5,AR171=0,AQ171&lt;&gt;0),SUM(AQ$71:$BJ187)-AQ182,-AQ182)</f>
        <v>0</v>
      </c>
      <c r="AR213" s="172">
        <f>IF(AND(AR170&gt;5,AS171=0,AR171&lt;&gt;0),SUM(AR$71:$BJ187)-AR182,-AR182)</f>
        <v>0</v>
      </c>
      <c r="AS213" s="172">
        <f>IF(AND(AS170&gt;5,AT171=0,AS171&lt;&gt;0),SUM(AS$71:$BJ187)-AS182,-AS182)</f>
        <v>0</v>
      </c>
      <c r="AT213" s="172">
        <f>IF(AND(AT170&gt;5,AU171=0,AT171&lt;&gt;0),SUM(AT$71:$BJ187)-AT182,-AT182)</f>
        <v>0</v>
      </c>
      <c r="AU213" s="172">
        <f>IF(AND(AU170&gt;5,AV171=0,AU171&lt;&gt;0),SUM(AU$71:$BJ187)-AU182,-AU182)</f>
        <v>0</v>
      </c>
      <c r="AV213" s="172">
        <f>IF(AND(AV170&gt;5,AW171=0,AV171&lt;&gt;0),SUM(AV$71:$BJ187)-AV182,-AV182)</f>
        <v>0</v>
      </c>
      <c r="AW213" s="172">
        <f>IF(AND(AW170&gt;5,AX171=0,AW171&lt;&gt;0),SUM(AW$71:$BJ187)-AW182,-AW182)</f>
        <v>0</v>
      </c>
      <c r="AX213" s="172">
        <f>IF(AND(AX170&gt;5,AY171=0,AX171&lt;&gt;0),SUM(AX$71:$BJ187)-AX182,-AX182)</f>
        <v>0</v>
      </c>
      <c r="AY213" s="172">
        <f>IF(AND(AY170&gt;5,AZ171=0,AY171&lt;&gt;0),SUM(AY$71:$BJ187)-AY182,-AY182)</f>
        <v>0</v>
      </c>
      <c r="AZ213" s="172">
        <f>IF(AND(AZ170&gt;5,BA171=0,AZ171&lt;&gt;0),SUM(AZ$71:$BJ187)-AZ182,-AZ182)</f>
        <v>0</v>
      </c>
      <c r="BA213" s="172">
        <f>IF(AND(BA170&gt;5,BB171=0,BA171&lt;&gt;0),SUM(BA$71:$BJ187)-BA182,-BA182)</f>
        <v>0</v>
      </c>
      <c r="BB213" s="172">
        <f>IF(AND(BB170&gt;5,BC171=0,BB171&lt;&gt;0),SUM(BB$71:$BJ187)-BB182,-BB182)</f>
        <v>0</v>
      </c>
      <c r="BC213" s="172">
        <f>IF(AND(BC170&gt;5,BD171=0,BC171&lt;&gt;0),SUM(BC$71:$BJ187)-BC182,-BC182)</f>
        <v>0</v>
      </c>
      <c r="BD213" s="172">
        <f>IF(AND(BD170&gt;5,BE171=0,BD171&lt;&gt;0),SUM(BD$71:$BJ187)-BD182,-BD182)</f>
        <v>0</v>
      </c>
      <c r="BE213" s="172">
        <f>IF(AND(BE170&gt;5,BF171=0,BE171&lt;&gt;0),SUM(BE$71:$BJ187)-BE182,-BE182)</f>
        <v>0</v>
      </c>
      <c r="BF213" s="172">
        <f>IF(AND(BF170&gt;5,BG171=0,BF171&lt;&gt;0),SUM(BF$71:$BJ187)-BF182,-BF182)</f>
        <v>0</v>
      </c>
      <c r="BG213" s="172">
        <f>IF(AND(BG170&gt;5,BH171=0,BG171&lt;&gt;0),SUM(BG$71:$BJ187)-BG182,-BG182)</f>
        <v>0</v>
      </c>
      <c r="BH213" s="172">
        <f>IF(AND(BH170&gt;5,BI171=0,BH171&lt;&gt;0),SUM(BH$71:$BJ187)-BH182,-BH182)</f>
        <v>0</v>
      </c>
      <c r="BI213" s="172">
        <f>IF(AND(BI170&gt;5,BJ171=0,BI171&lt;&gt;0),SUM(BI$71:$BJ187)-BI182,-BI182)</f>
        <v>0</v>
      </c>
      <c r="BJ213" s="173">
        <f>IF(AND(BJ170&gt;5,BK171=0,BJ171&lt;&gt;0),SUM(BJ$71:$BJ187)-BJ182,-BJ182)</f>
        <v>0</v>
      </c>
      <c r="BK213" s="172"/>
      <c r="BL213" s="172"/>
    </row>
    <row r="214" spans="1:64" s="160" customFormat="1">
      <c r="A214" s="176" t="s">
        <v>141</v>
      </c>
      <c r="B214" s="177">
        <f>SUM(C214:BJ214)</f>
        <v>1091877579.7063508</v>
      </c>
      <c r="C214" s="178">
        <f>C209+C212</f>
        <v>-33815835.29495126</v>
      </c>
      <c r="D214" s="179">
        <f t="shared" ref="D214:BJ214" si="97">D209+D212</f>
        <v>-36575003.574853159</v>
      </c>
      <c r="E214" s="179">
        <f t="shared" si="97"/>
        <v>-74082370.215023905</v>
      </c>
      <c r="F214" s="179">
        <f t="shared" si="97"/>
        <v>-74082370.215023905</v>
      </c>
      <c r="G214" s="179">
        <f t="shared" si="97"/>
        <v>-74082370.215023905</v>
      </c>
      <c r="H214" s="179">
        <f t="shared" si="97"/>
        <v>23206463.943523832</v>
      </c>
      <c r="I214" s="179">
        <f t="shared" si="97"/>
        <v>43417421.437223189</v>
      </c>
      <c r="J214" s="179">
        <f t="shared" si="97"/>
        <v>63628378.930922523</v>
      </c>
      <c r="K214" s="179">
        <f t="shared" si="97"/>
        <v>83839336.424621895</v>
      </c>
      <c r="L214" s="179">
        <f t="shared" si="97"/>
        <v>136618903.96409199</v>
      </c>
      <c r="M214" s="179">
        <f t="shared" si="97"/>
        <v>136618903.96409199</v>
      </c>
      <c r="N214" s="179">
        <f t="shared" si="97"/>
        <v>136618903.96409199</v>
      </c>
      <c r="O214" s="179">
        <f t="shared" si="97"/>
        <v>136618903.96409199</v>
      </c>
      <c r="P214" s="179">
        <f t="shared" si="97"/>
        <v>136618903.96409199</v>
      </c>
      <c r="Q214" s="179">
        <f t="shared" si="97"/>
        <v>136618903.96409199</v>
      </c>
      <c r="R214" s="179">
        <f t="shared" si="97"/>
        <v>136618903.96409199</v>
      </c>
      <c r="S214" s="179">
        <f t="shared" si="97"/>
        <v>83839336.424621895</v>
      </c>
      <c r="T214" s="179">
        <f t="shared" si="97"/>
        <v>63628378.930922523</v>
      </c>
      <c r="U214" s="179">
        <f t="shared" si="97"/>
        <v>43417421.437223189</v>
      </c>
      <c r="V214" s="179">
        <f t="shared" si="97"/>
        <v>23206463.943523832</v>
      </c>
      <c r="W214" s="179">
        <f t="shared" si="97"/>
        <v>0</v>
      </c>
      <c r="X214" s="179">
        <f t="shared" si="97"/>
        <v>0</v>
      </c>
      <c r="Y214" s="179">
        <f t="shared" si="97"/>
        <v>0</v>
      </c>
      <c r="Z214" s="179">
        <f t="shared" si="97"/>
        <v>0</v>
      </c>
      <c r="AA214" s="179">
        <f t="shared" si="97"/>
        <v>0</v>
      </c>
      <c r="AB214" s="179">
        <f t="shared" si="97"/>
        <v>0</v>
      </c>
      <c r="AC214" s="179">
        <f t="shared" si="97"/>
        <v>0</v>
      </c>
      <c r="AD214" s="179">
        <f t="shared" si="97"/>
        <v>0</v>
      </c>
      <c r="AE214" s="179">
        <f t="shared" si="97"/>
        <v>0</v>
      </c>
      <c r="AF214" s="179">
        <f t="shared" si="97"/>
        <v>0</v>
      </c>
      <c r="AG214" s="179">
        <f t="shared" si="97"/>
        <v>0</v>
      </c>
      <c r="AH214" s="179">
        <f t="shared" si="97"/>
        <v>0</v>
      </c>
      <c r="AI214" s="179">
        <f t="shared" si="97"/>
        <v>0</v>
      </c>
      <c r="AJ214" s="179">
        <f t="shared" si="97"/>
        <v>0</v>
      </c>
      <c r="AK214" s="179">
        <f t="shared" si="97"/>
        <v>0</v>
      </c>
      <c r="AL214" s="179">
        <f t="shared" si="97"/>
        <v>0</v>
      </c>
      <c r="AM214" s="179">
        <f t="shared" si="97"/>
        <v>0</v>
      </c>
      <c r="AN214" s="179">
        <f t="shared" si="97"/>
        <v>0</v>
      </c>
      <c r="AO214" s="179">
        <f t="shared" si="97"/>
        <v>0</v>
      </c>
      <c r="AP214" s="179">
        <f t="shared" si="97"/>
        <v>0</v>
      </c>
      <c r="AQ214" s="179">
        <f t="shared" si="97"/>
        <v>0</v>
      </c>
      <c r="AR214" s="179">
        <f t="shared" si="97"/>
        <v>0</v>
      </c>
      <c r="AS214" s="179">
        <f t="shared" si="97"/>
        <v>0</v>
      </c>
      <c r="AT214" s="179">
        <f t="shared" si="97"/>
        <v>0</v>
      </c>
      <c r="AU214" s="179">
        <f t="shared" si="97"/>
        <v>0</v>
      </c>
      <c r="AV214" s="179">
        <f t="shared" si="97"/>
        <v>0</v>
      </c>
      <c r="AW214" s="179">
        <f t="shared" si="97"/>
        <v>0</v>
      </c>
      <c r="AX214" s="179">
        <f t="shared" si="97"/>
        <v>0</v>
      </c>
      <c r="AY214" s="179">
        <f t="shared" si="97"/>
        <v>0</v>
      </c>
      <c r="AZ214" s="179">
        <f t="shared" si="97"/>
        <v>0</v>
      </c>
      <c r="BA214" s="179">
        <f t="shared" si="97"/>
        <v>0</v>
      </c>
      <c r="BB214" s="179">
        <f t="shared" si="97"/>
        <v>0</v>
      </c>
      <c r="BC214" s="179">
        <f t="shared" si="97"/>
        <v>0</v>
      </c>
      <c r="BD214" s="179">
        <f t="shared" si="97"/>
        <v>0</v>
      </c>
      <c r="BE214" s="179">
        <f t="shared" si="97"/>
        <v>0</v>
      </c>
      <c r="BF214" s="179">
        <f t="shared" si="97"/>
        <v>0</v>
      </c>
      <c r="BG214" s="179">
        <f t="shared" si="97"/>
        <v>0</v>
      </c>
      <c r="BH214" s="179">
        <f t="shared" si="97"/>
        <v>0</v>
      </c>
      <c r="BI214" s="179">
        <f t="shared" si="97"/>
        <v>0</v>
      </c>
      <c r="BJ214" s="180">
        <f t="shared" si="97"/>
        <v>0</v>
      </c>
    </row>
    <row r="215" spans="1:64" s="80" customFormat="1">
      <c r="A215" s="176" t="s">
        <v>142</v>
      </c>
      <c r="B215" s="177">
        <f>SUM(C215:BJ215)</f>
        <v>155569861.01213175</v>
      </c>
      <c r="C215" s="232">
        <f>C214*(1+$C169)^-(C170-1)</f>
        <v>-33815835.29495126</v>
      </c>
      <c r="D215" s="182">
        <f>D214*(1+$C169)^-(D170-1)</f>
        <v>-32656253.191833176</v>
      </c>
      <c r="E215" s="182">
        <f t="shared" ref="E215:BJ215" si="98">E214*(1+$C169)^-(E170-1)</f>
        <v>-59058011.969885126</v>
      </c>
      <c r="F215" s="182">
        <f t="shared" si="98"/>
        <v>-52730367.830254562</v>
      </c>
      <c r="G215" s="182">
        <f t="shared" si="98"/>
        <v>-47080685.562727295</v>
      </c>
      <c r="H215" s="182">
        <f t="shared" si="98"/>
        <v>13167970.867820771</v>
      </c>
      <c r="I215" s="182">
        <f t="shared" si="98"/>
        <v>21996616.901368622</v>
      </c>
      <c r="J215" s="182">
        <f t="shared" si="98"/>
        <v>28782247.282561325</v>
      </c>
      <c r="K215" s="182">
        <f t="shared" si="98"/>
        <v>33861301.826824591</v>
      </c>
      <c r="L215" s="182">
        <f t="shared" si="98"/>
        <v>49266146.371447228</v>
      </c>
      <c r="M215" s="182">
        <f t="shared" si="98"/>
        <v>43987630.688792162</v>
      </c>
      <c r="N215" s="182">
        <f t="shared" si="98"/>
        <v>39274670.25785014</v>
      </c>
      <c r="O215" s="182">
        <f t="shared" si="98"/>
        <v>35066669.873080492</v>
      </c>
      <c r="P215" s="182">
        <f t="shared" si="98"/>
        <v>31309526.672393285</v>
      </c>
      <c r="Q215" s="182">
        <f t="shared" si="98"/>
        <v>27954934.528922573</v>
      </c>
      <c r="R215" s="182">
        <f t="shared" si="98"/>
        <v>24959762.972252298</v>
      </c>
      <c r="S215" s="182">
        <f t="shared" si="98"/>
        <v>13676011.885401623</v>
      </c>
      <c r="T215" s="182">
        <f t="shared" si="98"/>
        <v>9267113.3139200341</v>
      </c>
      <c r="U215" s="182">
        <f t="shared" si="98"/>
        <v>5645983.6876429049</v>
      </c>
      <c r="V215" s="182">
        <f t="shared" si="98"/>
        <v>2694427.7315051584</v>
      </c>
      <c r="W215" s="182">
        <f t="shared" si="98"/>
        <v>0</v>
      </c>
      <c r="X215" s="182">
        <f t="shared" si="98"/>
        <v>0</v>
      </c>
      <c r="Y215" s="182">
        <f t="shared" si="98"/>
        <v>0</v>
      </c>
      <c r="Z215" s="182">
        <f t="shared" si="98"/>
        <v>0</v>
      </c>
      <c r="AA215" s="182">
        <f t="shared" si="98"/>
        <v>0</v>
      </c>
      <c r="AB215" s="182">
        <f t="shared" si="98"/>
        <v>0</v>
      </c>
      <c r="AC215" s="182">
        <f t="shared" si="98"/>
        <v>0</v>
      </c>
      <c r="AD215" s="182">
        <f t="shared" si="98"/>
        <v>0</v>
      </c>
      <c r="AE215" s="182">
        <f t="shared" si="98"/>
        <v>0</v>
      </c>
      <c r="AF215" s="182">
        <f t="shared" si="98"/>
        <v>0</v>
      </c>
      <c r="AG215" s="182">
        <f t="shared" si="98"/>
        <v>0</v>
      </c>
      <c r="AH215" s="182">
        <f t="shared" si="98"/>
        <v>0</v>
      </c>
      <c r="AI215" s="182">
        <f t="shared" si="98"/>
        <v>0</v>
      </c>
      <c r="AJ215" s="182">
        <f t="shared" si="98"/>
        <v>0</v>
      </c>
      <c r="AK215" s="182">
        <f t="shared" si="98"/>
        <v>0</v>
      </c>
      <c r="AL215" s="182">
        <f t="shared" si="98"/>
        <v>0</v>
      </c>
      <c r="AM215" s="182">
        <f t="shared" si="98"/>
        <v>0</v>
      </c>
      <c r="AN215" s="182">
        <f t="shared" si="98"/>
        <v>0</v>
      </c>
      <c r="AO215" s="182">
        <f t="shared" si="98"/>
        <v>0</v>
      </c>
      <c r="AP215" s="182">
        <f t="shared" si="98"/>
        <v>0</v>
      </c>
      <c r="AQ215" s="182">
        <f t="shared" si="98"/>
        <v>0</v>
      </c>
      <c r="AR215" s="182">
        <f t="shared" si="98"/>
        <v>0</v>
      </c>
      <c r="AS215" s="182">
        <f t="shared" si="98"/>
        <v>0</v>
      </c>
      <c r="AT215" s="182">
        <f t="shared" si="98"/>
        <v>0</v>
      </c>
      <c r="AU215" s="182">
        <f t="shared" si="98"/>
        <v>0</v>
      </c>
      <c r="AV215" s="182">
        <f t="shared" si="98"/>
        <v>0</v>
      </c>
      <c r="AW215" s="182">
        <f t="shared" si="98"/>
        <v>0</v>
      </c>
      <c r="AX215" s="182">
        <f t="shared" si="98"/>
        <v>0</v>
      </c>
      <c r="AY215" s="182">
        <f t="shared" si="98"/>
        <v>0</v>
      </c>
      <c r="AZ215" s="182">
        <f t="shared" si="98"/>
        <v>0</v>
      </c>
      <c r="BA215" s="182">
        <f t="shared" si="98"/>
        <v>0</v>
      </c>
      <c r="BB215" s="182">
        <f t="shared" si="98"/>
        <v>0</v>
      </c>
      <c r="BC215" s="182">
        <f t="shared" si="98"/>
        <v>0</v>
      </c>
      <c r="BD215" s="182">
        <f t="shared" si="98"/>
        <v>0</v>
      </c>
      <c r="BE215" s="182">
        <f t="shared" si="98"/>
        <v>0</v>
      </c>
      <c r="BF215" s="182">
        <f t="shared" si="98"/>
        <v>0</v>
      </c>
      <c r="BG215" s="182">
        <f t="shared" si="98"/>
        <v>0</v>
      </c>
      <c r="BH215" s="182">
        <f t="shared" si="98"/>
        <v>0</v>
      </c>
      <c r="BI215" s="182">
        <f t="shared" si="98"/>
        <v>0</v>
      </c>
      <c r="BJ215" s="183">
        <f t="shared" si="98"/>
        <v>0</v>
      </c>
    </row>
    <row r="216" spans="1:64" s="80" customFormat="1">
      <c r="A216" s="184" t="s">
        <v>143</v>
      </c>
      <c r="B216" s="177"/>
      <c r="C216" s="181">
        <f>C215</f>
        <v>-33815835.29495126</v>
      </c>
      <c r="D216" s="182">
        <f t="shared" ref="D216:BJ216" si="99">IF(D215=0, 0, C216+D215)</f>
        <v>-66472088.486784436</v>
      </c>
      <c r="E216" s="182">
        <f t="shared" si="99"/>
        <v>-125530100.45666957</v>
      </c>
      <c r="F216" s="182">
        <f t="shared" si="99"/>
        <v>-178260468.28692412</v>
      </c>
      <c r="G216" s="182">
        <f t="shared" si="99"/>
        <v>-225341153.84965143</v>
      </c>
      <c r="H216" s="182">
        <f t="shared" si="99"/>
        <v>-212173182.98183066</v>
      </c>
      <c r="I216" s="182">
        <f t="shared" si="99"/>
        <v>-190176566.08046204</v>
      </c>
      <c r="J216" s="182">
        <f t="shared" si="99"/>
        <v>-161394318.79790071</v>
      </c>
      <c r="K216" s="182">
        <f t="shared" si="99"/>
        <v>-127533016.97107612</v>
      </c>
      <c r="L216" s="182">
        <f t="shared" si="99"/>
        <v>-78266870.599628896</v>
      </c>
      <c r="M216" s="182">
        <f t="shared" si="99"/>
        <v>-34279239.910836734</v>
      </c>
      <c r="N216" s="182">
        <f t="shared" si="99"/>
        <v>4995430.3470134065</v>
      </c>
      <c r="O216" s="182">
        <f t="shared" si="99"/>
        <v>40062100.220093898</v>
      </c>
      <c r="P216" s="182">
        <f t="shared" si="99"/>
        <v>71371626.892487183</v>
      </c>
      <c r="Q216" s="182">
        <f t="shared" si="99"/>
        <v>99326561.421409756</v>
      </c>
      <c r="R216" s="182">
        <f t="shared" si="99"/>
        <v>124286324.39366205</v>
      </c>
      <c r="S216" s="182">
        <f t="shared" si="99"/>
        <v>137962336.27906367</v>
      </c>
      <c r="T216" s="182">
        <f t="shared" si="99"/>
        <v>147229449.59298369</v>
      </c>
      <c r="U216" s="182">
        <f t="shared" si="99"/>
        <v>152875433.2806266</v>
      </c>
      <c r="V216" s="182">
        <f t="shared" si="99"/>
        <v>155569861.01213175</v>
      </c>
      <c r="W216" s="182">
        <f t="shared" si="99"/>
        <v>0</v>
      </c>
      <c r="X216" s="182">
        <f t="shared" si="99"/>
        <v>0</v>
      </c>
      <c r="Y216" s="182">
        <f t="shared" si="99"/>
        <v>0</v>
      </c>
      <c r="Z216" s="182">
        <f t="shared" si="99"/>
        <v>0</v>
      </c>
      <c r="AA216" s="182">
        <f t="shared" si="99"/>
        <v>0</v>
      </c>
      <c r="AB216" s="182">
        <f t="shared" si="99"/>
        <v>0</v>
      </c>
      <c r="AC216" s="182">
        <f t="shared" si="99"/>
        <v>0</v>
      </c>
      <c r="AD216" s="182">
        <f t="shared" si="99"/>
        <v>0</v>
      </c>
      <c r="AE216" s="182">
        <f t="shared" si="99"/>
        <v>0</v>
      </c>
      <c r="AF216" s="182">
        <f t="shared" si="99"/>
        <v>0</v>
      </c>
      <c r="AG216" s="182">
        <f t="shared" si="99"/>
        <v>0</v>
      </c>
      <c r="AH216" s="182">
        <f t="shared" si="99"/>
        <v>0</v>
      </c>
      <c r="AI216" s="182">
        <f t="shared" si="99"/>
        <v>0</v>
      </c>
      <c r="AJ216" s="182">
        <f t="shared" si="99"/>
        <v>0</v>
      </c>
      <c r="AK216" s="182">
        <f t="shared" si="99"/>
        <v>0</v>
      </c>
      <c r="AL216" s="182">
        <f t="shared" si="99"/>
        <v>0</v>
      </c>
      <c r="AM216" s="182">
        <f t="shared" si="99"/>
        <v>0</v>
      </c>
      <c r="AN216" s="182">
        <f t="shared" si="99"/>
        <v>0</v>
      </c>
      <c r="AO216" s="182">
        <f t="shared" si="99"/>
        <v>0</v>
      </c>
      <c r="AP216" s="182">
        <f t="shared" si="99"/>
        <v>0</v>
      </c>
      <c r="AQ216" s="182">
        <f t="shared" si="99"/>
        <v>0</v>
      </c>
      <c r="AR216" s="182">
        <f t="shared" si="99"/>
        <v>0</v>
      </c>
      <c r="AS216" s="182">
        <f t="shared" si="99"/>
        <v>0</v>
      </c>
      <c r="AT216" s="182">
        <f t="shared" si="99"/>
        <v>0</v>
      </c>
      <c r="AU216" s="182">
        <f t="shared" si="99"/>
        <v>0</v>
      </c>
      <c r="AV216" s="182">
        <f t="shared" si="99"/>
        <v>0</v>
      </c>
      <c r="AW216" s="182">
        <f t="shared" si="99"/>
        <v>0</v>
      </c>
      <c r="AX216" s="182">
        <f t="shared" si="99"/>
        <v>0</v>
      </c>
      <c r="AY216" s="182">
        <f t="shared" si="99"/>
        <v>0</v>
      </c>
      <c r="AZ216" s="182">
        <f t="shared" si="99"/>
        <v>0</v>
      </c>
      <c r="BA216" s="182">
        <f t="shared" si="99"/>
        <v>0</v>
      </c>
      <c r="BB216" s="182">
        <f t="shared" si="99"/>
        <v>0</v>
      </c>
      <c r="BC216" s="182">
        <f t="shared" si="99"/>
        <v>0</v>
      </c>
      <c r="BD216" s="182">
        <f t="shared" si="99"/>
        <v>0</v>
      </c>
      <c r="BE216" s="182">
        <f t="shared" si="99"/>
        <v>0</v>
      </c>
      <c r="BF216" s="182">
        <f t="shared" si="99"/>
        <v>0</v>
      </c>
      <c r="BG216" s="182">
        <f t="shared" si="99"/>
        <v>0</v>
      </c>
      <c r="BH216" s="182">
        <f t="shared" si="99"/>
        <v>0</v>
      </c>
      <c r="BI216" s="182">
        <f t="shared" si="99"/>
        <v>0</v>
      </c>
      <c r="BJ216" s="183">
        <f t="shared" si="99"/>
        <v>0</v>
      </c>
    </row>
    <row r="217" spans="1:64" s="83" customFormat="1">
      <c r="A217" s="78"/>
      <c r="B217" s="81"/>
      <c r="C217" s="82"/>
      <c r="D217" s="82"/>
      <c r="E217" s="82"/>
      <c r="F217" s="82"/>
      <c r="G217" s="82"/>
      <c r="H217" s="82"/>
      <c r="I217" s="82"/>
      <c r="J217" s="82"/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  <c r="AA217" s="82"/>
      <c r="AB217" s="82"/>
      <c r="AC217" s="82"/>
      <c r="AD217" s="82"/>
      <c r="AE217" s="82"/>
      <c r="AF217" s="82"/>
      <c r="AG217" s="82"/>
      <c r="AH217" s="82"/>
      <c r="AI217" s="82"/>
      <c r="AJ217" s="82"/>
      <c r="AK217" s="82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2"/>
      <c r="AW217" s="82"/>
      <c r="AX217" s="82"/>
      <c r="AY217" s="82"/>
      <c r="AZ217" s="82"/>
      <c r="BA217" s="82"/>
      <c r="BB217" s="82"/>
      <c r="BC217" s="82"/>
      <c r="BD217" s="82"/>
      <c r="BE217" s="82"/>
      <c r="BF217" s="82"/>
      <c r="BG217" s="82"/>
      <c r="BH217" s="82"/>
      <c r="BI217" s="82"/>
      <c r="BJ217" s="82"/>
    </row>
    <row r="218" spans="1:64" ht="21">
      <c r="A218" s="185" t="s">
        <v>157</v>
      </c>
      <c r="B218" s="93"/>
      <c r="C218" s="186"/>
      <c r="D218" s="186"/>
      <c r="E218" s="186"/>
      <c r="F218" s="186"/>
      <c r="G218" s="186"/>
      <c r="H218" s="186"/>
      <c r="I218" s="186"/>
      <c r="J218" s="186"/>
      <c r="K218" s="186"/>
      <c r="L218" s="186"/>
      <c r="M218" s="186"/>
      <c r="N218" s="186"/>
      <c r="O218" s="186"/>
      <c r="P218" s="186"/>
      <c r="Q218" s="186"/>
      <c r="R218" s="186"/>
      <c r="S218" s="186"/>
      <c r="T218" s="186"/>
      <c r="U218" s="186"/>
      <c r="V218" s="186"/>
      <c r="W218" s="186"/>
      <c r="X218" s="186"/>
      <c r="Y218" s="186"/>
      <c r="Z218" s="186"/>
      <c r="AA218" s="186"/>
      <c r="AB218" s="186"/>
      <c r="AC218" s="186"/>
      <c r="AD218" s="186"/>
      <c r="AE218" s="186"/>
      <c r="AF218" s="186"/>
      <c r="AG218" s="186"/>
      <c r="AH218" s="186"/>
      <c r="AI218" s="186"/>
      <c r="AJ218" s="186"/>
      <c r="AK218" s="186"/>
      <c r="AL218" s="186"/>
      <c r="AM218" s="186"/>
      <c r="AN218" s="186"/>
      <c r="AO218" s="186"/>
      <c r="AP218" s="186"/>
      <c r="AQ218" s="186"/>
      <c r="AR218" s="186"/>
      <c r="AS218" s="186"/>
      <c r="AT218" s="186"/>
      <c r="AU218" s="186"/>
      <c r="AV218" s="186"/>
      <c r="AW218" s="186"/>
      <c r="AX218" s="186"/>
      <c r="AY218" s="186"/>
      <c r="AZ218" s="186"/>
      <c r="BA218" s="186"/>
      <c r="BB218" s="186"/>
      <c r="BC218" s="186"/>
      <c r="BD218" s="186"/>
      <c r="BE218" s="186"/>
      <c r="BF218" s="186"/>
      <c r="BG218" s="186"/>
      <c r="BH218" s="186"/>
      <c r="BI218" s="186"/>
      <c r="BJ218" s="186"/>
    </row>
    <row r="219" spans="1:64">
      <c r="A219" s="187" t="s">
        <v>158</v>
      </c>
      <c r="B219" s="188">
        <f>SUM(C219:BJ219)</f>
        <v>769.08005137223563</v>
      </c>
      <c r="C219" s="233">
        <f>(C171*(1-$K169))/(1+$C169)^(C170-1)</f>
        <v>0</v>
      </c>
      <c r="D219" s="190">
        <f>(D171*(1-$K169))/(1+$C169)^(D170-1)</f>
        <v>0</v>
      </c>
      <c r="E219" s="190">
        <f t="shared" ref="E219:BJ219" si="100">(E171*(1-$K169))/(1+$C169)^(E170-1)</f>
        <v>0</v>
      </c>
      <c r="F219" s="190">
        <f t="shared" si="100"/>
        <v>0</v>
      </c>
      <c r="G219" s="190">
        <f t="shared" si="100"/>
        <v>0</v>
      </c>
      <c r="H219" s="190">
        <f t="shared" si="100"/>
        <v>23.970947519832219</v>
      </c>
      <c r="I219" s="190">
        <f t="shared" si="100"/>
        <v>42.805263428271815</v>
      </c>
      <c r="J219" s="190">
        <f t="shared" si="100"/>
        <v>57.328477805721171</v>
      </c>
      <c r="K219" s="190">
        <f t="shared" si="100"/>
        <v>68.248187863953774</v>
      </c>
      <c r="L219" s="190">
        <f t="shared" si="100"/>
        <v>100.71837997735516</v>
      </c>
      <c r="M219" s="190">
        <f t="shared" si="100"/>
        <v>89.927124979781382</v>
      </c>
      <c r="N219" s="190">
        <f t="shared" si="100"/>
        <v>80.292075874804794</v>
      </c>
      <c r="O219" s="190">
        <f t="shared" si="100"/>
        <v>71.689353459647137</v>
      </c>
      <c r="P219" s="190">
        <f t="shared" si="100"/>
        <v>64.008351303256362</v>
      </c>
      <c r="Q219" s="190">
        <f t="shared" si="100"/>
        <v>57.150313663621752</v>
      </c>
      <c r="R219" s="190">
        <f t="shared" si="100"/>
        <v>51.027065771090854</v>
      </c>
      <c r="S219" s="190">
        <f t="shared" si="100"/>
        <v>27.564298418236056</v>
      </c>
      <c r="T219" s="190">
        <f t="shared" si="100"/>
        <v>18.458235547925927</v>
      </c>
      <c r="U219" s="190">
        <f t="shared" si="100"/>
        <v>10.987044969003527</v>
      </c>
      <c r="V219" s="190">
        <f t="shared" si="100"/>
        <v>4.9049307897337169</v>
      </c>
      <c r="W219" s="190">
        <f t="shared" si="100"/>
        <v>0</v>
      </c>
      <c r="X219" s="190">
        <f t="shared" si="100"/>
        <v>0</v>
      </c>
      <c r="Y219" s="190">
        <f t="shared" si="100"/>
        <v>0</v>
      </c>
      <c r="Z219" s="190">
        <f t="shared" si="100"/>
        <v>0</v>
      </c>
      <c r="AA219" s="190">
        <f t="shared" si="100"/>
        <v>0</v>
      </c>
      <c r="AB219" s="190">
        <f t="shared" si="100"/>
        <v>0</v>
      </c>
      <c r="AC219" s="190">
        <f t="shared" si="100"/>
        <v>0</v>
      </c>
      <c r="AD219" s="190">
        <f t="shared" si="100"/>
        <v>0</v>
      </c>
      <c r="AE219" s="190">
        <f t="shared" si="100"/>
        <v>0</v>
      </c>
      <c r="AF219" s="190">
        <f t="shared" si="100"/>
        <v>0</v>
      </c>
      <c r="AG219" s="190">
        <f t="shared" si="100"/>
        <v>0</v>
      </c>
      <c r="AH219" s="190">
        <f t="shared" si="100"/>
        <v>0</v>
      </c>
      <c r="AI219" s="190">
        <f t="shared" si="100"/>
        <v>0</v>
      </c>
      <c r="AJ219" s="190">
        <f t="shared" si="100"/>
        <v>0</v>
      </c>
      <c r="AK219" s="190">
        <f t="shared" si="100"/>
        <v>0</v>
      </c>
      <c r="AL219" s="190">
        <f t="shared" si="100"/>
        <v>0</v>
      </c>
      <c r="AM219" s="190">
        <f t="shared" si="100"/>
        <v>0</v>
      </c>
      <c r="AN219" s="190">
        <f t="shared" si="100"/>
        <v>0</v>
      </c>
      <c r="AO219" s="190">
        <f t="shared" si="100"/>
        <v>0</v>
      </c>
      <c r="AP219" s="190">
        <f t="shared" si="100"/>
        <v>0</v>
      </c>
      <c r="AQ219" s="190">
        <f t="shared" si="100"/>
        <v>0</v>
      </c>
      <c r="AR219" s="190">
        <f t="shared" si="100"/>
        <v>0</v>
      </c>
      <c r="AS219" s="190">
        <f t="shared" si="100"/>
        <v>0</v>
      </c>
      <c r="AT219" s="190">
        <f t="shared" si="100"/>
        <v>0</v>
      </c>
      <c r="AU219" s="190">
        <f t="shared" si="100"/>
        <v>0</v>
      </c>
      <c r="AV219" s="190">
        <f t="shared" si="100"/>
        <v>0</v>
      </c>
      <c r="AW219" s="190">
        <f t="shared" si="100"/>
        <v>0</v>
      </c>
      <c r="AX219" s="190">
        <f t="shared" si="100"/>
        <v>0</v>
      </c>
      <c r="AY219" s="190">
        <f t="shared" si="100"/>
        <v>0</v>
      </c>
      <c r="AZ219" s="190">
        <f t="shared" si="100"/>
        <v>0</v>
      </c>
      <c r="BA219" s="190">
        <f t="shared" si="100"/>
        <v>0</v>
      </c>
      <c r="BB219" s="190">
        <f t="shared" si="100"/>
        <v>0</v>
      </c>
      <c r="BC219" s="190">
        <f t="shared" si="100"/>
        <v>0</v>
      </c>
      <c r="BD219" s="190">
        <f t="shared" si="100"/>
        <v>0</v>
      </c>
      <c r="BE219" s="190">
        <f t="shared" si="100"/>
        <v>0</v>
      </c>
      <c r="BF219" s="190">
        <f t="shared" si="100"/>
        <v>0</v>
      </c>
      <c r="BG219" s="190">
        <f t="shared" si="100"/>
        <v>0</v>
      </c>
      <c r="BH219" s="190">
        <f t="shared" si="100"/>
        <v>0</v>
      </c>
      <c r="BI219" s="190">
        <f t="shared" si="100"/>
        <v>0</v>
      </c>
      <c r="BJ219" s="191">
        <f t="shared" si="100"/>
        <v>0</v>
      </c>
    </row>
    <row r="220" spans="1:64">
      <c r="A220" s="192" t="s">
        <v>159</v>
      </c>
      <c r="B220" s="193">
        <f>SUM(C220:BJ220)</f>
        <v>293465179.90949303</v>
      </c>
      <c r="C220" s="234">
        <f>(((C173+C202)*(1-$K169))-(C212-C182))/(1+$C169)^(C170-1)</f>
        <v>38717500.106421009</v>
      </c>
      <c r="D220" s="186">
        <f>(((D173+D202)*(1-$K169))-(D212-D182))/(1+$C169)^(D170-1)</f>
        <v>36693832.999677889</v>
      </c>
      <c r="E220" s="186">
        <f>(((E173+E202)*(1-$K169))-(E212-E182))/(1+$C169)^(E170-1)</f>
        <v>62061392.304467939</v>
      </c>
      <c r="F220" s="186">
        <f t="shared" ref="F220:BJ220" si="101">(((F173+F202)*(1-$K169))-(F212-F182))/(1+$C169)^(F170-1)</f>
        <v>54874813.096215032</v>
      </c>
      <c r="G220" s="186">
        <f t="shared" si="101"/>
        <v>48515775.694398716</v>
      </c>
      <c r="H220" s="186">
        <f t="shared" si="101"/>
        <v>343905.41966786655</v>
      </c>
      <c r="I220" s="186">
        <f t="shared" si="101"/>
        <v>2131733.6120039457</v>
      </c>
      <c r="J220" s="186">
        <f t="shared" si="101"/>
        <v>3532507.8692769222</v>
      </c>
      <c r="K220" s="186">
        <f t="shared" si="101"/>
        <v>4608644.7825066661</v>
      </c>
      <c r="L220" s="186">
        <f t="shared" si="101"/>
        <v>7506506.8165157437</v>
      </c>
      <c r="M220" s="186">
        <f t="shared" si="101"/>
        <v>6702238.229031913</v>
      </c>
      <c r="N220" s="186">
        <f t="shared" si="101"/>
        <v>5984141.2759213503</v>
      </c>
      <c r="O220" s="186">
        <f t="shared" si="101"/>
        <v>5342983.2820726344</v>
      </c>
      <c r="P220" s="186">
        <f t="shared" si="101"/>
        <v>4770520.7875648513</v>
      </c>
      <c r="Q220" s="186">
        <f t="shared" si="101"/>
        <v>4259393.5603257595</v>
      </c>
      <c r="R220" s="186">
        <f t="shared" si="101"/>
        <v>3803029.9645765717</v>
      </c>
      <c r="S220" s="186">
        <f t="shared" si="101"/>
        <v>1861354.3313690699</v>
      </c>
      <c r="T220" s="186">
        <f t="shared" si="101"/>
        <v>1137372.9919531939</v>
      </c>
      <c r="U220" s="186">
        <f t="shared" si="101"/>
        <v>547162.92299592262</v>
      </c>
      <c r="V220" s="186">
        <f t="shared" si="101"/>
        <v>70369.862530032391</v>
      </c>
      <c r="W220" s="186">
        <f t="shared" si="101"/>
        <v>0</v>
      </c>
      <c r="X220" s="186">
        <f t="shared" si="101"/>
        <v>0</v>
      </c>
      <c r="Y220" s="186">
        <f t="shared" si="101"/>
        <v>0</v>
      </c>
      <c r="Z220" s="186">
        <f t="shared" si="101"/>
        <v>0</v>
      </c>
      <c r="AA220" s="186">
        <f t="shared" si="101"/>
        <v>0</v>
      </c>
      <c r="AB220" s="186">
        <f t="shared" si="101"/>
        <v>0</v>
      </c>
      <c r="AC220" s="186">
        <f t="shared" si="101"/>
        <v>0</v>
      </c>
      <c r="AD220" s="186">
        <f t="shared" si="101"/>
        <v>0</v>
      </c>
      <c r="AE220" s="186">
        <f t="shared" si="101"/>
        <v>0</v>
      </c>
      <c r="AF220" s="186">
        <f t="shared" si="101"/>
        <v>0</v>
      </c>
      <c r="AG220" s="186">
        <f t="shared" si="101"/>
        <v>0</v>
      </c>
      <c r="AH220" s="186">
        <f t="shared" si="101"/>
        <v>0</v>
      </c>
      <c r="AI220" s="186">
        <f t="shared" si="101"/>
        <v>0</v>
      </c>
      <c r="AJ220" s="186">
        <f t="shared" si="101"/>
        <v>0</v>
      </c>
      <c r="AK220" s="186">
        <f t="shared" si="101"/>
        <v>0</v>
      </c>
      <c r="AL220" s="186">
        <f t="shared" si="101"/>
        <v>0</v>
      </c>
      <c r="AM220" s="186">
        <f t="shared" si="101"/>
        <v>0</v>
      </c>
      <c r="AN220" s="186">
        <f t="shared" si="101"/>
        <v>0</v>
      </c>
      <c r="AO220" s="186">
        <f t="shared" si="101"/>
        <v>0</v>
      </c>
      <c r="AP220" s="186">
        <f t="shared" si="101"/>
        <v>0</v>
      </c>
      <c r="AQ220" s="186">
        <f t="shared" si="101"/>
        <v>0</v>
      </c>
      <c r="AR220" s="186">
        <f t="shared" si="101"/>
        <v>0</v>
      </c>
      <c r="AS220" s="186">
        <f t="shared" si="101"/>
        <v>0</v>
      </c>
      <c r="AT220" s="186">
        <f t="shared" si="101"/>
        <v>0</v>
      </c>
      <c r="AU220" s="186">
        <f t="shared" si="101"/>
        <v>0</v>
      </c>
      <c r="AV220" s="186">
        <f t="shared" si="101"/>
        <v>0</v>
      </c>
      <c r="AW220" s="186">
        <f t="shared" si="101"/>
        <v>0</v>
      </c>
      <c r="AX220" s="186">
        <f t="shared" si="101"/>
        <v>0</v>
      </c>
      <c r="AY220" s="186">
        <f t="shared" si="101"/>
        <v>0</v>
      </c>
      <c r="AZ220" s="186">
        <f t="shared" si="101"/>
        <v>0</v>
      </c>
      <c r="BA220" s="186">
        <f t="shared" si="101"/>
        <v>0</v>
      </c>
      <c r="BB220" s="186">
        <f t="shared" si="101"/>
        <v>0</v>
      </c>
      <c r="BC220" s="186">
        <f t="shared" si="101"/>
        <v>0</v>
      </c>
      <c r="BD220" s="186">
        <f t="shared" si="101"/>
        <v>0</v>
      </c>
      <c r="BE220" s="186">
        <f t="shared" si="101"/>
        <v>0</v>
      </c>
      <c r="BF220" s="186">
        <f t="shared" si="101"/>
        <v>0</v>
      </c>
      <c r="BG220" s="186">
        <f t="shared" si="101"/>
        <v>0</v>
      </c>
      <c r="BH220" s="186">
        <f t="shared" si="101"/>
        <v>0</v>
      </c>
      <c r="BI220" s="186">
        <f t="shared" si="101"/>
        <v>0</v>
      </c>
      <c r="BJ220" s="195">
        <f t="shared" si="101"/>
        <v>0</v>
      </c>
    </row>
    <row r="221" spans="1:64">
      <c r="A221" s="196" t="s">
        <v>160</v>
      </c>
      <c r="B221" s="197">
        <f>B220/B219</f>
        <v>381579.49798057566</v>
      </c>
      <c r="C221" s="166"/>
      <c r="D221" s="167"/>
      <c r="E221" s="167"/>
      <c r="F221" s="167"/>
      <c r="G221" s="167"/>
      <c r="H221" s="167"/>
      <c r="I221" s="167"/>
      <c r="J221" s="167"/>
      <c r="K221" s="167"/>
      <c r="L221" s="167"/>
      <c r="M221" s="167"/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  <c r="Z221" s="167"/>
      <c r="AA221" s="167"/>
      <c r="AB221" s="167"/>
      <c r="AC221" s="167"/>
      <c r="AD221" s="167"/>
      <c r="AE221" s="167"/>
      <c r="AF221" s="167"/>
      <c r="AG221" s="167"/>
      <c r="AH221" s="167"/>
      <c r="AI221" s="167"/>
      <c r="AJ221" s="167"/>
      <c r="AK221" s="167"/>
      <c r="AL221" s="167"/>
      <c r="AM221" s="167"/>
      <c r="AN221" s="167"/>
      <c r="AO221" s="167"/>
      <c r="AP221" s="167"/>
      <c r="AQ221" s="167"/>
      <c r="AR221" s="167"/>
      <c r="AS221" s="167"/>
      <c r="AT221" s="167"/>
      <c r="AU221" s="167"/>
      <c r="AV221" s="167"/>
      <c r="AW221" s="167"/>
      <c r="AX221" s="167"/>
      <c r="AY221" s="167"/>
      <c r="AZ221" s="167"/>
      <c r="BA221" s="167"/>
      <c r="BB221" s="167"/>
      <c r="BC221" s="167"/>
      <c r="BD221" s="167"/>
      <c r="BE221" s="167"/>
      <c r="BF221" s="167"/>
      <c r="BG221" s="167"/>
      <c r="BH221" s="167"/>
      <c r="BI221" s="167"/>
      <c r="BJ221" s="198"/>
    </row>
    <row r="222" spans="1:64">
      <c r="A222" s="187" t="s">
        <v>158</v>
      </c>
      <c r="B222" s="188">
        <f>SUM(C222:BJ222)</f>
        <v>2799.9999999999991</v>
      </c>
      <c r="C222" s="234">
        <f>(C171*(1-$K169))/(1)^(C170-1)</f>
        <v>0</v>
      </c>
      <c r="D222" s="186">
        <f>(D171*(1-$K169))/(1)^(D170-1)</f>
        <v>0</v>
      </c>
      <c r="E222" s="186">
        <f t="shared" ref="E222:BJ222" si="102">(E171*(1-$K169))/(1)^(E170-1)</f>
        <v>0</v>
      </c>
      <c r="F222" s="186">
        <f t="shared" si="102"/>
        <v>0</v>
      </c>
      <c r="G222" s="186">
        <f t="shared" si="102"/>
        <v>0</v>
      </c>
      <c r="H222" s="186">
        <f t="shared" si="102"/>
        <v>42.24499999999999</v>
      </c>
      <c r="I222" s="186">
        <f t="shared" si="102"/>
        <v>84.489999999999981</v>
      </c>
      <c r="J222" s="186">
        <f t="shared" si="102"/>
        <v>126.73499999999996</v>
      </c>
      <c r="K222" s="186">
        <f t="shared" si="102"/>
        <v>168.97999999999996</v>
      </c>
      <c r="L222" s="186">
        <f t="shared" si="102"/>
        <v>279.29999999999995</v>
      </c>
      <c r="M222" s="186">
        <f t="shared" si="102"/>
        <v>279.29999999999995</v>
      </c>
      <c r="N222" s="186">
        <f t="shared" si="102"/>
        <v>279.29999999999995</v>
      </c>
      <c r="O222" s="186">
        <f t="shared" si="102"/>
        <v>279.29999999999995</v>
      </c>
      <c r="P222" s="186">
        <f t="shared" si="102"/>
        <v>279.29999999999995</v>
      </c>
      <c r="Q222" s="186">
        <f t="shared" si="102"/>
        <v>279.29999999999995</v>
      </c>
      <c r="R222" s="186">
        <f t="shared" si="102"/>
        <v>279.29999999999995</v>
      </c>
      <c r="S222" s="186">
        <f t="shared" si="102"/>
        <v>168.97999999999996</v>
      </c>
      <c r="T222" s="186">
        <f t="shared" si="102"/>
        <v>126.73499999999996</v>
      </c>
      <c r="U222" s="186">
        <f t="shared" si="102"/>
        <v>84.489999999999981</v>
      </c>
      <c r="V222" s="186">
        <f t="shared" si="102"/>
        <v>42.24499999999999</v>
      </c>
      <c r="W222" s="186">
        <f t="shared" si="102"/>
        <v>0</v>
      </c>
      <c r="X222" s="186">
        <f t="shared" si="102"/>
        <v>0</v>
      </c>
      <c r="Y222" s="186">
        <f t="shared" si="102"/>
        <v>0</v>
      </c>
      <c r="Z222" s="186">
        <f t="shared" si="102"/>
        <v>0</v>
      </c>
      <c r="AA222" s="186">
        <f t="shared" si="102"/>
        <v>0</v>
      </c>
      <c r="AB222" s="186">
        <f t="shared" si="102"/>
        <v>0</v>
      </c>
      <c r="AC222" s="186">
        <f t="shared" si="102"/>
        <v>0</v>
      </c>
      <c r="AD222" s="186">
        <f t="shared" si="102"/>
        <v>0</v>
      </c>
      <c r="AE222" s="186">
        <f t="shared" si="102"/>
        <v>0</v>
      </c>
      <c r="AF222" s="186">
        <f t="shared" si="102"/>
        <v>0</v>
      </c>
      <c r="AG222" s="186">
        <f t="shared" si="102"/>
        <v>0</v>
      </c>
      <c r="AH222" s="186">
        <f t="shared" si="102"/>
        <v>0</v>
      </c>
      <c r="AI222" s="186">
        <f t="shared" si="102"/>
        <v>0</v>
      </c>
      <c r="AJ222" s="186">
        <f t="shared" si="102"/>
        <v>0</v>
      </c>
      <c r="AK222" s="186">
        <f t="shared" si="102"/>
        <v>0</v>
      </c>
      <c r="AL222" s="186">
        <f t="shared" si="102"/>
        <v>0</v>
      </c>
      <c r="AM222" s="186">
        <f t="shared" si="102"/>
        <v>0</v>
      </c>
      <c r="AN222" s="186">
        <f t="shared" si="102"/>
        <v>0</v>
      </c>
      <c r="AO222" s="186">
        <f t="shared" si="102"/>
        <v>0</v>
      </c>
      <c r="AP222" s="186">
        <f t="shared" si="102"/>
        <v>0</v>
      </c>
      <c r="AQ222" s="186">
        <f t="shared" si="102"/>
        <v>0</v>
      </c>
      <c r="AR222" s="186">
        <f t="shared" si="102"/>
        <v>0</v>
      </c>
      <c r="AS222" s="186">
        <f t="shared" si="102"/>
        <v>0</v>
      </c>
      <c r="AT222" s="186">
        <f t="shared" si="102"/>
        <v>0</v>
      </c>
      <c r="AU222" s="186">
        <f t="shared" si="102"/>
        <v>0</v>
      </c>
      <c r="AV222" s="186">
        <f t="shared" si="102"/>
        <v>0</v>
      </c>
      <c r="AW222" s="186">
        <f t="shared" si="102"/>
        <v>0</v>
      </c>
      <c r="AX222" s="186">
        <f t="shared" si="102"/>
        <v>0</v>
      </c>
      <c r="AY222" s="186">
        <f t="shared" si="102"/>
        <v>0</v>
      </c>
      <c r="AZ222" s="186">
        <f t="shared" si="102"/>
        <v>0</v>
      </c>
      <c r="BA222" s="186">
        <f t="shared" si="102"/>
        <v>0</v>
      </c>
      <c r="BB222" s="186">
        <f t="shared" si="102"/>
        <v>0</v>
      </c>
      <c r="BC222" s="186">
        <f t="shared" si="102"/>
        <v>0</v>
      </c>
      <c r="BD222" s="186">
        <f t="shared" si="102"/>
        <v>0</v>
      </c>
      <c r="BE222" s="186">
        <f t="shared" si="102"/>
        <v>0</v>
      </c>
      <c r="BF222" s="186">
        <f t="shared" si="102"/>
        <v>0</v>
      </c>
      <c r="BG222" s="186">
        <f t="shared" si="102"/>
        <v>0</v>
      </c>
      <c r="BH222" s="186">
        <f t="shared" si="102"/>
        <v>0</v>
      </c>
      <c r="BI222" s="186">
        <f t="shared" si="102"/>
        <v>0</v>
      </c>
      <c r="BJ222" s="195">
        <f t="shared" si="102"/>
        <v>0</v>
      </c>
    </row>
    <row r="223" spans="1:64">
      <c r="A223" s="192" t="s">
        <v>159</v>
      </c>
      <c r="B223" s="193">
        <f>SUM(C223:BJ223)</f>
        <v>504880673.99679714</v>
      </c>
      <c r="C223" s="234">
        <f>(((C173+C202)*(1-$K169))-(C212-C182))/(1)^(C170-1)</f>
        <v>38717500.106421009</v>
      </c>
      <c r="D223" s="186">
        <f>(((D173+D202)*(1-$K169))-(D212-D182))/(1)^(D170-1)</f>
        <v>41097092.959639236</v>
      </c>
      <c r="E223" s="186">
        <f t="shared" ref="E223:BJ223" si="103">(((E173+E202)*(1-$K169))-(E212-E182))/(1)^(E170-1)</f>
        <v>77849810.506724596</v>
      </c>
      <c r="F223" s="186">
        <f t="shared" si="103"/>
        <v>77095161.413639218</v>
      </c>
      <c r="G223" s="186">
        <f t="shared" si="103"/>
        <v>76340512.320553839</v>
      </c>
      <c r="H223" s="186">
        <f t="shared" si="103"/>
        <v>606078.85615907051</v>
      </c>
      <c r="I223" s="186">
        <f t="shared" si="103"/>
        <v>4207664.1621426176</v>
      </c>
      <c r="J223" s="186">
        <f t="shared" si="103"/>
        <v>7809249.4681261629</v>
      </c>
      <c r="K223" s="186">
        <f t="shared" si="103"/>
        <v>11410834.774109714</v>
      </c>
      <c r="L223" s="186">
        <f t="shared" si="103"/>
        <v>20816134.595534846</v>
      </c>
      <c r="M223" s="186">
        <f t="shared" si="103"/>
        <v>20816134.595534846</v>
      </c>
      <c r="N223" s="186">
        <f t="shared" si="103"/>
        <v>20816134.595534846</v>
      </c>
      <c r="O223" s="186">
        <f t="shared" si="103"/>
        <v>20816134.595534846</v>
      </c>
      <c r="P223" s="186">
        <f t="shared" si="103"/>
        <v>20816134.595534846</v>
      </c>
      <c r="Q223" s="186">
        <f t="shared" si="103"/>
        <v>20816134.595534846</v>
      </c>
      <c r="R223" s="186">
        <f t="shared" si="103"/>
        <v>20816134.595534846</v>
      </c>
      <c r="S223" s="186">
        <f t="shared" si="103"/>
        <v>11410834.774109714</v>
      </c>
      <c r="T223" s="186">
        <f t="shared" si="103"/>
        <v>7809249.4681261629</v>
      </c>
      <c r="U223" s="186">
        <f t="shared" si="103"/>
        <v>4207664.1621426176</v>
      </c>
      <c r="V223" s="186">
        <f t="shared" si="103"/>
        <v>606078.85615907051</v>
      </c>
      <c r="W223" s="186">
        <f t="shared" si="103"/>
        <v>0</v>
      </c>
      <c r="X223" s="186">
        <f t="shared" si="103"/>
        <v>0</v>
      </c>
      <c r="Y223" s="186">
        <f t="shared" si="103"/>
        <v>0</v>
      </c>
      <c r="Z223" s="186">
        <f t="shared" si="103"/>
        <v>0</v>
      </c>
      <c r="AA223" s="186">
        <f t="shared" si="103"/>
        <v>0</v>
      </c>
      <c r="AB223" s="186">
        <f t="shared" si="103"/>
        <v>0</v>
      </c>
      <c r="AC223" s="186">
        <f t="shared" si="103"/>
        <v>0</v>
      </c>
      <c r="AD223" s="186">
        <f t="shared" si="103"/>
        <v>0</v>
      </c>
      <c r="AE223" s="186">
        <f t="shared" si="103"/>
        <v>0</v>
      </c>
      <c r="AF223" s="186">
        <f t="shared" si="103"/>
        <v>0</v>
      </c>
      <c r="AG223" s="186">
        <f t="shared" si="103"/>
        <v>0</v>
      </c>
      <c r="AH223" s="186">
        <f t="shared" si="103"/>
        <v>0</v>
      </c>
      <c r="AI223" s="186">
        <f t="shared" si="103"/>
        <v>0</v>
      </c>
      <c r="AJ223" s="186">
        <f t="shared" si="103"/>
        <v>0</v>
      </c>
      <c r="AK223" s="186">
        <f t="shared" si="103"/>
        <v>0</v>
      </c>
      <c r="AL223" s="186">
        <f t="shared" si="103"/>
        <v>0</v>
      </c>
      <c r="AM223" s="186">
        <f t="shared" si="103"/>
        <v>0</v>
      </c>
      <c r="AN223" s="186">
        <f t="shared" si="103"/>
        <v>0</v>
      </c>
      <c r="AO223" s="186">
        <f t="shared" si="103"/>
        <v>0</v>
      </c>
      <c r="AP223" s="186">
        <f t="shared" si="103"/>
        <v>0</v>
      </c>
      <c r="AQ223" s="186">
        <f t="shared" si="103"/>
        <v>0</v>
      </c>
      <c r="AR223" s="186">
        <f t="shared" si="103"/>
        <v>0</v>
      </c>
      <c r="AS223" s="186">
        <f t="shared" si="103"/>
        <v>0</v>
      </c>
      <c r="AT223" s="186">
        <f t="shared" si="103"/>
        <v>0</v>
      </c>
      <c r="AU223" s="186">
        <f t="shared" si="103"/>
        <v>0</v>
      </c>
      <c r="AV223" s="186">
        <f t="shared" si="103"/>
        <v>0</v>
      </c>
      <c r="AW223" s="186">
        <f t="shared" si="103"/>
        <v>0</v>
      </c>
      <c r="AX223" s="186">
        <f t="shared" si="103"/>
        <v>0</v>
      </c>
      <c r="AY223" s="186">
        <f t="shared" si="103"/>
        <v>0</v>
      </c>
      <c r="AZ223" s="186">
        <f t="shared" si="103"/>
        <v>0</v>
      </c>
      <c r="BA223" s="186">
        <f t="shared" si="103"/>
        <v>0</v>
      </c>
      <c r="BB223" s="186">
        <f t="shared" si="103"/>
        <v>0</v>
      </c>
      <c r="BC223" s="186">
        <f t="shared" si="103"/>
        <v>0</v>
      </c>
      <c r="BD223" s="186">
        <f t="shared" si="103"/>
        <v>0</v>
      </c>
      <c r="BE223" s="186">
        <f t="shared" si="103"/>
        <v>0</v>
      </c>
      <c r="BF223" s="186">
        <f t="shared" si="103"/>
        <v>0</v>
      </c>
      <c r="BG223" s="186">
        <f t="shared" si="103"/>
        <v>0</v>
      </c>
      <c r="BH223" s="186">
        <f t="shared" si="103"/>
        <v>0</v>
      </c>
      <c r="BI223" s="186">
        <f t="shared" si="103"/>
        <v>0</v>
      </c>
      <c r="BJ223" s="195">
        <f t="shared" si="103"/>
        <v>0</v>
      </c>
      <c r="BK223" s="186"/>
    </row>
    <row r="224" spans="1:64">
      <c r="A224" s="196" t="s">
        <v>161</v>
      </c>
      <c r="B224" s="197">
        <f>B223/B222</f>
        <v>180314.5264274276</v>
      </c>
      <c r="C224" s="166"/>
      <c r="D224" s="167"/>
      <c r="E224" s="167"/>
      <c r="F224" s="167"/>
      <c r="G224" s="167"/>
      <c r="H224" s="167"/>
      <c r="I224" s="167"/>
      <c r="J224" s="167"/>
      <c r="K224" s="167"/>
      <c r="L224" s="167"/>
      <c r="M224" s="167"/>
      <c r="N224" s="167"/>
      <c r="O224" s="167"/>
      <c r="P224" s="167"/>
      <c r="Q224" s="167"/>
      <c r="R224" s="167"/>
      <c r="S224" s="167"/>
      <c r="T224" s="167"/>
      <c r="U224" s="167"/>
      <c r="V224" s="167"/>
      <c r="W224" s="167"/>
      <c r="X224" s="167"/>
      <c r="Y224" s="167"/>
      <c r="Z224" s="167"/>
      <c r="AA224" s="167"/>
      <c r="AB224" s="167"/>
      <c r="AC224" s="167"/>
      <c r="AD224" s="167"/>
      <c r="AE224" s="167"/>
      <c r="AF224" s="167"/>
      <c r="AG224" s="167"/>
      <c r="AH224" s="167"/>
      <c r="AI224" s="167"/>
      <c r="AJ224" s="167"/>
      <c r="AK224" s="167"/>
      <c r="AL224" s="167"/>
      <c r="AM224" s="167"/>
      <c r="AN224" s="167"/>
      <c r="AO224" s="167"/>
      <c r="AP224" s="167"/>
      <c r="AQ224" s="167"/>
      <c r="AR224" s="167"/>
      <c r="AS224" s="167"/>
      <c r="AT224" s="167"/>
      <c r="AU224" s="167"/>
      <c r="AV224" s="167"/>
      <c r="AW224" s="167"/>
      <c r="AX224" s="167"/>
      <c r="AY224" s="167"/>
      <c r="AZ224" s="167"/>
      <c r="BA224" s="167"/>
      <c r="BB224" s="167"/>
      <c r="BC224" s="167"/>
      <c r="BD224" s="167"/>
      <c r="BE224" s="167"/>
      <c r="BF224" s="167"/>
      <c r="BG224" s="167"/>
      <c r="BH224" s="167"/>
      <c r="BI224" s="167"/>
      <c r="BJ224" s="198"/>
    </row>
    <row r="225" spans="1:64">
      <c r="A225" s="199"/>
      <c r="B225" s="200"/>
      <c r="C225" s="201"/>
      <c r="D225" s="201"/>
      <c r="E225" s="201"/>
      <c r="F225" s="201"/>
      <c r="G225" s="201"/>
      <c r="H225" s="201"/>
      <c r="I225" s="202"/>
      <c r="J225" s="201"/>
      <c r="K225" s="201"/>
      <c r="L225" s="201"/>
      <c r="M225" s="201"/>
      <c r="N225" s="201"/>
      <c r="O225" s="201"/>
      <c r="P225" s="201"/>
      <c r="Q225" s="201"/>
      <c r="R225" s="201"/>
      <c r="S225" s="201"/>
      <c r="T225" s="201"/>
      <c r="U225" s="201"/>
      <c r="V225" s="201"/>
      <c r="W225" s="201"/>
      <c r="X225" s="201"/>
      <c r="Y225" s="201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  <c r="AJ225" s="201"/>
      <c r="AK225" s="201"/>
      <c r="AL225" s="201"/>
      <c r="AM225" s="201"/>
      <c r="AN225" s="201"/>
      <c r="AO225" s="201"/>
      <c r="AP225" s="201"/>
      <c r="AQ225" s="201"/>
      <c r="AR225" s="201"/>
      <c r="AS225" s="201"/>
      <c r="AT225" s="201"/>
      <c r="AU225" s="201"/>
      <c r="AV225" s="201"/>
      <c r="AW225" s="201"/>
      <c r="AX225" s="201"/>
      <c r="AY225" s="201"/>
      <c r="AZ225" s="201"/>
      <c r="BA225" s="201"/>
      <c r="BB225" s="201"/>
      <c r="BC225" s="201"/>
      <c r="BD225" s="201"/>
      <c r="BE225" s="201"/>
      <c r="BF225" s="201"/>
      <c r="BG225" s="201"/>
      <c r="BH225" s="201"/>
      <c r="BI225" s="201"/>
      <c r="BJ225" s="201"/>
    </row>
    <row r="226" spans="1:64" ht="21">
      <c r="A226" s="203" t="s">
        <v>162</v>
      </c>
      <c r="B226" s="89"/>
      <c r="D226" s="204"/>
      <c r="E226" s="204"/>
    </row>
    <row r="227" spans="1:64" s="94" customFormat="1">
      <c r="A227" s="90" t="s">
        <v>154</v>
      </c>
      <c r="B227" s="91" t="s">
        <v>155</v>
      </c>
      <c r="C227" s="91">
        <v>1</v>
      </c>
      <c r="D227" s="92">
        <v>2</v>
      </c>
      <c r="E227" s="92">
        <v>3</v>
      </c>
      <c r="F227" s="92">
        <v>4</v>
      </c>
      <c r="G227" s="92">
        <v>5</v>
      </c>
      <c r="H227" s="92">
        <v>6</v>
      </c>
      <c r="I227" s="92">
        <v>7</v>
      </c>
      <c r="J227" s="92">
        <v>8</v>
      </c>
      <c r="K227" s="92">
        <v>9</v>
      </c>
      <c r="L227" s="92">
        <v>10</v>
      </c>
      <c r="M227" s="92">
        <v>11</v>
      </c>
      <c r="N227" s="92">
        <v>12</v>
      </c>
      <c r="O227" s="92">
        <v>13</v>
      </c>
      <c r="P227" s="92">
        <v>14</v>
      </c>
      <c r="Q227" s="92">
        <v>15</v>
      </c>
      <c r="R227" s="92">
        <v>16</v>
      </c>
      <c r="S227" s="92">
        <v>17</v>
      </c>
      <c r="T227" s="92">
        <v>18</v>
      </c>
      <c r="U227" s="92">
        <v>19</v>
      </c>
      <c r="V227" s="92">
        <v>20</v>
      </c>
      <c r="W227" s="92">
        <v>21</v>
      </c>
      <c r="X227" s="92">
        <v>22</v>
      </c>
      <c r="Y227" s="92">
        <v>23</v>
      </c>
      <c r="Z227" s="92">
        <v>24</v>
      </c>
      <c r="AA227" s="92">
        <v>25</v>
      </c>
      <c r="AB227" s="92">
        <v>26</v>
      </c>
      <c r="AC227" s="92">
        <v>27</v>
      </c>
      <c r="AD227" s="92">
        <v>28</v>
      </c>
      <c r="AE227" s="92">
        <v>29</v>
      </c>
      <c r="AF227" s="92">
        <v>30</v>
      </c>
      <c r="AG227" s="92">
        <v>31</v>
      </c>
      <c r="AH227" s="92">
        <v>32</v>
      </c>
      <c r="AI227" s="92">
        <v>33</v>
      </c>
      <c r="AJ227" s="92">
        <v>34</v>
      </c>
      <c r="AK227" s="92">
        <v>35</v>
      </c>
      <c r="AL227" s="92">
        <v>36</v>
      </c>
      <c r="AM227" s="92">
        <v>37</v>
      </c>
      <c r="AN227" s="92">
        <v>38</v>
      </c>
      <c r="AO227" s="92">
        <v>39</v>
      </c>
      <c r="AP227" s="92">
        <v>40</v>
      </c>
      <c r="AQ227" s="92">
        <v>41</v>
      </c>
      <c r="AR227" s="92">
        <v>42</v>
      </c>
      <c r="AS227" s="92">
        <v>43</v>
      </c>
      <c r="AT227" s="92">
        <v>44</v>
      </c>
      <c r="AU227" s="92">
        <v>45</v>
      </c>
      <c r="AV227" s="92">
        <v>46</v>
      </c>
      <c r="AW227" s="92">
        <v>47</v>
      </c>
      <c r="AX227" s="92">
        <v>48</v>
      </c>
      <c r="AY227" s="92">
        <v>49</v>
      </c>
      <c r="AZ227" s="92">
        <v>50</v>
      </c>
      <c r="BA227" s="92">
        <v>51</v>
      </c>
      <c r="BB227" s="92">
        <v>52</v>
      </c>
      <c r="BC227" s="92">
        <v>53</v>
      </c>
      <c r="BD227" s="92">
        <v>54</v>
      </c>
      <c r="BE227" s="92">
        <v>55</v>
      </c>
      <c r="BF227" s="92">
        <v>56</v>
      </c>
      <c r="BG227" s="92">
        <v>57</v>
      </c>
      <c r="BH227" s="92">
        <v>58</v>
      </c>
      <c r="BI227" s="92">
        <v>59</v>
      </c>
      <c r="BJ227" s="93">
        <v>60</v>
      </c>
    </row>
    <row r="228" spans="1:64" s="100" customFormat="1">
      <c r="A228" s="95" t="s">
        <v>156</v>
      </c>
      <c r="B228" s="96">
        <f>SUM(C228:BJ228)</f>
        <v>3999.9999999999995</v>
      </c>
      <c r="C228" s="96">
        <f>C171</f>
        <v>0</v>
      </c>
      <c r="D228" s="205">
        <f>D171</f>
        <v>0</v>
      </c>
      <c r="E228" s="205">
        <f t="shared" ref="E228:BJ228" si="104">E171</f>
        <v>0</v>
      </c>
      <c r="F228" s="205">
        <f t="shared" si="104"/>
        <v>0</v>
      </c>
      <c r="G228" s="205">
        <f t="shared" si="104"/>
        <v>0</v>
      </c>
      <c r="H228" s="205">
        <f>H171</f>
        <v>60.349999999999994</v>
      </c>
      <c r="I228" s="205">
        <f t="shared" si="104"/>
        <v>120.69999999999999</v>
      </c>
      <c r="J228" s="205">
        <f t="shared" si="104"/>
        <v>181.04999999999995</v>
      </c>
      <c r="K228" s="205">
        <f t="shared" si="104"/>
        <v>241.39999999999998</v>
      </c>
      <c r="L228" s="205">
        <f t="shared" si="104"/>
        <v>399</v>
      </c>
      <c r="M228" s="205">
        <f t="shared" si="104"/>
        <v>399</v>
      </c>
      <c r="N228" s="205">
        <f t="shared" si="104"/>
        <v>399</v>
      </c>
      <c r="O228" s="205">
        <f t="shared" si="104"/>
        <v>399</v>
      </c>
      <c r="P228" s="205">
        <f t="shared" si="104"/>
        <v>399</v>
      </c>
      <c r="Q228" s="205">
        <f t="shared" si="104"/>
        <v>399</v>
      </c>
      <c r="R228" s="205">
        <f t="shared" si="104"/>
        <v>399</v>
      </c>
      <c r="S228" s="205">
        <f t="shared" si="104"/>
        <v>241.39999999999998</v>
      </c>
      <c r="T228" s="205">
        <f t="shared" si="104"/>
        <v>181.04999999999995</v>
      </c>
      <c r="U228" s="205">
        <f t="shared" si="104"/>
        <v>120.69999999999999</v>
      </c>
      <c r="V228" s="205">
        <f t="shared" si="104"/>
        <v>60.349999999999994</v>
      </c>
      <c r="W228" s="205">
        <f t="shared" si="104"/>
        <v>0</v>
      </c>
      <c r="X228" s="205">
        <f t="shared" si="104"/>
        <v>0</v>
      </c>
      <c r="Y228" s="205">
        <f t="shared" si="104"/>
        <v>0</v>
      </c>
      <c r="Z228" s="205">
        <f t="shared" si="104"/>
        <v>0</v>
      </c>
      <c r="AA228" s="205">
        <f t="shared" si="104"/>
        <v>0</v>
      </c>
      <c r="AB228" s="205">
        <f t="shared" si="104"/>
        <v>0</v>
      </c>
      <c r="AC228" s="205">
        <f t="shared" si="104"/>
        <v>0</v>
      </c>
      <c r="AD228" s="205">
        <f t="shared" si="104"/>
        <v>0</v>
      </c>
      <c r="AE228" s="205">
        <f t="shared" si="104"/>
        <v>0</v>
      </c>
      <c r="AF228" s="205">
        <f t="shared" si="104"/>
        <v>0</v>
      </c>
      <c r="AG228" s="205">
        <f t="shared" si="104"/>
        <v>0</v>
      </c>
      <c r="AH228" s="205">
        <f t="shared" si="104"/>
        <v>0</v>
      </c>
      <c r="AI228" s="205">
        <f t="shared" si="104"/>
        <v>0</v>
      </c>
      <c r="AJ228" s="205">
        <f t="shared" si="104"/>
        <v>0</v>
      </c>
      <c r="AK228" s="205">
        <f t="shared" si="104"/>
        <v>0</v>
      </c>
      <c r="AL228" s="205">
        <f t="shared" si="104"/>
        <v>0</v>
      </c>
      <c r="AM228" s="205">
        <f t="shared" si="104"/>
        <v>0</v>
      </c>
      <c r="AN228" s="205">
        <f t="shared" si="104"/>
        <v>0</v>
      </c>
      <c r="AO228" s="205">
        <f t="shared" si="104"/>
        <v>0</v>
      </c>
      <c r="AP228" s="205">
        <f t="shared" si="104"/>
        <v>0</v>
      </c>
      <c r="AQ228" s="205">
        <f t="shared" si="104"/>
        <v>0</v>
      </c>
      <c r="AR228" s="205">
        <f t="shared" si="104"/>
        <v>0</v>
      </c>
      <c r="AS228" s="205">
        <f t="shared" si="104"/>
        <v>0</v>
      </c>
      <c r="AT228" s="205">
        <f t="shared" si="104"/>
        <v>0</v>
      </c>
      <c r="AU228" s="205">
        <f t="shared" si="104"/>
        <v>0</v>
      </c>
      <c r="AV228" s="205">
        <f t="shared" si="104"/>
        <v>0</v>
      </c>
      <c r="AW228" s="205">
        <f t="shared" si="104"/>
        <v>0</v>
      </c>
      <c r="AX228" s="205">
        <f t="shared" si="104"/>
        <v>0</v>
      </c>
      <c r="AY228" s="205">
        <f t="shared" si="104"/>
        <v>0</v>
      </c>
      <c r="AZ228" s="205">
        <f t="shared" si="104"/>
        <v>0</v>
      </c>
      <c r="BA228" s="205">
        <f t="shared" si="104"/>
        <v>0</v>
      </c>
      <c r="BB228" s="205">
        <f t="shared" si="104"/>
        <v>0</v>
      </c>
      <c r="BC228" s="205">
        <f t="shared" si="104"/>
        <v>0</v>
      </c>
      <c r="BD228" s="205">
        <f t="shared" si="104"/>
        <v>0</v>
      </c>
      <c r="BE228" s="205">
        <f t="shared" si="104"/>
        <v>0</v>
      </c>
      <c r="BF228" s="205">
        <f t="shared" si="104"/>
        <v>0</v>
      </c>
      <c r="BG228" s="205">
        <f t="shared" si="104"/>
        <v>0</v>
      </c>
      <c r="BH228" s="205">
        <f t="shared" si="104"/>
        <v>0</v>
      </c>
      <c r="BI228" s="205">
        <f t="shared" si="104"/>
        <v>0</v>
      </c>
      <c r="BJ228" s="206">
        <f t="shared" si="104"/>
        <v>0</v>
      </c>
    </row>
    <row r="229" spans="1:64" s="105" customFormat="1">
      <c r="A229" s="101" t="s">
        <v>115</v>
      </c>
      <c r="B229" s="102">
        <f>SUM(C229:BJ229)</f>
        <v>3676931987.2043514</v>
      </c>
      <c r="C229" s="207">
        <f>C172*(1+$G169)^(C54-1)</f>
        <v>6912695.4675715892</v>
      </c>
      <c r="D229" s="208">
        <f>D172*(1+$G169)^(D170-1)</f>
        <v>7189203.2862744527</v>
      </c>
      <c r="E229" s="208">
        <f t="shared" ref="E229:BJ229" si="105">E172*(1+$G169)^(E170-1)</f>
        <v>7476771.4177254317</v>
      </c>
      <c r="F229" s="208">
        <f t="shared" si="105"/>
        <v>7775842.2744344482</v>
      </c>
      <c r="G229" s="208">
        <f t="shared" si="105"/>
        <v>8086875.9654118279</v>
      </c>
      <c r="H229" s="208">
        <f t="shared" si="105"/>
        <v>41387999.015369192</v>
      </c>
      <c r="I229" s="208">
        <f t="shared" si="105"/>
        <v>86087037.95196791</v>
      </c>
      <c r="J229" s="208">
        <f t="shared" si="105"/>
        <v>134295779.2050699</v>
      </c>
      <c r="K229" s="208">
        <f t="shared" si="105"/>
        <v>186223480.497697</v>
      </c>
      <c r="L229" s="208">
        <f t="shared" si="105"/>
        <v>320113071.52992696</v>
      </c>
      <c r="M229" s="208">
        <f t="shared" si="105"/>
        <v>332917594.39112401</v>
      </c>
      <c r="N229" s="208">
        <f t="shared" si="105"/>
        <v>346234298.16676897</v>
      </c>
      <c r="O229" s="208">
        <f t="shared" si="105"/>
        <v>360083670.09343982</v>
      </c>
      <c r="P229" s="208">
        <f t="shared" si="105"/>
        <v>374487016.8971774</v>
      </c>
      <c r="Q229" s="208">
        <f t="shared" si="105"/>
        <v>389466497.57306451</v>
      </c>
      <c r="R229" s="208">
        <f t="shared" si="105"/>
        <v>405045157.47598708</v>
      </c>
      <c r="S229" s="208">
        <f t="shared" si="105"/>
        <v>254859691.86789829</v>
      </c>
      <c r="T229" s="208">
        <f t="shared" si="105"/>
        <v>198790559.65696064</v>
      </c>
      <c r="U229" s="208">
        <f t="shared" si="105"/>
        <v>137828121.3621594</v>
      </c>
      <c r="V229" s="208">
        <f t="shared" si="105"/>
        <v>71670623.108322889</v>
      </c>
      <c r="W229" s="208">
        <f t="shared" si="105"/>
        <v>0</v>
      </c>
      <c r="X229" s="208">
        <f t="shared" si="105"/>
        <v>0</v>
      </c>
      <c r="Y229" s="208">
        <f t="shared" si="105"/>
        <v>0</v>
      </c>
      <c r="Z229" s="208">
        <f t="shared" si="105"/>
        <v>0</v>
      </c>
      <c r="AA229" s="208">
        <f t="shared" si="105"/>
        <v>0</v>
      </c>
      <c r="AB229" s="208">
        <f t="shared" si="105"/>
        <v>0</v>
      </c>
      <c r="AC229" s="208">
        <f t="shared" si="105"/>
        <v>0</v>
      </c>
      <c r="AD229" s="208">
        <f t="shared" si="105"/>
        <v>0</v>
      </c>
      <c r="AE229" s="208">
        <f t="shared" si="105"/>
        <v>0</v>
      </c>
      <c r="AF229" s="208">
        <f t="shared" si="105"/>
        <v>0</v>
      </c>
      <c r="AG229" s="208">
        <f t="shared" si="105"/>
        <v>0</v>
      </c>
      <c r="AH229" s="208">
        <f t="shared" si="105"/>
        <v>0</v>
      </c>
      <c r="AI229" s="208">
        <f t="shared" si="105"/>
        <v>0</v>
      </c>
      <c r="AJ229" s="208">
        <f t="shared" si="105"/>
        <v>0</v>
      </c>
      <c r="AK229" s="208">
        <f t="shared" si="105"/>
        <v>0</v>
      </c>
      <c r="AL229" s="208">
        <f t="shared" si="105"/>
        <v>0</v>
      </c>
      <c r="AM229" s="208">
        <f t="shared" si="105"/>
        <v>0</v>
      </c>
      <c r="AN229" s="208">
        <f t="shared" si="105"/>
        <v>0</v>
      </c>
      <c r="AO229" s="208">
        <f t="shared" si="105"/>
        <v>0</v>
      </c>
      <c r="AP229" s="208">
        <f t="shared" si="105"/>
        <v>0</v>
      </c>
      <c r="AQ229" s="208">
        <f t="shared" si="105"/>
        <v>0</v>
      </c>
      <c r="AR229" s="208">
        <f t="shared" si="105"/>
        <v>0</v>
      </c>
      <c r="AS229" s="208">
        <f t="shared" si="105"/>
        <v>0</v>
      </c>
      <c r="AT229" s="208">
        <f t="shared" si="105"/>
        <v>0</v>
      </c>
      <c r="AU229" s="208">
        <f t="shared" si="105"/>
        <v>0</v>
      </c>
      <c r="AV229" s="208">
        <f t="shared" si="105"/>
        <v>0</v>
      </c>
      <c r="AW229" s="208">
        <f t="shared" si="105"/>
        <v>0</v>
      </c>
      <c r="AX229" s="208">
        <f t="shared" si="105"/>
        <v>0</v>
      </c>
      <c r="AY229" s="208">
        <f t="shared" si="105"/>
        <v>0</v>
      </c>
      <c r="AZ229" s="208">
        <f t="shared" si="105"/>
        <v>0</v>
      </c>
      <c r="BA229" s="208">
        <f t="shared" si="105"/>
        <v>0</v>
      </c>
      <c r="BB229" s="208">
        <f t="shared" si="105"/>
        <v>0</v>
      </c>
      <c r="BC229" s="208">
        <f t="shared" si="105"/>
        <v>0</v>
      </c>
      <c r="BD229" s="208">
        <f t="shared" si="105"/>
        <v>0</v>
      </c>
      <c r="BE229" s="208">
        <f t="shared" si="105"/>
        <v>0</v>
      </c>
      <c r="BF229" s="208">
        <f t="shared" si="105"/>
        <v>0</v>
      </c>
      <c r="BG229" s="208">
        <f t="shared" si="105"/>
        <v>0</v>
      </c>
      <c r="BH229" s="208">
        <f t="shared" si="105"/>
        <v>0</v>
      </c>
      <c r="BI229" s="208">
        <f t="shared" si="105"/>
        <v>0</v>
      </c>
      <c r="BJ229" s="209">
        <f t="shared" si="105"/>
        <v>0</v>
      </c>
    </row>
    <row r="230" spans="1:64" s="105" customFormat="1">
      <c r="A230" s="106" t="s">
        <v>116</v>
      </c>
      <c r="B230" s="210">
        <f>SUM(B237,B231:B232)</f>
        <v>580416619.48353922</v>
      </c>
      <c r="C230" s="102">
        <f>SUM(C231:C232,C237)</f>
        <v>5530156.3740572715</v>
      </c>
      <c r="D230" s="103">
        <f t="shared" ref="D230:BJ230" si="106">SUM(D231:D232,D237)</f>
        <v>5751362.6290195622</v>
      </c>
      <c r="E230" s="103">
        <f t="shared" si="106"/>
        <v>5981417.1341803456</v>
      </c>
      <c r="F230" s="103">
        <f t="shared" si="106"/>
        <v>6220673.8195475591</v>
      </c>
      <c r="G230" s="103">
        <f t="shared" si="106"/>
        <v>6469500.7723294618</v>
      </c>
      <c r="H230" s="103">
        <f t="shared" si="106"/>
        <v>6259827.4510943945</v>
      </c>
      <c r="I230" s="103">
        <f t="shared" si="106"/>
        <v>13020441.098276341</v>
      </c>
      <c r="J230" s="103">
        <f t="shared" si="106"/>
        <v>20311888.11331109</v>
      </c>
      <c r="K230" s="103">
        <f t="shared" si="106"/>
        <v>28165818.183791384</v>
      </c>
      <c r="L230" s="103">
        <f t="shared" si="106"/>
        <v>48416271.390000306</v>
      </c>
      <c r="M230" s="103">
        <f t="shared" si="106"/>
        <v>50352922.245600328</v>
      </c>
      <c r="N230" s="103">
        <f t="shared" si="106"/>
        <v>52367039.135424338</v>
      </c>
      <c r="O230" s="103">
        <f t="shared" si="106"/>
        <v>54461720.700841323</v>
      </c>
      <c r="P230" s="103">
        <f t="shared" si="106"/>
        <v>56640189.528874971</v>
      </c>
      <c r="Q230" s="103">
        <f t="shared" si="106"/>
        <v>58905797.110029966</v>
      </c>
      <c r="R230" s="103">
        <f t="shared" si="106"/>
        <v>61262028.994431168</v>
      </c>
      <c r="S230" s="103">
        <f t="shared" si="106"/>
        <v>38546867.045678981</v>
      </c>
      <c r="T230" s="103">
        <f t="shared" si="106"/>
        <v>30066556.295629598</v>
      </c>
      <c r="U230" s="103">
        <f t="shared" si="106"/>
        <v>20846145.698303193</v>
      </c>
      <c r="V230" s="103">
        <f t="shared" si="106"/>
        <v>10839995.76311766</v>
      </c>
      <c r="W230" s="103">
        <f t="shared" si="106"/>
        <v>0</v>
      </c>
      <c r="X230" s="103">
        <f t="shared" si="106"/>
        <v>0</v>
      </c>
      <c r="Y230" s="103">
        <f t="shared" si="106"/>
        <v>0</v>
      </c>
      <c r="Z230" s="103">
        <f t="shared" si="106"/>
        <v>0</v>
      </c>
      <c r="AA230" s="103">
        <f t="shared" si="106"/>
        <v>0</v>
      </c>
      <c r="AB230" s="103">
        <f t="shared" si="106"/>
        <v>0</v>
      </c>
      <c r="AC230" s="103">
        <f t="shared" si="106"/>
        <v>0</v>
      </c>
      <c r="AD230" s="103">
        <f t="shared" si="106"/>
        <v>0</v>
      </c>
      <c r="AE230" s="103">
        <f t="shared" si="106"/>
        <v>0</v>
      </c>
      <c r="AF230" s="103">
        <f t="shared" si="106"/>
        <v>0</v>
      </c>
      <c r="AG230" s="103">
        <f t="shared" si="106"/>
        <v>0</v>
      </c>
      <c r="AH230" s="103">
        <f t="shared" si="106"/>
        <v>0</v>
      </c>
      <c r="AI230" s="103">
        <f t="shared" si="106"/>
        <v>0</v>
      </c>
      <c r="AJ230" s="103">
        <f t="shared" si="106"/>
        <v>0</v>
      </c>
      <c r="AK230" s="103">
        <f t="shared" si="106"/>
        <v>0</v>
      </c>
      <c r="AL230" s="103">
        <f t="shared" si="106"/>
        <v>0</v>
      </c>
      <c r="AM230" s="103">
        <f t="shared" si="106"/>
        <v>0</v>
      </c>
      <c r="AN230" s="103">
        <f t="shared" si="106"/>
        <v>0</v>
      </c>
      <c r="AO230" s="103">
        <f t="shared" si="106"/>
        <v>0</v>
      </c>
      <c r="AP230" s="103">
        <f t="shared" si="106"/>
        <v>0</v>
      </c>
      <c r="AQ230" s="103">
        <f t="shared" si="106"/>
        <v>0</v>
      </c>
      <c r="AR230" s="103">
        <f t="shared" si="106"/>
        <v>0</v>
      </c>
      <c r="AS230" s="103">
        <f t="shared" si="106"/>
        <v>0</v>
      </c>
      <c r="AT230" s="103">
        <f t="shared" si="106"/>
        <v>0</v>
      </c>
      <c r="AU230" s="103">
        <f t="shared" si="106"/>
        <v>0</v>
      </c>
      <c r="AV230" s="103">
        <f t="shared" si="106"/>
        <v>0</v>
      </c>
      <c r="AW230" s="103">
        <f t="shared" si="106"/>
        <v>0</v>
      </c>
      <c r="AX230" s="103">
        <f t="shared" si="106"/>
        <v>0</v>
      </c>
      <c r="AY230" s="103">
        <f t="shared" si="106"/>
        <v>0</v>
      </c>
      <c r="AZ230" s="103">
        <f t="shared" si="106"/>
        <v>0</v>
      </c>
      <c r="BA230" s="103">
        <f t="shared" si="106"/>
        <v>0</v>
      </c>
      <c r="BB230" s="103">
        <f t="shared" si="106"/>
        <v>0</v>
      </c>
      <c r="BC230" s="103">
        <f t="shared" si="106"/>
        <v>0</v>
      </c>
      <c r="BD230" s="103">
        <f t="shared" si="106"/>
        <v>0</v>
      </c>
      <c r="BE230" s="103">
        <f t="shared" si="106"/>
        <v>0</v>
      </c>
      <c r="BF230" s="103">
        <f t="shared" si="106"/>
        <v>0</v>
      </c>
      <c r="BG230" s="103">
        <f t="shared" si="106"/>
        <v>0</v>
      </c>
      <c r="BH230" s="103">
        <f t="shared" si="106"/>
        <v>0</v>
      </c>
      <c r="BI230" s="103">
        <f t="shared" si="106"/>
        <v>0</v>
      </c>
      <c r="BJ230" s="104">
        <f t="shared" si="106"/>
        <v>0</v>
      </c>
    </row>
    <row r="231" spans="1:64" s="116" customFormat="1">
      <c r="A231" s="111" t="s">
        <v>117</v>
      </c>
      <c r="B231" s="155">
        <f>SUM(C231:BJ231)</f>
        <v>148732169.66643324</v>
      </c>
      <c r="C231" s="108">
        <f>C174*(1+$G169)^(C54-1)</f>
        <v>0</v>
      </c>
      <c r="D231" s="109">
        <f>D174*(1+$G169)^(D170-1)</f>
        <v>0</v>
      </c>
      <c r="E231" s="109">
        <f t="shared" ref="E231:BJ231" si="107">E174*(1+$G169)^(E170-1)</f>
        <v>0</v>
      </c>
      <c r="F231" s="109">
        <f t="shared" si="107"/>
        <v>0</v>
      </c>
      <c r="G231" s="109">
        <f t="shared" si="107"/>
        <v>0</v>
      </c>
      <c r="H231" s="109">
        <f t="shared" si="107"/>
        <v>1691370.460951227</v>
      </c>
      <c r="I231" s="109">
        <f t="shared" si="107"/>
        <v>3518050.5587785519</v>
      </c>
      <c r="J231" s="109">
        <f t="shared" si="107"/>
        <v>5488158.8716945397</v>
      </c>
      <c r="K231" s="109">
        <f t="shared" si="107"/>
        <v>7610246.9687497644</v>
      </c>
      <c r="L231" s="109">
        <f t="shared" si="107"/>
        <v>13081806.471219564</v>
      </c>
      <c r="M231" s="109">
        <f t="shared" si="107"/>
        <v>13605078.730068346</v>
      </c>
      <c r="N231" s="109">
        <f t="shared" si="107"/>
        <v>14149281.879271081</v>
      </c>
      <c r="O231" s="109">
        <f t="shared" si="107"/>
        <v>14715253.154441927</v>
      </c>
      <c r="P231" s="109">
        <f t="shared" si="107"/>
        <v>15303863.280619605</v>
      </c>
      <c r="Q231" s="109">
        <f t="shared" si="107"/>
        <v>15916017.811844388</v>
      </c>
      <c r="R231" s="109">
        <f t="shared" si="107"/>
        <v>16552658.524318162</v>
      </c>
      <c r="S231" s="109">
        <f t="shared" si="107"/>
        <v>10415148.467371481</v>
      </c>
      <c r="T231" s="109">
        <f t="shared" si="107"/>
        <v>8123815.8045497546</v>
      </c>
      <c r="U231" s="109">
        <f t="shared" si="107"/>
        <v>5632512.2911544973</v>
      </c>
      <c r="V231" s="109">
        <f t="shared" si="107"/>
        <v>2928906.3914003386</v>
      </c>
      <c r="W231" s="109">
        <f t="shared" si="107"/>
        <v>0</v>
      </c>
      <c r="X231" s="109">
        <f t="shared" si="107"/>
        <v>0</v>
      </c>
      <c r="Y231" s="109">
        <f t="shared" si="107"/>
        <v>0</v>
      </c>
      <c r="Z231" s="109">
        <f t="shared" si="107"/>
        <v>0</v>
      </c>
      <c r="AA231" s="109">
        <f t="shared" si="107"/>
        <v>0</v>
      </c>
      <c r="AB231" s="109">
        <f t="shared" si="107"/>
        <v>0</v>
      </c>
      <c r="AC231" s="109">
        <f t="shared" si="107"/>
        <v>0</v>
      </c>
      <c r="AD231" s="109">
        <f t="shared" si="107"/>
        <v>0</v>
      </c>
      <c r="AE231" s="109">
        <f t="shared" si="107"/>
        <v>0</v>
      </c>
      <c r="AF231" s="109">
        <f t="shared" si="107"/>
        <v>0</v>
      </c>
      <c r="AG231" s="109">
        <f t="shared" si="107"/>
        <v>0</v>
      </c>
      <c r="AH231" s="109">
        <f t="shared" si="107"/>
        <v>0</v>
      </c>
      <c r="AI231" s="109">
        <f t="shared" si="107"/>
        <v>0</v>
      </c>
      <c r="AJ231" s="109">
        <f t="shared" si="107"/>
        <v>0</v>
      </c>
      <c r="AK231" s="109">
        <f t="shared" si="107"/>
        <v>0</v>
      </c>
      <c r="AL231" s="109">
        <f t="shared" si="107"/>
        <v>0</v>
      </c>
      <c r="AM231" s="109">
        <f t="shared" si="107"/>
        <v>0</v>
      </c>
      <c r="AN231" s="109">
        <f t="shared" si="107"/>
        <v>0</v>
      </c>
      <c r="AO231" s="109">
        <f t="shared" si="107"/>
        <v>0</v>
      </c>
      <c r="AP231" s="109">
        <f t="shared" si="107"/>
        <v>0</v>
      </c>
      <c r="AQ231" s="109">
        <f t="shared" si="107"/>
        <v>0</v>
      </c>
      <c r="AR231" s="109">
        <f t="shared" si="107"/>
        <v>0</v>
      </c>
      <c r="AS231" s="109">
        <f t="shared" si="107"/>
        <v>0</v>
      </c>
      <c r="AT231" s="109">
        <f t="shared" si="107"/>
        <v>0</v>
      </c>
      <c r="AU231" s="109">
        <f t="shared" si="107"/>
        <v>0</v>
      </c>
      <c r="AV231" s="109">
        <f t="shared" si="107"/>
        <v>0</v>
      </c>
      <c r="AW231" s="109">
        <f t="shared" si="107"/>
        <v>0</v>
      </c>
      <c r="AX231" s="109">
        <f t="shared" si="107"/>
        <v>0</v>
      </c>
      <c r="AY231" s="109">
        <f t="shared" si="107"/>
        <v>0</v>
      </c>
      <c r="AZ231" s="109">
        <f t="shared" si="107"/>
        <v>0</v>
      </c>
      <c r="BA231" s="109">
        <f t="shared" si="107"/>
        <v>0</v>
      </c>
      <c r="BB231" s="109">
        <f t="shared" si="107"/>
        <v>0</v>
      </c>
      <c r="BC231" s="109">
        <f t="shared" si="107"/>
        <v>0</v>
      </c>
      <c r="BD231" s="109">
        <f t="shared" si="107"/>
        <v>0</v>
      </c>
      <c r="BE231" s="109">
        <f t="shared" si="107"/>
        <v>0</v>
      </c>
      <c r="BF231" s="109">
        <f t="shared" si="107"/>
        <v>0</v>
      </c>
      <c r="BG231" s="109">
        <f t="shared" si="107"/>
        <v>0</v>
      </c>
      <c r="BH231" s="109">
        <f t="shared" si="107"/>
        <v>0</v>
      </c>
      <c r="BI231" s="109">
        <f t="shared" si="107"/>
        <v>0</v>
      </c>
      <c r="BJ231" s="110">
        <f t="shared" si="107"/>
        <v>0</v>
      </c>
    </row>
    <row r="232" spans="1:64" s="116" customFormat="1">
      <c r="A232" s="111" t="s">
        <v>118</v>
      </c>
      <c r="B232" s="155">
        <f>SUM(B233:B236)</f>
        <v>401731339.08797181</v>
      </c>
      <c r="C232" s="108">
        <f>C175*(1+$G169)^(C170-1)</f>
        <v>0</v>
      </c>
      <c r="D232" s="109">
        <f>D175*(1+$G169)^(D170-1)</f>
        <v>0</v>
      </c>
      <c r="E232" s="109">
        <f t="shared" ref="E232:BJ232" si="108">E175*(1+$G169)^(E170-1)</f>
        <v>0</v>
      </c>
      <c r="F232" s="109">
        <f t="shared" si="108"/>
        <v>0</v>
      </c>
      <c r="G232" s="109">
        <f t="shared" si="108"/>
        <v>0</v>
      </c>
      <c r="H232" s="109">
        <f t="shared" si="108"/>
        <v>4568456.9901431678</v>
      </c>
      <c r="I232" s="109">
        <f t="shared" si="108"/>
        <v>9502390.539497789</v>
      </c>
      <c r="J232" s="109">
        <f t="shared" si="108"/>
        <v>14823729.241616549</v>
      </c>
      <c r="K232" s="109">
        <f t="shared" si="108"/>
        <v>20555571.215041619</v>
      </c>
      <c r="L232" s="109">
        <f t="shared" si="108"/>
        <v>35334464.918780744</v>
      </c>
      <c r="M232" s="109">
        <f t="shared" si="108"/>
        <v>36747843.51553198</v>
      </c>
      <c r="N232" s="109">
        <f t="shared" si="108"/>
        <v>38217757.256153256</v>
      </c>
      <c r="O232" s="109">
        <f t="shared" si="108"/>
        <v>39746467.546399392</v>
      </c>
      <c r="P232" s="109">
        <f t="shared" si="108"/>
        <v>41336326.248255365</v>
      </c>
      <c r="Q232" s="109">
        <f t="shared" si="108"/>
        <v>42989779.298185579</v>
      </c>
      <c r="R232" s="109">
        <f t="shared" si="108"/>
        <v>44709370.470113002</v>
      </c>
      <c r="S232" s="109">
        <f t="shared" si="108"/>
        <v>28131718.578307498</v>
      </c>
      <c r="T232" s="109">
        <f t="shared" si="108"/>
        <v>21942740.491079845</v>
      </c>
      <c r="U232" s="109">
        <f t="shared" si="108"/>
        <v>15213633.407148696</v>
      </c>
      <c r="V232" s="109">
        <f t="shared" si="108"/>
        <v>7911089.3717173217</v>
      </c>
      <c r="W232" s="109">
        <f t="shared" si="108"/>
        <v>0</v>
      </c>
      <c r="X232" s="109">
        <f t="shared" si="108"/>
        <v>0</v>
      </c>
      <c r="Y232" s="109">
        <f t="shared" si="108"/>
        <v>0</v>
      </c>
      <c r="Z232" s="109">
        <f t="shared" si="108"/>
        <v>0</v>
      </c>
      <c r="AA232" s="109">
        <f t="shared" si="108"/>
        <v>0</v>
      </c>
      <c r="AB232" s="109">
        <f t="shared" si="108"/>
        <v>0</v>
      </c>
      <c r="AC232" s="109">
        <f t="shared" si="108"/>
        <v>0</v>
      </c>
      <c r="AD232" s="109">
        <f t="shared" si="108"/>
        <v>0</v>
      </c>
      <c r="AE232" s="109">
        <f t="shared" si="108"/>
        <v>0</v>
      </c>
      <c r="AF232" s="109">
        <f t="shared" si="108"/>
        <v>0</v>
      </c>
      <c r="AG232" s="109">
        <f t="shared" si="108"/>
        <v>0</v>
      </c>
      <c r="AH232" s="109">
        <f t="shared" si="108"/>
        <v>0</v>
      </c>
      <c r="AI232" s="109">
        <f t="shared" si="108"/>
        <v>0</v>
      </c>
      <c r="AJ232" s="109">
        <f t="shared" si="108"/>
        <v>0</v>
      </c>
      <c r="AK232" s="109">
        <f t="shared" si="108"/>
        <v>0</v>
      </c>
      <c r="AL232" s="109">
        <f t="shared" si="108"/>
        <v>0</v>
      </c>
      <c r="AM232" s="109">
        <f t="shared" si="108"/>
        <v>0</v>
      </c>
      <c r="AN232" s="109">
        <f t="shared" si="108"/>
        <v>0</v>
      </c>
      <c r="AO232" s="109">
        <f t="shared" si="108"/>
        <v>0</v>
      </c>
      <c r="AP232" s="109">
        <f t="shared" si="108"/>
        <v>0</v>
      </c>
      <c r="AQ232" s="109">
        <f t="shared" si="108"/>
        <v>0</v>
      </c>
      <c r="AR232" s="109">
        <f t="shared" si="108"/>
        <v>0</v>
      </c>
      <c r="AS232" s="109">
        <f t="shared" si="108"/>
        <v>0</v>
      </c>
      <c r="AT232" s="109">
        <f t="shared" si="108"/>
        <v>0</v>
      </c>
      <c r="AU232" s="109">
        <f t="shared" si="108"/>
        <v>0</v>
      </c>
      <c r="AV232" s="109">
        <f t="shared" si="108"/>
        <v>0</v>
      </c>
      <c r="AW232" s="109">
        <f t="shared" si="108"/>
        <v>0</v>
      </c>
      <c r="AX232" s="109">
        <f t="shared" si="108"/>
        <v>0</v>
      </c>
      <c r="AY232" s="109">
        <f t="shared" si="108"/>
        <v>0</v>
      </c>
      <c r="AZ232" s="109">
        <f t="shared" si="108"/>
        <v>0</v>
      </c>
      <c r="BA232" s="109">
        <f t="shared" si="108"/>
        <v>0</v>
      </c>
      <c r="BB232" s="109">
        <f t="shared" si="108"/>
        <v>0</v>
      </c>
      <c r="BC232" s="109">
        <f t="shared" si="108"/>
        <v>0</v>
      </c>
      <c r="BD232" s="109">
        <f t="shared" si="108"/>
        <v>0</v>
      </c>
      <c r="BE232" s="109">
        <f t="shared" si="108"/>
        <v>0</v>
      </c>
      <c r="BF232" s="109">
        <f t="shared" si="108"/>
        <v>0</v>
      </c>
      <c r="BG232" s="109">
        <f t="shared" si="108"/>
        <v>0</v>
      </c>
      <c r="BH232" s="109">
        <f t="shared" si="108"/>
        <v>0</v>
      </c>
      <c r="BI232" s="109">
        <f t="shared" si="108"/>
        <v>0</v>
      </c>
      <c r="BJ232" s="110">
        <f t="shared" si="108"/>
        <v>0</v>
      </c>
    </row>
    <row r="233" spans="1:64" s="125" customFormat="1" ht="12.75">
      <c r="A233" s="120" t="s">
        <v>119</v>
      </c>
      <c r="B233" s="211">
        <f t="shared" ref="B233:B238" si="109">SUM(C233:BJ233)</f>
        <v>145321679.33089703</v>
      </c>
      <c r="C233" s="122">
        <f>C176*(1+$G169)^(C170-1)</f>
        <v>0</v>
      </c>
      <c r="D233" s="123">
        <f>D176*(1+$G169)^(D170-1)</f>
        <v>0</v>
      </c>
      <c r="E233" s="123">
        <f t="shared" ref="E233:BJ233" si="110">E176*(1+$G169)^(E170-1)</f>
        <v>0</v>
      </c>
      <c r="F233" s="123">
        <f t="shared" si="110"/>
        <v>0</v>
      </c>
      <c r="G233" s="123">
        <f t="shared" si="110"/>
        <v>0</v>
      </c>
      <c r="H233" s="123">
        <f t="shared" si="110"/>
        <v>1652586.6348037128</v>
      </c>
      <c r="I233" s="123">
        <f t="shared" si="110"/>
        <v>3437380.2003917228</v>
      </c>
      <c r="J233" s="123">
        <f t="shared" si="110"/>
        <v>5362313.1126110861</v>
      </c>
      <c r="K233" s="123">
        <f t="shared" si="110"/>
        <v>7435740.8494873755</v>
      </c>
      <c r="L233" s="123">
        <f t="shared" si="110"/>
        <v>12781835.223294457</v>
      </c>
      <c r="M233" s="123">
        <f t="shared" si="110"/>
        <v>13293108.632226234</v>
      </c>
      <c r="N233" s="123">
        <f t="shared" si="110"/>
        <v>13824832.977515284</v>
      </c>
      <c r="O233" s="123">
        <f t="shared" si="110"/>
        <v>14377826.296615899</v>
      </c>
      <c r="P233" s="123">
        <f t="shared" si="110"/>
        <v>14952939.348480534</v>
      </c>
      <c r="Q233" s="123">
        <f t="shared" si="110"/>
        <v>15551056.922419755</v>
      </c>
      <c r="R233" s="123">
        <f t="shared" si="110"/>
        <v>16173099.199316544</v>
      </c>
      <c r="S233" s="123">
        <f t="shared" si="110"/>
        <v>10176324.793442644</v>
      </c>
      <c r="T233" s="123">
        <f t="shared" si="110"/>
        <v>7937533.3388852617</v>
      </c>
      <c r="U233" s="123">
        <f t="shared" si="110"/>
        <v>5503356.4482937828</v>
      </c>
      <c r="V233" s="123">
        <f t="shared" si="110"/>
        <v>2861745.353112767</v>
      </c>
      <c r="W233" s="123">
        <f t="shared" si="110"/>
        <v>0</v>
      </c>
      <c r="X233" s="123">
        <f t="shared" si="110"/>
        <v>0</v>
      </c>
      <c r="Y233" s="123">
        <f t="shared" si="110"/>
        <v>0</v>
      </c>
      <c r="Z233" s="123">
        <f t="shared" si="110"/>
        <v>0</v>
      </c>
      <c r="AA233" s="123">
        <f t="shared" si="110"/>
        <v>0</v>
      </c>
      <c r="AB233" s="123">
        <f t="shared" si="110"/>
        <v>0</v>
      </c>
      <c r="AC233" s="123">
        <f t="shared" si="110"/>
        <v>0</v>
      </c>
      <c r="AD233" s="123">
        <f t="shared" si="110"/>
        <v>0</v>
      </c>
      <c r="AE233" s="123">
        <f t="shared" si="110"/>
        <v>0</v>
      </c>
      <c r="AF233" s="123">
        <f t="shared" si="110"/>
        <v>0</v>
      </c>
      <c r="AG233" s="123">
        <f t="shared" si="110"/>
        <v>0</v>
      </c>
      <c r="AH233" s="123">
        <f t="shared" si="110"/>
        <v>0</v>
      </c>
      <c r="AI233" s="123">
        <f t="shared" si="110"/>
        <v>0</v>
      </c>
      <c r="AJ233" s="123">
        <f t="shared" si="110"/>
        <v>0</v>
      </c>
      <c r="AK233" s="123">
        <f t="shared" si="110"/>
        <v>0</v>
      </c>
      <c r="AL233" s="123">
        <f t="shared" si="110"/>
        <v>0</v>
      </c>
      <c r="AM233" s="123">
        <f t="shared" si="110"/>
        <v>0</v>
      </c>
      <c r="AN233" s="123">
        <f t="shared" si="110"/>
        <v>0</v>
      </c>
      <c r="AO233" s="123">
        <f t="shared" si="110"/>
        <v>0</v>
      </c>
      <c r="AP233" s="123">
        <f t="shared" si="110"/>
        <v>0</v>
      </c>
      <c r="AQ233" s="123">
        <f t="shared" si="110"/>
        <v>0</v>
      </c>
      <c r="AR233" s="123">
        <f t="shared" si="110"/>
        <v>0</v>
      </c>
      <c r="AS233" s="123">
        <f t="shared" si="110"/>
        <v>0</v>
      </c>
      <c r="AT233" s="123">
        <f t="shared" si="110"/>
        <v>0</v>
      </c>
      <c r="AU233" s="123">
        <f t="shared" si="110"/>
        <v>0</v>
      </c>
      <c r="AV233" s="123">
        <f t="shared" si="110"/>
        <v>0</v>
      </c>
      <c r="AW233" s="123">
        <f t="shared" si="110"/>
        <v>0</v>
      </c>
      <c r="AX233" s="123">
        <f t="shared" si="110"/>
        <v>0</v>
      </c>
      <c r="AY233" s="123">
        <f t="shared" si="110"/>
        <v>0</v>
      </c>
      <c r="AZ233" s="123">
        <f t="shared" si="110"/>
        <v>0</v>
      </c>
      <c r="BA233" s="123">
        <f t="shared" si="110"/>
        <v>0</v>
      </c>
      <c r="BB233" s="123">
        <f t="shared" si="110"/>
        <v>0</v>
      </c>
      <c r="BC233" s="123">
        <f t="shared" si="110"/>
        <v>0</v>
      </c>
      <c r="BD233" s="123">
        <f t="shared" si="110"/>
        <v>0</v>
      </c>
      <c r="BE233" s="123">
        <f t="shared" si="110"/>
        <v>0</v>
      </c>
      <c r="BF233" s="123">
        <f t="shared" si="110"/>
        <v>0</v>
      </c>
      <c r="BG233" s="123">
        <f t="shared" si="110"/>
        <v>0</v>
      </c>
      <c r="BH233" s="123">
        <f t="shared" si="110"/>
        <v>0</v>
      </c>
      <c r="BI233" s="123">
        <f t="shared" si="110"/>
        <v>0</v>
      </c>
      <c r="BJ233" s="124">
        <f t="shared" si="110"/>
        <v>0</v>
      </c>
    </row>
    <row r="234" spans="1:64" s="125" customFormat="1" ht="12.75">
      <c r="A234" s="120" t="s">
        <v>120</v>
      </c>
      <c r="B234" s="211">
        <f t="shared" si="109"/>
        <v>207306258.4777936</v>
      </c>
      <c r="C234" s="122">
        <f>C177*(1+$G169)^(C170-1)</f>
        <v>0</v>
      </c>
      <c r="D234" s="123">
        <f>D177*(1+$G169)^(D170-1)</f>
        <v>0</v>
      </c>
      <c r="E234" s="123">
        <f t="shared" ref="E234:BJ234" si="111">E177*(1+$G169)^(E170-1)</f>
        <v>0</v>
      </c>
      <c r="F234" s="123">
        <f t="shared" si="111"/>
        <v>0</v>
      </c>
      <c r="G234" s="123">
        <f t="shared" si="111"/>
        <v>0</v>
      </c>
      <c r="H234" s="123">
        <f t="shared" si="111"/>
        <v>2357470.3626393252</v>
      </c>
      <c r="I234" s="123">
        <f t="shared" si="111"/>
        <v>4903538.3542897962</v>
      </c>
      <c r="J234" s="123">
        <f t="shared" si="111"/>
        <v>7649519.8326920811</v>
      </c>
      <c r="K234" s="123">
        <f t="shared" si="111"/>
        <v>10607334.167999689</v>
      </c>
      <c r="L234" s="123">
        <f t="shared" si="111"/>
        <v>18233717.424826644</v>
      </c>
      <c r="M234" s="123">
        <f t="shared" si="111"/>
        <v>18963066.121819708</v>
      </c>
      <c r="N234" s="123">
        <f t="shared" si="111"/>
        <v>19721588.766692497</v>
      </c>
      <c r="O234" s="123">
        <f t="shared" si="111"/>
        <v>20510452.3173602</v>
      </c>
      <c r="P234" s="123">
        <f t="shared" si="111"/>
        <v>21330870.410054609</v>
      </c>
      <c r="Q234" s="123">
        <f t="shared" si="111"/>
        <v>22184105.226456795</v>
      </c>
      <c r="R234" s="123">
        <f t="shared" si="111"/>
        <v>23071469.435515065</v>
      </c>
      <c r="S234" s="123">
        <f t="shared" si="111"/>
        <v>14516869.249630753</v>
      </c>
      <c r="T234" s="123">
        <f t="shared" si="111"/>
        <v>11323158.014711985</v>
      </c>
      <c r="U234" s="123">
        <f t="shared" si="111"/>
        <v>7850722.8902003122</v>
      </c>
      <c r="V234" s="123">
        <f t="shared" si="111"/>
        <v>4082375.9029041622</v>
      </c>
      <c r="W234" s="123">
        <f t="shared" si="111"/>
        <v>0</v>
      </c>
      <c r="X234" s="123">
        <f t="shared" si="111"/>
        <v>0</v>
      </c>
      <c r="Y234" s="123">
        <f t="shared" si="111"/>
        <v>0</v>
      </c>
      <c r="Z234" s="123">
        <f t="shared" si="111"/>
        <v>0</v>
      </c>
      <c r="AA234" s="123">
        <f t="shared" si="111"/>
        <v>0</v>
      </c>
      <c r="AB234" s="123">
        <f t="shared" si="111"/>
        <v>0</v>
      </c>
      <c r="AC234" s="123">
        <f t="shared" si="111"/>
        <v>0</v>
      </c>
      <c r="AD234" s="123">
        <f t="shared" si="111"/>
        <v>0</v>
      </c>
      <c r="AE234" s="123">
        <f t="shared" si="111"/>
        <v>0</v>
      </c>
      <c r="AF234" s="123">
        <f t="shared" si="111"/>
        <v>0</v>
      </c>
      <c r="AG234" s="123">
        <f t="shared" si="111"/>
        <v>0</v>
      </c>
      <c r="AH234" s="123">
        <f t="shared" si="111"/>
        <v>0</v>
      </c>
      <c r="AI234" s="123">
        <f t="shared" si="111"/>
        <v>0</v>
      </c>
      <c r="AJ234" s="123">
        <f t="shared" si="111"/>
        <v>0</v>
      </c>
      <c r="AK234" s="123">
        <f t="shared" si="111"/>
        <v>0</v>
      </c>
      <c r="AL234" s="123">
        <f t="shared" si="111"/>
        <v>0</v>
      </c>
      <c r="AM234" s="123">
        <f t="shared" si="111"/>
        <v>0</v>
      </c>
      <c r="AN234" s="123">
        <f t="shared" si="111"/>
        <v>0</v>
      </c>
      <c r="AO234" s="123">
        <f t="shared" si="111"/>
        <v>0</v>
      </c>
      <c r="AP234" s="123">
        <f t="shared" si="111"/>
        <v>0</v>
      </c>
      <c r="AQ234" s="123">
        <f t="shared" si="111"/>
        <v>0</v>
      </c>
      <c r="AR234" s="123">
        <f t="shared" si="111"/>
        <v>0</v>
      </c>
      <c r="AS234" s="123">
        <f t="shared" si="111"/>
        <v>0</v>
      </c>
      <c r="AT234" s="123">
        <f t="shared" si="111"/>
        <v>0</v>
      </c>
      <c r="AU234" s="123">
        <f t="shared" si="111"/>
        <v>0</v>
      </c>
      <c r="AV234" s="123">
        <f t="shared" si="111"/>
        <v>0</v>
      </c>
      <c r="AW234" s="123">
        <f t="shared" si="111"/>
        <v>0</v>
      </c>
      <c r="AX234" s="123">
        <f t="shared" si="111"/>
        <v>0</v>
      </c>
      <c r="AY234" s="123">
        <f t="shared" si="111"/>
        <v>0</v>
      </c>
      <c r="AZ234" s="123">
        <f t="shared" si="111"/>
        <v>0</v>
      </c>
      <c r="BA234" s="123">
        <f t="shared" si="111"/>
        <v>0</v>
      </c>
      <c r="BB234" s="123">
        <f t="shared" si="111"/>
        <v>0</v>
      </c>
      <c r="BC234" s="123">
        <f t="shared" si="111"/>
        <v>0</v>
      </c>
      <c r="BD234" s="123">
        <f t="shared" si="111"/>
        <v>0</v>
      </c>
      <c r="BE234" s="123">
        <f t="shared" si="111"/>
        <v>0</v>
      </c>
      <c r="BF234" s="123">
        <f t="shared" si="111"/>
        <v>0</v>
      </c>
      <c r="BG234" s="123">
        <f t="shared" si="111"/>
        <v>0</v>
      </c>
      <c r="BH234" s="123">
        <f t="shared" si="111"/>
        <v>0</v>
      </c>
      <c r="BI234" s="123">
        <f t="shared" si="111"/>
        <v>0</v>
      </c>
      <c r="BJ234" s="124">
        <f t="shared" si="111"/>
        <v>0</v>
      </c>
    </row>
    <row r="235" spans="1:64" s="125" customFormat="1" ht="12.75">
      <c r="A235" s="120" t="s">
        <v>121</v>
      </c>
      <c r="B235" s="211">
        <f t="shared" si="109"/>
        <v>42027186.626316153</v>
      </c>
      <c r="C235" s="122">
        <f>C178*(1+$G169)^(C170-1)</f>
        <v>0</v>
      </c>
      <c r="D235" s="123">
        <f>D178*(1+$G169)^(D170-1)</f>
        <v>0</v>
      </c>
      <c r="E235" s="123">
        <f t="shared" ref="E235:BJ235" si="112">E178*(1+$G169)^(E170-1)</f>
        <v>0</v>
      </c>
      <c r="F235" s="123">
        <f t="shared" si="112"/>
        <v>0</v>
      </c>
      <c r="G235" s="123">
        <f t="shared" si="112"/>
        <v>0</v>
      </c>
      <c r="H235" s="123">
        <f t="shared" si="112"/>
        <v>477929.83976537897</v>
      </c>
      <c r="I235" s="123">
        <f t="shared" si="112"/>
        <v>994094.0667119883</v>
      </c>
      <c r="J235" s="123">
        <f t="shared" si="112"/>
        <v>1550786.7440707013</v>
      </c>
      <c r="K235" s="123">
        <f t="shared" si="112"/>
        <v>2150424.2851113733</v>
      </c>
      <c r="L235" s="123">
        <f t="shared" si="112"/>
        <v>3696520.5524018868</v>
      </c>
      <c r="M235" s="123">
        <f t="shared" si="112"/>
        <v>3844381.3744979622</v>
      </c>
      <c r="N235" s="123">
        <f t="shared" si="112"/>
        <v>3998156.6294778804</v>
      </c>
      <c r="O235" s="123">
        <f t="shared" si="112"/>
        <v>4158082.8946569967</v>
      </c>
      <c r="P235" s="123">
        <f t="shared" si="112"/>
        <v>4324406.2104432769</v>
      </c>
      <c r="Q235" s="123">
        <f t="shared" si="112"/>
        <v>4497382.4588610074</v>
      </c>
      <c r="R235" s="123">
        <f t="shared" si="112"/>
        <v>4677277.7572154477</v>
      </c>
      <c r="S235" s="123">
        <f t="shared" si="112"/>
        <v>2943004.1218433124</v>
      </c>
      <c r="T235" s="123">
        <f t="shared" si="112"/>
        <v>2295543.2150377836</v>
      </c>
      <c r="U235" s="123">
        <f t="shared" si="112"/>
        <v>1591576.6290928635</v>
      </c>
      <c r="V235" s="123">
        <f t="shared" si="112"/>
        <v>827619.84712828905</v>
      </c>
      <c r="W235" s="123">
        <f t="shared" si="112"/>
        <v>0</v>
      </c>
      <c r="X235" s="123">
        <f t="shared" si="112"/>
        <v>0</v>
      </c>
      <c r="Y235" s="123">
        <f t="shared" si="112"/>
        <v>0</v>
      </c>
      <c r="Z235" s="123">
        <f t="shared" si="112"/>
        <v>0</v>
      </c>
      <c r="AA235" s="123">
        <f t="shared" si="112"/>
        <v>0</v>
      </c>
      <c r="AB235" s="123">
        <f t="shared" si="112"/>
        <v>0</v>
      </c>
      <c r="AC235" s="123">
        <f t="shared" si="112"/>
        <v>0</v>
      </c>
      <c r="AD235" s="123">
        <f t="shared" si="112"/>
        <v>0</v>
      </c>
      <c r="AE235" s="123">
        <f t="shared" si="112"/>
        <v>0</v>
      </c>
      <c r="AF235" s="123">
        <f t="shared" si="112"/>
        <v>0</v>
      </c>
      <c r="AG235" s="123">
        <f t="shared" si="112"/>
        <v>0</v>
      </c>
      <c r="AH235" s="123">
        <f t="shared" si="112"/>
        <v>0</v>
      </c>
      <c r="AI235" s="123">
        <f t="shared" si="112"/>
        <v>0</v>
      </c>
      <c r="AJ235" s="123">
        <f t="shared" si="112"/>
        <v>0</v>
      </c>
      <c r="AK235" s="123">
        <f t="shared" si="112"/>
        <v>0</v>
      </c>
      <c r="AL235" s="123">
        <f t="shared" si="112"/>
        <v>0</v>
      </c>
      <c r="AM235" s="123">
        <f t="shared" si="112"/>
        <v>0</v>
      </c>
      <c r="AN235" s="123">
        <f t="shared" si="112"/>
        <v>0</v>
      </c>
      <c r="AO235" s="123">
        <f t="shared" si="112"/>
        <v>0</v>
      </c>
      <c r="AP235" s="123">
        <f t="shared" si="112"/>
        <v>0</v>
      </c>
      <c r="AQ235" s="123">
        <f t="shared" si="112"/>
        <v>0</v>
      </c>
      <c r="AR235" s="123">
        <f t="shared" si="112"/>
        <v>0</v>
      </c>
      <c r="AS235" s="123">
        <f t="shared" si="112"/>
        <v>0</v>
      </c>
      <c r="AT235" s="123">
        <f t="shared" si="112"/>
        <v>0</v>
      </c>
      <c r="AU235" s="123">
        <f t="shared" si="112"/>
        <v>0</v>
      </c>
      <c r="AV235" s="123">
        <f t="shared" si="112"/>
        <v>0</v>
      </c>
      <c r="AW235" s="123">
        <f t="shared" si="112"/>
        <v>0</v>
      </c>
      <c r="AX235" s="123">
        <f t="shared" si="112"/>
        <v>0</v>
      </c>
      <c r="AY235" s="123">
        <f t="shared" si="112"/>
        <v>0</v>
      </c>
      <c r="AZ235" s="123">
        <f t="shared" si="112"/>
        <v>0</v>
      </c>
      <c r="BA235" s="123">
        <f t="shared" si="112"/>
        <v>0</v>
      </c>
      <c r="BB235" s="123">
        <f t="shared" si="112"/>
        <v>0</v>
      </c>
      <c r="BC235" s="123">
        <f t="shared" si="112"/>
        <v>0</v>
      </c>
      <c r="BD235" s="123">
        <f t="shared" si="112"/>
        <v>0</v>
      </c>
      <c r="BE235" s="123">
        <f t="shared" si="112"/>
        <v>0</v>
      </c>
      <c r="BF235" s="123">
        <f t="shared" si="112"/>
        <v>0</v>
      </c>
      <c r="BG235" s="123">
        <f t="shared" si="112"/>
        <v>0</v>
      </c>
      <c r="BH235" s="123">
        <f t="shared" si="112"/>
        <v>0</v>
      </c>
      <c r="BI235" s="123">
        <f t="shared" si="112"/>
        <v>0</v>
      </c>
      <c r="BJ235" s="124">
        <f t="shared" si="112"/>
        <v>0</v>
      </c>
    </row>
    <row r="236" spans="1:64" s="125" customFormat="1" ht="12.75">
      <c r="A236" s="120" t="s">
        <v>122</v>
      </c>
      <c r="B236" s="211">
        <f>SUM(C236:BJ236)</f>
        <v>7076214.6529649803</v>
      </c>
      <c r="C236" s="122">
        <f>C179*(1+$G169)^(C170-1)</f>
        <v>0</v>
      </c>
      <c r="D236" s="123">
        <f>D179*(1+$G169)^(D170-1)</f>
        <v>0</v>
      </c>
      <c r="E236" s="123">
        <f t="shared" ref="E236:BJ236" si="113">E179*(1+$G169)^(E170-1)</f>
        <v>0</v>
      </c>
      <c r="F236" s="123">
        <f t="shared" si="113"/>
        <v>0</v>
      </c>
      <c r="G236" s="123">
        <f t="shared" si="113"/>
        <v>0</v>
      </c>
      <c r="H236" s="123">
        <f t="shared" si="113"/>
        <v>80470.15293475092</v>
      </c>
      <c r="I236" s="123">
        <f t="shared" si="113"/>
        <v>167377.91810428191</v>
      </c>
      <c r="J236" s="123">
        <f t="shared" si="113"/>
        <v>261109.5522426797</v>
      </c>
      <c r="K236" s="123">
        <f t="shared" si="113"/>
        <v>362071.91244318266</v>
      </c>
      <c r="L236" s="123">
        <f t="shared" si="113"/>
        <v>622391.71825775935</v>
      </c>
      <c r="M236" s="123">
        <f t="shared" si="113"/>
        <v>647287.38698806975</v>
      </c>
      <c r="N236" s="123">
        <f t="shared" si="113"/>
        <v>673178.88246759248</v>
      </c>
      <c r="O236" s="123">
        <f t="shared" si="113"/>
        <v>700106.0377662963</v>
      </c>
      <c r="P236" s="123">
        <f t="shared" si="113"/>
        <v>728110.27927694819</v>
      </c>
      <c r="Q236" s="123">
        <f t="shared" si="113"/>
        <v>757234.69044802606</v>
      </c>
      <c r="R236" s="123">
        <f t="shared" si="113"/>
        <v>787524.07806594705</v>
      </c>
      <c r="S236" s="123">
        <f t="shared" si="113"/>
        <v>495520.41339078802</v>
      </c>
      <c r="T236" s="123">
        <f t="shared" si="113"/>
        <v>386505.92244481464</v>
      </c>
      <c r="U236" s="123">
        <f t="shared" si="113"/>
        <v>267977.43956173823</v>
      </c>
      <c r="V236" s="123">
        <f t="shared" si="113"/>
        <v>139348.26857210387</v>
      </c>
      <c r="W236" s="123">
        <f t="shared" si="113"/>
        <v>0</v>
      </c>
      <c r="X236" s="123">
        <f t="shared" si="113"/>
        <v>0</v>
      </c>
      <c r="Y236" s="123">
        <f t="shared" si="113"/>
        <v>0</v>
      </c>
      <c r="Z236" s="123">
        <f t="shared" si="113"/>
        <v>0</v>
      </c>
      <c r="AA236" s="123">
        <f t="shared" si="113"/>
        <v>0</v>
      </c>
      <c r="AB236" s="123">
        <f t="shared" si="113"/>
        <v>0</v>
      </c>
      <c r="AC236" s="123">
        <f t="shared" si="113"/>
        <v>0</v>
      </c>
      <c r="AD236" s="123">
        <f t="shared" si="113"/>
        <v>0</v>
      </c>
      <c r="AE236" s="123">
        <f t="shared" si="113"/>
        <v>0</v>
      </c>
      <c r="AF236" s="123">
        <f t="shared" si="113"/>
        <v>0</v>
      </c>
      <c r="AG236" s="123">
        <f t="shared" si="113"/>
        <v>0</v>
      </c>
      <c r="AH236" s="123">
        <f t="shared" si="113"/>
        <v>0</v>
      </c>
      <c r="AI236" s="123">
        <f t="shared" si="113"/>
        <v>0</v>
      </c>
      <c r="AJ236" s="123">
        <f t="shared" si="113"/>
        <v>0</v>
      </c>
      <c r="AK236" s="123">
        <f t="shared" si="113"/>
        <v>0</v>
      </c>
      <c r="AL236" s="123">
        <f t="shared" si="113"/>
        <v>0</v>
      </c>
      <c r="AM236" s="123">
        <f t="shared" si="113"/>
        <v>0</v>
      </c>
      <c r="AN236" s="123">
        <f t="shared" si="113"/>
        <v>0</v>
      </c>
      <c r="AO236" s="123">
        <f t="shared" si="113"/>
        <v>0</v>
      </c>
      <c r="AP236" s="123">
        <f t="shared" si="113"/>
        <v>0</v>
      </c>
      <c r="AQ236" s="123">
        <f t="shared" si="113"/>
        <v>0</v>
      </c>
      <c r="AR236" s="123">
        <f t="shared" si="113"/>
        <v>0</v>
      </c>
      <c r="AS236" s="123">
        <f t="shared" si="113"/>
        <v>0</v>
      </c>
      <c r="AT236" s="123">
        <f t="shared" si="113"/>
        <v>0</v>
      </c>
      <c r="AU236" s="123">
        <f t="shared" si="113"/>
        <v>0</v>
      </c>
      <c r="AV236" s="123">
        <f t="shared" si="113"/>
        <v>0</v>
      </c>
      <c r="AW236" s="123">
        <f t="shared" si="113"/>
        <v>0</v>
      </c>
      <c r="AX236" s="123">
        <f t="shared" si="113"/>
        <v>0</v>
      </c>
      <c r="AY236" s="123">
        <f t="shared" si="113"/>
        <v>0</v>
      </c>
      <c r="AZ236" s="123">
        <f t="shared" si="113"/>
        <v>0</v>
      </c>
      <c r="BA236" s="123">
        <f t="shared" si="113"/>
        <v>0</v>
      </c>
      <c r="BB236" s="123">
        <f t="shared" si="113"/>
        <v>0</v>
      </c>
      <c r="BC236" s="123">
        <f t="shared" si="113"/>
        <v>0</v>
      </c>
      <c r="BD236" s="123">
        <f t="shared" si="113"/>
        <v>0</v>
      </c>
      <c r="BE236" s="123">
        <f t="shared" si="113"/>
        <v>0</v>
      </c>
      <c r="BF236" s="123">
        <f t="shared" si="113"/>
        <v>0</v>
      </c>
      <c r="BG236" s="123">
        <f t="shared" si="113"/>
        <v>0</v>
      </c>
      <c r="BH236" s="123">
        <f t="shared" si="113"/>
        <v>0</v>
      </c>
      <c r="BI236" s="123">
        <f t="shared" si="113"/>
        <v>0</v>
      </c>
      <c r="BJ236" s="124">
        <f t="shared" si="113"/>
        <v>0</v>
      </c>
    </row>
    <row r="237" spans="1:64" s="116" customFormat="1">
      <c r="A237" s="212" t="s">
        <v>123</v>
      </c>
      <c r="B237" s="197">
        <f t="shared" si="109"/>
        <v>29953110.729134198</v>
      </c>
      <c r="C237" s="133">
        <f>C180*(1+$G169)^(C170-1)</f>
        <v>5530156.3740572715</v>
      </c>
      <c r="D237" s="134">
        <f>D180*(1+$G169)^(D170-1)</f>
        <v>5751362.6290195622</v>
      </c>
      <c r="E237" s="134">
        <f t="shared" ref="E237:BJ237" si="114">E180*(1+$G169)^(E170-1)</f>
        <v>5981417.1341803456</v>
      </c>
      <c r="F237" s="134">
        <f t="shared" si="114"/>
        <v>6220673.8195475591</v>
      </c>
      <c r="G237" s="134">
        <f t="shared" si="114"/>
        <v>6469500.7723294618</v>
      </c>
      <c r="H237" s="134">
        <f t="shared" si="114"/>
        <v>0</v>
      </c>
      <c r="I237" s="134">
        <f t="shared" si="114"/>
        <v>0</v>
      </c>
      <c r="J237" s="134">
        <f t="shared" si="114"/>
        <v>0</v>
      </c>
      <c r="K237" s="134">
        <f t="shared" si="114"/>
        <v>0</v>
      </c>
      <c r="L237" s="134">
        <f t="shared" si="114"/>
        <v>0</v>
      </c>
      <c r="M237" s="134">
        <f t="shared" si="114"/>
        <v>0</v>
      </c>
      <c r="N237" s="134">
        <f t="shared" si="114"/>
        <v>0</v>
      </c>
      <c r="O237" s="134">
        <f t="shared" si="114"/>
        <v>0</v>
      </c>
      <c r="P237" s="134">
        <f t="shared" si="114"/>
        <v>0</v>
      </c>
      <c r="Q237" s="134">
        <f t="shared" si="114"/>
        <v>0</v>
      </c>
      <c r="R237" s="134">
        <f t="shared" si="114"/>
        <v>0</v>
      </c>
      <c r="S237" s="134">
        <f t="shared" si="114"/>
        <v>0</v>
      </c>
      <c r="T237" s="134">
        <f t="shared" si="114"/>
        <v>0</v>
      </c>
      <c r="U237" s="134">
        <f t="shared" si="114"/>
        <v>0</v>
      </c>
      <c r="V237" s="134">
        <f t="shared" si="114"/>
        <v>0</v>
      </c>
      <c r="W237" s="134">
        <f t="shared" si="114"/>
        <v>0</v>
      </c>
      <c r="X237" s="134">
        <f t="shared" si="114"/>
        <v>0</v>
      </c>
      <c r="Y237" s="134">
        <f t="shared" si="114"/>
        <v>0</v>
      </c>
      <c r="Z237" s="134">
        <f t="shared" si="114"/>
        <v>0</v>
      </c>
      <c r="AA237" s="134">
        <f t="shared" si="114"/>
        <v>0</v>
      </c>
      <c r="AB237" s="134">
        <f t="shared" si="114"/>
        <v>0</v>
      </c>
      <c r="AC237" s="134">
        <f t="shared" si="114"/>
        <v>0</v>
      </c>
      <c r="AD237" s="134">
        <f t="shared" si="114"/>
        <v>0</v>
      </c>
      <c r="AE237" s="134">
        <f t="shared" si="114"/>
        <v>0</v>
      </c>
      <c r="AF237" s="134">
        <f t="shared" si="114"/>
        <v>0</v>
      </c>
      <c r="AG237" s="134">
        <f t="shared" si="114"/>
        <v>0</v>
      </c>
      <c r="AH237" s="134">
        <f t="shared" si="114"/>
        <v>0</v>
      </c>
      <c r="AI237" s="134">
        <f t="shared" si="114"/>
        <v>0</v>
      </c>
      <c r="AJ237" s="134">
        <f t="shared" si="114"/>
        <v>0</v>
      </c>
      <c r="AK237" s="134">
        <f t="shared" si="114"/>
        <v>0</v>
      </c>
      <c r="AL237" s="134">
        <f t="shared" si="114"/>
        <v>0</v>
      </c>
      <c r="AM237" s="134">
        <f t="shared" si="114"/>
        <v>0</v>
      </c>
      <c r="AN237" s="134">
        <f t="shared" si="114"/>
        <v>0</v>
      </c>
      <c r="AO237" s="134">
        <f t="shared" si="114"/>
        <v>0</v>
      </c>
      <c r="AP237" s="134">
        <f t="shared" si="114"/>
        <v>0</v>
      </c>
      <c r="AQ237" s="134">
        <f t="shared" si="114"/>
        <v>0</v>
      </c>
      <c r="AR237" s="134">
        <f t="shared" si="114"/>
        <v>0</v>
      </c>
      <c r="AS237" s="134">
        <f t="shared" si="114"/>
        <v>0</v>
      </c>
      <c r="AT237" s="134">
        <f t="shared" si="114"/>
        <v>0</v>
      </c>
      <c r="AU237" s="134">
        <f t="shared" si="114"/>
        <v>0</v>
      </c>
      <c r="AV237" s="134">
        <f t="shared" si="114"/>
        <v>0</v>
      </c>
      <c r="AW237" s="134">
        <f t="shared" si="114"/>
        <v>0</v>
      </c>
      <c r="AX237" s="134">
        <f t="shared" si="114"/>
        <v>0</v>
      </c>
      <c r="AY237" s="134">
        <f t="shared" si="114"/>
        <v>0</v>
      </c>
      <c r="AZ237" s="134">
        <f t="shared" si="114"/>
        <v>0</v>
      </c>
      <c r="BA237" s="134">
        <f t="shared" si="114"/>
        <v>0</v>
      </c>
      <c r="BB237" s="134">
        <f t="shared" si="114"/>
        <v>0</v>
      </c>
      <c r="BC237" s="134">
        <f t="shared" si="114"/>
        <v>0</v>
      </c>
      <c r="BD237" s="134">
        <f t="shared" si="114"/>
        <v>0</v>
      </c>
      <c r="BE237" s="134">
        <f t="shared" si="114"/>
        <v>0</v>
      </c>
      <c r="BF237" s="134">
        <f t="shared" si="114"/>
        <v>0</v>
      </c>
      <c r="BG237" s="134">
        <f t="shared" si="114"/>
        <v>0</v>
      </c>
      <c r="BH237" s="134">
        <f t="shared" si="114"/>
        <v>0</v>
      </c>
      <c r="BI237" s="134">
        <f t="shared" si="114"/>
        <v>0</v>
      </c>
      <c r="BJ237" s="135">
        <f t="shared" si="114"/>
        <v>0</v>
      </c>
    </row>
    <row r="238" spans="1:64" s="105" customFormat="1" ht="22.5" customHeight="1">
      <c r="A238" s="131" t="s">
        <v>124</v>
      </c>
      <c r="B238" s="132">
        <f t="shared" si="109"/>
        <v>3096515367.7208123</v>
      </c>
      <c r="C238" s="133">
        <f>C229-C231-C232-C237</f>
        <v>1382539.0935143176</v>
      </c>
      <c r="D238" s="134">
        <f>D229-D231-D232-D237</f>
        <v>1437840.6572548905</v>
      </c>
      <c r="E238" s="134">
        <f t="shared" ref="E238:BJ238" si="115">E229-E231-E232-E237</f>
        <v>1495354.2835450862</v>
      </c>
      <c r="F238" s="134">
        <f t="shared" si="115"/>
        <v>1555168.4548868891</v>
      </c>
      <c r="G238" s="134">
        <f t="shared" si="115"/>
        <v>1617375.1930823661</v>
      </c>
      <c r="H238" s="134">
        <f t="shared" si="115"/>
        <v>35128171.564274803</v>
      </c>
      <c r="I238" s="134">
        <f t="shared" si="115"/>
        <v>73066596.853691563</v>
      </c>
      <c r="J238" s="134">
        <f t="shared" si="115"/>
        <v>113983891.09175882</v>
      </c>
      <c r="K238" s="134">
        <f t="shared" si="115"/>
        <v>158057662.31390563</v>
      </c>
      <c r="L238" s="134">
        <f t="shared" si="115"/>
        <v>271696800.13992667</v>
      </c>
      <c r="M238" s="134">
        <f t="shared" si="115"/>
        <v>282564672.14552373</v>
      </c>
      <c r="N238" s="134">
        <f t="shared" si="115"/>
        <v>293867259.03134465</v>
      </c>
      <c r="O238" s="134">
        <f t="shared" si="115"/>
        <v>305621949.39259845</v>
      </c>
      <c r="P238" s="134">
        <f t="shared" si="115"/>
        <v>317846827.3683024</v>
      </c>
      <c r="Q238" s="134">
        <f t="shared" si="115"/>
        <v>330560700.46303451</v>
      </c>
      <c r="R238" s="134">
        <f t="shared" si="115"/>
        <v>343783128.48155594</v>
      </c>
      <c r="S238" s="134">
        <f t="shared" si="115"/>
        <v>216312824.82221928</v>
      </c>
      <c r="T238" s="134">
        <f t="shared" si="115"/>
        <v>168724003.36133105</v>
      </c>
      <c r="U238" s="134">
        <f t="shared" si="115"/>
        <v>116981975.66385621</v>
      </c>
      <c r="V238" s="134">
        <f t="shared" si="115"/>
        <v>60830627.345205233</v>
      </c>
      <c r="W238" s="134">
        <f t="shared" si="115"/>
        <v>0</v>
      </c>
      <c r="X238" s="134">
        <f t="shared" si="115"/>
        <v>0</v>
      </c>
      <c r="Y238" s="134">
        <f t="shared" si="115"/>
        <v>0</v>
      </c>
      <c r="Z238" s="134">
        <f t="shared" si="115"/>
        <v>0</v>
      </c>
      <c r="AA238" s="134">
        <f t="shared" si="115"/>
        <v>0</v>
      </c>
      <c r="AB238" s="134">
        <f t="shared" si="115"/>
        <v>0</v>
      </c>
      <c r="AC238" s="134">
        <f t="shared" si="115"/>
        <v>0</v>
      </c>
      <c r="AD238" s="134">
        <f t="shared" si="115"/>
        <v>0</v>
      </c>
      <c r="AE238" s="134">
        <f t="shared" si="115"/>
        <v>0</v>
      </c>
      <c r="AF238" s="134">
        <f t="shared" si="115"/>
        <v>0</v>
      </c>
      <c r="AG238" s="134">
        <f t="shared" si="115"/>
        <v>0</v>
      </c>
      <c r="AH238" s="134">
        <f t="shared" si="115"/>
        <v>0</v>
      </c>
      <c r="AI238" s="134">
        <f t="shared" si="115"/>
        <v>0</v>
      </c>
      <c r="AJ238" s="134">
        <f t="shared" si="115"/>
        <v>0</v>
      </c>
      <c r="AK238" s="134">
        <f t="shared" si="115"/>
        <v>0</v>
      </c>
      <c r="AL238" s="134">
        <f t="shared" si="115"/>
        <v>0</v>
      </c>
      <c r="AM238" s="134">
        <f t="shared" si="115"/>
        <v>0</v>
      </c>
      <c r="AN238" s="134">
        <f t="shared" si="115"/>
        <v>0</v>
      </c>
      <c r="AO238" s="134">
        <f t="shared" si="115"/>
        <v>0</v>
      </c>
      <c r="AP238" s="134">
        <f t="shared" si="115"/>
        <v>0</v>
      </c>
      <c r="AQ238" s="134">
        <f t="shared" si="115"/>
        <v>0</v>
      </c>
      <c r="AR238" s="134">
        <f t="shared" si="115"/>
        <v>0</v>
      </c>
      <c r="AS238" s="134">
        <f t="shared" si="115"/>
        <v>0</v>
      </c>
      <c r="AT238" s="134">
        <f t="shared" si="115"/>
        <v>0</v>
      </c>
      <c r="AU238" s="134">
        <f t="shared" si="115"/>
        <v>0</v>
      </c>
      <c r="AV238" s="134">
        <f t="shared" si="115"/>
        <v>0</v>
      </c>
      <c r="AW238" s="134">
        <f t="shared" si="115"/>
        <v>0</v>
      </c>
      <c r="AX238" s="134">
        <f t="shared" si="115"/>
        <v>0</v>
      </c>
      <c r="AY238" s="134">
        <f t="shared" si="115"/>
        <v>0</v>
      </c>
      <c r="AZ238" s="134">
        <f t="shared" si="115"/>
        <v>0</v>
      </c>
      <c r="BA238" s="134">
        <f t="shared" si="115"/>
        <v>0</v>
      </c>
      <c r="BB238" s="134">
        <f t="shared" si="115"/>
        <v>0</v>
      </c>
      <c r="BC238" s="134">
        <f t="shared" si="115"/>
        <v>0</v>
      </c>
      <c r="BD238" s="134">
        <f t="shared" si="115"/>
        <v>0</v>
      </c>
      <c r="BE238" s="134">
        <f t="shared" si="115"/>
        <v>0</v>
      </c>
      <c r="BF238" s="134">
        <f t="shared" si="115"/>
        <v>0</v>
      </c>
      <c r="BG238" s="134">
        <f t="shared" si="115"/>
        <v>0</v>
      </c>
      <c r="BH238" s="134">
        <f t="shared" si="115"/>
        <v>0</v>
      </c>
      <c r="BI238" s="134">
        <f t="shared" si="115"/>
        <v>0</v>
      </c>
      <c r="BJ238" s="135">
        <f t="shared" si="115"/>
        <v>0</v>
      </c>
      <c r="BK238" s="109"/>
      <c r="BL238" s="109"/>
    </row>
    <row r="239" spans="1:64" s="116" customFormat="1">
      <c r="A239" s="136" t="s">
        <v>125</v>
      </c>
      <c r="B239" s="137">
        <f t="shared" ref="B239:G239" si="116">SUM(B240:B243)</f>
        <v>329468094.5503394</v>
      </c>
      <c r="C239" s="113">
        <f t="shared" si="116"/>
        <v>35198374.388465576</v>
      </c>
      <c r="D239" s="114">
        <f t="shared" si="116"/>
        <v>39475844.375102177</v>
      </c>
      <c r="E239" s="114">
        <f t="shared" si="116"/>
        <v>81622845.908114955</v>
      </c>
      <c r="F239" s="114">
        <f t="shared" si="116"/>
        <v>84887759.744439542</v>
      </c>
      <c r="G239" s="114">
        <f t="shared" si="116"/>
        <v>88283270.134217143</v>
      </c>
      <c r="H239" s="114"/>
      <c r="I239" s="114"/>
      <c r="J239" s="114"/>
      <c r="K239" s="114"/>
      <c r="L239" s="114"/>
      <c r="M239" s="114"/>
      <c r="N239" s="114"/>
      <c r="O239" s="114"/>
      <c r="P239" s="114"/>
      <c r="Q239" s="114"/>
      <c r="R239" s="114"/>
      <c r="S239" s="114"/>
      <c r="T239" s="114"/>
      <c r="U239" s="114"/>
      <c r="V239" s="114"/>
      <c r="W239" s="114"/>
      <c r="X239" s="114"/>
      <c r="Y239" s="114"/>
      <c r="Z239" s="114"/>
      <c r="AA239" s="114"/>
      <c r="AB239" s="114"/>
      <c r="AC239" s="114"/>
      <c r="AD239" s="114"/>
      <c r="AE239" s="114"/>
      <c r="AF239" s="114"/>
      <c r="AG239" s="114"/>
      <c r="AH239" s="114"/>
      <c r="AI239" s="114"/>
      <c r="AJ239" s="114"/>
      <c r="AK239" s="114"/>
      <c r="AL239" s="114"/>
      <c r="AM239" s="114"/>
      <c r="AN239" s="114"/>
      <c r="AO239" s="114"/>
      <c r="AP239" s="114"/>
      <c r="AQ239" s="114"/>
      <c r="AR239" s="114"/>
      <c r="AS239" s="114"/>
      <c r="AT239" s="114"/>
      <c r="AU239" s="114"/>
      <c r="AV239" s="114"/>
      <c r="AW239" s="114"/>
      <c r="AX239" s="114"/>
      <c r="AY239" s="114"/>
      <c r="AZ239" s="114"/>
      <c r="BA239" s="114"/>
      <c r="BB239" s="114"/>
      <c r="BC239" s="114"/>
      <c r="BD239" s="114"/>
      <c r="BE239" s="114"/>
      <c r="BF239" s="114"/>
      <c r="BG239" s="114"/>
      <c r="BH239" s="114"/>
      <c r="BI239" s="114"/>
      <c r="BJ239" s="115"/>
    </row>
    <row r="240" spans="1:64" s="143" customFormat="1" ht="12.75">
      <c r="A240" s="138" t="s">
        <v>126</v>
      </c>
      <c r="B240" s="139">
        <f>SUM(C240:BJ240)</f>
        <v>10215749.973938264</v>
      </c>
      <c r="C240" s="140">
        <f>C183*(1+$G169)^(C170-1)</f>
        <v>0</v>
      </c>
      <c r="D240" s="141">
        <f>D183*(1+$G169)^(D170-1)</f>
        <v>0</v>
      </c>
      <c r="E240" s="141">
        <f>E183*(1+$G169)^(E170-1)</f>
        <v>3272600.5810924731</v>
      </c>
      <c r="F240" s="141">
        <f>F183*(1+$G169)^(F170-1)</f>
        <v>3403504.6043361719</v>
      </c>
      <c r="G240" s="141">
        <f>G183*(1+$G169)^(G170-1)</f>
        <v>3539644.788509619</v>
      </c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  <c r="AH240" s="141"/>
      <c r="AI240" s="141"/>
      <c r="AJ240" s="141"/>
      <c r="AK240" s="141"/>
      <c r="AL240" s="141"/>
      <c r="AM240" s="141"/>
      <c r="AN240" s="141"/>
      <c r="AO240" s="141"/>
      <c r="AP240" s="141"/>
      <c r="AQ240" s="141"/>
      <c r="AR240" s="141"/>
      <c r="AS240" s="141"/>
      <c r="AT240" s="141"/>
      <c r="AU240" s="141"/>
      <c r="AV240" s="141"/>
      <c r="AW240" s="141"/>
      <c r="AX240" s="141"/>
      <c r="AY240" s="141"/>
      <c r="AZ240" s="141"/>
      <c r="BA240" s="141"/>
      <c r="BB240" s="141"/>
      <c r="BC240" s="141"/>
      <c r="BD240" s="141"/>
      <c r="BE240" s="141"/>
      <c r="BF240" s="141"/>
      <c r="BG240" s="141"/>
      <c r="BH240" s="141"/>
      <c r="BI240" s="141"/>
      <c r="BJ240" s="142"/>
      <c r="BK240" s="141"/>
      <c r="BL240" s="141"/>
    </row>
    <row r="241" spans="1:64" s="143" customFormat="1" ht="12.75">
      <c r="A241" s="138" t="s">
        <v>127</v>
      </c>
      <c r="B241" s="139">
        <f>SUM(C241:BJ241)</f>
        <v>135052902.40000001</v>
      </c>
      <c r="C241" s="140">
        <f>C184*(1+$G169)^(C170-1)</f>
        <v>0</v>
      </c>
      <c r="D241" s="141">
        <f>D184*(1+$G169)^(D170-1)</f>
        <v>0</v>
      </c>
      <c r="E241" s="141">
        <f>E184*(1+$G169)^(E170-1)</f>
        <v>43264000.000000007</v>
      </c>
      <c r="F241" s="141">
        <f>F184*(1+$G169)^(F170-1)</f>
        <v>44994560</v>
      </c>
      <c r="G241" s="141">
        <f>G184*(1+$G169)^(G170-1)</f>
        <v>46794342.400000006</v>
      </c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  <c r="AH241" s="141"/>
      <c r="AI241" s="141"/>
      <c r="AJ241" s="141"/>
      <c r="AK241" s="141"/>
      <c r="AL241" s="141"/>
      <c r="AM241" s="141"/>
      <c r="AN241" s="141"/>
      <c r="AO241" s="141"/>
      <c r="AP241" s="141"/>
      <c r="AQ241" s="141"/>
      <c r="AR241" s="141"/>
      <c r="AS241" s="141"/>
      <c r="AT241" s="141"/>
      <c r="AU241" s="141"/>
      <c r="AV241" s="141"/>
      <c r="AW241" s="141"/>
      <c r="AX241" s="141"/>
      <c r="AY241" s="141"/>
      <c r="AZ241" s="141"/>
      <c r="BA241" s="141"/>
      <c r="BB241" s="141"/>
      <c r="BC241" s="141"/>
      <c r="BD241" s="141"/>
      <c r="BE241" s="141"/>
      <c r="BF241" s="141"/>
      <c r="BG241" s="141"/>
      <c r="BH241" s="141"/>
      <c r="BI241" s="141"/>
      <c r="BJ241" s="142"/>
      <c r="BK241" s="141"/>
      <c r="BL241" s="141"/>
    </row>
    <row r="242" spans="1:64" s="143" customFormat="1" ht="12.75">
      <c r="A242" s="138" t="s">
        <v>128</v>
      </c>
      <c r="B242" s="139">
        <f>SUM(C242:BJ242)</f>
        <v>175701203.87430328</v>
      </c>
      <c r="C242" s="140">
        <f>C185*(1+$G169)^(C170-1)</f>
        <v>32439206.10856368</v>
      </c>
      <c r="D242" s="141">
        <f>D185*(1+$G169)^(D170-1)</f>
        <v>33736774.352906227</v>
      </c>
      <c r="E242" s="141">
        <f>E185*(1+$G169)^(E170-1)</f>
        <v>35086245.327022478</v>
      </c>
      <c r="F242" s="141">
        <f>F185*(1+$G169)^(F170-1)</f>
        <v>36489695.140103377</v>
      </c>
      <c r="G242" s="141">
        <f>G185*(1+$G169)^(G170-1)</f>
        <v>37949282.945707515</v>
      </c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  <c r="AH242" s="141"/>
      <c r="AI242" s="141"/>
      <c r="AJ242" s="141"/>
      <c r="AK242" s="141"/>
      <c r="AL242" s="141"/>
      <c r="AM242" s="141"/>
      <c r="AN242" s="141"/>
      <c r="AO242" s="141"/>
      <c r="AP242" s="141"/>
      <c r="AQ242" s="141"/>
      <c r="AR242" s="141"/>
      <c r="AS242" s="141"/>
      <c r="AT242" s="141"/>
      <c r="AU242" s="141"/>
      <c r="AV242" s="141"/>
      <c r="AW242" s="141"/>
      <c r="AX242" s="141"/>
      <c r="AY242" s="141"/>
      <c r="AZ242" s="141"/>
      <c r="BA242" s="141"/>
      <c r="BB242" s="141"/>
      <c r="BC242" s="141"/>
      <c r="BD242" s="141"/>
      <c r="BE242" s="141"/>
      <c r="BF242" s="141"/>
      <c r="BG242" s="141"/>
      <c r="BH242" s="141"/>
      <c r="BI242" s="141"/>
      <c r="BJ242" s="142"/>
      <c r="BK242" s="141"/>
      <c r="BL242" s="141"/>
    </row>
    <row r="243" spans="1:64" s="143" customFormat="1" ht="12.75">
      <c r="A243" s="138" t="s">
        <v>129</v>
      </c>
      <c r="B243" s="139">
        <f>SUM(C243:BJ243)</f>
        <v>8498238.3020978458</v>
      </c>
      <c r="C243" s="140">
        <f>C186*(1+$G169)^(C170-1)</f>
        <v>2759168.2799018975</v>
      </c>
      <c r="D243" s="141">
        <f>D186*(1+$G169)^(D170-1)</f>
        <v>5739070.0221959474</v>
      </c>
      <c r="E243" s="141">
        <f>E186*(1+$G169)^(E170-1)</f>
        <v>0</v>
      </c>
      <c r="F243" s="141">
        <f>F186*(1+$G169)^(F170-1)</f>
        <v>0</v>
      </c>
      <c r="G243" s="141">
        <f>G186*(1+$G169)^(G170-1)</f>
        <v>0</v>
      </c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  <c r="AH243" s="141"/>
      <c r="AI243" s="141"/>
      <c r="AJ243" s="141"/>
      <c r="AK243" s="141"/>
      <c r="AL243" s="141"/>
      <c r="AM243" s="141"/>
      <c r="AN243" s="141"/>
      <c r="AO243" s="141"/>
      <c r="AP243" s="141"/>
      <c r="AQ243" s="141"/>
      <c r="AR243" s="141"/>
      <c r="AS243" s="141"/>
      <c r="AT243" s="141"/>
      <c r="AU243" s="141"/>
      <c r="AV243" s="141"/>
      <c r="AW243" s="141"/>
      <c r="AX243" s="141"/>
      <c r="AY243" s="141"/>
      <c r="AZ243" s="141"/>
      <c r="BA243" s="141"/>
      <c r="BB243" s="141"/>
      <c r="BC243" s="141"/>
      <c r="BD243" s="141"/>
      <c r="BE243" s="141"/>
      <c r="BF243" s="141"/>
      <c r="BG243" s="141"/>
      <c r="BH243" s="141"/>
      <c r="BI243" s="141"/>
      <c r="BJ243" s="142"/>
      <c r="BK243" s="141"/>
      <c r="BL243" s="141"/>
    </row>
    <row r="244" spans="1:64" s="116" customFormat="1">
      <c r="A244" s="111" t="s">
        <v>130</v>
      </c>
      <c r="B244" s="137">
        <f>SUM(B245:B248)</f>
        <v>615939919.1231246</v>
      </c>
      <c r="C244" s="117">
        <f>SUM(C245:C248)</f>
        <v>1173279.146282186</v>
      </c>
      <c r="D244" s="118">
        <f>SUM(D245:D248)</f>
        <v>2536071.7913035462</v>
      </c>
      <c r="E244" s="118">
        <f t="shared" ref="E244:BJ244" si="117">SUM(E245:E248)</f>
        <v>5358276.1932261875</v>
      </c>
      <c r="F244" s="118">
        <f t="shared" si="117"/>
        <v>8402199.2324365526</v>
      </c>
      <c r="G244" s="118">
        <f t="shared" si="117"/>
        <v>11681062.872874588</v>
      </c>
      <c r="H244" s="118">
        <f t="shared" si="117"/>
        <v>12148305.387789572</v>
      </c>
      <c r="I244" s="118">
        <f t="shared" si="117"/>
        <v>12634237.603301156</v>
      </c>
      <c r="J244" s="118">
        <f t="shared" si="117"/>
        <v>13139607.1074332</v>
      </c>
      <c r="K244" s="118">
        <f t="shared" si="117"/>
        <v>13665191.39173053</v>
      </c>
      <c r="L244" s="118">
        <f t="shared" si="117"/>
        <v>14211799.047399752</v>
      </c>
      <c r="M244" s="118">
        <f t="shared" si="117"/>
        <v>14780271.009295741</v>
      </c>
      <c r="N244" s="118">
        <f t="shared" si="117"/>
        <v>15371481.849667571</v>
      </c>
      <c r="O244" s="118">
        <f t="shared" si="117"/>
        <v>15986341.123654278</v>
      </c>
      <c r="P244" s="118">
        <f t="shared" si="117"/>
        <v>16625794.768600449</v>
      </c>
      <c r="Q244" s="118">
        <f t="shared" si="117"/>
        <v>17290826.559344467</v>
      </c>
      <c r="R244" s="118">
        <f t="shared" si="117"/>
        <v>17982459.621718243</v>
      </c>
      <c r="S244" s="118">
        <f t="shared" si="117"/>
        <v>18701758.006586976</v>
      </c>
      <c r="T244" s="118">
        <f t="shared" si="117"/>
        <v>19449828.326850459</v>
      </c>
      <c r="U244" s="118">
        <f t="shared" si="117"/>
        <v>20227821.459924478</v>
      </c>
      <c r="V244" s="118">
        <f t="shared" si="117"/>
        <v>21036934.318321459</v>
      </c>
      <c r="W244" s="118">
        <f t="shared" si="117"/>
        <v>21878411.691054314</v>
      </c>
      <c r="X244" s="118">
        <f t="shared" si="117"/>
        <v>22753548.158696491</v>
      </c>
      <c r="Y244" s="118">
        <f t="shared" si="117"/>
        <v>23663690.085044354</v>
      </c>
      <c r="Z244" s="118">
        <f t="shared" si="117"/>
        <v>24610237.688446123</v>
      </c>
      <c r="AA244" s="118">
        <f t="shared" si="117"/>
        <v>25594647.195983972</v>
      </c>
      <c r="AB244" s="118">
        <f t="shared" si="117"/>
        <v>26618433.083823338</v>
      </c>
      <c r="AC244" s="118">
        <f t="shared" si="117"/>
        <v>27683170.407176264</v>
      </c>
      <c r="AD244" s="118">
        <f t="shared" si="117"/>
        <v>28790497.223463319</v>
      </c>
      <c r="AE244" s="118">
        <f t="shared" si="117"/>
        <v>29942117.112401858</v>
      </c>
      <c r="AF244" s="118">
        <f t="shared" si="117"/>
        <v>31139801.796897929</v>
      </c>
      <c r="AG244" s="118">
        <f t="shared" si="117"/>
        <v>28579983.207154963</v>
      </c>
      <c r="AH244" s="118">
        <f t="shared" si="117"/>
        <v>25455320.69035979</v>
      </c>
      <c r="AI244" s="118">
        <f t="shared" si="117"/>
        <v>17649022.345316123</v>
      </c>
      <c r="AJ244" s="118">
        <f t="shared" si="117"/>
        <v>9177491.6195643842</v>
      </c>
      <c r="AK244" s="118">
        <f t="shared" si="117"/>
        <v>0</v>
      </c>
      <c r="AL244" s="118">
        <f t="shared" si="117"/>
        <v>0</v>
      </c>
      <c r="AM244" s="118">
        <f t="shared" si="117"/>
        <v>0</v>
      </c>
      <c r="AN244" s="118">
        <f t="shared" si="117"/>
        <v>0</v>
      </c>
      <c r="AO244" s="118">
        <f t="shared" si="117"/>
        <v>0</v>
      </c>
      <c r="AP244" s="118">
        <f t="shared" si="117"/>
        <v>0</v>
      </c>
      <c r="AQ244" s="118">
        <f t="shared" si="117"/>
        <v>0</v>
      </c>
      <c r="AR244" s="118">
        <f t="shared" si="117"/>
        <v>0</v>
      </c>
      <c r="AS244" s="118">
        <f t="shared" si="117"/>
        <v>0</v>
      </c>
      <c r="AT244" s="118">
        <f t="shared" si="117"/>
        <v>0</v>
      </c>
      <c r="AU244" s="118">
        <f t="shared" si="117"/>
        <v>0</v>
      </c>
      <c r="AV244" s="118">
        <f t="shared" si="117"/>
        <v>0</v>
      </c>
      <c r="AW244" s="118">
        <f t="shared" si="117"/>
        <v>0</v>
      </c>
      <c r="AX244" s="118">
        <f t="shared" si="117"/>
        <v>0</v>
      </c>
      <c r="AY244" s="118">
        <f t="shared" si="117"/>
        <v>0</v>
      </c>
      <c r="AZ244" s="118">
        <f t="shared" si="117"/>
        <v>0</v>
      </c>
      <c r="BA244" s="118">
        <f t="shared" si="117"/>
        <v>0</v>
      </c>
      <c r="BB244" s="118">
        <f t="shared" si="117"/>
        <v>0</v>
      </c>
      <c r="BC244" s="118">
        <f t="shared" si="117"/>
        <v>0</v>
      </c>
      <c r="BD244" s="118">
        <f t="shared" si="117"/>
        <v>0</v>
      </c>
      <c r="BE244" s="118">
        <f t="shared" si="117"/>
        <v>0</v>
      </c>
      <c r="BF244" s="118">
        <f t="shared" si="117"/>
        <v>0</v>
      </c>
      <c r="BG244" s="118">
        <f t="shared" si="117"/>
        <v>0</v>
      </c>
      <c r="BH244" s="118">
        <f t="shared" si="117"/>
        <v>0</v>
      </c>
      <c r="BI244" s="118">
        <f t="shared" si="117"/>
        <v>0</v>
      </c>
      <c r="BJ244" s="119">
        <f t="shared" si="117"/>
        <v>0</v>
      </c>
      <c r="BK244" s="118"/>
      <c r="BL244" s="118"/>
    </row>
    <row r="245" spans="1:64" s="143" customFormat="1" ht="12.75">
      <c r="A245" s="138" t="s">
        <v>126</v>
      </c>
      <c r="B245" s="139">
        <f>SUM(C245:BJ245)</f>
        <v>19098323.378830839</v>
      </c>
      <c r="C245" s="140">
        <f>C188*(1+$G169)^(C170-1)</f>
        <v>0</v>
      </c>
      <c r="D245" s="141">
        <f t="shared" ref="D245:AJ245" si="118">D188*(1+$G169)^(D170-1)</f>
        <v>0</v>
      </c>
      <c r="E245" s="141">
        <f t="shared" si="118"/>
        <v>109086.68603641578</v>
      </c>
      <c r="F245" s="141">
        <f t="shared" si="118"/>
        <v>226900.3069557448</v>
      </c>
      <c r="G245" s="141">
        <f t="shared" si="118"/>
        <v>353964.4788509619</v>
      </c>
      <c r="H245" s="141">
        <f t="shared" si="118"/>
        <v>368123.05800500041</v>
      </c>
      <c r="I245" s="141">
        <f t="shared" si="118"/>
        <v>382847.98032520042</v>
      </c>
      <c r="J245" s="141">
        <f t="shared" si="118"/>
        <v>398161.89953820844</v>
      </c>
      <c r="K245" s="141">
        <f t="shared" si="118"/>
        <v>414088.37551973684</v>
      </c>
      <c r="L245" s="141">
        <f t="shared" si="118"/>
        <v>430651.91054052633</v>
      </c>
      <c r="M245" s="141">
        <f t="shared" si="118"/>
        <v>447877.98696214741</v>
      </c>
      <c r="N245" s="141">
        <f t="shared" si="118"/>
        <v>465793.10644063324</v>
      </c>
      <c r="O245" s="141">
        <f t="shared" si="118"/>
        <v>484424.83069825865</v>
      </c>
      <c r="P245" s="141">
        <f t="shared" si="118"/>
        <v>503801.82392618904</v>
      </c>
      <c r="Q245" s="141">
        <f t="shared" si="118"/>
        <v>523953.89688323659</v>
      </c>
      <c r="R245" s="141">
        <f t="shared" si="118"/>
        <v>544912.05275856599</v>
      </c>
      <c r="S245" s="141">
        <f t="shared" si="118"/>
        <v>566708.53486890881</v>
      </c>
      <c r="T245" s="141">
        <f t="shared" si="118"/>
        <v>589376.87626366515</v>
      </c>
      <c r="U245" s="141">
        <f t="shared" si="118"/>
        <v>612951.95131421182</v>
      </c>
      <c r="V245" s="141">
        <f t="shared" si="118"/>
        <v>637470.02936678031</v>
      </c>
      <c r="W245" s="141">
        <f t="shared" si="118"/>
        <v>662968.83054145146</v>
      </c>
      <c r="X245" s="141">
        <f t="shared" si="118"/>
        <v>689487.58376310975</v>
      </c>
      <c r="Y245" s="141">
        <f t="shared" si="118"/>
        <v>717067.0871136341</v>
      </c>
      <c r="Z245" s="141">
        <f t="shared" si="118"/>
        <v>745749.77059817931</v>
      </c>
      <c r="AA245" s="141">
        <f t="shared" si="118"/>
        <v>775579.76142210665</v>
      </c>
      <c r="AB245" s="141">
        <f t="shared" si="118"/>
        <v>806602.95187899109</v>
      </c>
      <c r="AC245" s="141">
        <f t="shared" si="118"/>
        <v>838867.06995415059</v>
      </c>
      <c r="AD245" s="141">
        <f t="shared" si="118"/>
        <v>872421.75275231665</v>
      </c>
      <c r="AE245" s="141">
        <f t="shared" si="118"/>
        <v>907318.62286240945</v>
      </c>
      <c r="AF245" s="141">
        <f t="shared" si="118"/>
        <v>943611.36777690588</v>
      </c>
      <c r="AG245" s="141">
        <f t="shared" si="118"/>
        <v>981355.82248798199</v>
      </c>
      <c r="AH245" s="141">
        <f t="shared" si="118"/>
        <v>1020610.0553875014</v>
      </c>
      <c r="AI245" s="141">
        <f t="shared" si="118"/>
        <v>707622.97173533437</v>
      </c>
      <c r="AJ245" s="141">
        <f t="shared" si="118"/>
        <v>367963.94530237385</v>
      </c>
      <c r="AK245" s="141"/>
      <c r="AL245" s="141"/>
      <c r="AM245" s="141"/>
      <c r="AN245" s="141"/>
      <c r="AO245" s="141"/>
      <c r="AP245" s="141"/>
      <c r="AQ245" s="141"/>
      <c r="AR245" s="141"/>
      <c r="AS245" s="141"/>
      <c r="AT245" s="141"/>
      <c r="AU245" s="141"/>
      <c r="AV245" s="141"/>
      <c r="AW245" s="141"/>
      <c r="AX245" s="141"/>
      <c r="AY245" s="141"/>
      <c r="AZ245" s="141"/>
      <c r="BA245" s="141"/>
      <c r="BB245" s="141"/>
      <c r="BC245" s="141"/>
      <c r="BD245" s="141"/>
      <c r="BE245" s="141"/>
      <c r="BF245" s="141"/>
      <c r="BG245" s="141"/>
      <c r="BH245" s="141"/>
      <c r="BI245" s="141"/>
      <c r="BJ245" s="142"/>
      <c r="BK245" s="141"/>
      <c r="BL245" s="141"/>
    </row>
    <row r="246" spans="1:64" s="143" customFormat="1" ht="12.75">
      <c r="A246" s="138" t="s">
        <v>127</v>
      </c>
      <c r="B246" s="139">
        <f>SUM(C246:BJ246)</f>
        <v>252481120.80512699</v>
      </c>
      <c r="C246" s="140">
        <f>C189*(1+$G169)^(C170-1)</f>
        <v>0</v>
      </c>
      <c r="D246" s="141">
        <f t="shared" ref="D246:AJ246" si="119">D189*(1+$G169)^(D170-1)</f>
        <v>0</v>
      </c>
      <c r="E246" s="141">
        <f t="shared" si="119"/>
        <v>1442133.3333333335</v>
      </c>
      <c r="F246" s="141">
        <f t="shared" si="119"/>
        <v>2999637.3333333335</v>
      </c>
      <c r="G246" s="141">
        <f t="shared" si="119"/>
        <v>4679434.2400000012</v>
      </c>
      <c r="H246" s="141">
        <f t="shared" si="119"/>
        <v>4866611.609600001</v>
      </c>
      <c r="I246" s="141">
        <f t="shared" si="119"/>
        <v>5061276.0739840018</v>
      </c>
      <c r="J246" s="141">
        <f t="shared" si="119"/>
        <v>5263727.1169433612</v>
      </c>
      <c r="K246" s="141">
        <f t="shared" si="119"/>
        <v>5474276.2016210966</v>
      </c>
      <c r="L246" s="141">
        <f t="shared" si="119"/>
        <v>5693247.2496859403</v>
      </c>
      <c r="M246" s="141">
        <f t="shared" si="119"/>
        <v>5920977.1396733783</v>
      </c>
      <c r="N246" s="141">
        <f t="shared" si="119"/>
        <v>6157816.2252603127</v>
      </c>
      <c r="O246" s="141">
        <f t="shared" si="119"/>
        <v>6404128.8742707269</v>
      </c>
      <c r="P246" s="141">
        <f t="shared" si="119"/>
        <v>6660294.0292415563</v>
      </c>
      <c r="Q246" s="141">
        <f t="shared" si="119"/>
        <v>6926705.7904112181</v>
      </c>
      <c r="R246" s="141">
        <f t="shared" si="119"/>
        <v>7203774.0220276667</v>
      </c>
      <c r="S246" s="141">
        <f t="shared" si="119"/>
        <v>7491924.9829087751</v>
      </c>
      <c r="T246" s="141">
        <f t="shared" si="119"/>
        <v>7791601.9822251266</v>
      </c>
      <c r="U246" s="141">
        <f t="shared" si="119"/>
        <v>8103266.0615141317</v>
      </c>
      <c r="V246" s="141">
        <f t="shared" si="119"/>
        <v>8427396.7039746977</v>
      </c>
      <c r="W246" s="141">
        <f t="shared" si="119"/>
        <v>8764492.5721336845</v>
      </c>
      <c r="X246" s="141">
        <f t="shared" si="119"/>
        <v>9115072.2750190347</v>
      </c>
      <c r="Y246" s="141">
        <f t="shared" si="119"/>
        <v>9479675.1660197955</v>
      </c>
      <c r="Z246" s="141">
        <f t="shared" si="119"/>
        <v>9858862.1726605874</v>
      </c>
      <c r="AA246" s="141">
        <f t="shared" si="119"/>
        <v>10253216.659567012</v>
      </c>
      <c r="AB246" s="141">
        <f t="shared" si="119"/>
        <v>10663345.325949693</v>
      </c>
      <c r="AC246" s="141">
        <f t="shared" si="119"/>
        <v>11089879.138987679</v>
      </c>
      <c r="AD246" s="141">
        <f t="shared" si="119"/>
        <v>11533474.304547187</v>
      </c>
      <c r="AE246" s="141">
        <f t="shared" si="119"/>
        <v>11994813.276729077</v>
      </c>
      <c r="AF246" s="141">
        <f t="shared" si="119"/>
        <v>12474605.80779824</v>
      </c>
      <c r="AG246" s="141">
        <f t="shared" si="119"/>
        <v>12973590.040110169</v>
      </c>
      <c r="AH246" s="141">
        <f t="shared" si="119"/>
        <v>13492533.641714577</v>
      </c>
      <c r="AI246" s="141">
        <f t="shared" si="119"/>
        <v>9354823.3249221072</v>
      </c>
      <c r="AJ246" s="141">
        <f t="shared" si="119"/>
        <v>4864508.1289594956</v>
      </c>
      <c r="AK246" s="141"/>
      <c r="AL246" s="141"/>
      <c r="AM246" s="141"/>
      <c r="AN246" s="141"/>
      <c r="AO246" s="141"/>
      <c r="AP246" s="141"/>
      <c r="AQ246" s="141"/>
      <c r="AR246" s="141"/>
      <c r="AS246" s="141"/>
      <c r="AT246" s="141"/>
      <c r="AU246" s="141"/>
      <c r="AV246" s="141"/>
      <c r="AW246" s="141"/>
      <c r="AX246" s="141"/>
      <c r="AY246" s="141"/>
      <c r="AZ246" s="141"/>
      <c r="BA246" s="141"/>
      <c r="BB246" s="141"/>
      <c r="BC246" s="141"/>
      <c r="BD246" s="141"/>
      <c r="BE246" s="141"/>
      <c r="BF246" s="141"/>
      <c r="BG246" s="141"/>
      <c r="BH246" s="141"/>
      <c r="BI246" s="141"/>
      <c r="BJ246" s="142"/>
      <c r="BK246" s="141"/>
      <c r="BL246" s="141"/>
    </row>
    <row r="247" spans="1:64" s="143" customFormat="1" ht="12.75">
      <c r="A247" s="138" t="s">
        <v>128</v>
      </c>
      <c r="B247" s="139">
        <f>SUM(C247:BJ247)</f>
        <v>328473036.0670442</v>
      </c>
      <c r="C247" s="140">
        <f>C190*(1+$G169)^(C170-1)</f>
        <v>1081306.8702854561</v>
      </c>
      <c r="D247" s="141">
        <f t="shared" ref="D247:AJ247" si="120">D190*(1+$G169)^(D170-1)</f>
        <v>2249118.2901937487</v>
      </c>
      <c r="E247" s="141">
        <f t="shared" si="120"/>
        <v>3508624.5327022481</v>
      </c>
      <c r="F247" s="141">
        <f t="shared" si="120"/>
        <v>4865292.6853471175</v>
      </c>
      <c r="G247" s="141">
        <f t="shared" si="120"/>
        <v>6324880.4909512531</v>
      </c>
      <c r="H247" s="141">
        <f t="shared" si="120"/>
        <v>6577875.7105893036</v>
      </c>
      <c r="I247" s="141">
        <f t="shared" si="120"/>
        <v>6840990.7390128765</v>
      </c>
      <c r="J247" s="141">
        <f t="shared" si="120"/>
        <v>7114630.3685733909</v>
      </c>
      <c r="K247" s="141">
        <f t="shared" si="120"/>
        <v>7399215.583316328</v>
      </c>
      <c r="L247" s="141">
        <f t="shared" si="120"/>
        <v>7695184.2066489812</v>
      </c>
      <c r="M247" s="141">
        <f t="shared" si="120"/>
        <v>8002991.5749149406</v>
      </c>
      <c r="N247" s="141">
        <f t="shared" si="120"/>
        <v>8323111.2379115373</v>
      </c>
      <c r="O247" s="141">
        <f t="shared" si="120"/>
        <v>8656035.6874280013</v>
      </c>
      <c r="P247" s="141">
        <f t="shared" si="120"/>
        <v>9002277.1149251219</v>
      </c>
      <c r="Q247" s="141">
        <f t="shared" si="120"/>
        <v>9362368.1995221265</v>
      </c>
      <c r="R247" s="141">
        <f t="shared" si="120"/>
        <v>9736862.9275030103</v>
      </c>
      <c r="S247" s="141">
        <f t="shared" si="120"/>
        <v>10126337.444603132</v>
      </c>
      <c r="T247" s="141">
        <f t="shared" si="120"/>
        <v>10531390.942387259</v>
      </c>
      <c r="U247" s="141">
        <f t="shared" si="120"/>
        <v>10952646.58008275</v>
      </c>
      <c r="V247" s="141">
        <f t="shared" si="120"/>
        <v>11390752.443286059</v>
      </c>
      <c r="W247" s="141">
        <f t="shared" si="120"/>
        <v>11846382.541017503</v>
      </c>
      <c r="X247" s="141">
        <f t="shared" si="120"/>
        <v>12320237.842658205</v>
      </c>
      <c r="Y247" s="141">
        <f t="shared" si="120"/>
        <v>12813047.356364533</v>
      </c>
      <c r="Z247" s="141">
        <f t="shared" si="120"/>
        <v>13325569.250619113</v>
      </c>
      <c r="AA247" s="141">
        <f t="shared" si="120"/>
        <v>13858592.020643879</v>
      </c>
      <c r="AB247" s="141">
        <f t="shared" si="120"/>
        <v>14412935.701469637</v>
      </c>
      <c r="AC247" s="141">
        <f t="shared" si="120"/>
        <v>14989453.12952842</v>
      </c>
      <c r="AD247" s="141">
        <f t="shared" si="120"/>
        <v>15589031.254709559</v>
      </c>
      <c r="AE247" s="141">
        <f t="shared" si="120"/>
        <v>16212592.504897945</v>
      </c>
      <c r="AF247" s="141">
        <f t="shared" si="120"/>
        <v>16861096.205093861</v>
      </c>
      <c r="AG247" s="141">
        <f t="shared" si="120"/>
        <v>14028432.042638091</v>
      </c>
      <c r="AH247" s="141">
        <f t="shared" si="120"/>
        <v>10942176.993257713</v>
      </c>
      <c r="AI247" s="141">
        <f t="shared" si="120"/>
        <v>7586576.0486586811</v>
      </c>
      <c r="AJ247" s="141">
        <f t="shared" si="120"/>
        <v>3945019.545302514</v>
      </c>
      <c r="AK247" s="141"/>
      <c r="AL247" s="141"/>
      <c r="AM247" s="141"/>
      <c r="AN247" s="141"/>
      <c r="AO247" s="141"/>
      <c r="AP247" s="141"/>
      <c r="AQ247" s="141"/>
      <c r="AR247" s="141"/>
      <c r="AS247" s="141"/>
      <c r="AT247" s="141"/>
      <c r="AU247" s="141"/>
      <c r="AV247" s="141"/>
      <c r="AW247" s="141"/>
      <c r="AX247" s="141"/>
      <c r="AY247" s="141"/>
      <c r="AZ247" s="141"/>
      <c r="BA247" s="141"/>
      <c r="BB247" s="141"/>
      <c r="BC247" s="141"/>
      <c r="BD247" s="141"/>
      <c r="BE247" s="141"/>
      <c r="BF247" s="141"/>
      <c r="BG247" s="141"/>
      <c r="BH247" s="141"/>
      <c r="BI247" s="141"/>
      <c r="BJ247" s="142"/>
      <c r="BK247" s="141"/>
      <c r="BL247" s="141"/>
    </row>
    <row r="248" spans="1:64" s="143" customFormat="1" ht="12.75">
      <c r="A248" s="138" t="s">
        <v>129</v>
      </c>
      <c r="B248" s="139">
        <f>SUM(C248:BJ248)</f>
        <v>15887438.87212248</v>
      </c>
      <c r="C248" s="140">
        <f>C191*(1+$G169)^(C170-1)</f>
        <v>91972.275996729921</v>
      </c>
      <c r="D248" s="141">
        <f t="shared" ref="D248:AJ248" si="121">D191*(1+$G169)^(D170-1)</f>
        <v>286953.50110979739</v>
      </c>
      <c r="E248" s="141">
        <f t="shared" si="121"/>
        <v>298431.6411541893</v>
      </c>
      <c r="F248" s="141">
        <f t="shared" si="121"/>
        <v>310368.90680035687</v>
      </c>
      <c r="G248" s="141">
        <f t="shared" si="121"/>
        <v>322783.66307237116</v>
      </c>
      <c r="H248" s="141">
        <f t="shared" si="121"/>
        <v>335695.00959526602</v>
      </c>
      <c r="I248" s="141">
        <f t="shared" si="121"/>
        <v>349122.80997907667</v>
      </c>
      <c r="J248" s="141">
        <f t="shared" si="121"/>
        <v>363087.72237823973</v>
      </c>
      <c r="K248" s="141">
        <f t="shared" si="121"/>
        <v>377611.2312733694</v>
      </c>
      <c r="L248" s="141">
        <f t="shared" si="121"/>
        <v>392715.68052430416</v>
      </c>
      <c r="M248" s="141">
        <f t="shared" si="121"/>
        <v>408424.30774527637</v>
      </c>
      <c r="N248" s="141">
        <f t="shared" si="121"/>
        <v>424761.28005508735</v>
      </c>
      <c r="O248" s="141">
        <f t="shared" si="121"/>
        <v>441751.73125729099</v>
      </c>
      <c r="P248" s="141">
        <f t="shared" si="121"/>
        <v>459421.80050758261</v>
      </c>
      <c r="Q248" s="141">
        <f t="shared" si="121"/>
        <v>477798.67252788594</v>
      </c>
      <c r="R248" s="141">
        <f t="shared" si="121"/>
        <v>496910.61942900135</v>
      </c>
      <c r="S248" s="141">
        <f t="shared" si="121"/>
        <v>516787.04420616146</v>
      </c>
      <c r="T248" s="141">
        <f t="shared" si="121"/>
        <v>537458.52597440791</v>
      </c>
      <c r="U248" s="141">
        <f t="shared" si="121"/>
        <v>558956.86701338436</v>
      </c>
      <c r="V248" s="141">
        <f t="shared" si="121"/>
        <v>581315.14169391966</v>
      </c>
      <c r="W248" s="141">
        <f t="shared" si="121"/>
        <v>604567.74736167653</v>
      </c>
      <c r="X248" s="141">
        <f t="shared" si="121"/>
        <v>628750.45725614368</v>
      </c>
      <c r="Y248" s="141">
        <f t="shared" si="121"/>
        <v>653900.47554638935</v>
      </c>
      <c r="Z248" s="141">
        <f t="shared" si="121"/>
        <v>680056.4945682449</v>
      </c>
      <c r="AA248" s="141">
        <f t="shared" si="121"/>
        <v>707258.75435097481</v>
      </c>
      <c r="AB248" s="141">
        <f t="shared" si="121"/>
        <v>735549.10452501394</v>
      </c>
      <c r="AC248" s="141">
        <f t="shared" si="121"/>
        <v>764971.06870601443</v>
      </c>
      <c r="AD248" s="141">
        <f t="shared" si="121"/>
        <v>795569.91145425499</v>
      </c>
      <c r="AE248" s="141">
        <f t="shared" si="121"/>
        <v>827392.70791242539</v>
      </c>
      <c r="AF248" s="141">
        <f t="shared" si="121"/>
        <v>860488.41622892243</v>
      </c>
      <c r="AG248" s="141">
        <f t="shared" si="121"/>
        <v>596605.30191871955</v>
      </c>
      <c r="AH248" s="141">
        <f t="shared" si="121"/>
        <v>0</v>
      </c>
      <c r="AI248" s="141">
        <f t="shared" si="121"/>
        <v>0</v>
      </c>
      <c r="AJ248" s="141">
        <f t="shared" si="121"/>
        <v>0</v>
      </c>
      <c r="AK248" s="141"/>
      <c r="AL248" s="141"/>
      <c r="AM248" s="141"/>
      <c r="AN248" s="141"/>
      <c r="AO248" s="141"/>
      <c r="AP248" s="141"/>
      <c r="AQ248" s="141"/>
      <c r="AR248" s="141"/>
      <c r="AS248" s="141"/>
      <c r="AT248" s="141"/>
      <c r="AU248" s="141"/>
      <c r="AV248" s="141"/>
      <c r="AW248" s="141"/>
      <c r="AX248" s="141"/>
      <c r="AY248" s="141"/>
      <c r="AZ248" s="141"/>
      <c r="BA248" s="141"/>
      <c r="BB248" s="141"/>
      <c r="BC248" s="141"/>
      <c r="BD248" s="141"/>
      <c r="BE248" s="141"/>
      <c r="BF248" s="141"/>
      <c r="BG248" s="141"/>
      <c r="BH248" s="141"/>
      <c r="BI248" s="141"/>
      <c r="BJ248" s="142"/>
      <c r="BK248" s="141"/>
      <c r="BL248" s="141"/>
    </row>
    <row r="249" spans="1:64" s="148" customFormat="1">
      <c r="A249" s="111" t="s">
        <v>131</v>
      </c>
      <c r="B249" s="144"/>
      <c r="C249" s="140"/>
      <c r="D249" s="146"/>
      <c r="E249" s="146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  <c r="AH249" s="146"/>
      <c r="AI249" s="146"/>
      <c r="AJ249" s="146"/>
      <c r="AK249" s="146"/>
      <c r="AL249" s="146"/>
      <c r="AM249" s="146"/>
      <c r="AN249" s="146"/>
      <c r="AO249" s="146"/>
      <c r="AP249" s="146"/>
      <c r="AQ249" s="146"/>
      <c r="AR249" s="146"/>
      <c r="AS249" s="146"/>
      <c r="AT249" s="146"/>
      <c r="AU249" s="146"/>
      <c r="AV249" s="146"/>
      <c r="AW249" s="146"/>
      <c r="AX249" s="146"/>
      <c r="AY249" s="146"/>
      <c r="AZ249" s="146"/>
      <c r="BA249" s="146"/>
      <c r="BB249" s="146"/>
      <c r="BC249" s="146"/>
      <c r="BD249" s="146"/>
      <c r="BE249" s="146"/>
      <c r="BF249" s="146"/>
      <c r="BG249" s="146"/>
      <c r="BH249" s="146"/>
      <c r="BI249" s="146"/>
      <c r="BJ249" s="147"/>
      <c r="BK249" s="146"/>
      <c r="BL249" s="146"/>
    </row>
    <row r="250" spans="1:64" s="153" customFormat="1" ht="12.75">
      <c r="A250" s="138" t="s">
        <v>126</v>
      </c>
      <c r="B250" s="144"/>
      <c r="C250" s="140">
        <f>C193*(1+$G169)^(C170-1)</f>
        <v>0</v>
      </c>
      <c r="D250" s="141">
        <f t="shared" ref="D250:AJ250" si="122">D193*(1+$G169)^(D170-1)</f>
        <v>0</v>
      </c>
      <c r="E250" s="141">
        <f t="shared" si="122"/>
        <v>9708715.057241004</v>
      </c>
      <c r="F250" s="141">
        <f t="shared" si="122"/>
        <v>9870163.3525748998</v>
      </c>
      <c r="G250" s="141">
        <f t="shared" si="122"/>
        <v>9911005.4078269359</v>
      </c>
      <c r="H250" s="141">
        <f t="shared" si="122"/>
        <v>9939322.5661350135</v>
      </c>
      <c r="I250" s="141">
        <f t="shared" si="122"/>
        <v>9954047.4884552136</v>
      </c>
      <c r="J250" s="141">
        <f t="shared" si="122"/>
        <v>9954047.4884552117</v>
      </c>
      <c r="K250" s="141">
        <f t="shared" si="122"/>
        <v>9938121.0124736857</v>
      </c>
      <c r="L250" s="141">
        <f t="shared" si="122"/>
        <v>9904993.9424321074</v>
      </c>
      <c r="M250" s="141">
        <f t="shared" si="122"/>
        <v>9853315.7131672446</v>
      </c>
      <c r="N250" s="141">
        <f t="shared" si="122"/>
        <v>9781655.2352533005</v>
      </c>
      <c r="O250" s="141">
        <f t="shared" si="122"/>
        <v>9688496.613965176</v>
      </c>
      <c r="P250" s="141">
        <f t="shared" si="122"/>
        <v>9572234.6545975935</v>
      </c>
      <c r="Q250" s="141">
        <f t="shared" si="122"/>
        <v>9431170.1438982598</v>
      </c>
      <c r="R250" s="141">
        <f t="shared" si="122"/>
        <v>9263504.8968956247</v>
      </c>
      <c r="S250" s="141">
        <f t="shared" si="122"/>
        <v>9067336.5579025429</v>
      </c>
      <c r="T250" s="141">
        <f t="shared" si="122"/>
        <v>8840653.1439549793</v>
      </c>
      <c r="U250" s="141">
        <f t="shared" si="122"/>
        <v>8581327.3183989674</v>
      </c>
      <c r="V250" s="141">
        <f t="shared" si="122"/>
        <v>8287110.3817681456</v>
      </c>
      <c r="W250" s="141">
        <f t="shared" si="122"/>
        <v>7955625.9664974194</v>
      </c>
      <c r="X250" s="141">
        <f t="shared" si="122"/>
        <v>7584363.4213942084</v>
      </c>
      <c r="Y250" s="141">
        <f t="shared" si="122"/>
        <v>7170670.8711363422</v>
      </c>
      <c r="Z250" s="141">
        <f t="shared" si="122"/>
        <v>6711747.935383616</v>
      </c>
      <c r="AA250" s="141">
        <f t="shared" si="122"/>
        <v>6204638.0913768541</v>
      </c>
      <c r="AB250" s="141">
        <f t="shared" si="122"/>
        <v>5646220.6631529387</v>
      </c>
      <c r="AC250" s="141">
        <f t="shared" si="122"/>
        <v>5033202.419724904</v>
      </c>
      <c r="AD250" s="141">
        <f t="shared" si="122"/>
        <v>4362108.7637615837</v>
      </c>
      <c r="AE250" s="141">
        <f t="shared" si="122"/>
        <v>3629274.4914496387</v>
      </c>
      <c r="AF250" s="141">
        <f t="shared" si="122"/>
        <v>2830834.1033307184</v>
      </c>
      <c r="AG250" s="141">
        <f t="shared" si="122"/>
        <v>1962711.6449759644</v>
      </c>
      <c r="AH250" s="141">
        <f t="shared" si="122"/>
        <v>1020610.0553875017</v>
      </c>
      <c r="AI250" s="141">
        <f t="shared" si="122"/>
        <v>353811.48586766754</v>
      </c>
      <c r="AJ250" s="141">
        <f t="shared" si="122"/>
        <v>0</v>
      </c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2"/>
      <c r="BK250" s="151"/>
      <c r="BL250" s="151"/>
    </row>
    <row r="251" spans="1:64" s="153" customFormat="1" ht="12.75">
      <c r="A251" s="138" t="s">
        <v>127</v>
      </c>
      <c r="B251" s="144"/>
      <c r="C251" s="140">
        <f>C194*(1+$G169)^(C170-1)</f>
        <v>0</v>
      </c>
      <c r="D251" s="141">
        <f t="shared" ref="D251:AJ251" si="123">D194*(1+$G169)^(D170-1)</f>
        <v>0</v>
      </c>
      <c r="E251" s="141">
        <f t="shared" si="123"/>
        <v>128349866.66666669</v>
      </c>
      <c r="F251" s="141">
        <f t="shared" si="123"/>
        <v>130484224.00000001</v>
      </c>
      <c r="G251" s="141">
        <f t="shared" si="123"/>
        <v>131024158.72000003</v>
      </c>
      <c r="H251" s="141">
        <f t="shared" si="123"/>
        <v>131398513.45920004</v>
      </c>
      <c r="I251" s="141">
        <f t="shared" si="123"/>
        <v>131593177.92358404</v>
      </c>
      <c r="J251" s="141">
        <f t="shared" si="123"/>
        <v>131593177.92358403</v>
      </c>
      <c r="K251" s="141">
        <f t="shared" si="123"/>
        <v>131382628.83890632</v>
      </c>
      <c r="L251" s="141">
        <f t="shared" si="123"/>
        <v>130944686.74277663</v>
      </c>
      <c r="M251" s="141">
        <f t="shared" si="123"/>
        <v>130261497.07281433</v>
      </c>
      <c r="N251" s="141">
        <f t="shared" si="123"/>
        <v>129314140.73046657</v>
      </c>
      <c r="O251" s="141">
        <f t="shared" si="123"/>
        <v>128082577.48541453</v>
      </c>
      <c r="P251" s="141">
        <f t="shared" si="123"/>
        <v>126545586.55558957</v>
      </c>
      <c r="Q251" s="141">
        <f t="shared" si="123"/>
        <v>124680704.22740193</v>
      </c>
      <c r="R251" s="141">
        <f t="shared" si="123"/>
        <v>122464158.37447034</v>
      </c>
      <c r="S251" s="141">
        <f t="shared" si="123"/>
        <v>119870799.7265404</v>
      </c>
      <c r="T251" s="141">
        <f t="shared" si="123"/>
        <v>116874029.73337689</v>
      </c>
      <c r="U251" s="141">
        <f t="shared" si="123"/>
        <v>113445724.86119784</v>
      </c>
      <c r="V251" s="141">
        <f t="shared" si="123"/>
        <v>109556157.15167107</v>
      </c>
      <c r="W251" s="141">
        <f t="shared" si="123"/>
        <v>105173910.86560422</v>
      </c>
      <c r="X251" s="141">
        <f t="shared" si="123"/>
        <v>100265795.02520938</v>
      </c>
      <c r="Y251" s="141">
        <f t="shared" si="123"/>
        <v>94796751.660197958</v>
      </c>
      <c r="Z251" s="141">
        <f t="shared" si="123"/>
        <v>88729759.553945273</v>
      </c>
      <c r="AA251" s="141">
        <f t="shared" si="123"/>
        <v>82025733.276536092</v>
      </c>
      <c r="AB251" s="141">
        <f t="shared" si="123"/>
        <v>74643417.281647861</v>
      </c>
      <c r="AC251" s="141">
        <f t="shared" si="123"/>
        <v>66539274.833926082</v>
      </c>
      <c r="AD251" s="141">
        <f t="shared" si="123"/>
        <v>57667371.522735938</v>
      </c>
      <c r="AE251" s="141">
        <f t="shared" si="123"/>
        <v>47979253.106916308</v>
      </c>
      <c r="AF251" s="141">
        <f t="shared" si="123"/>
        <v>37423817.423394725</v>
      </c>
      <c r="AG251" s="141">
        <f t="shared" si="123"/>
        <v>25947180.080220338</v>
      </c>
      <c r="AH251" s="141">
        <f t="shared" si="123"/>
        <v>13492533.641714577</v>
      </c>
      <c r="AI251" s="141">
        <f t="shared" si="123"/>
        <v>4677411.6624610545</v>
      </c>
      <c r="AJ251" s="141">
        <f t="shared" si="123"/>
        <v>0</v>
      </c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2"/>
      <c r="BK251" s="151"/>
      <c r="BL251" s="151"/>
    </row>
    <row r="252" spans="1:64" s="153" customFormat="1" ht="12.75">
      <c r="A252" s="138" t="s">
        <v>128</v>
      </c>
      <c r="B252" s="144"/>
      <c r="C252" s="140">
        <f>C195*(1+$G169)^(C170-1)</f>
        <v>161114723.67253295</v>
      </c>
      <c r="D252" s="141">
        <f t="shared" ref="D252:AJ252" si="124">D195*(1+$G169)^(D170-1)</f>
        <v>165310194.32924053</v>
      </c>
      <c r="E252" s="141">
        <f t="shared" si="124"/>
        <v>168413977.56970793</v>
      </c>
      <c r="F252" s="141">
        <f t="shared" si="124"/>
        <v>170285243.98714912</v>
      </c>
      <c r="G252" s="141">
        <f t="shared" si="124"/>
        <v>170771773.25568384</v>
      </c>
      <c r="H252" s="141">
        <f t="shared" si="124"/>
        <v>171024768.47532189</v>
      </c>
      <c r="I252" s="141">
        <f t="shared" si="124"/>
        <v>171024768.47532189</v>
      </c>
      <c r="J252" s="141">
        <f t="shared" si="124"/>
        <v>170751128.84576136</v>
      </c>
      <c r="K252" s="141">
        <f t="shared" si="124"/>
        <v>170181958.4162755</v>
      </c>
      <c r="L252" s="141">
        <f t="shared" si="124"/>
        <v>169294052.54627755</v>
      </c>
      <c r="M252" s="141">
        <f t="shared" si="124"/>
        <v>168062823.0732137</v>
      </c>
      <c r="N252" s="141">
        <f t="shared" si="124"/>
        <v>166462224.75823069</v>
      </c>
      <c r="O252" s="141">
        <f t="shared" si="124"/>
        <v>164464678.06113192</v>
      </c>
      <c r="P252" s="141">
        <f t="shared" si="124"/>
        <v>162040988.06865209</v>
      </c>
      <c r="Q252" s="141">
        <f t="shared" si="124"/>
        <v>159160259.39187601</v>
      </c>
      <c r="R252" s="141">
        <f t="shared" si="124"/>
        <v>155789806.84004804</v>
      </c>
      <c r="S252" s="141">
        <f t="shared" si="124"/>
        <v>151895061.66904685</v>
      </c>
      <c r="T252" s="141">
        <f t="shared" si="124"/>
        <v>147439473.19342145</v>
      </c>
      <c r="U252" s="141">
        <f t="shared" si="124"/>
        <v>142384405.54107556</v>
      </c>
      <c r="V252" s="141">
        <f t="shared" si="124"/>
        <v>136689029.31943253</v>
      </c>
      <c r="W252" s="141">
        <f t="shared" si="124"/>
        <v>130310207.95119232</v>
      </c>
      <c r="X252" s="141">
        <f t="shared" si="124"/>
        <v>123202378.42658184</v>
      </c>
      <c r="Y252" s="141">
        <f t="shared" si="124"/>
        <v>115317426.20728058</v>
      </c>
      <c r="Z252" s="141">
        <f t="shared" si="124"/>
        <v>106604554.00495268</v>
      </c>
      <c r="AA252" s="141">
        <f t="shared" si="124"/>
        <v>97010144.144506931</v>
      </c>
      <c r="AB252" s="141">
        <f t="shared" si="124"/>
        <v>86477614.208817586</v>
      </c>
      <c r="AC252" s="141">
        <f t="shared" si="124"/>
        <v>74947265.647641867</v>
      </c>
      <c r="AD252" s="141">
        <f t="shared" si="124"/>
        <v>62356125.018837981</v>
      </c>
      <c r="AE252" s="141">
        <f t="shared" si="124"/>
        <v>48637777.514693581</v>
      </c>
      <c r="AF252" s="141">
        <f t="shared" si="124"/>
        <v>33722192.41018746</v>
      </c>
      <c r="AG252" s="141">
        <f t="shared" si="124"/>
        <v>21042648.063956864</v>
      </c>
      <c r="AH252" s="141">
        <f t="shared" si="124"/>
        <v>10942176.993257429</v>
      </c>
      <c r="AI252" s="141">
        <f t="shared" si="124"/>
        <v>3793288.0243290463</v>
      </c>
      <c r="AJ252" s="141">
        <f t="shared" si="124"/>
        <v>-3.058037708557825E-7</v>
      </c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2"/>
      <c r="BK252" s="151"/>
      <c r="BL252" s="151"/>
    </row>
    <row r="253" spans="1:64" s="153" customFormat="1" ht="12.75">
      <c r="A253" s="138" t="s">
        <v>129</v>
      </c>
      <c r="B253" s="144"/>
      <c r="C253" s="140">
        <f>C196*(1+$G169)^(C170-1)</f>
        <v>8185532.5637089629</v>
      </c>
      <c r="D253" s="141">
        <f t="shared" ref="D253:AJ253" si="125">D196*(1+$G169)^(D170-1)</f>
        <v>8226000.3651475236</v>
      </c>
      <c r="E253" s="141">
        <f t="shared" si="125"/>
        <v>8256608.7385992361</v>
      </c>
      <c r="F253" s="141">
        <f t="shared" si="125"/>
        <v>8276504.1813428476</v>
      </c>
      <c r="G253" s="141">
        <f t="shared" si="125"/>
        <v>8284780.6855241908</v>
      </c>
      <c r="H253" s="141">
        <f t="shared" si="125"/>
        <v>8280476.9033498932</v>
      </c>
      <c r="I253" s="141">
        <f t="shared" si="125"/>
        <v>8262573.169504812</v>
      </c>
      <c r="J253" s="141">
        <f t="shared" si="125"/>
        <v>8229988.3739067633</v>
      </c>
      <c r="K253" s="141">
        <f t="shared" si="125"/>
        <v>8181576.6775896652</v>
      </c>
      <c r="L253" s="141">
        <f t="shared" si="125"/>
        <v>8116124.0641689477</v>
      </c>
      <c r="M253" s="141">
        <f t="shared" si="125"/>
        <v>8032344.7189904293</v>
      </c>
      <c r="N253" s="141">
        <f t="shared" si="125"/>
        <v>7928877.2276949575</v>
      </c>
      <c r="O253" s="141">
        <f t="shared" si="125"/>
        <v>7804280.5855454663</v>
      </c>
      <c r="P253" s="141">
        <f t="shared" si="125"/>
        <v>7657030.0084597021</v>
      </c>
      <c r="Q253" s="141">
        <f t="shared" si="125"/>
        <v>7485512.5362702031</v>
      </c>
      <c r="R253" s="141">
        <f t="shared" si="125"/>
        <v>7288022.4182920102</v>
      </c>
      <c r="S253" s="141">
        <f t="shared" si="125"/>
        <v>7062756.2708175303</v>
      </c>
      <c r="T253" s="141">
        <f t="shared" si="125"/>
        <v>6807807.9956758246</v>
      </c>
      <c r="U253" s="141">
        <f t="shared" si="125"/>
        <v>6521163.4484894741</v>
      </c>
      <c r="V253" s="141">
        <f t="shared" si="125"/>
        <v>6200694.8447351335</v>
      </c>
      <c r="W253" s="141">
        <f t="shared" si="125"/>
        <v>5844154.8911628621</v>
      </c>
      <c r="X253" s="141">
        <f t="shared" si="125"/>
        <v>5449170.6295532351</v>
      </c>
      <c r="Y253" s="141">
        <f t="shared" si="125"/>
        <v>5013236.9791889749</v>
      </c>
      <c r="Z253" s="141">
        <f t="shared" si="125"/>
        <v>4533709.9637882886</v>
      </c>
      <c r="AA253" s="141">
        <f t="shared" si="125"/>
        <v>4007799.6079888465</v>
      </c>
      <c r="AB253" s="141">
        <f t="shared" si="125"/>
        <v>3432562.4877833873</v>
      </c>
      <c r="AC253" s="141">
        <f t="shared" si="125"/>
        <v>2804893.9185887082</v>
      </c>
      <c r="AD253" s="141">
        <f t="shared" si="125"/>
        <v>2121519.7638780014</v>
      </c>
      <c r="AE253" s="141">
        <f t="shared" si="125"/>
        <v>1378987.8465206965</v>
      </c>
      <c r="AF253" s="141">
        <f t="shared" si="125"/>
        <v>573658.94415260211</v>
      </c>
      <c r="AG253" s="141">
        <f t="shared" si="125"/>
        <v>-1.3404131355460006E-8</v>
      </c>
      <c r="AH253" s="141">
        <f t="shared" si="125"/>
        <v>-1.3940296609678407E-8</v>
      </c>
      <c r="AI253" s="141">
        <f t="shared" si="125"/>
        <v>-1.4497908474065544E-8</v>
      </c>
      <c r="AJ253" s="141">
        <f t="shared" si="125"/>
        <v>-1.5077824813028166E-8</v>
      </c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2"/>
      <c r="BK253" s="151"/>
      <c r="BL253" s="151"/>
    </row>
    <row r="254" spans="1:64" s="116" customFormat="1">
      <c r="A254" s="111" t="s">
        <v>132</v>
      </c>
      <c r="B254" s="155">
        <f>SUM(B255:B258)</f>
        <v>610946657.32540143</v>
      </c>
      <c r="C254" s="117">
        <f>SUM(C255:C258)</f>
        <v>17047353.53825241</v>
      </c>
      <c r="D254" s="118">
        <f t="shared" ref="D254:AJ254" si="126">SUM(D255:D258)</f>
        <v>17607226.648569159</v>
      </c>
      <c r="E254" s="118">
        <f t="shared" si="126"/>
        <v>32008744.422544099</v>
      </c>
      <c r="F254" s="118">
        <f t="shared" si="126"/>
        <v>32731833.475350346</v>
      </c>
      <c r="G254" s="118">
        <f t="shared" si="126"/>
        <v>33167278.094190963</v>
      </c>
      <c r="H254" s="118">
        <f t="shared" si="126"/>
        <v>33279138.679179646</v>
      </c>
      <c r="I254" s="118">
        <f t="shared" si="126"/>
        <v>33346880.46601671</v>
      </c>
      <c r="J254" s="118">
        <f t="shared" si="126"/>
        <v>33366794.973914057</v>
      </c>
      <c r="K254" s="118">
        <f t="shared" si="126"/>
        <v>33334947.633697573</v>
      </c>
      <c r="L254" s="118">
        <f t="shared" si="126"/>
        <v>33247165.634305507</v>
      </c>
      <c r="M254" s="118">
        <f t="shared" si="126"/>
        <v>33099025.158748142</v>
      </c>
      <c r="N254" s="118">
        <f t="shared" si="126"/>
        <v>32885837.980131306</v>
      </c>
      <c r="O254" s="118">
        <f t="shared" si="126"/>
        <v>32602637.386971138</v>
      </c>
      <c r="P254" s="118">
        <f t="shared" si="126"/>
        <v>32244163.405589938</v>
      </c>
      <c r="Q254" s="118">
        <f t="shared" si="126"/>
        <v>31804847.285879094</v>
      </c>
      <c r="R254" s="118">
        <f t="shared" si="126"/>
        <v>31278795.215142429</v>
      </c>
      <c r="S254" s="118">
        <f t="shared" si="126"/>
        <v>30659771.22308943</v>
      </c>
      <c r="T254" s="118">
        <f t="shared" si="126"/>
        <v>29941179.23932796</v>
      </c>
      <c r="U254" s="118">
        <f t="shared" si="126"/>
        <v>29116044.262908634</v>
      </c>
      <c r="V254" s="118">
        <f t="shared" si="126"/>
        <v>28176992.601592835</v>
      </c>
      <c r="W254" s="118">
        <f t="shared" si="126"/>
        <v>0</v>
      </c>
      <c r="X254" s="118">
        <f t="shared" si="126"/>
        <v>0</v>
      </c>
      <c r="Y254" s="118">
        <f t="shared" si="126"/>
        <v>0</v>
      </c>
      <c r="Z254" s="118">
        <f t="shared" si="126"/>
        <v>0</v>
      </c>
      <c r="AA254" s="118">
        <f t="shared" si="126"/>
        <v>0</v>
      </c>
      <c r="AB254" s="118">
        <f t="shared" si="126"/>
        <v>0</v>
      </c>
      <c r="AC254" s="118">
        <f t="shared" si="126"/>
        <v>0</v>
      </c>
      <c r="AD254" s="118">
        <f t="shared" si="126"/>
        <v>0</v>
      </c>
      <c r="AE254" s="118">
        <f t="shared" si="126"/>
        <v>0</v>
      </c>
      <c r="AF254" s="118">
        <f t="shared" si="126"/>
        <v>0</v>
      </c>
      <c r="AG254" s="118">
        <f t="shared" si="126"/>
        <v>0</v>
      </c>
      <c r="AH254" s="118">
        <f t="shared" si="126"/>
        <v>0</v>
      </c>
      <c r="AI254" s="118">
        <f t="shared" si="126"/>
        <v>0</v>
      </c>
      <c r="AJ254" s="118">
        <f t="shared" si="126"/>
        <v>0</v>
      </c>
      <c r="AK254" s="118"/>
      <c r="AL254" s="118"/>
      <c r="AM254" s="118"/>
      <c r="AN254" s="118"/>
      <c r="AO254" s="118"/>
      <c r="AP254" s="118"/>
      <c r="AQ254" s="118"/>
      <c r="AR254" s="118"/>
      <c r="AS254" s="118"/>
      <c r="AT254" s="118"/>
      <c r="AU254" s="118"/>
      <c r="AV254" s="118"/>
      <c r="AW254" s="118"/>
      <c r="AX254" s="118"/>
      <c r="AY254" s="118"/>
      <c r="AZ254" s="118"/>
      <c r="BA254" s="118"/>
      <c r="BB254" s="118"/>
      <c r="BC254" s="118"/>
      <c r="BD254" s="118"/>
      <c r="BE254" s="118"/>
      <c r="BF254" s="118"/>
      <c r="BG254" s="118"/>
      <c r="BH254" s="118"/>
      <c r="BI254" s="118"/>
      <c r="BJ254" s="119"/>
      <c r="BK254" s="118"/>
      <c r="BL254" s="118"/>
    </row>
    <row r="255" spans="1:64" s="143" customFormat="1" ht="12.75">
      <c r="A255" s="138" t="s">
        <v>126</v>
      </c>
      <c r="B255" s="139">
        <f>SUM(C255:BJ255)</f>
        <v>17960831.676065028</v>
      </c>
      <c r="C255" s="140">
        <f>C198*(1+$G169)^(C170-1)</f>
        <v>0</v>
      </c>
      <c r="D255" s="141">
        <f t="shared" ref="D255:BJ255" si="127">D198*(1+$G169)^(D170-1)</f>
        <v>0</v>
      </c>
      <c r="E255" s="141">
        <f t="shared" si="127"/>
        <v>981780.17432774196</v>
      </c>
      <c r="F255" s="141">
        <f t="shared" si="127"/>
        <v>1009706.3659530644</v>
      </c>
      <c r="G255" s="141">
        <f t="shared" si="127"/>
        <v>1026496.9886677897</v>
      </c>
      <c r="H255" s="141">
        <f t="shared" si="127"/>
        <v>1030744.5624140014</v>
      </c>
      <c r="I255" s="141">
        <f t="shared" si="127"/>
        <v>1033689.5468780415</v>
      </c>
      <c r="J255" s="141">
        <f t="shared" si="127"/>
        <v>1035220.9387993421</v>
      </c>
      <c r="K255" s="141">
        <f t="shared" si="127"/>
        <v>1035220.9387993423</v>
      </c>
      <c r="L255" s="141">
        <f t="shared" si="127"/>
        <v>1033564.5852972635</v>
      </c>
      <c r="M255" s="141">
        <f t="shared" si="127"/>
        <v>1030119.3700129393</v>
      </c>
      <c r="N255" s="141">
        <f t="shared" si="127"/>
        <v>1024744.8341693934</v>
      </c>
      <c r="O255" s="141">
        <f t="shared" si="127"/>
        <v>1017292.1444663435</v>
      </c>
      <c r="P255" s="141">
        <f t="shared" si="127"/>
        <v>1007603.6478523783</v>
      </c>
      <c r="Q255" s="141">
        <f t="shared" si="127"/>
        <v>995512.4040781497</v>
      </c>
      <c r="R255" s="141">
        <f t="shared" si="127"/>
        <v>980841.69496541924</v>
      </c>
      <c r="S255" s="141">
        <f t="shared" si="127"/>
        <v>963404.50927714515</v>
      </c>
      <c r="T255" s="141">
        <f t="shared" si="127"/>
        <v>943003.00202186441</v>
      </c>
      <c r="U255" s="141">
        <f t="shared" si="127"/>
        <v>919427.92697131797</v>
      </c>
      <c r="V255" s="141">
        <f t="shared" si="127"/>
        <v>892458.04111349268</v>
      </c>
      <c r="W255" s="141">
        <f t="shared" si="127"/>
        <v>0</v>
      </c>
      <c r="X255" s="141">
        <f t="shared" si="127"/>
        <v>0</v>
      </c>
      <c r="Y255" s="141">
        <f t="shared" si="127"/>
        <v>0</v>
      </c>
      <c r="Z255" s="141">
        <f t="shared" si="127"/>
        <v>0</v>
      </c>
      <c r="AA255" s="141">
        <f t="shared" si="127"/>
        <v>0</v>
      </c>
      <c r="AB255" s="141">
        <f t="shared" si="127"/>
        <v>0</v>
      </c>
      <c r="AC255" s="141">
        <f t="shared" si="127"/>
        <v>0</v>
      </c>
      <c r="AD255" s="141">
        <f t="shared" si="127"/>
        <v>0</v>
      </c>
      <c r="AE255" s="141">
        <f t="shared" si="127"/>
        <v>0</v>
      </c>
      <c r="AF255" s="141">
        <f t="shared" si="127"/>
        <v>0</v>
      </c>
      <c r="AG255" s="141">
        <f t="shared" si="127"/>
        <v>0</v>
      </c>
      <c r="AH255" s="141">
        <f t="shared" si="127"/>
        <v>0</v>
      </c>
      <c r="AI255" s="141">
        <f t="shared" si="127"/>
        <v>0</v>
      </c>
      <c r="AJ255" s="141">
        <f t="shared" si="127"/>
        <v>0</v>
      </c>
      <c r="AK255" s="141">
        <f t="shared" si="127"/>
        <v>0</v>
      </c>
      <c r="AL255" s="141">
        <f t="shared" si="127"/>
        <v>0</v>
      </c>
      <c r="AM255" s="141">
        <f t="shared" si="127"/>
        <v>0</v>
      </c>
      <c r="AN255" s="141">
        <f t="shared" si="127"/>
        <v>0</v>
      </c>
      <c r="AO255" s="141">
        <f t="shared" si="127"/>
        <v>0</v>
      </c>
      <c r="AP255" s="141">
        <f t="shared" si="127"/>
        <v>0</v>
      </c>
      <c r="AQ255" s="141">
        <f t="shared" si="127"/>
        <v>0</v>
      </c>
      <c r="AR255" s="141">
        <f t="shared" si="127"/>
        <v>0</v>
      </c>
      <c r="AS255" s="141">
        <f t="shared" si="127"/>
        <v>0</v>
      </c>
      <c r="AT255" s="141">
        <f t="shared" si="127"/>
        <v>0</v>
      </c>
      <c r="AU255" s="141">
        <f t="shared" si="127"/>
        <v>0</v>
      </c>
      <c r="AV255" s="141">
        <f t="shared" si="127"/>
        <v>0</v>
      </c>
      <c r="AW255" s="141">
        <f t="shared" si="127"/>
        <v>0</v>
      </c>
      <c r="AX255" s="141">
        <f t="shared" si="127"/>
        <v>0</v>
      </c>
      <c r="AY255" s="141">
        <f t="shared" si="127"/>
        <v>0</v>
      </c>
      <c r="AZ255" s="141">
        <f t="shared" si="127"/>
        <v>0</v>
      </c>
      <c r="BA255" s="141">
        <f t="shared" si="127"/>
        <v>0</v>
      </c>
      <c r="BB255" s="141">
        <f t="shared" si="127"/>
        <v>0</v>
      </c>
      <c r="BC255" s="141">
        <f t="shared" si="127"/>
        <v>0</v>
      </c>
      <c r="BD255" s="141">
        <f t="shared" si="127"/>
        <v>0</v>
      </c>
      <c r="BE255" s="141">
        <f t="shared" si="127"/>
        <v>0</v>
      </c>
      <c r="BF255" s="141">
        <f t="shared" si="127"/>
        <v>0</v>
      </c>
      <c r="BG255" s="141">
        <f t="shared" si="127"/>
        <v>0</v>
      </c>
      <c r="BH255" s="141">
        <f t="shared" si="127"/>
        <v>0</v>
      </c>
      <c r="BI255" s="141">
        <f t="shared" si="127"/>
        <v>0</v>
      </c>
      <c r="BJ255" s="142">
        <f t="shared" si="127"/>
        <v>0</v>
      </c>
      <c r="BK255" s="141"/>
      <c r="BL255" s="141"/>
    </row>
    <row r="256" spans="1:64" s="143" customFormat="1" ht="12.75">
      <c r="A256" s="138" t="s">
        <v>127</v>
      </c>
      <c r="B256" s="139">
        <f>SUM(C256:BJ256)</f>
        <v>237443403.91636702</v>
      </c>
      <c r="C256" s="140">
        <f>C199*(1+$G169)^(C170-1)</f>
        <v>0</v>
      </c>
      <c r="D256" s="141">
        <f t="shared" ref="D256:BJ256" si="128">D199*(1+$G169)^(D170-1)</f>
        <v>0</v>
      </c>
      <c r="E256" s="141">
        <f t="shared" si="128"/>
        <v>12979200.000000002</v>
      </c>
      <c r="F256" s="141">
        <f t="shared" si="128"/>
        <v>13348386.133333337</v>
      </c>
      <c r="G256" s="141">
        <f t="shared" si="128"/>
        <v>13570359.296000002</v>
      </c>
      <c r="H256" s="141">
        <f t="shared" si="128"/>
        <v>13626512.506880004</v>
      </c>
      <c r="I256" s="141">
        <f t="shared" si="128"/>
        <v>13665445.399756804</v>
      </c>
      <c r="J256" s="141">
        <f t="shared" si="128"/>
        <v>13685690.50405274</v>
      </c>
      <c r="K256" s="141">
        <f t="shared" si="128"/>
        <v>13685690.504052741</v>
      </c>
      <c r="L256" s="141">
        <f t="shared" si="128"/>
        <v>13663793.399246259</v>
      </c>
      <c r="M256" s="141">
        <f t="shared" si="128"/>
        <v>13618247.421248769</v>
      </c>
      <c r="N256" s="141">
        <f t="shared" si="128"/>
        <v>13547195.695572689</v>
      </c>
      <c r="O256" s="141">
        <f t="shared" si="128"/>
        <v>13448670.635968527</v>
      </c>
      <c r="P256" s="141">
        <f t="shared" si="128"/>
        <v>13320588.058483113</v>
      </c>
      <c r="Q256" s="141">
        <f t="shared" si="128"/>
        <v>13160741.001781315</v>
      </c>
      <c r="R256" s="141">
        <f t="shared" si="128"/>
        <v>12966793.239649801</v>
      </c>
      <c r="S256" s="141">
        <f t="shared" si="128"/>
        <v>12736272.470944917</v>
      </c>
      <c r="T256" s="141">
        <f t="shared" si="128"/>
        <v>12466563.171560202</v>
      </c>
      <c r="U256" s="141">
        <f t="shared" si="128"/>
        <v>12154899.092271198</v>
      </c>
      <c r="V256" s="141">
        <f t="shared" si="128"/>
        <v>11798355.385564577</v>
      </c>
      <c r="W256" s="141">
        <f t="shared" si="128"/>
        <v>0</v>
      </c>
      <c r="X256" s="141">
        <f t="shared" si="128"/>
        <v>0</v>
      </c>
      <c r="Y256" s="141">
        <f t="shared" si="128"/>
        <v>0</v>
      </c>
      <c r="Z256" s="141">
        <f t="shared" si="128"/>
        <v>0</v>
      </c>
      <c r="AA256" s="141">
        <f t="shared" si="128"/>
        <v>0</v>
      </c>
      <c r="AB256" s="141">
        <f t="shared" si="128"/>
        <v>0</v>
      </c>
      <c r="AC256" s="141">
        <f t="shared" si="128"/>
        <v>0</v>
      </c>
      <c r="AD256" s="141">
        <f t="shared" si="128"/>
        <v>0</v>
      </c>
      <c r="AE256" s="141">
        <f t="shared" si="128"/>
        <v>0</v>
      </c>
      <c r="AF256" s="141">
        <f t="shared" si="128"/>
        <v>0</v>
      </c>
      <c r="AG256" s="141">
        <f t="shared" si="128"/>
        <v>0</v>
      </c>
      <c r="AH256" s="141">
        <f t="shared" si="128"/>
        <v>0</v>
      </c>
      <c r="AI256" s="141">
        <f t="shared" si="128"/>
        <v>0</v>
      </c>
      <c r="AJ256" s="141">
        <f t="shared" si="128"/>
        <v>0</v>
      </c>
      <c r="AK256" s="141">
        <f t="shared" si="128"/>
        <v>0</v>
      </c>
      <c r="AL256" s="141">
        <f t="shared" si="128"/>
        <v>0</v>
      </c>
      <c r="AM256" s="141">
        <f t="shared" si="128"/>
        <v>0</v>
      </c>
      <c r="AN256" s="141">
        <f t="shared" si="128"/>
        <v>0</v>
      </c>
      <c r="AO256" s="141">
        <f t="shared" si="128"/>
        <v>0</v>
      </c>
      <c r="AP256" s="141">
        <f t="shared" si="128"/>
        <v>0</v>
      </c>
      <c r="AQ256" s="141">
        <f t="shared" si="128"/>
        <v>0</v>
      </c>
      <c r="AR256" s="141">
        <f t="shared" si="128"/>
        <v>0</v>
      </c>
      <c r="AS256" s="141">
        <f t="shared" si="128"/>
        <v>0</v>
      </c>
      <c r="AT256" s="141">
        <f t="shared" si="128"/>
        <v>0</v>
      </c>
      <c r="AU256" s="141">
        <f t="shared" si="128"/>
        <v>0</v>
      </c>
      <c r="AV256" s="141">
        <f t="shared" si="128"/>
        <v>0</v>
      </c>
      <c r="AW256" s="141">
        <f t="shared" si="128"/>
        <v>0</v>
      </c>
      <c r="AX256" s="141">
        <f t="shared" si="128"/>
        <v>0</v>
      </c>
      <c r="AY256" s="141">
        <f t="shared" si="128"/>
        <v>0</v>
      </c>
      <c r="AZ256" s="141">
        <f t="shared" si="128"/>
        <v>0</v>
      </c>
      <c r="BA256" s="141">
        <f t="shared" si="128"/>
        <v>0</v>
      </c>
      <c r="BB256" s="141">
        <f t="shared" si="128"/>
        <v>0</v>
      </c>
      <c r="BC256" s="141">
        <f t="shared" si="128"/>
        <v>0</v>
      </c>
      <c r="BD256" s="141">
        <f t="shared" si="128"/>
        <v>0</v>
      </c>
      <c r="BE256" s="141">
        <f t="shared" si="128"/>
        <v>0</v>
      </c>
      <c r="BF256" s="141">
        <f t="shared" si="128"/>
        <v>0</v>
      </c>
      <c r="BG256" s="141">
        <f t="shared" si="128"/>
        <v>0</v>
      </c>
      <c r="BH256" s="141">
        <f t="shared" si="128"/>
        <v>0</v>
      </c>
      <c r="BI256" s="141">
        <f t="shared" si="128"/>
        <v>0</v>
      </c>
      <c r="BJ256" s="142">
        <f t="shared" si="128"/>
        <v>0</v>
      </c>
      <c r="BK256" s="141"/>
      <c r="BL256" s="141"/>
    </row>
    <row r="257" spans="1:64" s="143" customFormat="1" ht="12.75">
      <c r="A257" s="138" t="s">
        <v>128</v>
      </c>
      <c r="B257" s="139">
        <f>SUM(C257:BJ257)</f>
        <v>339230323.31195861</v>
      </c>
      <c r="C257" s="140">
        <f>C200*(1+$G169)^(C170-1)</f>
        <v>16219603.05428184</v>
      </c>
      <c r="D257" s="141">
        <f t="shared" ref="D257:BJ257" si="129">D200*(1+$G169)^(D170-1)</f>
        <v>16755931.261943428</v>
      </c>
      <c r="E257" s="141">
        <f t="shared" si="129"/>
        <v>17192260.210241016</v>
      </c>
      <c r="F257" s="141">
        <f t="shared" si="129"/>
        <v>17515053.667249627</v>
      </c>
      <c r="G257" s="141">
        <f t="shared" si="129"/>
        <v>17709665.374663513</v>
      </c>
      <c r="H257" s="141">
        <f t="shared" si="129"/>
        <v>17760264.418591123</v>
      </c>
      <c r="I257" s="141">
        <f t="shared" si="129"/>
        <v>17786575.921433479</v>
      </c>
      <c r="J257" s="141">
        <f t="shared" si="129"/>
        <v>17786575.921433475</v>
      </c>
      <c r="K257" s="141">
        <f t="shared" si="129"/>
        <v>17758117.399959184</v>
      </c>
      <c r="L257" s="141">
        <f t="shared" si="129"/>
        <v>17698923.675292656</v>
      </c>
      <c r="M257" s="141">
        <f t="shared" si="129"/>
        <v>17606581.464812864</v>
      </c>
      <c r="N257" s="141">
        <f t="shared" si="129"/>
        <v>17478533.599614222</v>
      </c>
      <c r="O257" s="141">
        <f t="shared" si="129"/>
        <v>17312071.374855995</v>
      </c>
      <c r="P257" s="141">
        <f t="shared" si="129"/>
        <v>17104326.51835772</v>
      </c>
      <c r="Q257" s="141">
        <f t="shared" si="129"/>
        <v>16852262.759139817</v>
      </c>
      <c r="R257" s="141">
        <f t="shared" si="129"/>
        <v>16552666.976755107</v>
      </c>
      <c r="S257" s="141">
        <f t="shared" si="129"/>
        <v>16202139.911364999</v>
      </c>
      <c r="T257" s="141">
        <f t="shared" si="129"/>
        <v>15797086.413580872</v>
      </c>
      <c r="U257" s="141">
        <f t="shared" si="129"/>
        <v>15333705.212115834</v>
      </c>
      <c r="V257" s="141">
        <f t="shared" si="129"/>
        <v>14807978.17627186</v>
      </c>
      <c r="W257" s="141">
        <f t="shared" si="129"/>
        <v>0</v>
      </c>
      <c r="X257" s="141">
        <f t="shared" si="129"/>
        <v>0</v>
      </c>
      <c r="Y257" s="141">
        <f t="shared" si="129"/>
        <v>0</v>
      </c>
      <c r="Z257" s="141">
        <f t="shared" si="129"/>
        <v>0</v>
      </c>
      <c r="AA257" s="141">
        <f t="shared" si="129"/>
        <v>0</v>
      </c>
      <c r="AB257" s="141">
        <f t="shared" si="129"/>
        <v>0</v>
      </c>
      <c r="AC257" s="141">
        <f t="shared" si="129"/>
        <v>0</v>
      </c>
      <c r="AD257" s="141">
        <f t="shared" si="129"/>
        <v>0</v>
      </c>
      <c r="AE257" s="141">
        <f t="shared" si="129"/>
        <v>0</v>
      </c>
      <c r="AF257" s="141">
        <f t="shared" si="129"/>
        <v>0</v>
      </c>
      <c r="AG257" s="141">
        <f t="shared" si="129"/>
        <v>0</v>
      </c>
      <c r="AH257" s="141">
        <f t="shared" si="129"/>
        <v>0</v>
      </c>
      <c r="AI257" s="141">
        <f t="shared" si="129"/>
        <v>0</v>
      </c>
      <c r="AJ257" s="141">
        <f t="shared" si="129"/>
        <v>0</v>
      </c>
      <c r="AK257" s="141">
        <f t="shared" si="129"/>
        <v>0</v>
      </c>
      <c r="AL257" s="141">
        <f t="shared" si="129"/>
        <v>0</v>
      </c>
      <c r="AM257" s="141">
        <f t="shared" si="129"/>
        <v>0</v>
      </c>
      <c r="AN257" s="141">
        <f t="shared" si="129"/>
        <v>0</v>
      </c>
      <c r="AO257" s="141">
        <f t="shared" si="129"/>
        <v>0</v>
      </c>
      <c r="AP257" s="141">
        <f t="shared" si="129"/>
        <v>0</v>
      </c>
      <c r="AQ257" s="141">
        <f t="shared" si="129"/>
        <v>0</v>
      </c>
      <c r="AR257" s="141">
        <f t="shared" si="129"/>
        <v>0</v>
      </c>
      <c r="AS257" s="141">
        <f t="shared" si="129"/>
        <v>0</v>
      </c>
      <c r="AT257" s="141">
        <f t="shared" si="129"/>
        <v>0</v>
      </c>
      <c r="AU257" s="141">
        <f t="shared" si="129"/>
        <v>0</v>
      </c>
      <c r="AV257" s="141">
        <f t="shared" si="129"/>
        <v>0</v>
      </c>
      <c r="AW257" s="141">
        <f t="shared" si="129"/>
        <v>0</v>
      </c>
      <c r="AX257" s="141">
        <f t="shared" si="129"/>
        <v>0</v>
      </c>
      <c r="AY257" s="141">
        <f t="shared" si="129"/>
        <v>0</v>
      </c>
      <c r="AZ257" s="141">
        <f t="shared" si="129"/>
        <v>0</v>
      </c>
      <c r="BA257" s="141">
        <f t="shared" si="129"/>
        <v>0</v>
      </c>
      <c r="BB257" s="141">
        <f t="shared" si="129"/>
        <v>0</v>
      </c>
      <c r="BC257" s="141">
        <f t="shared" si="129"/>
        <v>0</v>
      </c>
      <c r="BD257" s="141">
        <f t="shared" si="129"/>
        <v>0</v>
      </c>
      <c r="BE257" s="141">
        <f t="shared" si="129"/>
        <v>0</v>
      </c>
      <c r="BF257" s="141">
        <f t="shared" si="129"/>
        <v>0</v>
      </c>
      <c r="BG257" s="141">
        <f t="shared" si="129"/>
        <v>0</v>
      </c>
      <c r="BH257" s="141">
        <f t="shared" si="129"/>
        <v>0</v>
      </c>
      <c r="BI257" s="141">
        <f t="shared" si="129"/>
        <v>0</v>
      </c>
      <c r="BJ257" s="142">
        <f t="shared" si="129"/>
        <v>0</v>
      </c>
      <c r="BK257" s="141"/>
      <c r="BL257" s="141"/>
    </row>
    <row r="258" spans="1:64" s="143" customFormat="1" ht="12.75">
      <c r="A258" s="138" t="s">
        <v>129</v>
      </c>
      <c r="B258" s="139">
        <f>SUM(C258:BJ258)</f>
        <v>16312098.421010729</v>
      </c>
      <c r="C258" s="140">
        <f>C201*(1+$G169)^(C170-1)</f>
        <v>827750.48397056933</v>
      </c>
      <c r="D258" s="141">
        <f t="shared" ref="D258:BJ258" si="130">D201*(1+$G169)^(D170-1)</f>
        <v>851295.3866257323</v>
      </c>
      <c r="E258" s="141">
        <f t="shared" si="130"/>
        <v>855504.0379753426</v>
      </c>
      <c r="F258" s="141">
        <f t="shared" si="130"/>
        <v>858687.30881432048</v>
      </c>
      <c r="G258" s="141">
        <f t="shared" si="130"/>
        <v>860756.43485965626</v>
      </c>
      <c r="H258" s="141">
        <f t="shared" si="130"/>
        <v>861617.19129451609</v>
      </c>
      <c r="I258" s="141">
        <f t="shared" si="130"/>
        <v>861169.59794838901</v>
      </c>
      <c r="J258" s="141">
        <f t="shared" si="130"/>
        <v>859307.60962850042</v>
      </c>
      <c r="K258" s="141">
        <f t="shared" si="130"/>
        <v>855918.79088630353</v>
      </c>
      <c r="L258" s="141">
        <f t="shared" si="130"/>
        <v>850883.97446932527</v>
      </c>
      <c r="M258" s="141">
        <f t="shared" si="130"/>
        <v>844076.90267357056</v>
      </c>
      <c r="N258" s="141">
        <f t="shared" si="130"/>
        <v>835363.85077500471</v>
      </c>
      <c r="O258" s="141">
        <f t="shared" si="130"/>
        <v>824603.23168027587</v>
      </c>
      <c r="P258" s="141">
        <f t="shared" si="130"/>
        <v>811645.18089672853</v>
      </c>
      <c r="Q258" s="141">
        <f t="shared" si="130"/>
        <v>796331.12087980902</v>
      </c>
      <c r="R258" s="141">
        <f t="shared" si="130"/>
        <v>778493.30377210118</v>
      </c>
      <c r="S258" s="141">
        <f t="shared" si="130"/>
        <v>757954.33150236926</v>
      </c>
      <c r="T258" s="141">
        <f t="shared" si="130"/>
        <v>734526.65216502326</v>
      </c>
      <c r="U258" s="141">
        <f t="shared" si="130"/>
        <v>708012.03155028576</v>
      </c>
      <c r="V258" s="141">
        <f t="shared" si="130"/>
        <v>678200.99864290538</v>
      </c>
      <c r="W258" s="141">
        <f t="shared" si="130"/>
        <v>0</v>
      </c>
      <c r="X258" s="141">
        <f t="shared" si="130"/>
        <v>0</v>
      </c>
      <c r="Y258" s="141">
        <f t="shared" si="130"/>
        <v>0</v>
      </c>
      <c r="Z258" s="141">
        <f t="shared" si="130"/>
        <v>0</v>
      </c>
      <c r="AA258" s="141">
        <f t="shared" si="130"/>
        <v>0</v>
      </c>
      <c r="AB258" s="141">
        <f t="shared" si="130"/>
        <v>0</v>
      </c>
      <c r="AC258" s="141">
        <f t="shared" si="130"/>
        <v>0</v>
      </c>
      <c r="AD258" s="141">
        <f t="shared" si="130"/>
        <v>0</v>
      </c>
      <c r="AE258" s="141">
        <f t="shared" si="130"/>
        <v>0</v>
      </c>
      <c r="AF258" s="141">
        <f t="shared" si="130"/>
        <v>0</v>
      </c>
      <c r="AG258" s="141">
        <f t="shared" si="130"/>
        <v>0</v>
      </c>
      <c r="AH258" s="141">
        <f t="shared" si="130"/>
        <v>0</v>
      </c>
      <c r="AI258" s="141">
        <f t="shared" si="130"/>
        <v>0</v>
      </c>
      <c r="AJ258" s="141">
        <f t="shared" si="130"/>
        <v>0</v>
      </c>
      <c r="AK258" s="141">
        <f t="shared" si="130"/>
        <v>0</v>
      </c>
      <c r="AL258" s="141">
        <f t="shared" si="130"/>
        <v>0</v>
      </c>
      <c r="AM258" s="141">
        <f t="shared" si="130"/>
        <v>0</v>
      </c>
      <c r="AN258" s="141">
        <f t="shared" si="130"/>
        <v>0</v>
      </c>
      <c r="AO258" s="141">
        <f t="shared" si="130"/>
        <v>0</v>
      </c>
      <c r="AP258" s="141">
        <f t="shared" si="130"/>
        <v>0</v>
      </c>
      <c r="AQ258" s="141">
        <f t="shared" si="130"/>
        <v>0</v>
      </c>
      <c r="AR258" s="141">
        <f t="shared" si="130"/>
        <v>0</v>
      </c>
      <c r="AS258" s="141">
        <f t="shared" si="130"/>
        <v>0</v>
      </c>
      <c r="AT258" s="141">
        <f t="shared" si="130"/>
        <v>0</v>
      </c>
      <c r="AU258" s="141">
        <f t="shared" si="130"/>
        <v>0</v>
      </c>
      <c r="AV258" s="141">
        <f t="shared" si="130"/>
        <v>0</v>
      </c>
      <c r="AW258" s="141">
        <f t="shared" si="130"/>
        <v>0</v>
      </c>
      <c r="AX258" s="141">
        <f t="shared" si="130"/>
        <v>0</v>
      </c>
      <c r="AY258" s="141">
        <f t="shared" si="130"/>
        <v>0</v>
      </c>
      <c r="AZ258" s="141">
        <f t="shared" si="130"/>
        <v>0</v>
      </c>
      <c r="BA258" s="141">
        <f t="shared" si="130"/>
        <v>0</v>
      </c>
      <c r="BB258" s="141">
        <f t="shared" si="130"/>
        <v>0</v>
      </c>
      <c r="BC258" s="141">
        <f t="shared" si="130"/>
        <v>0</v>
      </c>
      <c r="BD258" s="141">
        <f t="shared" si="130"/>
        <v>0</v>
      </c>
      <c r="BE258" s="141">
        <f t="shared" si="130"/>
        <v>0</v>
      </c>
      <c r="BF258" s="141">
        <f t="shared" si="130"/>
        <v>0</v>
      </c>
      <c r="BG258" s="141">
        <f t="shared" si="130"/>
        <v>0</v>
      </c>
      <c r="BH258" s="141">
        <f t="shared" si="130"/>
        <v>0</v>
      </c>
      <c r="BI258" s="141">
        <f t="shared" si="130"/>
        <v>0</v>
      </c>
      <c r="BJ258" s="142">
        <f t="shared" si="130"/>
        <v>0</v>
      </c>
      <c r="BK258" s="141"/>
      <c r="BL258" s="141"/>
    </row>
    <row r="259" spans="1:64" s="116" customFormat="1">
      <c r="A259" s="111" t="s">
        <v>133</v>
      </c>
      <c r="B259" s="155">
        <f>SUM(B260:B263)</f>
        <v>272403546.81774133</v>
      </c>
      <c r="C259" s="117">
        <f>SUM(C260:C263)</f>
        <v>1173279.146282186</v>
      </c>
      <c r="D259" s="118">
        <f>SUM(D260:D263)</f>
        <v>2536071.7913035462</v>
      </c>
      <c r="E259" s="118">
        <f>SUM(E260:E263)</f>
        <v>5358276.1932261875</v>
      </c>
      <c r="F259" s="118">
        <f t="shared" ref="F259:AJ259" si="131">SUM(F260:F263)</f>
        <v>8402199.2324365526</v>
      </c>
      <c r="G259" s="118">
        <f t="shared" si="131"/>
        <v>11681062.872874588</v>
      </c>
      <c r="H259" s="118">
        <f t="shared" si="131"/>
        <v>12148305.387789572</v>
      </c>
      <c r="I259" s="118">
        <f t="shared" si="131"/>
        <v>12634237.603301156</v>
      </c>
      <c r="J259" s="118">
        <f t="shared" si="131"/>
        <v>13139607.1074332</v>
      </c>
      <c r="K259" s="118">
        <f t="shared" si="131"/>
        <v>13665191.39173053</v>
      </c>
      <c r="L259" s="118">
        <f t="shared" si="131"/>
        <v>14211799.047399752</v>
      </c>
      <c r="M259" s="118">
        <f t="shared" si="131"/>
        <v>14780271.009295741</v>
      </c>
      <c r="N259" s="118">
        <f t="shared" si="131"/>
        <v>15371481.849667571</v>
      </c>
      <c r="O259" s="118">
        <f t="shared" si="131"/>
        <v>15986341.123654278</v>
      </c>
      <c r="P259" s="118">
        <f t="shared" si="131"/>
        <v>16625794.768600449</v>
      </c>
      <c r="Q259" s="118">
        <f t="shared" si="131"/>
        <v>17290826.559344467</v>
      </c>
      <c r="R259" s="118">
        <f t="shared" si="131"/>
        <v>17982459.621718243</v>
      </c>
      <c r="S259" s="118">
        <f t="shared" si="131"/>
        <v>18701758.006586976</v>
      </c>
      <c r="T259" s="118">
        <f t="shared" si="131"/>
        <v>19449828.326850459</v>
      </c>
      <c r="U259" s="118">
        <f t="shared" si="131"/>
        <v>20227821.459924478</v>
      </c>
      <c r="V259" s="118">
        <f t="shared" si="131"/>
        <v>21036934.318321459</v>
      </c>
      <c r="W259" s="118">
        <f t="shared" si="131"/>
        <v>0</v>
      </c>
      <c r="X259" s="118">
        <f t="shared" si="131"/>
        <v>0</v>
      </c>
      <c r="Y259" s="118">
        <f t="shared" si="131"/>
        <v>0</v>
      </c>
      <c r="Z259" s="118">
        <f t="shared" si="131"/>
        <v>0</v>
      </c>
      <c r="AA259" s="118">
        <f t="shared" si="131"/>
        <v>0</v>
      </c>
      <c r="AB259" s="118">
        <f t="shared" si="131"/>
        <v>0</v>
      </c>
      <c r="AC259" s="118">
        <f t="shared" si="131"/>
        <v>0</v>
      </c>
      <c r="AD259" s="118">
        <f t="shared" si="131"/>
        <v>0</v>
      </c>
      <c r="AE259" s="118">
        <f t="shared" si="131"/>
        <v>0</v>
      </c>
      <c r="AF259" s="118">
        <f t="shared" si="131"/>
        <v>0</v>
      </c>
      <c r="AG259" s="118">
        <f t="shared" si="131"/>
        <v>0</v>
      </c>
      <c r="AH259" s="118">
        <f t="shared" si="131"/>
        <v>0</v>
      </c>
      <c r="AI259" s="118">
        <f t="shared" si="131"/>
        <v>0</v>
      </c>
      <c r="AJ259" s="118">
        <f t="shared" si="131"/>
        <v>0</v>
      </c>
      <c r="AK259" s="118"/>
      <c r="AL259" s="118"/>
      <c r="AM259" s="118"/>
      <c r="AN259" s="118"/>
      <c r="AO259" s="118"/>
      <c r="AP259" s="118"/>
      <c r="AQ259" s="118"/>
      <c r="AR259" s="118"/>
      <c r="AS259" s="118"/>
      <c r="AT259" s="118"/>
      <c r="AU259" s="118"/>
      <c r="AV259" s="118"/>
      <c r="AW259" s="118"/>
      <c r="AX259" s="118"/>
      <c r="AY259" s="118"/>
      <c r="AZ259" s="118"/>
      <c r="BA259" s="118"/>
      <c r="BB259" s="118"/>
      <c r="BC259" s="118"/>
      <c r="BD259" s="118"/>
      <c r="BE259" s="118"/>
      <c r="BF259" s="118"/>
      <c r="BG259" s="118"/>
      <c r="BH259" s="118"/>
      <c r="BI259" s="118"/>
      <c r="BJ259" s="119"/>
      <c r="BK259" s="118"/>
      <c r="BL259" s="118"/>
    </row>
    <row r="260" spans="1:64" s="143" customFormat="1" ht="12.75">
      <c r="A260" s="138" t="s">
        <v>126</v>
      </c>
      <c r="B260" s="139">
        <f t="shared" ref="B260:B266" si="132">SUM(C260:BJ260)</f>
        <v>8061095.7852543918</v>
      </c>
      <c r="C260" s="140">
        <f>C203*(1+$G169)^(C170-1)</f>
        <v>0</v>
      </c>
      <c r="D260" s="141">
        <f>D203*(1+$G169)^(D170-1)</f>
        <v>0</v>
      </c>
      <c r="E260" s="141">
        <f t="shared" ref="E260:BJ260" si="133">E203*(1+$G169)^(E170-1)</f>
        <v>109086.68603641578</v>
      </c>
      <c r="F260" s="141">
        <f t="shared" si="133"/>
        <v>226900.3069557448</v>
      </c>
      <c r="G260" s="141">
        <f t="shared" si="133"/>
        <v>353964.4788509619</v>
      </c>
      <c r="H260" s="141">
        <f t="shared" si="133"/>
        <v>368123.05800500041</v>
      </c>
      <c r="I260" s="141">
        <f t="shared" si="133"/>
        <v>382847.98032520042</v>
      </c>
      <c r="J260" s="141">
        <f t="shared" si="133"/>
        <v>398161.89953820844</v>
      </c>
      <c r="K260" s="141">
        <f t="shared" si="133"/>
        <v>414088.37551973684</v>
      </c>
      <c r="L260" s="141">
        <f t="shared" si="133"/>
        <v>430651.91054052633</v>
      </c>
      <c r="M260" s="141">
        <f t="shared" si="133"/>
        <v>447877.98696214741</v>
      </c>
      <c r="N260" s="141">
        <f t="shared" si="133"/>
        <v>465793.10644063324</v>
      </c>
      <c r="O260" s="141">
        <f t="shared" si="133"/>
        <v>484424.83069825865</v>
      </c>
      <c r="P260" s="141">
        <f t="shared" si="133"/>
        <v>503801.82392618904</v>
      </c>
      <c r="Q260" s="141">
        <f t="shared" si="133"/>
        <v>523953.89688323659</v>
      </c>
      <c r="R260" s="141">
        <f t="shared" si="133"/>
        <v>544912.05275856599</v>
      </c>
      <c r="S260" s="141">
        <f t="shared" si="133"/>
        <v>566708.53486890881</v>
      </c>
      <c r="T260" s="141">
        <f t="shared" si="133"/>
        <v>589376.87626366515</v>
      </c>
      <c r="U260" s="141">
        <f t="shared" si="133"/>
        <v>612951.95131421182</v>
      </c>
      <c r="V260" s="141">
        <f t="shared" si="133"/>
        <v>637470.02936678031</v>
      </c>
      <c r="W260" s="141">
        <f t="shared" si="133"/>
        <v>0</v>
      </c>
      <c r="X260" s="141">
        <f t="shared" si="133"/>
        <v>0</v>
      </c>
      <c r="Y260" s="141">
        <f t="shared" si="133"/>
        <v>0</v>
      </c>
      <c r="Z260" s="141">
        <f t="shared" si="133"/>
        <v>0</v>
      </c>
      <c r="AA260" s="141">
        <f t="shared" si="133"/>
        <v>0</v>
      </c>
      <c r="AB260" s="141">
        <f t="shared" si="133"/>
        <v>0</v>
      </c>
      <c r="AC260" s="141">
        <f t="shared" si="133"/>
        <v>0</v>
      </c>
      <c r="AD260" s="141">
        <f t="shared" si="133"/>
        <v>0</v>
      </c>
      <c r="AE260" s="141">
        <f t="shared" si="133"/>
        <v>0</v>
      </c>
      <c r="AF260" s="141">
        <f t="shared" si="133"/>
        <v>0</v>
      </c>
      <c r="AG260" s="141">
        <f t="shared" si="133"/>
        <v>0</v>
      </c>
      <c r="AH260" s="141">
        <f t="shared" si="133"/>
        <v>0</v>
      </c>
      <c r="AI260" s="141">
        <f t="shared" si="133"/>
        <v>0</v>
      </c>
      <c r="AJ260" s="141">
        <f t="shared" si="133"/>
        <v>0</v>
      </c>
      <c r="AK260" s="141">
        <f t="shared" si="133"/>
        <v>0</v>
      </c>
      <c r="AL260" s="141">
        <f t="shared" si="133"/>
        <v>0</v>
      </c>
      <c r="AM260" s="141">
        <f t="shared" si="133"/>
        <v>0</v>
      </c>
      <c r="AN260" s="141">
        <f t="shared" si="133"/>
        <v>0</v>
      </c>
      <c r="AO260" s="141">
        <f t="shared" si="133"/>
        <v>0</v>
      </c>
      <c r="AP260" s="141">
        <f t="shared" si="133"/>
        <v>0</v>
      </c>
      <c r="AQ260" s="141">
        <f t="shared" si="133"/>
        <v>0</v>
      </c>
      <c r="AR260" s="141">
        <f t="shared" si="133"/>
        <v>0</v>
      </c>
      <c r="AS260" s="141">
        <f t="shared" si="133"/>
        <v>0</v>
      </c>
      <c r="AT260" s="141">
        <f t="shared" si="133"/>
        <v>0</v>
      </c>
      <c r="AU260" s="141">
        <f t="shared" si="133"/>
        <v>0</v>
      </c>
      <c r="AV260" s="141">
        <f t="shared" si="133"/>
        <v>0</v>
      </c>
      <c r="AW260" s="141">
        <f t="shared" si="133"/>
        <v>0</v>
      </c>
      <c r="AX260" s="141">
        <f t="shared" si="133"/>
        <v>0</v>
      </c>
      <c r="AY260" s="141">
        <f t="shared" si="133"/>
        <v>0</v>
      </c>
      <c r="AZ260" s="141">
        <f t="shared" si="133"/>
        <v>0</v>
      </c>
      <c r="BA260" s="141">
        <f t="shared" si="133"/>
        <v>0</v>
      </c>
      <c r="BB260" s="141">
        <f t="shared" si="133"/>
        <v>0</v>
      </c>
      <c r="BC260" s="141">
        <f t="shared" si="133"/>
        <v>0</v>
      </c>
      <c r="BD260" s="141">
        <f t="shared" si="133"/>
        <v>0</v>
      </c>
      <c r="BE260" s="141">
        <f t="shared" si="133"/>
        <v>0</v>
      </c>
      <c r="BF260" s="141">
        <f t="shared" si="133"/>
        <v>0</v>
      </c>
      <c r="BG260" s="141">
        <f t="shared" si="133"/>
        <v>0</v>
      </c>
      <c r="BH260" s="141">
        <f t="shared" si="133"/>
        <v>0</v>
      </c>
      <c r="BI260" s="141">
        <f t="shared" si="133"/>
        <v>0</v>
      </c>
      <c r="BJ260" s="142">
        <f t="shared" si="133"/>
        <v>0</v>
      </c>
      <c r="BK260" s="141"/>
      <c r="BL260" s="141"/>
    </row>
    <row r="261" spans="1:64" s="143" customFormat="1" ht="12.75">
      <c r="A261" s="138" t="s">
        <v>127</v>
      </c>
      <c r="B261" s="139">
        <f t="shared" si="132"/>
        <v>106568228.97000864</v>
      </c>
      <c r="C261" s="140">
        <f>C204*(1+$G169)^(C170-1)</f>
        <v>0</v>
      </c>
      <c r="D261" s="141">
        <f>D204*(1+$G169)^(D170-1)</f>
        <v>0</v>
      </c>
      <c r="E261" s="141">
        <f t="shared" ref="E261:BJ261" si="134">E204*(1+$G169)^(E170-1)</f>
        <v>1442133.3333333335</v>
      </c>
      <c r="F261" s="141">
        <f t="shared" si="134"/>
        <v>2999637.3333333335</v>
      </c>
      <c r="G261" s="141">
        <f t="shared" si="134"/>
        <v>4679434.2400000012</v>
      </c>
      <c r="H261" s="141">
        <f t="shared" si="134"/>
        <v>4866611.609600001</v>
      </c>
      <c r="I261" s="141">
        <f t="shared" si="134"/>
        <v>5061276.0739840018</v>
      </c>
      <c r="J261" s="141">
        <f t="shared" si="134"/>
        <v>5263727.1169433612</v>
      </c>
      <c r="K261" s="141">
        <f t="shared" si="134"/>
        <v>5474276.2016210966</v>
      </c>
      <c r="L261" s="141">
        <f t="shared" si="134"/>
        <v>5693247.2496859403</v>
      </c>
      <c r="M261" s="141">
        <f t="shared" si="134"/>
        <v>5920977.1396733783</v>
      </c>
      <c r="N261" s="141">
        <f t="shared" si="134"/>
        <v>6157816.2252603127</v>
      </c>
      <c r="O261" s="141">
        <f t="shared" si="134"/>
        <v>6404128.8742707269</v>
      </c>
      <c r="P261" s="141">
        <f t="shared" si="134"/>
        <v>6660294.0292415563</v>
      </c>
      <c r="Q261" s="141">
        <f t="shared" si="134"/>
        <v>6926705.7904112181</v>
      </c>
      <c r="R261" s="141">
        <f t="shared" si="134"/>
        <v>7203774.0220276667</v>
      </c>
      <c r="S261" s="141">
        <f t="shared" si="134"/>
        <v>7491924.9829087751</v>
      </c>
      <c r="T261" s="141">
        <f t="shared" si="134"/>
        <v>7791601.9822251266</v>
      </c>
      <c r="U261" s="141">
        <f t="shared" si="134"/>
        <v>8103266.0615141317</v>
      </c>
      <c r="V261" s="141">
        <f t="shared" si="134"/>
        <v>8427396.7039746977</v>
      </c>
      <c r="W261" s="141">
        <f t="shared" si="134"/>
        <v>0</v>
      </c>
      <c r="X261" s="141">
        <f t="shared" si="134"/>
        <v>0</v>
      </c>
      <c r="Y261" s="141">
        <f t="shared" si="134"/>
        <v>0</v>
      </c>
      <c r="Z261" s="141">
        <f t="shared" si="134"/>
        <v>0</v>
      </c>
      <c r="AA261" s="141">
        <f t="shared" si="134"/>
        <v>0</v>
      </c>
      <c r="AB261" s="141">
        <f t="shared" si="134"/>
        <v>0</v>
      </c>
      <c r="AC261" s="141">
        <f t="shared" si="134"/>
        <v>0</v>
      </c>
      <c r="AD261" s="141">
        <f t="shared" si="134"/>
        <v>0</v>
      </c>
      <c r="AE261" s="141">
        <f t="shared" si="134"/>
        <v>0</v>
      </c>
      <c r="AF261" s="141">
        <f t="shared" si="134"/>
        <v>0</v>
      </c>
      <c r="AG261" s="141">
        <f t="shared" si="134"/>
        <v>0</v>
      </c>
      <c r="AH261" s="141">
        <f t="shared" si="134"/>
        <v>0</v>
      </c>
      <c r="AI261" s="141">
        <f t="shared" si="134"/>
        <v>0</v>
      </c>
      <c r="AJ261" s="141">
        <f t="shared" si="134"/>
        <v>0</v>
      </c>
      <c r="AK261" s="141">
        <f t="shared" si="134"/>
        <v>0</v>
      </c>
      <c r="AL261" s="141">
        <f t="shared" si="134"/>
        <v>0</v>
      </c>
      <c r="AM261" s="141">
        <f t="shared" si="134"/>
        <v>0</v>
      </c>
      <c r="AN261" s="141">
        <f t="shared" si="134"/>
        <v>0</v>
      </c>
      <c r="AO261" s="141">
        <f t="shared" si="134"/>
        <v>0</v>
      </c>
      <c r="AP261" s="141">
        <f t="shared" si="134"/>
        <v>0</v>
      </c>
      <c r="AQ261" s="141">
        <f t="shared" si="134"/>
        <v>0</v>
      </c>
      <c r="AR261" s="141">
        <f t="shared" si="134"/>
        <v>0</v>
      </c>
      <c r="AS261" s="141">
        <f t="shared" si="134"/>
        <v>0</v>
      </c>
      <c r="AT261" s="141">
        <f t="shared" si="134"/>
        <v>0</v>
      </c>
      <c r="AU261" s="141">
        <f t="shared" si="134"/>
        <v>0</v>
      </c>
      <c r="AV261" s="141">
        <f t="shared" si="134"/>
        <v>0</v>
      </c>
      <c r="AW261" s="141">
        <f t="shared" si="134"/>
        <v>0</v>
      </c>
      <c r="AX261" s="141">
        <f t="shared" si="134"/>
        <v>0</v>
      </c>
      <c r="AY261" s="141">
        <f t="shared" si="134"/>
        <v>0</v>
      </c>
      <c r="AZ261" s="141">
        <f t="shared" si="134"/>
        <v>0</v>
      </c>
      <c r="BA261" s="141">
        <f t="shared" si="134"/>
        <v>0</v>
      </c>
      <c r="BB261" s="141">
        <f t="shared" si="134"/>
        <v>0</v>
      </c>
      <c r="BC261" s="141">
        <f t="shared" si="134"/>
        <v>0</v>
      </c>
      <c r="BD261" s="141">
        <f t="shared" si="134"/>
        <v>0</v>
      </c>
      <c r="BE261" s="141">
        <f t="shared" si="134"/>
        <v>0</v>
      </c>
      <c r="BF261" s="141">
        <f t="shared" si="134"/>
        <v>0</v>
      </c>
      <c r="BG261" s="141">
        <f t="shared" si="134"/>
        <v>0</v>
      </c>
      <c r="BH261" s="141">
        <f t="shared" si="134"/>
        <v>0</v>
      </c>
      <c r="BI261" s="141">
        <f t="shared" si="134"/>
        <v>0</v>
      </c>
      <c r="BJ261" s="142">
        <f t="shared" si="134"/>
        <v>0</v>
      </c>
      <c r="BK261" s="141"/>
      <c r="BL261" s="141"/>
    </row>
    <row r="262" spans="1:64" s="143" customFormat="1" ht="12.75">
      <c r="A262" s="138" t="s">
        <v>128</v>
      </c>
      <c r="B262" s="139">
        <f t="shared" si="132"/>
        <v>149741893.63018462</v>
      </c>
      <c r="C262" s="140">
        <f>C205*(1+$G169)^(C170-1)</f>
        <v>1081306.8702854561</v>
      </c>
      <c r="D262" s="141">
        <f>D205*(1+$G169)^(D170-1)</f>
        <v>2249118.2901937487</v>
      </c>
      <c r="E262" s="141">
        <f t="shared" ref="E262:BJ262" si="135">E205*(1+$G169)^(E170-1)</f>
        <v>3508624.5327022481</v>
      </c>
      <c r="F262" s="141">
        <f t="shared" si="135"/>
        <v>4865292.6853471175</v>
      </c>
      <c r="G262" s="141">
        <f t="shared" si="135"/>
        <v>6324880.4909512531</v>
      </c>
      <c r="H262" s="141">
        <f t="shared" si="135"/>
        <v>6577875.7105893036</v>
      </c>
      <c r="I262" s="141">
        <f t="shared" si="135"/>
        <v>6840990.7390128765</v>
      </c>
      <c r="J262" s="141">
        <f t="shared" si="135"/>
        <v>7114630.3685733909</v>
      </c>
      <c r="K262" s="141">
        <f t="shared" si="135"/>
        <v>7399215.583316328</v>
      </c>
      <c r="L262" s="141">
        <f t="shared" si="135"/>
        <v>7695184.2066489812</v>
      </c>
      <c r="M262" s="141">
        <f t="shared" si="135"/>
        <v>8002991.5749149406</v>
      </c>
      <c r="N262" s="141">
        <f t="shared" si="135"/>
        <v>8323111.2379115373</v>
      </c>
      <c r="O262" s="141">
        <f t="shared" si="135"/>
        <v>8656035.6874280013</v>
      </c>
      <c r="P262" s="141">
        <f t="shared" si="135"/>
        <v>9002277.1149251219</v>
      </c>
      <c r="Q262" s="141">
        <f t="shared" si="135"/>
        <v>9362368.1995221265</v>
      </c>
      <c r="R262" s="141">
        <f t="shared" si="135"/>
        <v>9736862.9275030103</v>
      </c>
      <c r="S262" s="141">
        <f t="shared" si="135"/>
        <v>10126337.444603132</v>
      </c>
      <c r="T262" s="141">
        <f t="shared" si="135"/>
        <v>10531390.942387259</v>
      </c>
      <c r="U262" s="141">
        <f t="shared" si="135"/>
        <v>10952646.58008275</v>
      </c>
      <c r="V262" s="141">
        <f t="shared" si="135"/>
        <v>11390752.443286059</v>
      </c>
      <c r="W262" s="141">
        <f t="shared" si="135"/>
        <v>0</v>
      </c>
      <c r="X262" s="141">
        <f t="shared" si="135"/>
        <v>0</v>
      </c>
      <c r="Y262" s="141">
        <f t="shared" si="135"/>
        <v>0</v>
      </c>
      <c r="Z262" s="141">
        <f t="shared" si="135"/>
        <v>0</v>
      </c>
      <c r="AA262" s="141">
        <f t="shared" si="135"/>
        <v>0</v>
      </c>
      <c r="AB262" s="141">
        <f t="shared" si="135"/>
        <v>0</v>
      </c>
      <c r="AC262" s="141">
        <f t="shared" si="135"/>
        <v>0</v>
      </c>
      <c r="AD262" s="141">
        <f t="shared" si="135"/>
        <v>0</v>
      </c>
      <c r="AE262" s="141">
        <f t="shared" si="135"/>
        <v>0</v>
      </c>
      <c r="AF262" s="141">
        <f t="shared" si="135"/>
        <v>0</v>
      </c>
      <c r="AG262" s="141">
        <f t="shared" si="135"/>
        <v>0</v>
      </c>
      <c r="AH262" s="141">
        <f t="shared" si="135"/>
        <v>0</v>
      </c>
      <c r="AI262" s="141">
        <f t="shared" si="135"/>
        <v>0</v>
      </c>
      <c r="AJ262" s="141">
        <f t="shared" si="135"/>
        <v>0</v>
      </c>
      <c r="AK262" s="141">
        <f t="shared" si="135"/>
        <v>0</v>
      </c>
      <c r="AL262" s="141">
        <f t="shared" si="135"/>
        <v>0</v>
      </c>
      <c r="AM262" s="141">
        <f t="shared" si="135"/>
        <v>0</v>
      </c>
      <c r="AN262" s="141">
        <f t="shared" si="135"/>
        <v>0</v>
      </c>
      <c r="AO262" s="141">
        <f t="shared" si="135"/>
        <v>0</v>
      </c>
      <c r="AP262" s="141">
        <f t="shared" si="135"/>
        <v>0</v>
      </c>
      <c r="AQ262" s="141">
        <f t="shared" si="135"/>
        <v>0</v>
      </c>
      <c r="AR262" s="141">
        <f t="shared" si="135"/>
        <v>0</v>
      </c>
      <c r="AS262" s="141">
        <f t="shared" si="135"/>
        <v>0</v>
      </c>
      <c r="AT262" s="141">
        <f t="shared" si="135"/>
        <v>0</v>
      </c>
      <c r="AU262" s="141">
        <f t="shared" si="135"/>
        <v>0</v>
      </c>
      <c r="AV262" s="141">
        <f t="shared" si="135"/>
        <v>0</v>
      </c>
      <c r="AW262" s="141">
        <f t="shared" si="135"/>
        <v>0</v>
      </c>
      <c r="AX262" s="141">
        <f t="shared" si="135"/>
        <v>0</v>
      </c>
      <c r="AY262" s="141">
        <f t="shared" si="135"/>
        <v>0</v>
      </c>
      <c r="AZ262" s="141">
        <f t="shared" si="135"/>
        <v>0</v>
      </c>
      <c r="BA262" s="141">
        <f t="shared" si="135"/>
        <v>0</v>
      </c>
      <c r="BB262" s="141">
        <f t="shared" si="135"/>
        <v>0</v>
      </c>
      <c r="BC262" s="141">
        <f t="shared" si="135"/>
        <v>0</v>
      </c>
      <c r="BD262" s="141">
        <f t="shared" si="135"/>
        <v>0</v>
      </c>
      <c r="BE262" s="141">
        <f t="shared" si="135"/>
        <v>0</v>
      </c>
      <c r="BF262" s="141">
        <f t="shared" si="135"/>
        <v>0</v>
      </c>
      <c r="BG262" s="141">
        <f t="shared" si="135"/>
        <v>0</v>
      </c>
      <c r="BH262" s="141">
        <f t="shared" si="135"/>
        <v>0</v>
      </c>
      <c r="BI262" s="141">
        <f t="shared" si="135"/>
        <v>0</v>
      </c>
      <c r="BJ262" s="142">
        <f t="shared" si="135"/>
        <v>0</v>
      </c>
      <c r="BK262" s="141"/>
      <c r="BL262" s="141"/>
    </row>
    <row r="263" spans="1:64" s="143" customFormat="1" ht="12.75">
      <c r="A263" s="138" t="s">
        <v>129</v>
      </c>
      <c r="B263" s="139">
        <f t="shared" si="132"/>
        <v>8032328.4322936991</v>
      </c>
      <c r="C263" s="213">
        <f>C206*(1+$G169)^(C170-1)</f>
        <v>91972.275996729921</v>
      </c>
      <c r="D263" s="214">
        <f>D206*(1+$G169)^(D170-1)</f>
        <v>286953.50110979739</v>
      </c>
      <c r="E263" s="214">
        <f t="shared" ref="E263:BJ263" si="136">E206*(1+$G169)^(E170-1)</f>
        <v>298431.6411541893</v>
      </c>
      <c r="F263" s="214">
        <f t="shared" si="136"/>
        <v>310368.90680035687</v>
      </c>
      <c r="G263" s="214">
        <f t="shared" si="136"/>
        <v>322783.66307237116</v>
      </c>
      <c r="H263" s="214">
        <f t="shared" si="136"/>
        <v>335695.00959526602</v>
      </c>
      <c r="I263" s="214">
        <f t="shared" si="136"/>
        <v>349122.80997907667</v>
      </c>
      <c r="J263" s="214">
        <f t="shared" si="136"/>
        <v>363087.72237823973</v>
      </c>
      <c r="K263" s="214">
        <f t="shared" si="136"/>
        <v>377611.2312733694</v>
      </c>
      <c r="L263" s="214">
        <f t="shared" si="136"/>
        <v>392715.68052430416</v>
      </c>
      <c r="M263" s="214">
        <f t="shared" si="136"/>
        <v>408424.30774527637</v>
      </c>
      <c r="N263" s="214">
        <f t="shared" si="136"/>
        <v>424761.28005508735</v>
      </c>
      <c r="O263" s="214">
        <f t="shared" si="136"/>
        <v>441751.73125729099</v>
      </c>
      <c r="P263" s="214">
        <f t="shared" si="136"/>
        <v>459421.80050758261</v>
      </c>
      <c r="Q263" s="214">
        <f t="shared" si="136"/>
        <v>477798.67252788594</v>
      </c>
      <c r="R263" s="214">
        <f t="shared" si="136"/>
        <v>496910.61942900135</v>
      </c>
      <c r="S263" s="214">
        <f t="shared" si="136"/>
        <v>516787.04420616146</v>
      </c>
      <c r="T263" s="214">
        <f t="shared" si="136"/>
        <v>537458.52597440791</v>
      </c>
      <c r="U263" s="214">
        <f t="shared" si="136"/>
        <v>558956.86701338436</v>
      </c>
      <c r="V263" s="214">
        <f t="shared" si="136"/>
        <v>581315.14169391966</v>
      </c>
      <c r="W263" s="214">
        <f t="shared" si="136"/>
        <v>0</v>
      </c>
      <c r="X263" s="214">
        <f t="shared" si="136"/>
        <v>0</v>
      </c>
      <c r="Y263" s="214">
        <f t="shared" si="136"/>
        <v>0</v>
      </c>
      <c r="Z263" s="214">
        <f t="shared" si="136"/>
        <v>0</v>
      </c>
      <c r="AA263" s="214">
        <f t="shared" si="136"/>
        <v>0</v>
      </c>
      <c r="AB263" s="214">
        <f t="shared" si="136"/>
        <v>0</v>
      </c>
      <c r="AC263" s="214">
        <f t="shared" si="136"/>
        <v>0</v>
      </c>
      <c r="AD263" s="214">
        <f t="shared" si="136"/>
        <v>0</v>
      </c>
      <c r="AE263" s="214">
        <f t="shared" si="136"/>
        <v>0</v>
      </c>
      <c r="AF263" s="214">
        <f t="shared" si="136"/>
        <v>0</v>
      </c>
      <c r="AG263" s="214">
        <f t="shared" si="136"/>
        <v>0</v>
      </c>
      <c r="AH263" s="214">
        <f t="shared" si="136"/>
        <v>0</v>
      </c>
      <c r="AI263" s="214">
        <f t="shared" si="136"/>
        <v>0</v>
      </c>
      <c r="AJ263" s="214">
        <f t="shared" si="136"/>
        <v>0</v>
      </c>
      <c r="AK263" s="214">
        <f t="shared" si="136"/>
        <v>0</v>
      </c>
      <c r="AL263" s="214">
        <f t="shared" si="136"/>
        <v>0</v>
      </c>
      <c r="AM263" s="214">
        <f t="shared" si="136"/>
        <v>0</v>
      </c>
      <c r="AN263" s="214">
        <f t="shared" si="136"/>
        <v>0</v>
      </c>
      <c r="AO263" s="214">
        <f t="shared" si="136"/>
        <v>0</v>
      </c>
      <c r="AP263" s="214">
        <f t="shared" si="136"/>
        <v>0</v>
      </c>
      <c r="AQ263" s="214">
        <f t="shared" si="136"/>
        <v>0</v>
      </c>
      <c r="AR263" s="214">
        <f t="shared" si="136"/>
        <v>0</v>
      </c>
      <c r="AS263" s="214">
        <f t="shared" si="136"/>
        <v>0</v>
      </c>
      <c r="AT263" s="214">
        <f t="shared" si="136"/>
        <v>0</v>
      </c>
      <c r="AU263" s="214">
        <f t="shared" si="136"/>
        <v>0</v>
      </c>
      <c r="AV263" s="214">
        <f t="shared" si="136"/>
        <v>0</v>
      </c>
      <c r="AW263" s="214">
        <f t="shared" si="136"/>
        <v>0</v>
      </c>
      <c r="AX263" s="214">
        <f t="shared" si="136"/>
        <v>0</v>
      </c>
      <c r="AY263" s="214">
        <f t="shared" si="136"/>
        <v>0</v>
      </c>
      <c r="AZ263" s="214">
        <f t="shared" si="136"/>
        <v>0</v>
      </c>
      <c r="BA263" s="214">
        <f t="shared" si="136"/>
        <v>0</v>
      </c>
      <c r="BB263" s="214">
        <f t="shared" si="136"/>
        <v>0</v>
      </c>
      <c r="BC263" s="214">
        <f t="shared" si="136"/>
        <v>0</v>
      </c>
      <c r="BD263" s="214">
        <f t="shared" si="136"/>
        <v>0</v>
      </c>
      <c r="BE263" s="214">
        <f t="shared" si="136"/>
        <v>0</v>
      </c>
      <c r="BF263" s="214">
        <f t="shared" si="136"/>
        <v>0</v>
      </c>
      <c r="BG263" s="214">
        <f t="shared" si="136"/>
        <v>0</v>
      </c>
      <c r="BH263" s="214">
        <f t="shared" si="136"/>
        <v>0</v>
      </c>
      <c r="BI263" s="214">
        <f t="shared" si="136"/>
        <v>0</v>
      </c>
      <c r="BJ263" s="215">
        <f t="shared" si="136"/>
        <v>0</v>
      </c>
      <c r="BK263" s="141"/>
      <c r="BL263" s="141"/>
    </row>
    <row r="264" spans="1:64" s="160" customFormat="1">
      <c r="A264" s="131" t="s">
        <v>134</v>
      </c>
      <c r="B264" s="156">
        <f t="shared" si="132"/>
        <v>2494643726.3527317</v>
      </c>
      <c r="C264" s="161">
        <f>C238-C239-C259</f>
        <v>-34989114.441233449</v>
      </c>
      <c r="D264" s="162">
        <f>D238-D239-D259</f>
        <v>-40574075.509150833</v>
      </c>
      <c r="E264" s="162">
        <f>E238-E239-E259</f>
        <v>-85485767.817796052</v>
      </c>
      <c r="F264" s="162">
        <f>F238-F239-F259</f>
        <v>-91734790.521989211</v>
      </c>
      <c r="G264" s="162">
        <f t="shared" ref="G264:BJ264" si="137">G238-G239-G259</f>
        <v>-98346957.814009368</v>
      </c>
      <c r="H264" s="162">
        <f t="shared" si="137"/>
        <v>22979866.176485233</v>
      </c>
      <c r="I264" s="162">
        <f t="shared" si="137"/>
        <v>60432359.25039041</v>
      </c>
      <c r="J264" s="162">
        <f t="shared" si="137"/>
        <v>100844283.98432562</v>
      </c>
      <c r="K264" s="162">
        <f t="shared" si="137"/>
        <v>144392470.92217511</v>
      </c>
      <c r="L264" s="162">
        <f t="shared" si="137"/>
        <v>257485001.09252691</v>
      </c>
      <c r="M264" s="162">
        <f t="shared" si="137"/>
        <v>267784401.136228</v>
      </c>
      <c r="N264" s="162">
        <f t="shared" si="137"/>
        <v>278495777.1816771</v>
      </c>
      <c r="O264" s="162">
        <f t="shared" si="137"/>
        <v>289635608.26894414</v>
      </c>
      <c r="P264" s="162">
        <f t="shared" si="137"/>
        <v>301221032.59970194</v>
      </c>
      <c r="Q264" s="162">
        <f t="shared" si="137"/>
        <v>313269873.90369004</v>
      </c>
      <c r="R264" s="162">
        <f t="shared" si="137"/>
        <v>325800668.85983771</v>
      </c>
      <c r="S264" s="162">
        <f t="shared" si="137"/>
        <v>197611066.81563231</v>
      </c>
      <c r="T264" s="162">
        <f t="shared" si="137"/>
        <v>149274175.03448057</v>
      </c>
      <c r="U264" s="162">
        <f t="shared" si="137"/>
        <v>96754154.203931734</v>
      </c>
      <c r="V264" s="162">
        <f t="shared" si="137"/>
        <v>39793693.026883774</v>
      </c>
      <c r="W264" s="162">
        <f t="shared" si="137"/>
        <v>0</v>
      </c>
      <c r="X264" s="162">
        <f t="shared" si="137"/>
        <v>0</v>
      </c>
      <c r="Y264" s="162">
        <f t="shared" si="137"/>
        <v>0</v>
      </c>
      <c r="Z264" s="162">
        <f t="shared" si="137"/>
        <v>0</v>
      </c>
      <c r="AA264" s="162">
        <f t="shared" si="137"/>
        <v>0</v>
      </c>
      <c r="AB264" s="162">
        <f t="shared" si="137"/>
        <v>0</v>
      </c>
      <c r="AC264" s="162">
        <f t="shared" si="137"/>
        <v>0</v>
      </c>
      <c r="AD264" s="162">
        <f t="shared" si="137"/>
        <v>0</v>
      </c>
      <c r="AE264" s="162">
        <f t="shared" si="137"/>
        <v>0</v>
      </c>
      <c r="AF264" s="162">
        <f t="shared" si="137"/>
        <v>0</v>
      </c>
      <c r="AG264" s="162">
        <f t="shared" si="137"/>
        <v>0</v>
      </c>
      <c r="AH264" s="162">
        <f t="shared" si="137"/>
        <v>0</v>
      </c>
      <c r="AI264" s="162">
        <f t="shared" si="137"/>
        <v>0</v>
      </c>
      <c r="AJ264" s="162">
        <f t="shared" si="137"/>
        <v>0</v>
      </c>
      <c r="AK264" s="162">
        <f t="shared" si="137"/>
        <v>0</v>
      </c>
      <c r="AL264" s="162">
        <f t="shared" si="137"/>
        <v>0</v>
      </c>
      <c r="AM264" s="162">
        <f t="shared" si="137"/>
        <v>0</v>
      </c>
      <c r="AN264" s="162">
        <f t="shared" si="137"/>
        <v>0</v>
      </c>
      <c r="AO264" s="162">
        <f t="shared" si="137"/>
        <v>0</v>
      </c>
      <c r="AP264" s="162">
        <f t="shared" si="137"/>
        <v>0</v>
      </c>
      <c r="AQ264" s="162">
        <f t="shared" si="137"/>
        <v>0</v>
      </c>
      <c r="AR264" s="162">
        <f t="shared" si="137"/>
        <v>0</v>
      </c>
      <c r="AS264" s="162">
        <f t="shared" si="137"/>
        <v>0</v>
      </c>
      <c r="AT264" s="162">
        <f t="shared" si="137"/>
        <v>0</v>
      </c>
      <c r="AU264" s="162">
        <f t="shared" si="137"/>
        <v>0</v>
      </c>
      <c r="AV264" s="162">
        <f t="shared" si="137"/>
        <v>0</v>
      </c>
      <c r="AW264" s="162">
        <f t="shared" si="137"/>
        <v>0</v>
      </c>
      <c r="AX264" s="162">
        <f t="shared" si="137"/>
        <v>0</v>
      </c>
      <c r="AY264" s="162">
        <f t="shared" si="137"/>
        <v>0</v>
      </c>
      <c r="AZ264" s="162">
        <f t="shared" si="137"/>
        <v>0</v>
      </c>
      <c r="BA264" s="162">
        <f t="shared" si="137"/>
        <v>0</v>
      </c>
      <c r="BB264" s="162">
        <f t="shared" si="137"/>
        <v>0</v>
      </c>
      <c r="BC264" s="162">
        <f t="shared" si="137"/>
        <v>0</v>
      </c>
      <c r="BD264" s="162">
        <f t="shared" si="137"/>
        <v>0</v>
      </c>
      <c r="BE264" s="162">
        <f t="shared" si="137"/>
        <v>0</v>
      </c>
      <c r="BF264" s="162">
        <f t="shared" si="137"/>
        <v>0</v>
      </c>
      <c r="BG264" s="162">
        <f t="shared" si="137"/>
        <v>0</v>
      </c>
      <c r="BH264" s="162">
        <f t="shared" si="137"/>
        <v>0</v>
      </c>
      <c r="BI264" s="162">
        <f t="shared" si="137"/>
        <v>0</v>
      </c>
      <c r="BJ264" s="163">
        <f t="shared" si="137"/>
        <v>0</v>
      </c>
      <c r="BK264" s="159"/>
      <c r="BL264" s="159"/>
    </row>
    <row r="265" spans="1:64" s="160" customFormat="1">
      <c r="A265" s="131" t="s">
        <v>135</v>
      </c>
      <c r="B265" s="156">
        <f t="shared" si="132"/>
        <v>853732329.73707318</v>
      </c>
      <c r="C265" s="161">
        <f>IF(C264&lt;=0,0,C264*$K169)</f>
        <v>0</v>
      </c>
      <c r="D265" s="162">
        <f>IF(D264&lt;=0,0,D264*$K169)</f>
        <v>0</v>
      </c>
      <c r="E265" s="162">
        <f t="shared" ref="E265:BJ265" si="138">IF(E264&lt;=0,0,E264*$K169)</f>
        <v>0</v>
      </c>
      <c r="F265" s="162">
        <f t="shared" si="138"/>
        <v>0</v>
      </c>
      <c r="G265" s="162">
        <f t="shared" si="138"/>
        <v>0</v>
      </c>
      <c r="H265" s="162">
        <f t="shared" si="138"/>
        <v>6893959.8529455699</v>
      </c>
      <c r="I265" s="162">
        <f t="shared" si="138"/>
        <v>18129707.775117122</v>
      </c>
      <c r="J265" s="162">
        <f t="shared" si="138"/>
        <v>30253285.195297685</v>
      </c>
      <c r="K265" s="162">
        <f t="shared" si="138"/>
        <v>43317741.27665253</v>
      </c>
      <c r="L265" s="162">
        <f t="shared" si="138"/>
        <v>77245500.327758074</v>
      </c>
      <c r="M265" s="162">
        <f t="shared" si="138"/>
        <v>80335320.340868399</v>
      </c>
      <c r="N265" s="162">
        <f t="shared" si="138"/>
        <v>83548733.154503122</v>
      </c>
      <c r="O265" s="162">
        <f t="shared" si="138"/>
        <v>86890682.480683237</v>
      </c>
      <c r="P265" s="162">
        <f t="shared" si="138"/>
        <v>90366309.779910579</v>
      </c>
      <c r="Q265" s="162">
        <f t="shared" si="138"/>
        <v>93980962.171107009</v>
      </c>
      <c r="R265" s="162">
        <f t="shared" si="138"/>
        <v>97740200.65795131</v>
      </c>
      <c r="S265" s="162">
        <f t="shared" si="138"/>
        <v>59283320.044689693</v>
      </c>
      <c r="T265" s="162">
        <f t="shared" si="138"/>
        <v>44782252.51034417</v>
      </c>
      <c r="U265" s="162">
        <f t="shared" si="138"/>
        <v>29026246.261179518</v>
      </c>
      <c r="V265" s="162">
        <f t="shared" si="138"/>
        <v>11938107.908065131</v>
      </c>
      <c r="W265" s="162">
        <f t="shared" si="138"/>
        <v>0</v>
      </c>
      <c r="X265" s="162">
        <f t="shared" si="138"/>
        <v>0</v>
      </c>
      <c r="Y265" s="162">
        <f t="shared" si="138"/>
        <v>0</v>
      </c>
      <c r="Z265" s="162">
        <f t="shared" si="138"/>
        <v>0</v>
      </c>
      <c r="AA265" s="162">
        <f t="shared" si="138"/>
        <v>0</v>
      </c>
      <c r="AB265" s="162">
        <f t="shared" si="138"/>
        <v>0</v>
      </c>
      <c r="AC265" s="162">
        <f t="shared" si="138"/>
        <v>0</v>
      </c>
      <c r="AD265" s="162">
        <f t="shared" si="138"/>
        <v>0</v>
      </c>
      <c r="AE265" s="162">
        <f t="shared" si="138"/>
        <v>0</v>
      </c>
      <c r="AF265" s="162">
        <f t="shared" si="138"/>
        <v>0</v>
      </c>
      <c r="AG265" s="162">
        <f t="shared" si="138"/>
        <v>0</v>
      </c>
      <c r="AH265" s="162">
        <f t="shared" si="138"/>
        <v>0</v>
      </c>
      <c r="AI265" s="162">
        <f t="shared" si="138"/>
        <v>0</v>
      </c>
      <c r="AJ265" s="162">
        <f t="shared" si="138"/>
        <v>0</v>
      </c>
      <c r="AK265" s="162">
        <f t="shared" si="138"/>
        <v>0</v>
      </c>
      <c r="AL265" s="162">
        <f t="shared" si="138"/>
        <v>0</v>
      </c>
      <c r="AM265" s="162">
        <f t="shared" si="138"/>
        <v>0</v>
      </c>
      <c r="AN265" s="162">
        <f t="shared" si="138"/>
        <v>0</v>
      </c>
      <c r="AO265" s="162">
        <f t="shared" si="138"/>
        <v>0</v>
      </c>
      <c r="AP265" s="162">
        <f t="shared" si="138"/>
        <v>0</v>
      </c>
      <c r="AQ265" s="162">
        <f t="shared" si="138"/>
        <v>0</v>
      </c>
      <c r="AR265" s="162">
        <f t="shared" si="138"/>
        <v>0</v>
      </c>
      <c r="AS265" s="162">
        <f t="shared" si="138"/>
        <v>0</v>
      </c>
      <c r="AT265" s="162">
        <f t="shared" si="138"/>
        <v>0</v>
      </c>
      <c r="AU265" s="162">
        <f t="shared" si="138"/>
        <v>0</v>
      </c>
      <c r="AV265" s="162">
        <f t="shared" si="138"/>
        <v>0</v>
      </c>
      <c r="AW265" s="162">
        <f t="shared" si="138"/>
        <v>0</v>
      </c>
      <c r="AX265" s="162">
        <f t="shared" si="138"/>
        <v>0</v>
      </c>
      <c r="AY265" s="162">
        <f t="shared" si="138"/>
        <v>0</v>
      </c>
      <c r="AZ265" s="162">
        <f t="shared" si="138"/>
        <v>0</v>
      </c>
      <c r="BA265" s="162">
        <f t="shared" si="138"/>
        <v>0</v>
      </c>
      <c r="BB265" s="162">
        <f t="shared" si="138"/>
        <v>0</v>
      </c>
      <c r="BC265" s="162">
        <f t="shared" si="138"/>
        <v>0</v>
      </c>
      <c r="BD265" s="162">
        <f t="shared" si="138"/>
        <v>0</v>
      </c>
      <c r="BE265" s="162">
        <f t="shared" si="138"/>
        <v>0</v>
      </c>
      <c r="BF265" s="162">
        <f t="shared" si="138"/>
        <v>0</v>
      </c>
      <c r="BG265" s="162">
        <f t="shared" si="138"/>
        <v>0</v>
      </c>
      <c r="BH265" s="162">
        <f t="shared" si="138"/>
        <v>0</v>
      </c>
      <c r="BI265" s="162">
        <f t="shared" si="138"/>
        <v>0</v>
      </c>
      <c r="BJ265" s="163">
        <f t="shared" si="138"/>
        <v>0</v>
      </c>
      <c r="BK265" s="159"/>
      <c r="BL265" s="159"/>
    </row>
    <row r="266" spans="1:64" s="105" customFormat="1">
      <c r="A266" s="164" t="s">
        <v>136</v>
      </c>
      <c r="B266" s="161">
        <f t="shared" si="132"/>
        <v>1640911396.6156588</v>
      </c>
      <c r="C266" s="133">
        <f>C264-C265</f>
        <v>-34989114.441233449</v>
      </c>
      <c r="D266" s="134">
        <f>D264-D265</f>
        <v>-40574075.509150833</v>
      </c>
      <c r="E266" s="134">
        <f>E264-E265</f>
        <v>-85485767.817796052</v>
      </c>
      <c r="F266" s="134">
        <f>F264-F265</f>
        <v>-91734790.521989211</v>
      </c>
      <c r="G266" s="134">
        <f t="shared" ref="G266:BJ266" si="139">G264-G265</f>
        <v>-98346957.814009368</v>
      </c>
      <c r="H266" s="134">
        <f t="shared" si="139"/>
        <v>16085906.323539663</v>
      </c>
      <c r="I266" s="134">
        <f t="shared" si="139"/>
        <v>42302651.475273289</v>
      </c>
      <c r="J266" s="134">
        <f t="shared" si="139"/>
        <v>70590998.789027929</v>
      </c>
      <c r="K266" s="134">
        <f t="shared" si="139"/>
        <v>101074729.64552258</v>
      </c>
      <c r="L266" s="134">
        <f t="shared" si="139"/>
        <v>180239500.76476884</v>
      </c>
      <c r="M266" s="134">
        <f t="shared" si="139"/>
        <v>187449080.79535961</v>
      </c>
      <c r="N266" s="134">
        <f t="shared" si="139"/>
        <v>194947044.027174</v>
      </c>
      <c r="O266" s="134">
        <f t="shared" si="139"/>
        <v>202744925.78826091</v>
      </c>
      <c r="P266" s="134">
        <f t="shared" si="139"/>
        <v>210854722.81979138</v>
      </c>
      <c r="Q266" s="134">
        <f t="shared" si="139"/>
        <v>219288911.73258305</v>
      </c>
      <c r="R266" s="134">
        <f t="shared" si="139"/>
        <v>228060468.20188642</v>
      </c>
      <c r="S266" s="134">
        <f t="shared" si="139"/>
        <v>138327746.77094263</v>
      </c>
      <c r="T266" s="134">
        <f t="shared" si="139"/>
        <v>104491922.52413639</v>
      </c>
      <c r="U266" s="134">
        <f t="shared" si="139"/>
        <v>67727907.942752212</v>
      </c>
      <c r="V266" s="134">
        <f t="shared" si="139"/>
        <v>27855585.118818641</v>
      </c>
      <c r="W266" s="134">
        <f t="shared" si="139"/>
        <v>0</v>
      </c>
      <c r="X266" s="134">
        <f t="shared" si="139"/>
        <v>0</v>
      </c>
      <c r="Y266" s="134">
        <f t="shared" si="139"/>
        <v>0</v>
      </c>
      <c r="Z266" s="134">
        <f t="shared" si="139"/>
        <v>0</v>
      </c>
      <c r="AA266" s="134">
        <f t="shared" si="139"/>
        <v>0</v>
      </c>
      <c r="AB266" s="134">
        <f t="shared" si="139"/>
        <v>0</v>
      </c>
      <c r="AC266" s="134">
        <f t="shared" si="139"/>
        <v>0</v>
      </c>
      <c r="AD266" s="134">
        <f t="shared" si="139"/>
        <v>0</v>
      </c>
      <c r="AE266" s="134">
        <f t="shared" si="139"/>
        <v>0</v>
      </c>
      <c r="AF266" s="134">
        <f t="shared" si="139"/>
        <v>0</v>
      </c>
      <c r="AG266" s="134">
        <f t="shared" si="139"/>
        <v>0</v>
      </c>
      <c r="AH266" s="134">
        <f t="shared" si="139"/>
        <v>0</v>
      </c>
      <c r="AI266" s="134">
        <f t="shared" si="139"/>
        <v>0</v>
      </c>
      <c r="AJ266" s="134">
        <f t="shared" si="139"/>
        <v>0</v>
      </c>
      <c r="AK266" s="134">
        <f t="shared" si="139"/>
        <v>0</v>
      </c>
      <c r="AL266" s="134">
        <f t="shared" si="139"/>
        <v>0</v>
      </c>
      <c r="AM266" s="134">
        <f t="shared" si="139"/>
        <v>0</v>
      </c>
      <c r="AN266" s="134">
        <f t="shared" si="139"/>
        <v>0</v>
      </c>
      <c r="AO266" s="134">
        <f t="shared" si="139"/>
        <v>0</v>
      </c>
      <c r="AP266" s="134">
        <f t="shared" si="139"/>
        <v>0</v>
      </c>
      <c r="AQ266" s="134">
        <f t="shared" si="139"/>
        <v>0</v>
      </c>
      <c r="AR266" s="134">
        <f t="shared" si="139"/>
        <v>0</v>
      </c>
      <c r="AS266" s="134">
        <f t="shared" si="139"/>
        <v>0</v>
      </c>
      <c r="AT266" s="134">
        <f t="shared" si="139"/>
        <v>0</v>
      </c>
      <c r="AU266" s="134">
        <f t="shared" si="139"/>
        <v>0</v>
      </c>
      <c r="AV266" s="134">
        <f t="shared" si="139"/>
        <v>0</v>
      </c>
      <c r="AW266" s="134">
        <f t="shared" si="139"/>
        <v>0</v>
      </c>
      <c r="AX266" s="134">
        <f t="shared" si="139"/>
        <v>0</v>
      </c>
      <c r="AY266" s="134">
        <f t="shared" si="139"/>
        <v>0</v>
      </c>
      <c r="AZ266" s="134">
        <f t="shared" si="139"/>
        <v>0</v>
      </c>
      <c r="BA266" s="134">
        <f t="shared" si="139"/>
        <v>0</v>
      </c>
      <c r="BB266" s="134">
        <f t="shared" si="139"/>
        <v>0</v>
      </c>
      <c r="BC266" s="134">
        <f t="shared" si="139"/>
        <v>0</v>
      </c>
      <c r="BD266" s="134">
        <f t="shared" si="139"/>
        <v>0</v>
      </c>
      <c r="BE266" s="134">
        <f t="shared" si="139"/>
        <v>0</v>
      </c>
      <c r="BF266" s="134">
        <f t="shared" si="139"/>
        <v>0</v>
      </c>
      <c r="BG266" s="134">
        <f t="shared" si="139"/>
        <v>0</v>
      </c>
      <c r="BH266" s="134">
        <f t="shared" si="139"/>
        <v>0</v>
      </c>
      <c r="BI266" s="134">
        <f t="shared" si="139"/>
        <v>0</v>
      </c>
      <c r="BJ266" s="135">
        <f t="shared" si="139"/>
        <v>0</v>
      </c>
      <c r="BK266" s="109"/>
      <c r="BL266" s="109"/>
    </row>
    <row r="267" spans="1:64">
      <c r="A267" s="165" t="s">
        <v>137</v>
      </c>
      <c r="B267" s="161"/>
      <c r="C267" s="166"/>
      <c r="D267" s="167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168"/>
      <c r="R267" s="168"/>
      <c r="S267" s="168"/>
      <c r="T267" s="168"/>
      <c r="U267" s="168"/>
      <c r="V267" s="168"/>
      <c r="W267" s="168"/>
      <c r="X267" s="168"/>
      <c r="Y267" s="168"/>
      <c r="Z267" s="168"/>
      <c r="AA267" s="168"/>
      <c r="AB267" s="168"/>
      <c r="AC267" s="168"/>
      <c r="AD267" s="168"/>
      <c r="AE267" s="168"/>
      <c r="AF267" s="168"/>
      <c r="AG267" s="168"/>
      <c r="AH267" s="168"/>
      <c r="AI267" s="168"/>
      <c r="AJ267" s="168"/>
      <c r="AK267" s="168"/>
      <c r="AL267" s="168"/>
      <c r="AM267" s="168"/>
      <c r="AN267" s="168"/>
      <c r="AO267" s="168"/>
      <c r="AP267" s="168"/>
      <c r="AQ267" s="168"/>
      <c r="AR267" s="168"/>
      <c r="AS267" s="168"/>
      <c r="AT267" s="168"/>
      <c r="AU267" s="168"/>
      <c r="AV267" s="168"/>
      <c r="AW267" s="168"/>
      <c r="AX267" s="168"/>
      <c r="AY267" s="168"/>
      <c r="AZ267" s="168"/>
      <c r="BA267" s="168"/>
      <c r="BB267" s="168"/>
      <c r="BC267" s="168"/>
      <c r="BD267" s="168"/>
      <c r="BE267" s="168"/>
      <c r="BF267" s="168"/>
      <c r="BG267" s="168"/>
      <c r="BH267" s="168"/>
      <c r="BI267" s="168"/>
      <c r="BJ267" s="169"/>
    </row>
    <row r="268" spans="1:64" s="174" customFormat="1" ht="12.75">
      <c r="A268" s="120" t="s">
        <v>138</v>
      </c>
      <c r="B268" s="170">
        <f>SUM(C268:BJ268)</f>
        <v>57064547.732598074</v>
      </c>
      <c r="C268" s="171">
        <f>C239-C244</f>
        <v>34025095.242183387</v>
      </c>
      <c r="D268" s="172">
        <f t="shared" ref="D268:BJ268" si="140">IF(AND(D227&gt;5,D228=0),0,D239-D244)</f>
        <v>36939772.583798632</v>
      </c>
      <c r="E268" s="172">
        <f t="shared" si="140"/>
        <v>76264569.714888766</v>
      </c>
      <c r="F268" s="172">
        <f t="shared" si="140"/>
        <v>76485560.51200299</v>
      </c>
      <c r="G268" s="172">
        <f t="shared" si="140"/>
        <v>76602207.261342555</v>
      </c>
      <c r="H268" s="172">
        <f t="shared" si="140"/>
        <v>-12148305.387789572</v>
      </c>
      <c r="I268" s="172">
        <f t="shared" si="140"/>
        <v>-12634237.603301156</v>
      </c>
      <c r="J268" s="172">
        <f t="shared" si="140"/>
        <v>-13139607.1074332</v>
      </c>
      <c r="K268" s="172">
        <f t="shared" si="140"/>
        <v>-13665191.39173053</v>
      </c>
      <c r="L268" s="172">
        <f t="shared" si="140"/>
        <v>-14211799.047399752</v>
      </c>
      <c r="M268" s="172">
        <f t="shared" si="140"/>
        <v>-14780271.009295741</v>
      </c>
      <c r="N268" s="172">
        <f t="shared" si="140"/>
        <v>-15371481.849667571</v>
      </c>
      <c r="O268" s="172">
        <f t="shared" si="140"/>
        <v>-15986341.123654278</v>
      </c>
      <c r="P268" s="172">
        <f t="shared" si="140"/>
        <v>-16625794.768600449</v>
      </c>
      <c r="Q268" s="172">
        <f t="shared" si="140"/>
        <v>-17290826.559344467</v>
      </c>
      <c r="R268" s="172">
        <f t="shared" si="140"/>
        <v>-17982459.621718243</v>
      </c>
      <c r="S268" s="172">
        <f t="shared" si="140"/>
        <v>-18701758.006586976</v>
      </c>
      <c r="T268" s="172">
        <f t="shared" si="140"/>
        <v>-19449828.326850459</v>
      </c>
      <c r="U268" s="172">
        <f t="shared" si="140"/>
        <v>-20227821.459924478</v>
      </c>
      <c r="V268" s="172">
        <f t="shared" si="140"/>
        <v>-21036934.318321459</v>
      </c>
      <c r="W268" s="172">
        <f t="shared" si="140"/>
        <v>0</v>
      </c>
      <c r="X268" s="172">
        <f t="shared" si="140"/>
        <v>0</v>
      </c>
      <c r="Y268" s="172">
        <f t="shared" si="140"/>
        <v>0</v>
      </c>
      <c r="Z268" s="172">
        <f t="shared" si="140"/>
        <v>0</v>
      </c>
      <c r="AA268" s="172">
        <f t="shared" si="140"/>
        <v>0</v>
      </c>
      <c r="AB268" s="172">
        <f t="shared" si="140"/>
        <v>0</v>
      </c>
      <c r="AC268" s="172">
        <f t="shared" si="140"/>
        <v>0</v>
      </c>
      <c r="AD268" s="172">
        <f t="shared" si="140"/>
        <v>0</v>
      </c>
      <c r="AE268" s="172">
        <f t="shared" si="140"/>
        <v>0</v>
      </c>
      <c r="AF268" s="172">
        <f t="shared" si="140"/>
        <v>0</v>
      </c>
      <c r="AG268" s="172">
        <f t="shared" si="140"/>
        <v>0</v>
      </c>
      <c r="AH268" s="172">
        <f t="shared" si="140"/>
        <v>0</v>
      </c>
      <c r="AI268" s="172">
        <f t="shared" si="140"/>
        <v>0</v>
      </c>
      <c r="AJ268" s="172">
        <f t="shared" si="140"/>
        <v>0</v>
      </c>
      <c r="AK268" s="172">
        <f t="shared" si="140"/>
        <v>0</v>
      </c>
      <c r="AL268" s="172">
        <f t="shared" si="140"/>
        <v>0</v>
      </c>
      <c r="AM268" s="172">
        <f t="shared" si="140"/>
        <v>0</v>
      </c>
      <c r="AN268" s="172">
        <f t="shared" si="140"/>
        <v>0</v>
      </c>
      <c r="AO268" s="172">
        <f t="shared" si="140"/>
        <v>0</v>
      </c>
      <c r="AP268" s="172">
        <f t="shared" si="140"/>
        <v>0</v>
      </c>
      <c r="AQ268" s="172">
        <f t="shared" si="140"/>
        <v>0</v>
      </c>
      <c r="AR268" s="172">
        <f t="shared" si="140"/>
        <v>0</v>
      </c>
      <c r="AS268" s="172">
        <f t="shared" si="140"/>
        <v>0</v>
      </c>
      <c r="AT268" s="172">
        <f t="shared" si="140"/>
        <v>0</v>
      </c>
      <c r="AU268" s="172">
        <f t="shared" si="140"/>
        <v>0</v>
      </c>
      <c r="AV268" s="172">
        <f t="shared" si="140"/>
        <v>0</v>
      </c>
      <c r="AW268" s="172">
        <f t="shared" si="140"/>
        <v>0</v>
      </c>
      <c r="AX268" s="172">
        <f t="shared" si="140"/>
        <v>0</v>
      </c>
      <c r="AY268" s="172">
        <f t="shared" si="140"/>
        <v>0</v>
      </c>
      <c r="AZ268" s="172">
        <f t="shared" si="140"/>
        <v>0</v>
      </c>
      <c r="BA268" s="172">
        <f t="shared" si="140"/>
        <v>0</v>
      </c>
      <c r="BB268" s="172">
        <f t="shared" si="140"/>
        <v>0</v>
      </c>
      <c r="BC268" s="172">
        <f t="shared" si="140"/>
        <v>0</v>
      </c>
      <c r="BD268" s="172">
        <f t="shared" si="140"/>
        <v>0</v>
      </c>
      <c r="BE268" s="172">
        <f t="shared" si="140"/>
        <v>0</v>
      </c>
      <c r="BF268" s="172">
        <f t="shared" si="140"/>
        <v>0</v>
      </c>
      <c r="BG268" s="172">
        <f t="shared" si="140"/>
        <v>0</v>
      </c>
      <c r="BH268" s="172">
        <f t="shared" si="140"/>
        <v>0</v>
      </c>
      <c r="BI268" s="172">
        <f t="shared" si="140"/>
        <v>0</v>
      </c>
      <c r="BJ268" s="173">
        <f t="shared" si="140"/>
        <v>0</v>
      </c>
      <c r="BK268" s="172"/>
      <c r="BL268" s="172"/>
    </row>
    <row r="269" spans="1:64" s="174" customFormat="1" ht="12.75">
      <c r="A269" s="120" t="s">
        <v>139</v>
      </c>
      <c r="B269" s="170">
        <f>SUM(C269:BJ269)</f>
        <v>272403546.81774139</v>
      </c>
      <c r="C269" s="171">
        <f>C259</f>
        <v>1173279.146282186</v>
      </c>
      <c r="D269" s="172">
        <f>D259</f>
        <v>2536071.7913035462</v>
      </c>
      <c r="E269" s="172">
        <f t="shared" ref="E269:BJ269" si="141">E259</f>
        <v>5358276.1932261875</v>
      </c>
      <c r="F269" s="172">
        <f t="shared" si="141"/>
        <v>8402199.2324365526</v>
      </c>
      <c r="G269" s="172">
        <f t="shared" si="141"/>
        <v>11681062.872874588</v>
      </c>
      <c r="H269" s="172">
        <f t="shared" si="141"/>
        <v>12148305.387789572</v>
      </c>
      <c r="I269" s="172">
        <f t="shared" si="141"/>
        <v>12634237.603301156</v>
      </c>
      <c r="J269" s="172">
        <f t="shared" si="141"/>
        <v>13139607.1074332</v>
      </c>
      <c r="K269" s="172">
        <f t="shared" si="141"/>
        <v>13665191.39173053</v>
      </c>
      <c r="L269" s="172">
        <f t="shared" si="141"/>
        <v>14211799.047399752</v>
      </c>
      <c r="M269" s="172">
        <f t="shared" si="141"/>
        <v>14780271.009295741</v>
      </c>
      <c r="N269" s="172">
        <f t="shared" si="141"/>
        <v>15371481.849667571</v>
      </c>
      <c r="O269" s="172">
        <f t="shared" si="141"/>
        <v>15986341.123654278</v>
      </c>
      <c r="P269" s="172">
        <f t="shared" si="141"/>
        <v>16625794.768600449</v>
      </c>
      <c r="Q269" s="172">
        <f t="shared" si="141"/>
        <v>17290826.559344467</v>
      </c>
      <c r="R269" s="172">
        <f t="shared" si="141"/>
        <v>17982459.621718243</v>
      </c>
      <c r="S269" s="172">
        <f t="shared" si="141"/>
        <v>18701758.006586976</v>
      </c>
      <c r="T269" s="172">
        <f t="shared" si="141"/>
        <v>19449828.326850459</v>
      </c>
      <c r="U269" s="172">
        <f t="shared" si="141"/>
        <v>20227821.459924478</v>
      </c>
      <c r="V269" s="172">
        <f t="shared" si="141"/>
        <v>21036934.318321459</v>
      </c>
      <c r="W269" s="172">
        <f t="shared" si="141"/>
        <v>0</v>
      </c>
      <c r="X269" s="172">
        <f t="shared" si="141"/>
        <v>0</v>
      </c>
      <c r="Y269" s="172">
        <f t="shared" si="141"/>
        <v>0</v>
      </c>
      <c r="Z269" s="172">
        <f t="shared" si="141"/>
        <v>0</v>
      </c>
      <c r="AA269" s="172">
        <f t="shared" si="141"/>
        <v>0</v>
      </c>
      <c r="AB269" s="172">
        <f t="shared" si="141"/>
        <v>0</v>
      </c>
      <c r="AC269" s="172">
        <f t="shared" si="141"/>
        <v>0</v>
      </c>
      <c r="AD269" s="172">
        <f t="shared" si="141"/>
        <v>0</v>
      </c>
      <c r="AE269" s="172">
        <f t="shared" si="141"/>
        <v>0</v>
      </c>
      <c r="AF269" s="172">
        <f t="shared" si="141"/>
        <v>0</v>
      </c>
      <c r="AG269" s="172">
        <f t="shared" si="141"/>
        <v>0</v>
      </c>
      <c r="AH269" s="172">
        <f t="shared" si="141"/>
        <v>0</v>
      </c>
      <c r="AI269" s="172">
        <f t="shared" si="141"/>
        <v>0</v>
      </c>
      <c r="AJ269" s="172">
        <f t="shared" si="141"/>
        <v>0</v>
      </c>
      <c r="AK269" s="172">
        <f t="shared" si="141"/>
        <v>0</v>
      </c>
      <c r="AL269" s="172">
        <f t="shared" si="141"/>
        <v>0</v>
      </c>
      <c r="AM269" s="172">
        <f t="shared" si="141"/>
        <v>0</v>
      </c>
      <c r="AN269" s="172">
        <f t="shared" si="141"/>
        <v>0</v>
      </c>
      <c r="AO269" s="172">
        <f t="shared" si="141"/>
        <v>0</v>
      </c>
      <c r="AP269" s="172">
        <f t="shared" si="141"/>
        <v>0</v>
      </c>
      <c r="AQ269" s="172">
        <f t="shared" si="141"/>
        <v>0</v>
      </c>
      <c r="AR269" s="172">
        <f t="shared" si="141"/>
        <v>0</v>
      </c>
      <c r="AS269" s="172">
        <f t="shared" si="141"/>
        <v>0</v>
      </c>
      <c r="AT269" s="172">
        <f t="shared" si="141"/>
        <v>0</v>
      </c>
      <c r="AU269" s="172">
        <f t="shared" si="141"/>
        <v>0</v>
      </c>
      <c r="AV269" s="172">
        <f t="shared" si="141"/>
        <v>0</v>
      </c>
      <c r="AW269" s="172">
        <f t="shared" si="141"/>
        <v>0</v>
      </c>
      <c r="AX269" s="172">
        <f t="shared" si="141"/>
        <v>0</v>
      </c>
      <c r="AY269" s="172">
        <f t="shared" si="141"/>
        <v>0</v>
      </c>
      <c r="AZ269" s="172">
        <f t="shared" si="141"/>
        <v>0</v>
      </c>
      <c r="BA269" s="172">
        <f t="shared" si="141"/>
        <v>0</v>
      </c>
      <c r="BB269" s="172">
        <f t="shared" si="141"/>
        <v>0</v>
      </c>
      <c r="BC269" s="172">
        <f t="shared" si="141"/>
        <v>0</v>
      </c>
      <c r="BD269" s="172">
        <f t="shared" si="141"/>
        <v>0</v>
      </c>
      <c r="BE269" s="172">
        <f t="shared" si="141"/>
        <v>0</v>
      </c>
      <c r="BF269" s="172">
        <f t="shared" si="141"/>
        <v>0</v>
      </c>
      <c r="BG269" s="172">
        <f t="shared" si="141"/>
        <v>0</v>
      </c>
      <c r="BH269" s="172">
        <f t="shared" si="141"/>
        <v>0</v>
      </c>
      <c r="BI269" s="172">
        <f t="shared" si="141"/>
        <v>0</v>
      </c>
      <c r="BJ269" s="173">
        <f t="shared" si="141"/>
        <v>0</v>
      </c>
      <c r="BK269" s="172"/>
      <c r="BL269" s="172"/>
    </row>
    <row r="270" spans="1:64" s="174" customFormat="1" ht="12.75">
      <c r="A270" s="120" t="s">
        <v>140</v>
      </c>
      <c r="B270" s="170" t="e">
        <f>SUM(C270:BJ270)</f>
        <v>#REF!</v>
      </c>
      <c r="C270" s="171">
        <f>-C239</f>
        <v>-35198374.388465576</v>
      </c>
      <c r="D270" s="172">
        <f>IF(AND(D227&gt;5,E228=0,D228&lt;&gt;0),SUM(D$71:$BJ244)-D239,-D239)</f>
        <v>-39475844.375102177</v>
      </c>
      <c r="E270" s="172">
        <f>IF(AND(E227&gt;5,F228=0,E228&lt;&gt;0),SUM(E$71:$BJ244)-E239,-E239)</f>
        <v>-81622845.908114955</v>
      </c>
      <c r="F270" s="172">
        <f>IF(AND(F227&gt;5,G228=0,F228&lt;&gt;0),SUM(F$71:$BJ244)-F239,-F239)</f>
        <v>-84887759.744439542</v>
      </c>
      <c r="G270" s="172">
        <f>IF(AND(G227&gt;5,H228=0,G228&lt;&gt;0),SUM(G$71:$BJ244)-G239,-G239)</f>
        <v>-88283270.134217143</v>
      </c>
      <c r="H270" s="172">
        <f>IF(AND(H227&gt;5,I228=0,H228&lt;&gt;0),SUM(H$71:$BJ244)-H239,-H239)</f>
        <v>0</v>
      </c>
      <c r="I270" s="172">
        <f>IF(AND(I227&gt;5,J228=0,I228&lt;&gt;0),SUM(I$71:$BJ244)-I239,-I239)</f>
        <v>0</v>
      </c>
      <c r="J270" s="172">
        <f>IF(AND(J227&gt;5,K228=0,J228&lt;&gt;0),SUM(J$71:$BJ244)-J239,-J239)</f>
        <v>0</v>
      </c>
      <c r="K270" s="172">
        <f>IF(AND(K227&gt;5,L228=0,K228&lt;&gt;0),SUM(K$71:$BJ244)-K239,-K239)</f>
        <v>0</v>
      </c>
      <c r="L270" s="172">
        <f>IF(AND(L227&gt;5,M228=0,L228&lt;&gt;0),SUM(L$71:$BJ244)-L239,-L239)</f>
        <v>0</v>
      </c>
      <c r="M270" s="172">
        <f>IF(AND(M227&gt;5,N228=0,M228&lt;&gt;0),SUM(M$71:$BJ244)-M239,-M239)</f>
        <v>0</v>
      </c>
      <c r="N270" s="172">
        <f>IF(AND(N227&gt;5,O228=0,N228&lt;&gt;0),SUM(N$71:$BJ244)-N239,-N239)</f>
        <v>0</v>
      </c>
      <c r="O270" s="172">
        <f>IF(AND(O227&gt;5,P228=0,O228&lt;&gt;0),SUM(O$71:$BJ244)-O239,-O239)</f>
        <v>0</v>
      </c>
      <c r="P270" s="172">
        <f>IF(AND(P227&gt;5,Q228=0,P228&lt;&gt;0),SUM(P$71:$BJ244)-P239,-P239)</f>
        <v>0</v>
      </c>
      <c r="Q270" s="172">
        <f>IF(AND(Q227&gt;5,R228=0,Q228&lt;&gt;0),SUM(Q$71:$BJ244)-Q239,-Q239)</f>
        <v>0</v>
      </c>
      <c r="R270" s="172">
        <f>IF(AND(R227&gt;5,S228=0,R228&lt;&gt;0),SUM(R$71:$BJ244)-R239,-R239)</f>
        <v>0</v>
      </c>
      <c r="S270" s="172">
        <f>IF(AND(S227&gt;5,T228=0,S228&lt;&gt;0),SUM(S$71:$BJ244)-S239,-S239)</f>
        <v>0</v>
      </c>
      <c r="T270" s="172">
        <f>IF(AND(T227&gt;5,U228=0,T228&lt;&gt;0),SUM(T$71:$BJ244)-T239,-T239)</f>
        <v>0</v>
      </c>
      <c r="U270" s="172">
        <f>IF(AND(U227&gt;5,V228=0,U228&lt;&gt;0),SUM(U$71:$BJ244)-U239,-U239)</f>
        <v>0</v>
      </c>
      <c r="V270" s="172" t="e">
        <f>IF(AND(V227&gt;5,W228=0,V228&lt;&gt;0),SUM(V$71:$BJ244)-V239,-V239)</f>
        <v>#REF!</v>
      </c>
      <c r="W270" s="172">
        <f>IF(AND(W227&gt;5,X228=0,W228&lt;&gt;0),SUM(W$71:$BJ244)-W239,-W239)</f>
        <v>0</v>
      </c>
      <c r="X270" s="172">
        <f>IF(AND(X227&gt;5,Y228=0,X228&lt;&gt;0),SUM(X$71:$BJ244)-X239,-X239)</f>
        <v>0</v>
      </c>
      <c r="Y270" s="172">
        <f>IF(AND(Y227&gt;5,Z228=0,Y228&lt;&gt;0),SUM(Y$71:$BJ244)-Y239,-Y239)</f>
        <v>0</v>
      </c>
      <c r="Z270" s="175">
        <f>IF(AND(Z227&gt;5,AA228=0,Z228&lt;&gt;0),SUM(Z$71:$BJ244)-Z239,-Z239)</f>
        <v>0</v>
      </c>
      <c r="AA270" s="172">
        <f>IF(AND(AA227&gt;5,AB228=0,AA228&lt;&gt;0),SUM(AA$71:$BJ244)-AA239,-AA239)</f>
        <v>0</v>
      </c>
      <c r="AB270" s="172">
        <f>IF(AND(AB227&gt;5,AC228=0,AB228&lt;&gt;0),SUM(AB$71:$BJ244)-AB239,-AB239)</f>
        <v>0</v>
      </c>
      <c r="AC270" s="172">
        <f>IF(AND(AC227&gt;5,AD228=0,AC228&lt;&gt;0),SUM(AC$71:$BJ244)-AC239,-AC239)</f>
        <v>0</v>
      </c>
      <c r="AD270" s="172">
        <f>IF(AND(AD227&gt;5,AE228=0,AD228&lt;&gt;0),SUM(AD$71:$BJ244)-AD239,-AD239)</f>
        <v>0</v>
      </c>
      <c r="AE270" s="172">
        <f>IF(AND(AE227&gt;5,AF228=0,AE228&lt;&gt;0),SUM(AE$71:$BJ244)-AE239,-AE239)</f>
        <v>0</v>
      </c>
      <c r="AF270" s="172">
        <f>IF(AND(AF227&gt;5,AG228=0,AF228&lt;&gt;0),SUM(AF$71:$BJ244)-AF239,-AF239)</f>
        <v>0</v>
      </c>
      <c r="AG270" s="172">
        <f>IF(AND(AG227&gt;5,AH228=0,AG228&lt;&gt;0),SUM(AG$71:$BJ244)-AG239,-AG239)</f>
        <v>0</v>
      </c>
      <c r="AH270" s="172">
        <f>IF(AND(AH227&gt;5,AI228=0,AH228&lt;&gt;0),SUM(AH$71:$BJ244)-AH239,-AH239)</f>
        <v>0</v>
      </c>
      <c r="AI270" s="172">
        <f>IF(AND(AI227&gt;5,AJ228=0,AI228&lt;&gt;0),SUM(AI$71:$BJ244)-AI239,-AI239)</f>
        <v>0</v>
      </c>
      <c r="AJ270" s="172">
        <f>IF(AND(AJ227&gt;5,AK228=0,AJ228&lt;&gt;0),SUM(AJ$71:$BJ244)-AJ239,-AJ239)</f>
        <v>0</v>
      </c>
      <c r="AK270" s="172">
        <f>IF(AND(AK227&gt;5,AL228=0,AK228&lt;&gt;0),SUM(AK$71:$BJ244)-AK239,-AK239)</f>
        <v>0</v>
      </c>
      <c r="AL270" s="172">
        <f>IF(AND(AL227&gt;5,AM228=0,AL228&lt;&gt;0),SUM(AL$71:$BJ244)-AL239,-AL239)</f>
        <v>0</v>
      </c>
      <c r="AM270" s="172">
        <f>IF(AND(AM227&gt;5,AN228=0,AM228&lt;&gt;0),SUM(AM$71:$BJ244)-AM239,-AM239)</f>
        <v>0</v>
      </c>
      <c r="AN270" s="172">
        <f>IF(AND(AN227&gt;5,AO228=0,AN228&lt;&gt;0),SUM(AN$71:$BJ244)-AN239,-AN239)</f>
        <v>0</v>
      </c>
      <c r="AO270" s="172">
        <f>IF(AND(AO227&gt;5,AP228=0,AO228&lt;&gt;0),SUM(AO$71:$BJ244)-AO239,-AO239)</f>
        <v>0</v>
      </c>
      <c r="AP270" s="172">
        <f>IF(AND(AP227&gt;5,AQ228=0,AP228&lt;&gt;0),SUM(AP$71:$BJ244)-AP239,-AP239)</f>
        <v>0</v>
      </c>
      <c r="AQ270" s="172">
        <f>IF(AND(AQ227&gt;5,AR228=0,AQ228&lt;&gt;0),SUM(AQ$71:$BJ244)-AQ239,-AQ239)</f>
        <v>0</v>
      </c>
      <c r="AR270" s="172">
        <f>IF(AND(AR227&gt;5,AS228=0,AR228&lt;&gt;0),SUM(AR$71:$BJ244)-AR239,-AR239)</f>
        <v>0</v>
      </c>
      <c r="AS270" s="172">
        <f>IF(AND(AS227&gt;5,AT228=0,AS228&lt;&gt;0),SUM(AS$71:$BJ244)-AS239,-AS239)</f>
        <v>0</v>
      </c>
      <c r="AT270" s="172">
        <f>IF(AND(AT227&gt;5,AU228=0,AT228&lt;&gt;0),SUM(AT$71:$BJ244)-AT239,-AT239)</f>
        <v>0</v>
      </c>
      <c r="AU270" s="172">
        <f>IF(AND(AU227&gt;5,AV228=0,AU228&lt;&gt;0),SUM(AU$71:$BJ244)-AU239,-AU239)</f>
        <v>0</v>
      </c>
      <c r="AV270" s="172">
        <f>IF(AND(AV227&gt;5,AW228=0,AV228&lt;&gt;0),SUM(AV$71:$BJ244)-AV239,-AV239)</f>
        <v>0</v>
      </c>
      <c r="AW270" s="172">
        <f>IF(AND(AW227&gt;5,AX228=0,AW228&lt;&gt;0),SUM(AW$71:$BJ244)-AW239,-AW239)</f>
        <v>0</v>
      </c>
      <c r="AX270" s="172">
        <f>IF(AND(AX227&gt;5,AY228=0,AX228&lt;&gt;0),SUM(AX$71:$BJ244)-AX239,-AX239)</f>
        <v>0</v>
      </c>
      <c r="AY270" s="172">
        <f>IF(AND(AY227&gt;5,AZ228=0,AY228&lt;&gt;0),SUM(AY$71:$BJ244)-AY239,-AY239)</f>
        <v>0</v>
      </c>
      <c r="AZ270" s="172">
        <f>IF(AND(AZ227&gt;5,BA228=0,AZ228&lt;&gt;0),SUM(AZ$71:$BJ244)-AZ239,-AZ239)</f>
        <v>0</v>
      </c>
      <c r="BA270" s="172">
        <f>IF(AND(BA227&gt;5,BB228=0,BA228&lt;&gt;0),SUM(BA$71:$BJ244)-BA239,-BA239)</f>
        <v>0</v>
      </c>
      <c r="BB270" s="172">
        <f>IF(AND(BB227&gt;5,BC228=0,BB228&lt;&gt;0),SUM(BB$71:$BJ244)-BB239,-BB239)</f>
        <v>0</v>
      </c>
      <c r="BC270" s="172">
        <f>IF(AND(BC227&gt;5,BD228=0,BC228&lt;&gt;0),SUM(BC$71:$BJ244)-BC239,-BC239)</f>
        <v>0</v>
      </c>
      <c r="BD270" s="172">
        <f>IF(AND(BD227&gt;5,BE228=0,BD228&lt;&gt;0),SUM(BD$71:$BJ244)-BD239,-BD239)</f>
        <v>0</v>
      </c>
      <c r="BE270" s="172">
        <f>IF(AND(BE227&gt;5,BF228=0,BE228&lt;&gt;0),SUM(BE$71:$BJ244)-BE239,-BE239)</f>
        <v>0</v>
      </c>
      <c r="BF270" s="172">
        <f>IF(AND(BF227&gt;5,BG228=0,BF228&lt;&gt;0),SUM(BF$71:$BJ244)-BF239,-BF239)</f>
        <v>0</v>
      </c>
      <c r="BG270" s="172">
        <f>IF(AND(BG227&gt;5,BH228=0,BG228&lt;&gt;0),SUM(BG$71:$BJ244)-BG239,-BG239)</f>
        <v>0</v>
      </c>
      <c r="BH270" s="172">
        <f>IF(AND(BH227&gt;5,BI228=0,BH228&lt;&gt;0),SUM(BH$71:$BJ244)-BH239,-BH239)</f>
        <v>0</v>
      </c>
      <c r="BI270" s="172">
        <f>IF(AND(BI227&gt;5,BJ228=0,BI228&lt;&gt;0),SUM(BI$71:$BJ244)-BI239,-BI239)</f>
        <v>0</v>
      </c>
      <c r="BJ270" s="173">
        <f>IF(AND(BJ227&gt;5,BK228=0,BJ228&lt;&gt;0),SUM(BJ$71:$BJ244)-BJ239,-BJ239)</f>
        <v>0</v>
      </c>
      <c r="BK270" s="172"/>
      <c r="BL270" s="172"/>
    </row>
    <row r="271" spans="1:64" s="160" customFormat="1">
      <c r="A271" s="176" t="s">
        <v>141</v>
      </c>
      <c r="B271" s="177">
        <f>SUM(C271:BJ271)</f>
        <v>1913314943.4333997</v>
      </c>
      <c r="C271" s="178">
        <f>C266+C269</f>
        <v>-33815835.29495126</v>
      </c>
      <c r="D271" s="179">
        <f t="shared" ref="D271:BJ271" si="142">D266+D269</f>
        <v>-38038003.717847288</v>
      </c>
      <c r="E271" s="179">
        <f t="shared" si="142"/>
        <v>-80127491.624569863</v>
      </c>
      <c r="F271" s="179">
        <f t="shared" si="142"/>
        <v>-83332591.289552659</v>
      </c>
      <c r="G271" s="179">
        <f t="shared" si="142"/>
        <v>-86665894.941134781</v>
      </c>
      <c r="H271" s="179">
        <f t="shared" si="142"/>
        <v>28234211.711329237</v>
      </c>
      <c r="I271" s="179">
        <f t="shared" si="142"/>
        <v>54936889.078574449</v>
      </c>
      <c r="J271" s="179">
        <f t="shared" si="142"/>
        <v>83730605.896461129</v>
      </c>
      <c r="K271" s="179">
        <f t="shared" si="142"/>
        <v>114739921.03725311</v>
      </c>
      <c r="L271" s="179">
        <f t="shared" si="142"/>
        <v>194451299.8121686</v>
      </c>
      <c r="M271" s="179">
        <f t="shared" si="142"/>
        <v>202229351.80465534</v>
      </c>
      <c r="N271" s="179">
        <f t="shared" si="142"/>
        <v>210318525.87684157</v>
      </c>
      <c r="O271" s="179">
        <f t="shared" si="142"/>
        <v>218731266.91191518</v>
      </c>
      <c r="P271" s="179">
        <f t="shared" si="142"/>
        <v>227480517.58839184</v>
      </c>
      <c r="Q271" s="179">
        <f t="shared" si="142"/>
        <v>236579738.29192752</v>
      </c>
      <c r="R271" s="179">
        <f t="shared" si="142"/>
        <v>246042927.82360464</v>
      </c>
      <c r="S271" s="179">
        <f t="shared" si="142"/>
        <v>157029504.7775296</v>
      </c>
      <c r="T271" s="179">
        <f t="shared" si="142"/>
        <v>123941750.85098685</v>
      </c>
      <c r="U271" s="179">
        <f t="shared" si="142"/>
        <v>87955729.402676687</v>
      </c>
      <c r="V271" s="179">
        <f t="shared" si="142"/>
        <v>48892519.4371401</v>
      </c>
      <c r="W271" s="179">
        <f t="shared" si="142"/>
        <v>0</v>
      </c>
      <c r="X271" s="179">
        <f t="shared" si="142"/>
        <v>0</v>
      </c>
      <c r="Y271" s="179">
        <f t="shared" si="142"/>
        <v>0</v>
      </c>
      <c r="Z271" s="179">
        <f t="shared" si="142"/>
        <v>0</v>
      </c>
      <c r="AA271" s="179">
        <f t="shared" si="142"/>
        <v>0</v>
      </c>
      <c r="AB271" s="179">
        <f t="shared" si="142"/>
        <v>0</v>
      </c>
      <c r="AC271" s="179">
        <f t="shared" si="142"/>
        <v>0</v>
      </c>
      <c r="AD271" s="179">
        <f t="shared" si="142"/>
        <v>0</v>
      </c>
      <c r="AE271" s="179">
        <f t="shared" si="142"/>
        <v>0</v>
      </c>
      <c r="AF271" s="179">
        <f t="shared" si="142"/>
        <v>0</v>
      </c>
      <c r="AG271" s="179">
        <f t="shared" si="142"/>
        <v>0</v>
      </c>
      <c r="AH271" s="179">
        <f t="shared" si="142"/>
        <v>0</v>
      </c>
      <c r="AI271" s="179">
        <f t="shared" si="142"/>
        <v>0</v>
      </c>
      <c r="AJ271" s="179">
        <f t="shared" si="142"/>
        <v>0</v>
      </c>
      <c r="AK271" s="179">
        <f t="shared" si="142"/>
        <v>0</v>
      </c>
      <c r="AL271" s="179">
        <f t="shared" si="142"/>
        <v>0</v>
      </c>
      <c r="AM271" s="179">
        <f t="shared" si="142"/>
        <v>0</v>
      </c>
      <c r="AN271" s="179">
        <f t="shared" si="142"/>
        <v>0</v>
      </c>
      <c r="AO271" s="179">
        <f t="shared" si="142"/>
        <v>0</v>
      </c>
      <c r="AP271" s="179">
        <f t="shared" si="142"/>
        <v>0</v>
      </c>
      <c r="AQ271" s="179">
        <f t="shared" si="142"/>
        <v>0</v>
      </c>
      <c r="AR271" s="179">
        <f t="shared" si="142"/>
        <v>0</v>
      </c>
      <c r="AS271" s="179">
        <f t="shared" si="142"/>
        <v>0</v>
      </c>
      <c r="AT271" s="179">
        <f t="shared" si="142"/>
        <v>0</v>
      </c>
      <c r="AU271" s="179">
        <f t="shared" si="142"/>
        <v>0</v>
      </c>
      <c r="AV271" s="179">
        <f t="shared" si="142"/>
        <v>0</v>
      </c>
      <c r="AW271" s="179">
        <f t="shared" si="142"/>
        <v>0</v>
      </c>
      <c r="AX271" s="179">
        <f t="shared" si="142"/>
        <v>0</v>
      </c>
      <c r="AY271" s="179">
        <f t="shared" si="142"/>
        <v>0</v>
      </c>
      <c r="AZ271" s="179">
        <f t="shared" si="142"/>
        <v>0</v>
      </c>
      <c r="BA271" s="179">
        <f t="shared" si="142"/>
        <v>0</v>
      </c>
      <c r="BB271" s="179">
        <f t="shared" si="142"/>
        <v>0</v>
      </c>
      <c r="BC271" s="179">
        <f t="shared" si="142"/>
        <v>0</v>
      </c>
      <c r="BD271" s="179">
        <f t="shared" si="142"/>
        <v>0</v>
      </c>
      <c r="BE271" s="179">
        <f t="shared" si="142"/>
        <v>0</v>
      </c>
      <c r="BF271" s="179">
        <f t="shared" si="142"/>
        <v>0</v>
      </c>
      <c r="BG271" s="179">
        <f t="shared" si="142"/>
        <v>0</v>
      </c>
      <c r="BH271" s="179">
        <f t="shared" si="142"/>
        <v>0</v>
      </c>
      <c r="BI271" s="179">
        <f t="shared" si="142"/>
        <v>0</v>
      </c>
      <c r="BJ271" s="180">
        <f t="shared" si="142"/>
        <v>0</v>
      </c>
    </row>
    <row r="272" spans="1:64" s="80" customFormat="1">
      <c r="A272" s="176" t="s">
        <v>142</v>
      </c>
      <c r="B272" s="177">
        <f>SUM(C272:BJ272)</f>
        <v>340134313.48154175</v>
      </c>
      <c r="C272" s="181">
        <f>C271*(1+$C169)^-(C227-1)</f>
        <v>-33815835.29495126</v>
      </c>
      <c r="D272" s="182">
        <f>D271*(1+$C169)^-(D227-1)</f>
        <v>-33962503.319506504</v>
      </c>
      <c r="E272" s="182">
        <f t="shared" ref="E272:BJ272" si="143">E271*(1+$C169)^-(E227-1)</f>
        <v>-63877145.746627755</v>
      </c>
      <c r="F272" s="182">
        <f t="shared" si="143"/>
        <v>-59314492.479011476</v>
      </c>
      <c r="G272" s="182">
        <f t="shared" si="143"/>
        <v>-55077743.016224958</v>
      </c>
      <c r="H272" s="182">
        <f t="shared" si="143"/>
        <v>16020849.975052798</v>
      </c>
      <c r="I272" s="182">
        <f t="shared" si="143"/>
        <v>27832737.707872275</v>
      </c>
      <c r="J272" s="182">
        <f t="shared" si="143"/>
        <v>37875473.876946852</v>
      </c>
      <c r="K272" s="182">
        <f t="shared" si="143"/>
        <v>46341529.686623707</v>
      </c>
      <c r="L272" s="182">
        <f t="shared" si="143"/>
        <v>70121088.08296673</v>
      </c>
      <c r="M272" s="182">
        <f t="shared" si="143"/>
        <v>65112438.934183389</v>
      </c>
      <c r="N272" s="182">
        <f t="shared" si="143"/>
        <v>60461550.438884571</v>
      </c>
      <c r="O272" s="182">
        <f t="shared" si="143"/>
        <v>56142868.26467853</v>
      </c>
      <c r="P272" s="182">
        <f t="shared" si="143"/>
        <v>52132663.388630055</v>
      </c>
      <c r="Q272" s="182">
        <f t="shared" si="143"/>
        <v>48408901.718013622</v>
      </c>
      <c r="R272" s="182">
        <f t="shared" si="143"/>
        <v>44951123.023869798</v>
      </c>
      <c r="S272" s="182">
        <f t="shared" si="143"/>
        <v>25614913.777699437</v>
      </c>
      <c r="T272" s="182">
        <f t="shared" si="143"/>
        <v>18051414.616561051</v>
      </c>
      <c r="U272" s="182">
        <f t="shared" si="143"/>
        <v>11437726.999984788</v>
      </c>
      <c r="V272" s="182">
        <f t="shared" si="143"/>
        <v>5676752.8458961481</v>
      </c>
      <c r="W272" s="182">
        <f t="shared" si="143"/>
        <v>0</v>
      </c>
      <c r="X272" s="182">
        <f t="shared" si="143"/>
        <v>0</v>
      </c>
      <c r="Y272" s="182">
        <f t="shared" si="143"/>
        <v>0</v>
      </c>
      <c r="Z272" s="182">
        <f t="shared" si="143"/>
        <v>0</v>
      </c>
      <c r="AA272" s="182">
        <f t="shared" si="143"/>
        <v>0</v>
      </c>
      <c r="AB272" s="182">
        <f t="shared" si="143"/>
        <v>0</v>
      </c>
      <c r="AC272" s="182">
        <f t="shared" si="143"/>
        <v>0</v>
      </c>
      <c r="AD272" s="182">
        <f t="shared" si="143"/>
        <v>0</v>
      </c>
      <c r="AE272" s="182">
        <f t="shared" si="143"/>
        <v>0</v>
      </c>
      <c r="AF272" s="182">
        <f t="shared" si="143"/>
        <v>0</v>
      </c>
      <c r="AG272" s="182">
        <f t="shared" si="143"/>
        <v>0</v>
      </c>
      <c r="AH272" s="182">
        <f t="shared" si="143"/>
        <v>0</v>
      </c>
      <c r="AI272" s="182">
        <f t="shared" si="143"/>
        <v>0</v>
      </c>
      <c r="AJ272" s="182">
        <f t="shared" si="143"/>
        <v>0</v>
      </c>
      <c r="AK272" s="182">
        <f t="shared" si="143"/>
        <v>0</v>
      </c>
      <c r="AL272" s="182">
        <f t="shared" si="143"/>
        <v>0</v>
      </c>
      <c r="AM272" s="182">
        <f t="shared" si="143"/>
        <v>0</v>
      </c>
      <c r="AN272" s="182">
        <f t="shared" si="143"/>
        <v>0</v>
      </c>
      <c r="AO272" s="182">
        <f t="shared" si="143"/>
        <v>0</v>
      </c>
      <c r="AP272" s="182">
        <f t="shared" si="143"/>
        <v>0</v>
      </c>
      <c r="AQ272" s="182">
        <f t="shared" si="143"/>
        <v>0</v>
      </c>
      <c r="AR272" s="182">
        <f t="shared" si="143"/>
        <v>0</v>
      </c>
      <c r="AS272" s="182">
        <f t="shared" si="143"/>
        <v>0</v>
      </c>
      <c r="AT272" s="182">
        <f t="shared" si="143"/>
        <v>0</v>
      </c>
      <c r="AU272" s="182">
        <f t="shared" si="143"/>
        <v>0</v>
      </c>
      <c r="AV272" s="182">
        <f t="shared" si="143"/>
        <v>0</v>
      </c>
      <c r="AW272" s="182">
        <f t="shared" si="143"/>
        <v>0</v>
      </c>
      <c r="AX272" s="182">
        <f t="shared" si="143"/>
        <v>0</v>
      </c>
      <c r="AY272" s="182">
        <f t="shared" si="143"/>
        <v>0</v>
      </c>
      <c r="AZ272" s="182">
        <f t="shared" si="143"/>
        <v>0</v>
      </c>
      <c r="BA272" s="182">
        <f t="shared" si="143"/>
        <v>0</v>
      </c>
      <c r="BB272" s="182">
        <f t="shared" si="143"/>
        <v>0</v>
      </c>
      <c r="BC272" s="182">
        <f t="shared" si="143"/>
        <v>0</v>
      </c>
      <c r="BD272" s="182">
        <f t="shared" si="143"/>
        <v>0</v>
      </c>
      <c r="BE272" s="182">
        <f t="shared" si="143"/>
        <v>0</v>
      </c>
      <c r="BF272" s="182">
        <f t="shared" si="143"/>
        <v>0</v>
      </c>
      <c r="BG272" s="182">
        <f t="shared" si="143"/>
        <v>0</v>
      </c>
      <c r="BH272" s="182">
        <f t="shared" si="143"/>
        <v>0</v>
      </c>
      <c r="BI272" s="182">
        <f t="shared" si="143"/>
        <v>0</v>
      </c>
      <c r="BJ272" s="183">
        <f t="shared" si="143"/>
        <v>0</v>
      </c>
    </row>
    <row r="273" spans="1:63" s="80" customFormat="1">
      <c r="A273" s="184" t="s">
        <v>143</v>
      </c>
      <c r="B273" s="177"/>
      <c r="C273" s="181">
        <f>C272</f>
        <v>-33815835.29495126</v>
      </c>
      <c r="D273" s="182">
        <f t="shared" ref="D273:BJ273" si="144">IF(D272=0, 0, C273+D272)</f>
        <v>-67778338.614457756</v>
      </c>
      <c r="E273" s="182">
        <f t="shared" si="144"/>
        <v>-131655484.3610855</v>
      </c>
      <c r="F273" s="182">
        <f t="shared" si="144"/>
        <v>-190969976.84009698</v>
      </c>
      <c r="G273" s="182">
        <f t="shared" si="144"/>
        <v>-246047719.85632193</v>
      </c>
      <c r="H273" s="182">
        <f t="shared" si="144"/>
        <v>-230026869.88126913</v>
      </c>
      <c r="I273" s="182">
        <f t="shared" si="144"/>
        <v>-202194132.17339686</v>
      </c>
      <c r="J273" s="182">
        <f t="shared" si="144"/>
        <v>-164318658.29645002</v>
      </c>
      <c r="K273" s="182">
        <f t="shared" si="144"/>
        <v>-117977128.60982631</v>
      </c>
      <c r="L273" s="182">
        <f t="shared" si="144"/>
        <v>-47856040.526859581</v>
      </c>
      <c r="M273" s="182">
        <f t="shared" si="144"/>
        <v>17256398.407323807</v>
      </c>
      <c r="N273" s="182">
        <f t="shared" si="144"/>
        <v>77717948.846208379</v>
      </c>
      <c r="O273" s="182">
        <f t="shared" si="144"/>
        <v>133860817.1108869</v>
      </c>
      <c r="P273" s="182">
        <f t="shared" si="144"/>
        <v>185993480.49951696</v>
      </c>
      <c r="Q273" s="182">
        <f t="shared" si="144"/>
        <v>234402382.21753058</v>
      </c>
      <c r="R273" s="182">
        <f t="shared" si="144"/>
        <v>279353505.24140036</v>
      </c>
      <c r="S273" s="182">
        <f t="shared" si="144"/>
        <v>304968419.01909977</v>
      </c>
      <c r="T273" s="182">
        <f t="shared" si="144"/>
        <v>323019833.63566083</v>
      </c>
      <c r="U273" s="182">
        <f t="shared" si="144"/>
        <v>334457560.63564563</v>
      </c>
      <c r="V273" s="182">
        <f t="shared" si="144"/>
        <v>340134313.48154175</v>
      </c>
      <c r="W273" s="182">
        <f t="shared" si="144"/>
        <v>0</v>
      </c>
      <c r="X273" s="182">
        <f t="shared" si="144"/>
        <v>0</v>
      </c>
      <c r="Y273" s="182">
        <f t="shared" si="144"/>
        <v>0</v>
      </c>
      <c r="Z273" s="182">
        <f t="shared" si="144"/>
        <v>0</v>
      </c>
      <c r="AA273" s="182">
        <f t="shared" si="144"/>
        <v>0</v>
      </c>
      <c r="AB273" s="182">
        <f t="shared" si="144"/>
        <v>0</v>
      </c>
      <c r="AC273" s="182">
        <f t="shared" si="144"/>
        <v>0</v>
      </c>
      <c r="AD273" s="182">
        <f t="shared" si="144"/>
        <v>0</v>
      </c>
      <c r="AE273" s="182">
        <f t="shared" si="144"/>
        <v>0</v>
      </c>
      <c r="AF273" s="182">
        <f t="shared" si="144"/>
        <v>0</v>
      </c>
      <c r="AG273" s="182">
        <f t="shared" si="144"/>
        <v>0</v>
      </c>
      <c r="AH273" s="182">
        <f t="shared" si="144"/>
        <v>0</v>
      </c>
      <c r="AI273" s="182">
        <f t="shared" si="144"/>
        <v>0</v>
      </c>
      <c r="AJ273" s="182">
        <f t="shared" si="144"/>
        <v>0</v>
      </c>
      <c r="AK273" s="182">
        <f t="shared" si="144"/>
        <v>0</v>
      </c>
      <c r="AL273" s="182">
        <f t="shared" si="144"/>
        <v>0</v>
      </c>
      <c r="AM273" s="182">
        <f t="shared" si="144"/>
        <v>0</v>
      </c>
      <c r="AN273" s="182">
        <f t="shared" si="144"/>
        <v>0</v>
      </c>
      <c r="AO273" s="182">
        <f t="shared" si="144"/>
        <v>0</v>
      </c>
      <c r="AP273" s="182">
        <f t="shared" si="144"/>
        <v>0</v>
      </c>
      <c r="AQ273" s="182">
        <f t="shared" si="144"/>
        <v>0</v>
      </c>
      <c r="AR273" s="182">
        <f t="shared" si="144"/>
        <v>0</v>
      </c>
      <c r="AS273" s="182">
        <f t="shared" si="144"/>
        <v>0</v>
      </c>
      <c r="AT273" s="182">
        <f t="shared" si="144"/>
        <v>0</v>
      </c>
      <c r="AU273" s="182">
        <f t="shared" si="144"/>
        <v>0</v>
      </c>
      <c r="AV273" s="182">
        <f t="shared" si="144"/>
        <v>0</v>
      </c>
      <c r="AW273" s="182">
        <f t="shared" si="144"/>
        <v>0</v>
      </c>
      <c r="AX273" s="182">
        <f t="shared" si="144"/>
        <v>0</v>
      </c>
      <c r="AY273" s="182">
        <f t="shared" si="144"/>
        <v>0</v>
      </c>
      <c r="AZ273" s="182">
        <f t="shared" si="144"/>
        <v>0</v>
      </c>
      <c r="BA273" s="182">
        <f t="shared" si="144"/>
        <v>0</v>
      </c>
      <c r="BB273" s="182">
        <f t="shared" si="144"/>
        <v>0</v>
      </c>
      <c r="BC273" s="182">
        <f t="shared" si="144"/>
        <v>0</v>
      </c>
      <c r="BD273" s="182">
        <f t="shared" si="144"/>
        <v>0</v>
      </c>
      <c r="BE273" s="182">
        <f t="shared" si="144"/>
        <v>0</v>
      </c>
      <c r="BF273" s="182">
        <f t="shared" si="144"/>
        <v>0</v>
      </c>
      <c r="BG273" s="182">
        <f t="shared" si="144"/>
        <v>0</v>
      </c>
      <c r="BH273" s="182">
        <f t="shared" si="144"/>
        <v>0</v>
      </c>
      <c r="BI273" s="182">
        <f t="shared" si="144"/>
        <v>0</v>
      </c>
      <c r="BJ273" s="183">
        <f t="shared" si="144"/>
        <v>0</v>
      </c>
    </row>
    <row r="274" spans="1:63" s="83" customFormat="1">
      <c r="A274" s="78"/>
      <c r="B274" s="81"/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2"/>
      <c r="N274" s="82"/>
      <c r="O274" s="82"/>
      <c r="P274" s="82"/>
      <c r="Q274" s="82"/>
      <c r="R274" s="82"/>
      <c r="S274" s="82"/>
      <c r="T274" s="82"/>
      <c r="U274" s="82"/>
      <c r="V274" s="82"/>
      <c r="W274" s="82"/>
      <c r="X274" s="82"/>
      <c r="Y274" s="82"/>
      <c r="Z274" s="82"/>
      <c r="AA274" s="82"/>
      <c r="AB274" s="82"/>
      <c r="AC274" s="82"/>
      <c r="AD274" s="82"/>
      <c r="AE274" s="82"/>
      <c r="AF274" s="82"/>
      <c r="AG274" s="82"/>
      <c r="AH274" s="82"/>
      <c r="AI274" s="82"/>
      <c r="AJ274" s="82"/>
      <c r="AK274" s="82"/>
      <c r="AL274" s="82"/>
      <c r="AM274" s="82"/>
      <c r="AN274" s="82"/>
      <c r="AO274" s="82"/>
      <c r="AP274" s="82"/>
      <c r="AQ274" s="82"/>
      <c r="AR274" s="82"/>
      <c r="AS274" s="82"/>
      <c r="AT274" s="82"/>
      <c r="AU274" s="82"/>
      <c r="AV274" s="82"/>
      <c r="AW274" s="82"/>
      <c r="AX274" s="82"/>
      <c r="AY274" s="82"/>
      <c r="AZ274" s="82"/>
      <c r="BA274" s="82"/>
      <c r="BB274" s="82"/>
      <c r="BC274" s="82"/>
      <c r="BD274" s="82"/>
      <c r="BE274" s="82"/>
      <c r="BF274" s="82"/>
      <c r="BG274" s="82"/>
      <c r="BH274" s="82"/>
      <c r="BI274" s="82"/>
      <c r="BJ274" s="82"/>
    </row>
    <row r="275" spans="1:63" ht="21">
      <c r="A275" s="185" t="s">
        <v>163</v>
      </c>
      <c r="B275" s="93"/>
      <c r="C275" s="186"/>
      <c r="D275" s="186"/>
      <c r="E275" s="186"/>
      <c r="F275" s="186"/>
      <c r="G275" s="186"/>
      <c r="H275" s="186"/>
      <c r="I275" s="186"/>
      <c r="J275" s="186"/>
      <c r="K275" s="186"/>
      <c r="L275" s="186"/>
      <c r="M275" s="186"/>
      <c r="N275" s="186"/>
      <c r="O275" s="186"/>
      <c r="P275" s="186"/>
      <c r="Q275" s="186"/>
      <c r="R275" s="186"/>
      <c r="S275" s="186"/>
      <c r="T275" s="186"/>
      <c r="U275" s="186"/>
      <c r="V275" s="186"/>
      <c r="W275" s="186"/>
      <c r="X275" s="186"/>
      <c r="Y275" s="186"/>
      <c r="Z275" s="186"/>
      <c r="AA275" s="186"/>
      <c r="AB275" s="186"/>
      <c r="AC275" s="186"/>
      <c r="AD275" s="186"/>
      <c r="AE275" s="186"/>
      <c r="AF275" s="186"/>
      <c r="AG275" s="186"/>
      <c r="AH275" s="186"/>
      <c r="AI275" s="186"/>
      <c r="AJ275" s="186"/>
      <c r="AK275" s="186"/>
      <c r="AL275" s="186"/>
      <c r="AM275" s="186"/>
      <c r="AN275" s="186"/>
      <c r="AO275" s="186"/>
      <c r="AP275" s="186"/>
      <c r="AQ275" s="186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186"/>
      <c r="BD275" s="186"/>
      <c r="BE275" s="186"/>
      <c r="BF275" s="186"/>
      <c r="BG275" s="186"/>
      <c r="BH275" s="186"/>
      <c r="BI275" s="186"/>
      <c r="BJ275" s="186"/>
    </row>
    <row r="276" spans="1:63">
      <c r="A276" s="187" t="s">
        <v>158</v>
      </c>
      <c r="B276" s="188">
        <f>SUM(C276:BJ276)</f>
        <v>769.08005137223563</v>
      </c>
      <c r="C276" s="189">
        <f>(C228*(1-$K169))/(1+$C169)^(C227-1)</f>
        <v>0</v>
      </c>
      <c r="D276" s="190">
        <f>(D228*(1-$K169))/(1+$C169)^(D227-1)</f>
        <v>0</v>
      </c>
      <c r="E276" s="190">
        <f t="shared" ref="E276:BJ276" si="145">(E228*(1-$K169))/(1+$C169)^(E227-1)</f>
        <v>0</v>
      </c>
      <c r="F276" s="190">
        <f t="shared" si="145"/>
        <v>0</v>
      </c>
      <c r="G276" s="190">
        <f t="shared" si="145"/>
        <v>0</v>
      </c>
      <c r="H276" s="190">
        <f t="shared" si="145"/>
        <v>23.970947519832219</v>
      </c>
      <c r="I276" s="190">
        <f t="shared" si="145"/>
        <v>42.805263428271815</v>
      </c>
      <c r="J276" s="190">
        <f t="shared" si="145"/>
        <v>57.328477805721171</v>
      </c>
      <c r="K276" s="190">
        <f t="shared" si="145"/>
        <v>68.248187863953774</v>
      </c>
      <c r="L276" s="190">
        <f t="shared" si="145"/>
        <v>100.71837997735516</v>
      </c>
      <c r="M276" s="190">
        <f t="shared" si="145"/>
        <v>89.927124979781382</v>
      </c>
      <c r="N276" s="190">
        <f t="shared" si="145"/>
        <v>80.292075874804794</v>
      </c>
      <c r="O276" s="190">
        <f t="shared" si="145"/>
        <v>71.689353459647137</v>
      </c>
      <c r="P276" s="190">
        <f t="shared" si="145"/>
        <v>64.008351303256362</v>
      </c>
      <c r="Q276" s="190">
        <f t="shared" si="145"/>
        <v>57.150313663621752</v>
      </c>
      <c r="R276" s="190">
        <f t="shared" si="145"/>
        <v>51.027065771090854</v>
      </c>
      <c r="S276" s="190">
        <f t="shared" si="145"/>
        <v>27.564298418236056</v>
      </c>
      <c r="T276" s="190">
        <f t="shared" si="145"/>
        <v>18.458235547925927</v>
      </c>
      <c r="U276" s="190">
        <f t="shared" si="145"/>
        <v>10.987044969003527</v>
      </c>
      <c r="V276" s="190">
        <f t="shared" si="145"/>
        <v>4.9049307897337169</v>
      </c>
      <c r="W276" s="190">
        <f t="shared" si="145"/>
        <v>0</v>
      </c>
      <c r="X276" s="190">
        <f t="shared" si="145"/>
        <v>0</v>
      </c>
      <c r="Y276" s="190">
        <f t="shared" si="145"/>
        <v>0</v>
      </c>
      <c r="Z276" s="190">
        <f t="shared" si="145"/>
        <v>0</v>
      </c>
      <c r="AA276" s="190">
        <f t="shared" si="145"/>
        <v>0</v>
      </c>
      <c r="AB276" s="190">
        <f t="shared" si="145"/>
        <v>0</v>
      </c>
      <c r="AC276" s="190">
        <f t="shared" si="145"/>
        <v>0</v>
      </c>
      <c r="AD276" s="190">
        <f t="shared" si="145"/>
        <v>0</v>
      </c>
      <c r="AE276" s="190">
        <f t="shared" si="145"/>
        <v>0</v>
      </c>
      <c r="AF276" s="190">
        <f t="shared" si="145"/>
        <v>0</v>
      </c>
      <c r="AG276" s="190">
        <f t="shared" si="145"/>
        <v>0</v>
      </c>
      <c r="AH276" s="190">
        <f t="shared" si="145"/>
        <v>0</v>
      </c>
      <c r="AI276" s="190">
        <f t="shared" si="145"/>
        <v>0</v>
      </c>
      <c r="AJ276" s="190">
        <f t="shared" si="145"/>
        <v>0</v>
      </c>
      <c r="AK276" s="190">
        <f t="shared" si="145"/>
        <v>0</v>
      </c>
      <c r="AL276" s="190">
        <f t="shared" si="145"/>
        <v>0</v>
      </c>
      <c r="AM276" s="190">
        <f t="shared" si="145"/>
        <v>0</v>
      </c>
      <c r="AN276" s="190">
        <f t="shared" si="145"/>
        <v>0</v>
      </c>
      <c r="AO276" s="190">
        <f t="shared" si="145"/>
        <v>0</v>
      </c>
      <c r="AP276" s="190">
        <f t="shared" si="145"/>
        <v>0</v>
      </c>
      <c r="AQ276" s="190">
        <f t="shared" si="145"/>
        <v>0</v>
      </c>
      <c r="AR276" s="190">
        <f t="shared" si="145"/>
        <v>0</v>
      </c>
      <c r="AS276" s="190">
        <f t="shared" si="145"/>
        <v>0</v>
      </c>
      <c r="AT276" s="190">
        <f t="shared" si="145"/>
        <v>0</v>
      </c>
      <c r="AU276" s="190">
        <f t="shared" si="145"/>
        <v>0</v>
      </c>
      <c r="AV276" s="190">
        <f t="shared" si="145"/>
        <v>0</v>
      </c>
      <c r="AW276" s="190">
        <f t="shared" si="145"/>
        <v>0</v>
      </c>
      <c r="AX276" s="190">
        <f t="shared" si="145"/>
        <v>0</v>
      </c>
      <c r="AY276" s="190">
        <f t="shared" si="145"/>
        <v>0</v>
      </c>
      <c r="AZ276" s="190">
        <f t="shared" si="145"/>
        <v>0</v>
      </c>
      <c r="BA276" s="190">
        <f t="shared" si="145"/>
        <v>0</v>
      </c>
      <c r="BB276" s="190">
        <f t="shared" si="145"/>
        <v>0</v>
      </c>
      <c r="BC276" s="190">
        <f t="shared" si="145"/>
        <v>0</v>
      </c>
      <c r="BD276" s="190">
        <f t="shared" si="145"/>
        <v>0</v>
      </c>
      <c r="BE276" s="190">
        <f t="shared" si="145"/>
        <v>0</v>
      </c>
      <c r="BF276" s="190">
        <f t="shared" si="145"/>
        <v>0</v>
      </c>
      <c r="BG276" s="190">
        <f t="shared" si="145"/>
        <v>0</v>
      </c>
      <c r="BH276" s="190">
        <f t="shared" si="145"/>
        <v>0</v>
      </c>
      <c r="BI276" s="190">
        <f t="shared" si="145"/>
        <v>0</v>
      </c>
      <c r="BJ276" s="191">
        <f t="shared" si="145"/>
        <v>0</v>
      </c>
    </row>
    <row r="277" spans="1:63">
      <c r="A277" s="192" t="s">
        <v>159</v>
      </c>
      <c r="B277" s="193">
        <f>SUM(C277:BJ277)</f>
        <v>344057841.72229809</v>
      </c>
      <c r="C277" s="194">
        <f>(((C230+C259)*(1-$K169))-(C269-C239))/(1+$C169)^(C227-1)</f>
        <v>38717500.106421009</v>
      </c>
      <c r="D277" s="186">
        <f>(((D230+D259)*(1-$K169))-(D269-D239))/(1+$C169)^(D227-1)</f>
        <v>38161586.319665</v>
      </c>
      <c r="E277" s="186">
        <f t="shared" ref="E277:BJ277" si="146">(((E230+E259)*(1-$K169))-(E269-E239))/(1+$C169)^(E227-1)</f>
        <v>67125601.916512534</v>
      </c>
      <c r="F277" s="186">
        <f t="shared" si="146"/>
        <v>61726701.758660831</v>
      </c>
      <c r="G277" s="186">
        <f t="shared" si="146"/>
        <v>56756595.491132289</v>
      </c>
      <c r="H277" s="186">
        <f t="shared" si="146"/>
        <v>418413.5269899987</v>
      </c>
      <c r="I277" s="186">
        <f t="shared" si="146"/>
        <v>2697323.0816357653</v>
      </c>
      <c r="J277" s="186">
        <f t="shared" si="146"/>
        <v>4648539.3655821867</v>
      </c>
      <c r="K277" s="186">
        <f t="shared" si="146"/>
        <v>6307248.6136503685</v>
      </c>
      <c r="L277" s="186">
        <f t="shared" si="146"/>
        <v>10684099.821969258</v>
      </c>
      <c r="M277" s="186">
        <f t="shared" si="146"/>
        <v>9920949.834685741</v>
      </c>
      <c r="N277" s="186">
        <f t="shared" si="146"/>
        <v>9212310.5607796125</v>
      </c>
      <c r="O277" s="186">
        <f t="shared" si="146"/>
        <v>8554288.377866786</v>
      </c>
      <c r="P277" s="186">
        <f t="shared" si="146"/>
        <v>7943267.7794477297</v>
      </c>
      <c r="Q277" s="186">
        <f t="shared" si="146"/>
        <v>7375891.5094871754</v>
      </c>
      <c r="R277" s="186">
        <f t="shared" si="146"/>
        <v>6849042.1159523781</v>
      </c>
      <c r="S277" s="186">
        <f t="shared" si="146"/>
        <v>3486281.7543073478</v>
      </c>
      <c r="T277" s="186">
        <f t="shared" si="146"/>
        <v>2215489.414657956</v>
      </c>
      <c r="U277" s="186">
        <f t="shared" si="146"/>
        <v>1108451.6860079318</v>
      </c>
      <c r="V277" s="186">
        <f t="shared" si="146"/>
        <v>148258.68688618668</v>
      </c>
      <c r="W277" s="186">
        <f t="shared" si="146"/>
        <v>0</v>
      </c>
      <c r="X277" s="186">
        <f t="shared" si="146"/>
        <v>0</v>
      </c>
      <c r="Y277" s="186">
        <f t="shared" si="146"/>
        <v>0</v>
      </c>
      <c r="Z277" s="186">
        <f t="shared" si="146"/>
        <v>0</v>
      </c>
      <c r="AA277" s="186">
        <f t="shared" si="146"/>
        <v>0</v>
      </c>
      <c r="AB277" s="186">
        <f t="shared" si="146"/>
        <v>0</v>
      </c>
      <c r="AC277" s="186">
        <f t="shared" si="146"/>
        <v>0</v>
      </c>
      <c r="AD277" s="186">
        <f t="shared" si="146"/>
        <v>0</v>
      </c>
      <c r="AE277" s="186">
        <f t="shared" si="146"/>
        <v>0</v>
      </c>
      <c r="AF277" s="186">
        <f t="shared" si="146"/>
        <v>0</v>
      </c>
      <c r="AG277" s="186">
        <f t="shared" si="146"/>
        <v>0</v>
      </c>
      <c r="AH277" s="186">
        <f t="shared" si="146"/>
        <v>0</v>
      </c>
      <c r="AI277" s="186">
        <f t="shared" si="146"/>
        <v>0</v>
      </c>
      <c r="AJ277" s="186">
        <f t="shared" si="146"/>
        <v>0</v>
      </c>
      <c r="AK277" s="186">
        <f t="shared" si="146"/>
        <v>0</v>
      </c>
      <c r="AL277" s="186">
        <f t="shared" si="146"/>
        <v>0</v>
      </c>
      <c r="AM277" s="186">
        <f t="shared" si="146"/>
        <v>0</v>
      </c>
      <c r="AN277" s="186">
        <f t="shared" si="146"/>
        <v>0</v>
      </c>
      <c r="AO277" s="186">
        <f t="shared" si="146"/>
        <v>0</v>
      </c>
      <c r="AP277" s="186">
        <f t="shared" si="146"/>
        <v>0</v>
      </c>
      <c r="AQ277" s="186">
        <f t="shared" si="146"/>
        <v>0</v>
      </c>
      <c r="AR277" s="186">
        <f t="shared" si="146"/>
        <v>0</v>
      </c>
      <c r="AS277" s="186">
        <f t="shared" si="146"/>
        <v>0</v>
      </c>
      <c r="AT277" s="186">
        <f t="shared" si="146"/>
        <v>0</v>
      </c>
      <c r="AU277" s="186">
        <f t="shared" si="146"/>
        <v>0</v>
      </c>
      <c r="AV277" s="186">
        <f t="shared" si="146"/>
        <v>0</v>
      </c>
      <c r="AW277" s="186">
        <f t="shared" si="146"/>
        <v>0</v>
      </c>
      <c r="AX277" s="186">
        <f t="shared" si="146"/>
        <v>0</v>
      </c>
      <c r="AY277" s="186">
        <f t="shared" si="146"/>
        <v>0</v>
      </c>
      <c r="AZ277" s="186">
        <f t="shared" si="146"/>
        <v>0</v>
      </c>
      <c r="BA277" s="186">
        <f t="shared" si="146"/>
        <v>0</v>
      </c>
      <c r="BB277" s="186">
        <f t="shared" si="146"/>
        <v>0</v>
      </c>
      <c r="BC277" s="186">
        <f t="shared" si="146"/>
        <v>0</v>
      </c>
      <c r="BD277" s="186">
        <f t="shared" si="146"/>
        <v>0</v>
      </c>
      <c r="BE277" s="186">
        <f t="shared" si="146"/>
        <v>0</v>
      </c>
      <c r="BF277" s="186">
        <f t="shared" si="146"/>
        <v>0</v>
      </c>
      <c r="BG277" s="186">
        <f t="shared" si="146"/>
        <v>0</v>
      </c>
      <c r="BH277" s="186">
        <f t="shared" si="146"/>
        <v>0</v>
      </c>
      <c r="BI277" s="186">
        <f t="shared" si="146"/>
        <v>0</v>
      </c>
      <c r="BJ277" s="195">
        <f t="shared" si="146"/>
        <v>0</v>
      </c>
    </row>
    <row r="278" spans="1:63">
      <c r="A278" s="196" t="s">
        <v>160</v>
      </c>
      <c r="B278" s="197">
        <f>B277/B276</f>
        <v>447362.84748045518</v>
      </c>
      <c r="C278" s="166"/>
      <c r="D278" s="167"/>
      <c r="E278" s="167"/>
      <c r="F278" s="167"/>
      <c r="G278" s="167"/>
      <c r="H278" s="167"/>
      <c r="I278" s="167"/>
      <c r="J278" s="167"/>
      <c r="K278" s="167"/>
      <c r="L278" s="167"/>
      <c r="M278" s="167"/>
      <c r="N278" s="167"/>
      <c r="O278" s="167"/>
      <c r="P278" s="167"/>
      <c r="Q278" s="167"/>
      <c r="R278" s="167"/>
      <c r="S278" s="167"/>
      <c r="T278" s="167"/>
      <c r="U278" s="167"/>
      <c r="V278" s="167"/>
      <c r="W278" s="167"/>
      <c r="X278" s="167"/>
      <c r="Y278" s="167"/>
      <c r="Z278" s="167"/>
      <c r="AA278" s="167"/>
      <c r="AB278" s="167"/>
      <c r="AC278" s="167"/>
      <c r="AD278" s="167"/>
      <c r="AE278" s="167"/>
      <c r="AF278" s="167"/>
      <c r="AG278" s="167"/>
      <c r="AH278" s="167"/>
      <c r="AI278" s="167"/>
      <c r="AJ278" s="167"/>
      <c r="AK278" s="167"/>
      <c r="AL278" s="167"/>
      <c r="AM278" s="167"/>
      <c r="AN278" s="167"/>
      <c r="AO278" s="167"/>
      <c r="AP278" s="167"/>
      <c r="AQ278" s="167"/>
      <c r="AR278" s="167"/>
      <c r="AS278" s="167"/>
      <c r="AT278" s="167"/>
      <c r="AU278" s="167"/>
      <c r="AV278" s="167"/>
      <c r="AW278" s="167"/>
      <c r="AX278" s="167"/>
      <c r="AY278" s="167"/>
      <c r="AZ278" s="167"/>
      <c r="BA278" s="167"/>
      <c r="BB278" s="167"/>
      <c r="BC278" s="167"/>
      <c r="BD278" s="167"/>
      <c r="BE278" s="167"/>
      <c r="BF278" s="167"/>
      <c r="BG278" s="167"/>
      <c r="BH278" s="167"/>
      <c r="BI278" s="167"/>
      <c r="BJ278" s="198"/>
    </row>
    <row r="279" spans="1:63">
      <c r="A279" s="187" t="s">
        <v>158</v>
      </c>
      <c r="B279" s="188">
        <f>SUM(C279:BJ279)</f>
        <v>2799.9999999999991</v>
      </c>
      <c r="C279" s="189">
        <f>(C228*(1-$K169))/(1)^(C227-1)</f>
        <v>0</v>
      </c>
      <c r="D279" s="190">
        <f>(D228*(1-$K169))/(1)^(D227-1)</f>
        <v>0</v>
      </c>
      <c r="E279" s="190">
        <f t="shared" ref="E279:BJ279" si="147">(E228*(1-$K169))/(1)^(E227-1)</f>
        <v>0</v>
      </c>
      <c r="F279" s="190">
        <f t="shared" si="147"/>
        <v>0</v>
      </c>
      <c r="G279" s="190">
        <f t="shared" si="147"/>
        <v>0</v>
      </c>
      <c r="H279" s="190">
        <f t="shared" si="147"/>
        <v>42.24499999999999</v>
      </c>
      <c r="I279" s="190">
        <f t="shared" si="147"/>
        <v>84.489999999999981</v>
      </c>
      <c r="J279" s="190">
        <f t="shared" si="147"/>
        <v>126.73499999999996</v>
      </c>
      <c r="K279" s="190">
        <f t="shared" si="147"/>
        <v>168.97999999999996</v>
      </c>
      <c r="L279" s="190">
        <f t="shared" si="147"/>
        <v>279.29999999999995</v>
      </c>
      <c r="M279" s="190">
        <f t="shared" si="147"/>
        <v>279.29999999999995</v>
      </c>
      <c r="N279" s="190">
        <f t="shared" si="147"/>
        <v>279.29999999999995</v>
      </c>
      <c r="O279" s="190">
        <f t="shared" si="147"/>
        <v>279.29999999999995</v>
      </c>
      <c r="P279" s="190">
        <f t="shared" si="147"/>
        <v>279.29999999999995</v>
      </c>
      <c r="Q279" s="190">
        <f t="shared" si="147"/>
        <v>279.29999999999995</v>
      </c>
      <c r="R279" s="190">
        <f t="shared" si="147"/>
        <v>279.29999999999995</v>
      </c>
      <c r="S279" s="190">
        <f t="shared" si="147"/>
        <v>168.97999999999996</v>
      </c>
      <c r="T279" s="190">
        <f t="shared" si="147"/>
        <v>126.73499999999996</v>
      </c>
      <c r="U279" s="190">
        <f t="shared" si="147"/>
        <v>84.489999999999981</v>
      </c>
      <c r="V279" s="190">
        <f t="shared" si="147"/>
        <v>42.24499999999999</v>
      </c>
      <c r="W279" s="190">
        <f t="shared" si="147"/>
        <v>0</v>
      </c>
      <c r="X279" s="190">
        <f t="shared" si="147"/>
        <v>0</v>
      </c>
      <c r="Y279" s="190">
        <f t="shared" si="147"/>
        <v>0</v>
      </c>
      <c r="Z279" s="190">
        <f t="shared" si="147"/>
        <v>0</v>
      </c>
      <c r="AA279" s="190">
        <f t="shared" si="147"/>
        <v>0</v>
      </c>
      <c r="AB279" s="190">
        <f t="shared" si="147"/>
        <v>0</v>
      </c>
      <c r="AC279" s="190">
        <f t="shared" si="147"/>
        <v>0</v>
      </c>
      <c r="AD279" s="190">
        <f t="shared" si="147"/>
        <v>0</v>
      </c>
      <c r="AE279" s="190">
        <f t="shared" si="147"/>
        <v>0</v>
      </c>
      <c r="AF279" s="190">
        <f t="shared" si="147"/>
        <v>0</v>
      </c>
      <c r="AG279" s="190">
        <f t="shared" si="147"/>
        <v>0</v>
      </c>
      <c r="AH279" s="190">
        <f t="shared" si="147"/>
        <v>0</v>
      </c>
      <c r="AI279" s="190">
        <f t="shared" si="147"/>
        <v>0</v>
      </c>
      <c r="AJ279" s="190">
        <f t="shared" si="147"/>
        <v>0</v>
      </c>
      <c r="AK279" s="190">
        <f t="shared" si="147"/>
        <v>0</v>
      </c>
      <c r="AL279" s="190">
        <f t="shared" si="147"/>
        <v>0</v>
      </c>
      <c r="AM279" s="190">
        <f t="shared" si="147"/>
        <v>0</v>
      </c>
      <c r="AN279" s="190">
        <f t="shared" si="147"/>
        <v>0</v>
      </c>
      <c r="AO279" s="190">
        <f t="shared" si="147"/>
        <v>0</v>
      </c>
      <c r="AP279" s="190">
        <f t="shared" si="147"/>
        <v>0</v>
      </c>
      <c r="AQ279" s="190">
        <f t="shared" si="147"/>
        <v>0</v>
      </c>
      <c r="AR279" s="190">
        <f t="shared" si="147"/>
        <v>0</v>
      </c>
      <c r="AS279" s="190">
        <f t="shared" si="147"/>
        <v>0</v>
      </c>
      <c r="AT279" s="190">
        <f t="shared" si="147"/>
        <v>0</v>
      </c>
      <c r="AU279" s="190">
        <f t="shared" si="147"/>
        <v>0</v>
      </c>
      <c r="AV279" s="190">
        <f t="shared" si="147"/>
        <v>0</v>
      </c>
      <c r="AW279" s="190">
        <f t="shared" si="147"/>
        <v>0</v>
      </c>
      <c r="AX279" s="190">
        <f t="shared" si="147"/>
        <v>0</v>
      </c>
      <c r="AY279" s="190">
        <f t="shared" si="147"/>
        <v>0</v>
      </c>
      <c r="AZ279" s="190">
        <f t="shared" si="147"/>
        <v>0</v>
      </c>
      <c r="BA279" s="190">
        <f t="shared" si="147"/>
        <v>0</v>
      </c>
      <c r="BB279" s="190">
        <f t="shared" si="147"/>
        <v>0</v>
      </c>
      <c r="BC279" s="190">
        <f t="shared" si="147"/>
        <v>0</v>
      </c>
      <c r="BD279" s="190">
        <f t="shared" si="147"/>
        <v>0</v>
      </c>
      <c r="BE279" s="190">
        <f t="shared" si="147"/>
        <v>0</v>
      </c>
      <c r="BF279" s="190">
        <f t="shared" si="147"/>
        <v>0</v>
      </c>
      <c r="BG279" s="190">
        <f t="shared" si="147"/>
        <v>0</v>
      </c>
      <c r="BH279" s="190">
        <f t="shared" si="147"/>
        <v>0</v>
      </c>
      <c r="BI279" s="190">
        <f t="shared" si="147"/>
        <v>0</v>
      </c>
      <c r="BJ279" s="191">
        <f t="shared" si="147"/>
        <v>0</v>
      </c>
    </row>
    <row r="280" spans="1:63">
      <c r="A280" s="192" t="s">
        <v>159</v>
      </c>
      <c r="B280" s="193">
        <f>SUM(C280:BJ280)</f>
        <v>654038664.14349437</v>
      </c>
      <c r="C280" s="194">
        <f>(((C230+C259)*(1-$K169))-(C269-C239))/(1)^(C227-1)</f>
        <v>38717500.106421009</v>
      </c>
      <c r="D280" s="186">
        <f>(((D230+D259)*(1-$K169))-(D269-D239))/(1)^(D227-1)</f>
        <v>42740976.678024806</v>
      </c>
      <c r="E280" s="186">
        <f t="shared" ref="E280:BJ280" si="148">(((E230+E259)*(1-$K169))-(E269-E239))/(1)^(E227-1)</f>
        <v>84202355.044073343</v>
      </c>
      <c r="F280" s="186">
        <f t="shared" si="148"/>
        <v>86721571.648391873</v>
      </c>
      <c r="G280" s="186">
        <f t="shared" si="148"/>
        <v>89307601.81298539</v>
      </c>
      <c r="H280" s="186">
        <f t="shared" si="148"/>
        <v>737387.5994292032</v>
      </c>
      <c r="I280" s="186">
        <f t="shared" si="148"/>
        <v>5324037.4878030904</v>
      </c>
      <c r="J280" s="186">
        <f t="shared" si="148"/>
        <v>10276439.5470878</v>
      </c>
      <c r="K280" s="186">
        <f t="shared" si="148"/>
        <v>15616515.31113481</v>
      </c>
      <c r="L280" s="186">
        <f t="shared" si="148"/>
        <v>29627850.258780286</v>
      </c>
      <c r="M280" s="186">
        <f t="shared" si="148"/>
        <v>30812964.269131504</v>
      </c>
      <c r="N280" s="186">
        <f t="shared" si="148"/>
        <v>32045482.839896761</v>
      </c>
      <c r="O280" s="186">
        <f t="shared" si="148"/>
        <v>33327302.153492637</v>
      </c>
      <c r="P280" s="186">
        <f t="shared" si="148"/>
        <v>34660394.239632346</v>
      </c>
      <c r="Q280" s="186">
        <f t="shared" si="148"/>
        <v>36046810.009217635</v>
      </c>
      <c r="R280" s="186">
        <f t="shared" si="148"/>
        <v>37488682.40958634</v>
      </c>
      <c r="S280" s="186">
        <f t="shared" si="148"/>
        <v>21372279.529999189</v>
      </c>
      <c r="T280" s="186">
        <f t="shared" si="148"/>
        <v>15211640.908885576</v>
      </c>
      <c r="U280" s="186">
        <f t="shared" si="148"/>
        <v>8523955.5508348867</v>
      </c>
      <c r="V280" s="186">
        <f t="shared" si="148"/>
        <v>1276916.7386859246</v>
      </c>
      <c r="W280" s="186">
        <f t="shared" si="148"/>
        <v>0</v>
      </c>
      <c r="X280" s="186">
        <f t="shared" si="148"/>
        <v>0</v>
      </c>
      <c r="Y280" s="186">
        <f t="shared" si="148"/>
        <v>0</v>
      </c>
      <c r="Z280" s="186">
        <f t="shared" si="148"/>
        <v>0</v>
      </c>
      <c r="AA280" s="186">
        <f t="shared" si="148"/>
        <v>0</v>
      </c>
      <c r="AB280" s="186">
        <f t="shared" si="148"/>
        <v>0</v>
      </c>
      <c r="AC280" s="186">
        <f t="shared" si="148"/>
        <v>0</v>
      </c>
      <c r="AD280" s="186">
        <f t="shared" si="148"/>
        <v>0</v>
      </c>
      <c r="AE280" s="186">
        <f t="shared" si="148"/>
        <v>0</v>
      </c>
      <c r="AF280" s="186">
        <f t="shared" si="148"/>
        <v>0</v>
      </c>
      <c r="AG280" s="186">
        <f t="shared" si="148"/>
        <v>0</v>
      </c>
      <c r="AH280" s="186">
        <f t="shared" si="148"/>
        <v>0</v>
      </c>
      <c r="AI280" s="186">
        <f t="shared" si="148"/>
        <v>0</v>
      </c>
      <c r="AJ280" s="186">
        <f t="shared" si="148"/>
        <v>0</v>
      </c>
      <c r="AK280" s="186">
        <f t="shared" si="148"/>
        <v>0</v>
      </c>
      <c r="AL280" s="186">
        <f t="shared" si="148"/>
        <v>0</v>
      </c>
      <c r="AM280" s="186">
        <f t="shared" si="148"/>
        <v>0</v>
      </c>
      <c r="AN280" s="186">
        <f t="shared" si="148"/>
        <v>0</v>
      </c>
      <c r="AO280" s="186">
        <f t="shared" si="148"/>
        <v>0</v>
      </c>
      <c r="AP280" s="186">
        <f t="shared" si="148"/>
        <v>0</v>
      </c>
      <c r="AQ280" s="186">
        <f t="shared" si="148"/>
        <v>0</v>
      </c>
      <c r="AR280" s="186">
        <f t="shared" si="148"/>
        <v>0</v>
      </c>
      <c r="AS280" s="186">
        <f t="shared" si="148"/>
        <v>0</v>
      </c>
      <c r="AT280" s="186">
        <f t="shared" si="148"/>
        <v>0</v>
      </c>
      <c r="AU280" s="186">
        <f t="shared" si="148"/>
        <v>0</v>
      </c>
      <c r="AV280" s="186">
        <f t="shared" si="148"/>
        <v>0</v>
      </c>
      <c r="AW280" s="186">
        <f t="shared" si="148"/>
        <v>0</v>
      </c>
      <c r="AX280" s="186">
        <f t="shared" si="148"/>
        <v>0</v>
      </c>
      <c r="AY280" s="186">
        <f t="shared" si="148"/>
        <v>0</v>
      </c>
      <c r="AZ280" s="186">
        <f t="shared" si="148"/>
        <v>0</v>
      </c>
      <c r="BA280" s="186">
        <f t="shared" si="148"/>
        <v>0</v>
      </c>
      <c r="BB280" s="186">
        <f t="shared" si="148"/>
        <v>0</v>
      </c>
      <c r="BC280" s="186">
        <f t="shared" si="148"/>
        <v>0</v>
      </c>
      <c r="BD280" s="186">
        <f t="shared" si="148"/>
        <v>0</v>
      </c>
      <c r="BE280" s="186">
        <f t="shared" si="148"/>
        <v>0</v>
      </c>
      <c r="BF280" s="186">
        <f t="shared" si="148"/>
        <v>0</v>
      </c>
      <c r="BG280" s="186">
        <f t="shared" si="148"/>
        <v>0</v>
      </c>
      <c r="BH280" s="186">
        <f t="shared" si="148"/>
        <v>0</v>
      </c>
      <c r="BI280" s="186">
        <f t="shared" si="148"/>
        <v>0</v>
      </c>
      <c r="BJ280" s="195">
        <f t="shared" si="148"/>
        <v>0</v>
      </c>
      <c r="BK280" s="186"/>
    </row>
    <row r="281" spans="1:63">
      <c r="A281" s="196" t="s">
        <v>161</v>
      </c>
      <c r="B281" s="197">
        <f>B280/B279</f>
        <v>233585.2371941052</v>
      </c>
      <c r="C281" s="166"/>
      <c r="D281" s="167"/>
      <c r="E281" s="167"/>
      <c r="F281" s="167"/>
      <c r="G281" s="167"/>
      <c r="H281" s="167"/>
      <c r="I281" s="167"/>
      <c r="J281" s="167"/>
      <c r="K281" s="167"/>
      <c r="L281" s="167"/>
      <c r="M281" s="167"/>
      <c r="N281" s="167"/>
      <c r="O281" s="167"/>
      <c r="P281" s="167"/>
      <c r="Q281" s="167"/>
      <c r="R281" s="167"/>
      <c r="S281" s="167"/>
      <c r="T281" s="167"/>
      <c r="U281" s="167"/>
      <c r="V281" s="167"/>
      <c r="W281" s="167"/>
      <c r="X281" s="167"/>
      <c r="Y281" s="167"/>
      <c r="Z281" s="167"/>
      <c r="AA281" s="167"/>
      <c r="AB281" s="167"/>
      <c r="AC281" s="167"/>
      <c r="AD281" s="167"/>
      <c r="AE281" s="167"/>
      <c r="AF281" s="167"/>
      <c r="AG281" s="167"/>
      <c r="AH281" s="167"/>
      <c r="AI281" s="167"/>
      <c r="AJ281" s="167"/>
      <c r="AK281" s="167"/>
      <c r="AL281" s="167"/>
      <c r="AM281" s="167"/>
      <c r="AN281" s="167"/>
      <c r="AO281" s="167"/>
      <c r="AP281" s="167"/>
      <c r="AQ281" s="167"/>
      <c r="AR281" s="167"/>
      <c r="AS281" s="167"/>
      <c r="AT281" s="167"/>
      <c r="AU281" s="167"/>
      <c r="AV281" s="167"/>
      <c r="AW281" s="167"/>
      <c r="AX281" s="167"/>
      <c r="AY281" s="167"/>
      <c r="AZ281" s="167"/>
      <c r="BA281" s="167"/>
      <c r="BB281" s="167"/>
      <c r="BC281" s="167"/>
      <c r="BD281" s="167"/>
      <c r="BE281" s="167"/>
      <c r="BF281" s="167"/>
      <c r="BG281" s="167"/>
      <c r="BH281" s="167"/>
      <c r="BI281" s="167"/>
      <c r="BJ281" s="198"/>
    </row>
    <row r="282" spans="1:63">
      <c r="A282" s="216" t="s">
        <v>164</v>
      </c>
      <c r="B282" s="235">
        <v>11</v>
      </c>
      <c r="C282" s="218"/>
      <c r="D282" s="186"/>
      <c r="E282" s="186"/>
      <c r="F282" s="186"/>
      <c r="G282" s="186"/>
      <c r="H282" s="186"/>
      <c r="I282" s="186"/>
      <c r="J282" s="186"/>
      <c r="K282" s="186"/>
      <c r="L282" s="186"/>
      <c r="M282" s="186"/>
      <c r="N282" s="186"/>
      <c r="O282" s="186"/>
      <c r="P282" s="186"/>
      <c r="Q282" s="186"/>
      <c r="R282" s="186"/>
      <c r="S282" s="186"/>
      <c r="T282" s="186"/>
      <c r="U282" s="186"/>
      <c r="V282" s="186"/>
      <c r="W282" s="186"/>
      <c r="X282" s="186"/>
      <c r="Y282" s="186"/>
      <c r="Z282" s="186"/>
      <c r="AA282" s="186"/>
      <c r="AB282" s="186"/>
      <c r="AC282" s="186"/>
      <c r="AD282" s="186"/>
      <c r="AE282" s="186"/>
      <c r="AF282" s="186"/>
      <c r="AG282" s="186"/>
      <c r="AH282" s="186"/>
      <c r="AI282" s="186"/>
      <c r="AJ282" s="186"/>
      <c r="AK282" s="186"/>
      <c r="AL282" s="186"/>
      <c r="AM282" s="186"/>
      <c r="AN282" s="186"/>
      <c r="AO282" s="186"/>
      <c r="AP282" s="186"/>
      <c r="AQ282" s="186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186"/>
      <c r="BD282" s="186"/>
      <c r="BE282" s="186"/>
      <c r="BF282" s="186"/>
      <c r="BG282" s="186"/>
      <c r="BH282" s="186"/>
      <c r="BI282" s="186"/>
      <c r="BJ282" s="186"/>
    </row>
    <row r="284" spans="1:63">
      <c r="A284" s="105"/>
      <c r="B284" s="221"/>
      <c r="C284" s="221"/>
      <c r="D284" s="221"/>
      <c r="E284" s="221"/>
      <c r="F284" s="221"/>
      <c r="G284" s="160"/>
      <c r="H284" s="221"/>
      <c r="I284" s="221"/>
      <c r="J284" s="221"/>
      <c r="K284" s="221"/>
      <c r="L284" s="221"/>
    </row>
    <row r="285" spans="1:63" ht="28.5">
      <c r="A285" s="84">
        <v>3</v>
      </c>
      <c r="B285" s="85" t="s">
        <v>147</v>
      </c>
      <c r="C285" s="86">
        <v>0.12</v>
      </c>
      <c r="D285" s="85" t="s">
        <v>148</v>
      </c>
      <c r="E285" s="86">
        <v>0.25</v>
      </c>
      <c r="F285" s="85" t="s">
        <v>149</v>
      </c>
      <c r="G285" s="86">
        <v>0.04</v>
      </c>
      <c r="H285" s="85" t="s">
        <v>150</v>
      </c>
      <c r="I285" s="87">
        <v>0.1</v>
      </c>
      <c r="J285" s="85" t="s">
        <v>151</v>
      </c>
      <c r="K285" s="86">
        <v>0.3</v>
      </c>
      <c r="L285" s="85" t="s">
        <v>152</v>
      </c>
      <c r="M285" s="87">
        <v>0.26</v>
      </c>
      <c r="N285" s="85" t="s">
        <v>153</v>
      </c>
      <c r="O285" s="88">
        <v>30</v>
      </c>
    </row>
    <row r="286" spans="1:63" s="94" customFormat="1">
      <c r="A286" s="90" t="s">
        <v>154</v>
      </c>
      <c r="B286" s="91" t="s">
        <v>155</v>
      </c>
      <c r="C286" s="91">
        <v>1</v>
      </c>
      <c r="D286" s="92">
        <v>2</v>
      </c>
      <c r="E286" s="92">
        <v>3</v>
      </c>
      <c r="F286" s="92">
        <v>4</v>
      </c>
      <c r="G286" s="92">
        <v>5</v>
      </c>
      <c r="H286" s="92">
        <v>6</v>
      </c>
      <c r="I286" s="92">
        <v>7</v>
      </c>
      <c r="J286" s="92">
        <v>8</v>
      </c>
      <c r="K286" s="92">
        <v>9</v>
      </c>
      <c r="L286" s="92">
        <v>10</v>
      </c>
      <c r="M286" s="92">
        <v>11</v>
      </c>
      <c r="N286" s="92">
        <v>12</v>
      </c>
      <c r="O286" s="92">
        <v>13</v>
      </c>
      <c r="P286" s="92">
        <v>14</v>
      </c>
      <c r="Q286" s="92">
        <v>15</v>
      </c>
      <c r="R286" s="92">
        <v>16</v>
      </c>
      <c r="S286" s="92">
        <v>17</v>
      </c>
      <c r="T286" s="92">
        <v>18</v>
      </c>
      <c r="U286" s="92">
        <v>19</v>
      </c>
      <c r="V286" s="92">
        <v>20</v>
      </c>
      <c r="W286" s="92">
        <v>21</v>
      </c>
      <c r="X286" s="92">
        <v>22</v>
      </c>
      <c r="Y286" s="92">
        <v>23</v>
      </c>
      <c r="Z286" s="92">
        <v>24</v>
      </c>
      <c r="AA286" s="92">
        <v>25</v>
      </c>
      <c r="AB286" s="92">
        <v>26</v>
      </c>
      <c r="AC286" s="92">
        <v>27</v>
      </c>
      <c r="AD286" s="92">
        <v>28</v>
      </c>
      <c r="AE286" s="92">
        <v>29</v>
      </c>
      <c r="AF286" s="92">
        <v>30</v>
      </c>
      <c r="AG286" s="92">
        <v>31</v>
      </c>
      <c r="AH286" s="92">
        <v>32</v>
      </c>
      <c r="AI286" s="92">
        <v>33</v>
      </c>
      <c r="AJ286" s="92">
        <v>34</v>
      </c>
      <c r="AK286" s="92">
        <v>35</v>
      </c>
      <c r="AL286" s="92">
        <v>36</v>
      </c>
      <c r="AM286" s="92">
        <v>37</v>
      </c>
      <c r="AN286" s="92">
        <v>38</v>
      </c>
      <c r="AO286" s="92">
        <v>39</v>
      </c>
      <c r="AP286" s="92">
        <v>40</v>
      </c>
      <c r="AQ286" s="92">
        <v>41</v>
      </c>
      <c r="AR286" s="92">
        <v>42</v>
      </c>
      <c r="AS286" s="92">
        <v>43</v>
      </c>
      <c r="AT286" s="92">
        <v>44</v>
      </c>
      <c r="AU286" s="92">
        <v>45</v>
      </c>
      <c r="AV286" s="92">
        <v>46</v>
      </c>
      <c r="AW286" s="92">
        <v>47</v>
      </c>
      <c r="AX286" s="92">
        <v>48</v>
      </c>
      <c r="AY286" s="92">
        <v>49</v>
      </c>
      <c r="AZ286" s="92">
        <v>50</v>
      </c>
      <c r="BA286" s="92">
        <v>51</v>
      </c>
      <c r="BB286" s="92">
        <v>52</v>
      </c>
      <c r="BC286" s="92">
        <v>53</v>
      </c>
      <c r="BD286" s="92">
        <v>54</v>
      </c>
      <c r="BE286" s="92">
        <v>55</v>
      </c>
      <c r="BF286" s="92">
        <v>56</v>
      </c>
      <c r="BG286" s="92">
        <v>57</v>
      </c>
      <c r="BH286" s="92">
        <v>58</v>
      </c>
      <c r="BI286" s="92">
        <v>59</v>
      </c>
      <c r="BJ286" s="93">
        <v>60</v>
      </c>
    </row>
    <row r="287" spans="1:63" s="100" customFormat="1">
      <c r="A287" s="95" t="s">
        <v>156</v>
      </c>
      <c r="B287" s="97">
        <f>SUM(C287:BJ287)</f>
        <v>4000</v>
      </c>
      <c r="C287" s="97">
        <v>0</v>
      </c>
      <c r="D287" s="98">
        <v>0</v>
      </c>
      <c r="E287" s="98">
        <v>0</v>
      </c>
      <c r="F287" s="98">
        <v>0</v>
      </c>
      <c r="G287" s="98">
        <v>0</v>
      </c>
      <c r="H287" s="98">
        <v>60.79999999999999</v>
      </c>
      <c r="I287" s="98">
        <v>121.59999999999998</v>
      </c>
      <c r="J287" s="98">
        <v>182.39999999999995</v>
      </c>
      <c r="K287" s="98">
        <v>243.19999999999996</v>
      </c>
      <c r="L287" s="98">
        <v>348</v>
      </c>
      <c r="M287" s="98">
        <v>348</v>
      </c>
      <c r="N287" s="98">
        <v>348</v>
      </c>
      <c r="O287" s="98">
        <v>348</v>
      </c>
      <c r="P287" s="98">
        <v>348</v>
      </c>
      <c r="Q287" s="98">
        <v>348</v>
      </c>
      <c r="R287" s="98">
        <v>348</v>
      </c>
      <c r="S287" s="98">
        <v>348</v>
      </c>
      <c r="T287" s="98">
        <v>243.19999999999996</v>
      </c>
      <c r="U287" s="98">
        <v>182.39999999999995</v>
      </c>
      <c r="V287" s="98">
        <v>121.59999999999998</v>
      </c>
      <c r="W287" s="98">
        <v>60.79999999999999</v>
      </c>
      <c r="X287" s="98">
        <v>0</v>
      </c>
      <c r="Y287" s="98">
        <v>0</v>
      </c>
      <c r="Z287" s="98">
        <v>0</v>
      </c>
      <c r="AA287" s="98">
        <v>0</v>
      </c>
      <c r="AB287" s="98">
        <v>0</v>
      </c>
      <c r="AC287" s="98">
        <v>0</v>
      </c>
      <c r="AD287" s="98">
        <v>0</v>
      </c>
      <c r="AE287" s="98">
        <v>0</v>
      </c>
      <c r="AF287" s="98">
        <v>0</v>
      </c>
      <c r="AG287" s="98">
        <v>0</v>
      </c>
      <c r="AH287" s="98">
        <v>0</v>
      </c>
      <c r="AI287" s="98">
        <v>0</v>
      </c>
      <c r="AJ287" s="98">
        <v>0</v>
      </c>
      <c r="AK287" s="98">
        <v>0</v>
      </c>
      <c r="AL287" s="98">
        <v>0</v>
      </c>
      <c r="AM287" s="98">
        <v>0</v>
      </c>
      <c r="AN287" s="98">
        <v>0</v>
      </c>
      <c r="AO287" s="98">
        <v>0</v>
      </c>
      <c r="AP287" s="98">
        <v>0</v>
      </c>
      <c r="AQ287" s="98">
        <v>0</v>
      </c>
      <c r="AR287" s="98">
        <v>0</v>
      </c>
      <c r="AS287" s="98">
        <v>0</v>
      </c>
      <c r="AT287" s="98">
        <v>0</v>
      </c>
      <c r="AU287" s="98">
        <v>0</v>
      </c>
      <c r="AV287" s="98">
        <v>0</v>
      </c>
      <c r="AW287" s="98">
        <v>0</v>
      </c>
      <c r="AX287" s="98">
        <v>0</v>
      </c>
      <c r="AY287" s="98">
        <v>0</v>
      </c>
      <c r="AZ287" s="98">
        <v>0</v>
      </c>
      <c r="BA287" s="98">
        <v>0</v>
      </c>
      <c r="BB287" s="98">
        <v>0</v>
      </c>
      <c r="BC287" s="98">
        <v>0</v>
      </c>
      <c r="BD287" s="98">
        <v>0</v>
      </c>
      <c r="BE287" s="98">
        <v>0</v>
      </c>
      <c r="BF287" s="98">
        <v>0</v>
      </c>
      <c r="BG287" s="98">
        <v>0</v>
      </c>
      <c r="BH287" s="98">
        <v>0</v>
      </c>
      <c r="BI287" s="98">
        <v>0</v>
      </c>
      <c r="BJ287" s="99">
        <v>0</v>
      </c>
    </row>
    <row r="288" spans="1:63" s="105" customFormat="1">
      <c r="A288" s="101" t="s">
        <v>115</v>
      </c>
      <c r="B288" s="102">
        <f>SUM(C288:BJ288)</f>
        <v>4262692927.4374361</v>
      </c>
      <c r="C288" s="222">
        <f>(C296*(1+$E285))+(C287*$B394)+(C287*$B394*$M285)</f>
        <v>14820968.242764581</v>
      </c>
      <c r="D288" s="103">
        <f>(D296*(1+$E285))+(D287*$B394)+(D287*$B394*$M285)</f>
        <v>14820968.242764581</v>
      </c>
      <c r="E288" s="103">
        <f t="shared" ref="E288:BJ288" si="149">(E296*(1+$E285))+(E287*$B394)+(E287*$B394*$M285)</f>
        <v>14820968.242764581</v>
      </c>
      <c r="F288" s="103">
        <f t="shared" si="149"/>
        <v>14820968.242764581</v>
      </c>
      <c r="G288" s="103">
        <f t="shared" si="149"/>
        <v>14820968.242764581</v>
      </c>
      <c r="H288" s="103">
        <f t="shared" si="149"/>
        <v>63666538.910598926</v>
      </c>
      <c r="I288" s="103">
        <f t="shared" si="149"/>
        <v>127333077.82119785</v>
      </c>
      <c r="J288" s="103">
        <f t="shared" si="149"/>
        <v>190999616.7317968</v>
      </c>
      <c r="K288" s="103">
        <f t="shared" si="149"/>
        <v>254666155.6423957</v>
      </c>
      <c r="L288" s="103">
        <f t="shared" si="149"/>
        <v>364407163.50145447</v>
      </c>
      <c r="M288" s="103">
        <f t="shared" si="149"/>
        <v>364407163.50145447</v>
      </c>
      <c r="N288" s="103">
        <f t="shared" si="149"/>
        <v>364407163.50145447</v>
      </c>
      <c r="O288" s="103">
        <f t="shared" si="149"/>
        <v>364407163.50145447</v>
      </c>
      <c r="P288" s="103">
        <f t="shared" si="149"/>
        <v>364407163.50145447</v>
      </c>
      <c r="Q288" s="103">
        <f t="shared" si="149"/>
        <v>364407163.50145447</v>
      </c>
      <c r="R288" s="103">
        <f t="shared" si="149"/>
        <v>364407163.50145447</v>
      </c>
      <c r="S288" s="103">
        <f t="shared" si="149"/>
        <v>364407163.50145447</v>
      </c>
      <c r="T288" s="103">
        <f t="shared" si="149"/>
        <v>254666155.6423957</v>
      </c>
      <c r="U288" s="103">
        <f t="shared" si="149"/>
        <v>190999616.7317968</v>
      </c>
      <c r="V288" s="103">
        <f t="shared" si="149"/>
        <v>127333077.82119785</v>
      </c>
      <c r="W288" s="103">
        <f t="shared" si="149"/>
        <v>63666538.910598926</v>
      </c>
      <c r="X288" s="103">
        <f t="shared" si="149"/>
        <v>0</v>
      </c>
      <c r="Y288" s="103">
        <f t="shared" si="149"/>
        <v>0</v>
      </c>
      <c r="Z288" s="103">
        <f t="shared" si="149"/>
        <v>0</v>
      </c>
      <c r="AA288" s="103">
        <f t="shared" si="149"/>
        <v>0</v>
      </c>
      <c r="AB288" s="103">
        <f t="shared" si="149"/>
        <v>0</v>
      </c>
      <c r="AC288" s="103">
        <f t="shared" si="149"/>
        <v>0</v>
      </c>
      <c r="AD288" s="103">
        <f t="shared" si="149"/>
        <v>0</v>
      </c>
      <c r="AE288" s="103">
        <f t="shared" si="149"/>
        <v>0</v>
      </c>
      <c r="AF288" s="103">
        <f t="shared" si="149"/>
        <v>0</v>
      </c>
      <c r="AG288" s="103">
        <f t="shared" si="149"/>
        <v>0</v>
      </c>
      <c r="AH288" s="103">
        <f t="shared" si="149"/>
        <v>0</v>
      </c>
      <c r="AI288" s="103">
        <f t="shared" si="149"/>
        <v>0</v>
      </c>
      <c r="AJ288" s="103">
        <f t="shared" si="149"/>
        <v>0</v>
      </c>
      <c r="AK288" s="103">
        <f t="shared" si="149"/>
        <v>0</v>
      </c>
      <c r="AL288" s="103">
        <f t="shared" si="149"/>
        <v>0</v>
      </c>
      <c r="AM288" s="103">
        <f t="shared" si="149"/>
        <v>0</v>
      </c>
      <c r="AN288" s="103">
        <f t="shared" si="149"/>
        <v>0</v>
      </c>
      <c r="AO288" s="103">
        <f t="shared" si="149"/>
        <v>0</v>
      </c>
      <c r="AP288" s="103">
        <f t="shared" si="149"/>
        <v>0</v>
      </c>
      <c r="AQ288" s="103">
        <f t="shared" si="149"/>
        <v>0</v>
      </c>
      <c r="AR288" s="103">
        <f t="shared" si="149"/>
        <v>0</v>
      </c>
      <c r="AS288" s="103">
        <f t="shared" si="149"/>
        <v>0</v>
      </c>
      <c r="AT288" s="103">
        <f t="shared" si="149"/>
        <v>0</v>
      </c>
      <c r="AU288" s="103">
        <f t="shared" si="149"/>
        <v>0</v>
      </c>
      <c r="AV288" s="103">
        <f t="shared" si="149"/>
        <v>0</v>
      </c>
      <c r="AW288" s="103">
        <f t="shared" si="149"/>
        <v>0</v>
      </c>
      <c r="AX288" s="103">
        <f t="shared" si="149"/>
        <v>0</v>
      </c>
      <c r="AY288" s="103">
        <f t="shared" si="149"/>
        <v>0</v>
      </c>
      <c r="AZ288" s="103">
        <f t="shared" si="149"/>
        <v>0</v>
      </c>
      <c r="BA288" s="103">
        <f t="shared" si="149"/>
        <v>0</v>
      </c>
      <c r="BB288" s="103">
        <f t="shared" si="149"/>
        <v>0</v>
      </c>
      <c r="BC288" s="103">
        <f t="shared" si="149"/>
        <v>0</v>
      </c>
      <c r="BD288" s="103">
        <f t="shared" si="149"/>
        <v>0</v>
      </c>
      <c r="BE288" s="103">
        <f t="shared" si="149"/>
        <v>0</v>
      </c>
      <c r="BF288" s="103">
        <f t="shared" si="149"/>
        <v>0</v>
      </c>
      <c r="BG288" s="103">
        <f t="shared" si="149"/>
        <v>0</v>
      </c>
      <c r="BH288" s="103">
        <f t="shared" si="149"/>
        <v>0</v>
      </c>
      <c r="BI288" s="103">
        <f t="shared" si="149"/>
        <v>0</v>
      </c>
      <c r="BJ288" s="104">
        <f t="shared" si="149"/>
        <v>0</v>
      </c>
    </row>
    <row r="289" spans="1:67" s="105" customFormat="1">
      <c r="A289" s="106" t="s">
        <v>116</v>
      </c>
      <c r="B289" s="107">
        <f>SUM(B296,B290:B291)</f>
        <v>1418482825.1865258</v>
      </c>
      <c r="C289" s="133">
        <f>SUM(C290,C291,C296)</f>
        <v>11856774.594211664</v>
      </c>
      <c r="D289" s="134">
        <f>D290+D291+D296</f>
        <v>11856774.594211664</v>
      </c>
      <c r="E289" s="134">
        <f t="shared" ref="E289:BJ289" si="150">E290+E291+E296</f>
        <v>11856774.594211664</v>
      </c>
      <c r="F289" s="134">
        <f t="shared" si="150"/>
        <v>11856774.594211664</v>
      </c>
      <c r="G289" s="134">
        <f t="shared" si="150"/>
        <v>11856774.594211664</v>
      </c>
      <c r="H289" s="134">
        <f t="shared" si="150"/>
        <v>20659824.073675103</v>
      </c>
      <c r="I289" s="134">
        <f t="shared" si="150"/>
        <v>41319648.147350207</v>
      </c>
      <c r="J289" s="134">
        <f t="shared" si="150"/>
        <v>61979472.221025303</v>
      </c>
      <c r="K289" s="134">
        <f t="shared" si="150"/>
        <v>82639296.294700414</v>
      </c>
      <c r="L289" s="134">
        <f t="shared" si="150"/>
        <v>118250308.84274568</v>
      </c>
      <c r="M289" s="134">
        <f t="shared" si="150"/>
        <v>118250308.84274568</v>
      </c>
      <c r="N289" s="134">
        <f t="shared" si="150"/>
        <v>118250308.84274568</v>
      </c>
      <c r="O289" s="134">
        <f t="shared" si="150"/>
        <v>118250308.84274568</v>
      </c>
      <c r="P289" s="134">
        <f t="shared" si="150"/>
        <v>118250308.84274568</v>
      </c>
      <c r="Q289" s="134">
        <f t="shared" si="150"/>
        <v>118250308.84274568</v>
      </c>
      <c r="R289" s="134">
        <f t="shared" si="150"/>
        <v>118250308.84274568</v>
      </c>
      <c r="S289" s="134">
        <f t="shared" si="150"/>
        <v>118250308.84274568</v>
      </c>
      <c r="T289" s="134">
        <f t="shared" si="150"/>
        <v>82639296.294700414</v>
      </c>
      <c r="U289" s="134">
        <f t="shared" si="150"/>
        <v>61979472.221025303</v>
      </c>
      <c r="V289" s="134">
        <f t="shared" si="150"/>
        <v>41319648.147350207</v>
      </c>
      <c r="W289" s="134">
        <f t="shared" si="150"/>
        <v>20659824.073675103</v>
      </c>
      <c r="X289" s="134">
        <f t="shared" si="150"/>
        <v>0</v>
      </c>
      <c r="Y289" s="134">
        <f t="shared" si="150"/>
        <v>0</v>
      </c>
      <c r="Z289" s="134">
        <f t="shared" si="150"/>
        <v>0</v>
      </c>
      <c r="AA289" s="134">
        <f t="shared" si="150"/>
        <v>0</v>
      </c>
      <c r="AB289" s="134">
        <f t="shared" si="150"/>
        <v>0</v>
      </c>
      <c r="AC289" s="134">
        <f t="shared" si="150"/>
        <v>0</v>
      </c>
      <c r="AD289" s="134">
        <f t="shared" si="150"/>
        <v>0</v>
      </c>
      <c r="AE289" s="134">
        <f t="shared" si="150"/>
        <v>0</v>
      </c>
      <c r="AF289" s="134">
        <f t="shared" si="150"/>
        <v>0</v>
      </c>
      <c r="AG289" s="134">
        <f t="shared" si="150"/>
        <v>0</v>
      </c>
      <c r="AH289" s="134">
        <f t="shared" si="150"/>
        <v>0</v>
      </c>
      <c r="AI289" s="134">
        <f t="shared" si="150"/>
        <v>0</v>
      </c>
      <c r="AJ289" s="134">
        <f t="shared" si="150"/>
        <v>0</v>
      </c>
      <c r="AK289" s="134">
        <f t="shared" si="150"/>
        <v>0</v>
      </c>
      <c r="AL289" s="134">
        <f t="shared" si="150"/>
        <v>0</v>
      </c>
      <c r="AM289" s="134">
        <f t="shared" si="150"/>
        <v>0</v>
      </c>
      <c r="AN289" s="134">
        <f t="shared" si="150"/>
        <v>0</v>
      </c>
      <c r="AO289" s="134">
        <f t="shared" si="150"/>
        <v>0</v>
      </c>
      <c r="AP289" s="134">
        <f t="shared" si="150"/>
        <v>0</v>
      </c>
      <c r="AQ289" s="134">
        <f t="shared" si="150"/>
        <v>0</v>
      </c>
      <c r="AR289" s="134">
        <f t="shared" si="150"/>
        <v>0</v>
      </c>
      <c r="AS289" s="134">
        <f t="shared" si="150"/>
        <v>0</v>
      </c>
      <c r="AT289" s="134">
        <f t="shared" si="150"/>
        <v>0</v>
      </c>
      <c r="AU289" s="134">
        <f t="shared" si="150"/>
        <v>0</v>
      </c>
      <c r="AV289" s="134">
        <f t="shared" si="150"/>
        <v>0</v>
      </c>
      <c r="AW289" s="134">
        <f t="shared" si="150"/>
        <v>0</v>
      </c>
      <c r="AX289" s="134">
        <f t="shared" si="150"/>
        <v>0</v>
      </c>
      <c r="AY289" s="134">
        <f t="shared" si="150"/>
        <v>0</v>
      </c>
      <c r="AZ289" s="134">
        <f t="shared" si="150"/>
        <v>0</v>
      </c>
      <c r="BA289" s="134">
        <f t="shared" si="150"/>
        <v>0</v>
      </c>
      <c r="BB289" s="134">
        <f t="shared" si="150"/>
        <v>0</v>
      </c>
      <c r="BC289" s="134">
        <f t="shared" si="150"/>
        <v>0</v>
      </c>
      <c r="BD289" s="134">
        <f t="shared" si="150"/>
        <v>0</v>
      </c>
      <c r="BE289" s="134">
        <f t="shared" si="150"/>
        <v>0</v>
      </c>
      <c r="BF289" s="134">
        <f t="shared" si="150"/>
        <v>0</v>
      </c>
      <c r="BG289" s="134">
        <f t="shared" si="150"/>
        <v>0</v>
      </c>
      <c r="BH289" s="134">
        <f t="shared" si="150"/>
        <v>0</v>
      </c>
      <c r="BI289" s="134">
        <f t="shared" si="150"/>
        <v>0</v>
      </c>
      <c r="BJ289" s="135">
        <f t="shared" si="150"/>
        <v>0</v>
      </c>
    </row>
    <row r="290" spans="1:67" s="116" customFormat="1">
      <c r="A290" s="111" t="s">
        <v>117</v>
      </c>
      <c r="B290" s="112">
        <f>SUM(C290:BJ290)</f>
        <v>890481089.35896897</v>
      </c>
      <c r="C290" s="223">
        <v>0</v>
      </c>
      <c r="D290" s="118">
        <v>0</v>
      </c>
      <c r="E290" s="118">
        <v>0</v>
      </c>
      <c r="F290" s="118">
        <v>0</v>
      </c>
      <c r="G290" s="118">
        <v>0</v>
      </c>
      <c r="H290" s="118">
        <v>13535312.558256328</v>
      </c>
      <c r="I290" s="118">
        <v>27070625.116512656</v>
      </c>
      <c r="J290" s="118">
        <v>40605937.674768984</v>
      </c>
      <c r="K290" s="118">
        <v>54141250.233025312</v>
      </c>
      <c r="L290" s="118">
        <v>77471854.774230316</v>
      </c>
      <c r="M290" s="118">
        <v>77471854.774230316</v>
      </c>
      <c r="N290" s="118">
        <v>77471854.774230316</v>
      </c>
      <c r="O290" s="118">
        <v>77471854.774230316</v>
      </c>
      <c r="P290" s="118">
        <v>77471854.774230316</v>
      </c>
      <c r="Q290" s="118">
        <v>77471854.774230316</v>
      </c>
      <c r="R290" s="118">
        <v>77471854.774230316</v>
      </c>
      <c r="S290" s="118">
        <v>77471854.774230316</v>
      </c>
      <c r="T290" s="118">
        <v>54141250.233025312</v>
      </c>
      <c r="U290" s="118">
        <v>40605937.674768984</v>
      </c>
      <c r="V290" s="118">
        <v>27070625.116512656</v>
      </c>
      <c r="W290" s="118">
        <v>13535312.558256328</v>
      </c>
      <c r="X290" s="118">
        <v>0</v>
      </c>
      <c r="Y290" s="118">
        <v>0</v>
      </c>
      <c r="Z290" s="118">
        <v>0</v>
      </c>
      <c r="AA290" s="118">
        <v>0</v>
      </c>
      <c r="AB290" s="118">
        <v>0</v>
      </c>
      <c r="AC290" s="118">
        <v>0</v>
      </c>
      <c r="AD290" s="118">
        <v>0</v>
      </c>
      <c r="AE290" s="118">
        <v>0</v>
      </c>
      <c r="AF290" s="118">
        <v>0</v>
      </c>
      <c r="AG290" s="118">
        <v>0</v>
      </c>
      <c r="AH290" s="118">
        <v>0</v>
      </c>
      <c r="AI290" s="118">
        <v>0</v>
      </c>
      <c r="AJ290" s="118">
        <v>0</v>
      </c>
      <c r="AK290" s="118">
        <v>0</v>
      </c>
      <c r="AL290" s="118">
        <v>0</v>
      </c>
      <c r="AM290" s="118">
        <v>0</v>
      </c>
      <c r="AN290" s="118">
        <v>0</v>
      </c>
      <c r="AO290" s="118">
        <v>0</v>
      </c>
      <c r="AP290" s="118">
        <v>0</v>
      </c>
      <c r="AQ290" s="118">
        <v>0</v>
      </c>
      <c r="AR290" s="118">
        <v>0</v>
      </c>
      <c r="AS290" s="118">
        <v>0</v>
      </c>
      <c r="AT290" s="118">
        <v>0</v>
      </c>
      <c r="AU290" s="118">
        <v>0</v>
      </c>
      <c r="AV290" s="118">
        <v>0</v>
      </c>
      <c r="AW290" s="118">
        <v>0</v>
      </c>
      <c r="AX290" s="118">
        <v>0</v>
      </c>
      <c r="AY290" s="118">
        <v>0</v>
      </c>
      <c r="AZ290" s="118">
        <v>0</v>
      </c>
      <c r="BA290" s="118">
        <v>0</v>
      </c>
      <c r="BB290" s="118">
        <v>0</v>
      </c>
      <c r="BC290" s="118">
        <v>0</v>
      </c>
      <c r="BD290" s="118">
        <v>0</v>
      </c>
      <c r="BE290" s="118">
        <v>0</v>
      </c>
      <c r="BF290" s="118">
        <v>0</v>
      </c>
      <c r="BG290" s="118">
        <v>0</v>
      </c>
      <c r="BH290" s="118">
        <v>0</v>
      </c>
      <c r="BI290" s="118">
        <v>0</v>
      </c>
      <c r="BJ290" s="119">
        <v>0</v>
      </c>
    </row>
    <row r="291" spans="1:67" s="116" customFormat="1">
      <c r="A291" s="111" t="s">
        <v>118</v>
      </c>
      <c r="B291" s="112">
        <f>SUM(B292:B295)</f>
        <v>468717862.85649836</v>
      </c>
      <c r="C291" s="117">
        <f>SUM(C292:C295)</f>
        <v>0</v>
      </c>
      <c r="D291" s="118">
        <f>SUM(D292:D295)</f>
        <v>0</v>
      </c>
      <c r="E291" s="118">
        <f t="shared" ref="E291:BJ291" si="151">SUM(E292:E295)</f>
        <v>0</v>
      </c>
      <c r="F291" s="118">
        <f t="shared" si="151"/>
        <v>0</v>
      </c>
      <c r="G291" s="118">
        <f t="shared" si="151"/>
        <v>0</v>
      </c>
      <c r="H291" s="118">
        <f t="shared" si="151"/>
        <v>7124511.5154187735</v>
      </c>
      <c r="I291" s="118">
        <f t="shared" si="151"/>
        <v>14249023.030837547</v>
      </c>
      <c r="J291" s="118">
        <f t="shared" si="151"/>
        <v>21373534.546256319</v>
      </c>
      <c r="K291" s="118">
        <f t="shared" si="151"/>
        <v>28498046.061675094</v>
      </c>
      <c r="L291" s="118">
        <f t="shared" si="151"/>
        <v>40778454.06851536</v>
      </c>
      <c r="M291" s="118">
        <f t="shared" si="151"/>
        <v>40778454.06851536</v>
      </c>
      <c r="N291" s="118">
        <f t="shared" si="151"/>
        <v>40778454.06851536</v>
      </c>
      <c r="O291" s="118">
        <f t="shared" si="151"/>
        <v>40778454.06851536</v>
      </c>
      <c r="P291" s="118">
        <f t="shared" si="151"/>
        <v>40778454.06851536</v>
      </c>
      <c r="Q291" s="118">
        <f t="shared" si="151"/>
        <v>40778454.06851536</v>
      </c>
      <c r="R291" s="118">
        <f t="shared" si="151"/>
        <v>40778454.06851536</v>
      </c>
      <c r="S291" s="118">
        <f t="shared" si="151"/>
        <v>40778454.06851536</v>
      </c>
      <c r="T291" s="118">
        <f t="shared" si="151"/>
        <v>28498046.061675094</v>
      </c>
      <c r="U291" s="118">
        <f t="shared" si="151"/>
        <v>21373534.546256319</v>
      </c>
      <c r="V291" s="118">
        <f t="shared" si="151"/>
        <v>14249023.030837547</v>
      </c>
      <c r="W291" s="118">
        <f t="shared" si="151"/>
        <v>7124511.5154187735</v>
      </c>
      <c r="X291" s="118">
        <f t="shared" si="151"/>
        <v>0</v>
      </c>
      <c r="Y291" s="118">
        <f t="shared" si="151"/>
        <v>0</v>
      </c>
      <c r="Z291" s="118">
        <f t="shared" si="151"/>
        <v>0</v>
      </c>
      <c r="AA291" s="118">
        <f t="shared" si="151"/>
        <v>0</v>
      </c>
      <c r="AB291" s="118">
        <f t="shared" si="151"/>
        <v>0</v>
      </c>
      <c r="AC291" s="118">
        <f t="shared" si="151"/>
        <v>0</v>
      </c>
      <c r="AD291" s="118">
        <f t="shared" si="151"/>
        <v>0</v>
      </c>
      <c r="AE291" s="118">
        <f t="shared" si="151"/>
        <v>0</v>
      </c>
      <c r="AF291" s="118">
        <f t="shared" si="151"/>
        <v>0</v>
      </c>
      <c r="AG291" s="118">
        <f t="shared" si="151"/>
        <v>0</v>
      </c>
      <c r="AH291" s="118">
        <f t="shared" si="151"/>
        <v>0</v>
      </c>
      <c r="AI291" s="118">
        <f t="shared" si="151"/>
        <v>0</v>
      </c>
      <c r="AJ291" s="118">
        <f t="shared" si="151"/>
        <v>0</v>
      </c>
      <c r="AK291" s="118">
        <f t="shared" si="151"/>
        <v>0</v>
      </c>
      <c r="AL291" s="118">
        <f t="shared" si="151"/>
        <v>0</v>
      </c>
      <c r="AM291" s="118">
        <f t="shared" si="151"/>
        <v>0</v>
      </c>
      <c r="AN291" s="118">
        <f t="shared" si="151"/>
        <v>0</v>
      </c>
      <c r="AO291" s="118">
        <f t="shared" si="151"/>
        <v>0</v>
      </c>
      <c r="AP291" s="118">
        <f t="shared" si="151"/>
        <v>0</v>
      </c>
      <c r="AQ291" s="118">
        <f t="shared" si="151"/>
        <v>0</v>
      </c>
      <c r="AR291" s="118">
        <f t="shared" si="151"/>
        <v>0</v>
      </c>
      <c r="AS291" s="118">
        <f t="shared" si="151"/>
        <v>0</v>
      </c>
      <c r="AT291" s="118">
        <f t="shared" si="151"/>
        <v>0</v>
      </c>
      <c r="AU291" s="118">
        <f t="shared" si="151"/>
        <v>0</v>
      </c>
      <c r="AV291" s="118">
        <f t="shared" si="151"/>
        <v>0</v>
      </c>
      <c r="AW291" s="118">
        <f t="shared" si="151"/>
        <v>0</v>
      </c>
      <c r="AX291" s="118">
        <f t="shared" si="151"/>
        <v>0</v>
      </c>
      <c r="AY291" s="118">
        <f t="shared" si="151"/>
        <v>0</v>
      </c>
      <c r="AZ291" s="118">
        <f t="shared" si="151"/>
        <v>0</v>
      </c>
      <c r="BA291" s="118">
        <f t="shared" si="151"/>
        <v>0</v>
      </c>
      <c r="BB291" s="118">
        <f t="shared" si="151"/>
        <v>0</v>
      </c>
      <c r="BC291" s="118">
        <f t="shared" si="151"/>
        <v>0</v>
      </c>
      <c r="BD291" s="118">
        <f t="shared" si="151"/>
        <v>0</v>
      </c>
      <c r="BE291" s="118">
        <f t="shared" si="151"/>
        <v>0</v>
      </c>
      <c r="BF291" s="118">
        <f t="shared" si="151"/>
        <v>0</v>
      </c>
      <c r="BG291" s="118">
        <f t="shared" si="151"/>
        <v>0</v>
      </c>
      <c r="BH291" s="118">
        <f t="shared" si="151"/>
        <v>0</v>
      </c>
      <c r="BI291" s="118">
        <f t="shared" si="151"/>
        <v>0</v>
      </c>
      <c r="BJ291" s="119">
        <f t="shared" si="151"/>
        <v>0</v>
      </c>
    </row>
    <row r="292" spans="1:67" s="125" customFormat="1" ht="12.75">
      <c r="A292" s="120" t="s">
        <v>119</v>
      </c>
      <c r="B292" s="121">
        <f t="shared" ref="B292:B297" si="152">SUM(C292:BJ292)</f>
        <v>217263309.39013791</v>
      </c>
      <c r="C292" s="224">
        <v>0</v>
      </c>
      <c r="D292" s="123">
        <v>0</v>
      </c>
      <c r="E292" s="123">
        <v>0</v>
      </c>
      <c r="F292" s="123">
        <v>0</v>
      </c>
      <c r="G292" s="123">
        <v>0</v>
      </c>
      <c r="H292" s="123">
        <v>3302402.3027300956</v>
      </c>
      <c r="I292" s="123">
        <v>6604804.6054601911</v>
      </c>
      <c r="J292" s="123">
        <v>9907206.9081902858</v>
      </c>
      <c r="K292" s="123">
        <v>13209609.210920382</v>
      </c>
      <c r="L292" s="123">
        <v>18901907.916941997</v>
      </c>
      <c r="M292" s="123">
        <v>18901907.916941997</v>
      </c>
      <c r="N292" s="123">
        <v>18901907.916941997</v>
      </c>
      <c r="O292" s="123">
        <v>18901907.916941997</v>
      </c>
      <c r="P292" s="123">
        <v>18901907.916941997</v>
      </c>
      <c r="Q292" s="123">
        <v>18901907.916941997</v>
      </c>
      <c r="R292" s="123">
        <v>18901907.916941997</v>
      </c>
      <c r="S292" s="123">
        <v>18901907.916941997</v>
      </c>
      <c r="T292" s="123">
        <v>13209609.210920382</v>
      </c>
      <c r="U292" s="123">
        <v>9907206.9081902858</v>
      </c>
      <c r="V292" s="123">
        <v>6604804.6054601911</v>
      </c>
      <c r="W292" s="123">
        <v>3302402.3027300956</v>
      </c>
      <c r="X292" s="123">
        <v>0</v>
      </c>
      <c r="Y292" s="123">
        <v>0</v>
      </c>
      <c r="Z292" s="123">
        <v>0</v>
      </c>
      <c r="AA292" s="123">
        <v>0</v>
      </c>
      <c r="AB292" s="123">
        <v>0</v>
      </c>
      <c r="AC292" s="123">
        <v>0</v>
      </c>
      <c r="AD292" s="123">
        <v>0</v>
      </c>
      <c r="AE292" s="123">
        <v>0</v>
      </c>
      <c r="AF292" s="123">
        <v>0</v>
      </c>
      <c r="AG292" s="123">
        <v>0</v>
      </c>
      <c r="AH292" s="123">
        <v>0</v>
      </c>
      <c r="AI292" s="123">
        <v>0</v>
      </c>
      <c r="AJ292" s="123">
        <v>0</v>
      </c>
      <c r="AK292" s="123">
        <v>0</v>
      </c>
      <c r="AL292" s="123">
        <v>0</v>
      </c>
      <c r="AM292" s="123">
        <v>0</v>
      </c>
      <c r="AN292" s="123">
        <v>0</v>
      </c>
      <c r="AO292" s="123">
        <v>0</v>
      </c>
      <c r="AP292" s="123">
        <v>0</v>
      </c>
      <c r="AQ292" s="123">
        <v>0</v>
      </c>
      <c r="AR292" s="123">
        <v>0</v>
      </c>
      <c r="AS292" s="123">
        <v>0</v>
      </c>
      <c r="AT292" s="123">
        <v>0</v>
      </c>
      <c r="AU292" s="123">
        <v>0</v>
      </c>
      <c r="AV292" s="123">
        <v>0</v>
      </c>
      <c r="AW292" s="123">
        <v>0</v>
      </c>
      <c r="AX292" s="123">
        <v>0</v>
      </c>
      <c r="AY292" s="123">
        <v>0</v>
      </c>
      <c r="AZ292" s="123">
        <v>0</v>
      </c>
      <c r="BA292" s="123">
        <v>0</v>
      </c>
      <c r="BB292" s="123">
        <v>0</v>
      </c>
      <c r="BC292" s="123">
        <v>0</v>
      </c>
      <c r="BD292" s="123">
        <v>0</v>
      </c>
      <c r="BE292" s="123">
        <v>0</v>
      </c>
      <c r="BF292" s="123">
        <v>0</v>
      </c>
      <c r="BG292" s="123">
        <v>0</v>
      </c>
      <c r="BH292" s="123">
        <v>0</v>
      </c>
      <c r="BI292" s="123">
        <v>0</v>
      </c>
      <c r="BJ292" s="124">
        <v>0</v>
      </c>
    </row>
    <row r="293" spans="1:67" s="125" customFormat="1" ht="12.75">
      <c r="A293" s="120" t="s">
        <v>120</v>
      </c>
      <c r="B293" s="121">
        <f t="shared" si="152"/>
        <v>195469375.40131944</v>
      </c>
      <c r="C293" s="224">
        <v>0</v>
      </c>
      <c r="D293" s="123">
        <v>0</v>
      </c>
      <c r="E293" s="123">
        <v>0</v>
      </c>
      <c r="F293" s="123">
        <v>0</v>
      </c>
      <c r="G293" s="123">
        <v>0</v>
      </c>
      <c r="H293" s="123">
        <v>2971134.5061000548</v>
      </c>
      <c r="I293" s="123">
        <v>5942269.0122001097</v>
      </c>
      <c r="J293" s="123">
        <v>8913403.5183001645</v>
      </c>
      <c r="K293" s="123">
        <v>11884538.024400219</v>
      </c>
      <c r="L293" s="123">
        <v>17005835.659914792</v>
      </c>
      <c r="M293" s="123">
        <v>17005835.659914792</v>
      </c>
      <c r="N293" s="123">
        <v>17005835.659914792</v>
      </c>
      <c r="O293" s="123">
        <v>17005835.659914792</v>
      </c>
      <c r="P293" s="123">
        <v>17005835.659914792</v>
      </c>
      <c r="Q293" s="123">
        <v>17005835.659914792</v>
      </c>
      <c r="R293" s="123">
        <v>17005835.659914792</v>
      </c>
      <c r="S293" s="123">
        <v>17005835.659914792</v>
      </c>
      <c r="T293" s="123">
        <v>11884538.024400219</v>
      </c>
      <c r="U293" s="123">
        <v>8913403.5183001645</v>
      </c>
      <c r="V293" s="123">
        <v>5942269.0122001097</v>
      </c>
      <c r="W293" s="123">
        <v>2971134.5061000548</v>
      </c>
      <c r="X293" s="123">
        <v>0</v>
      </c>
      <c r="Y293" s="123">
        <v>0</v>
      </c>
      <c r="Z293" s="123">
        <v>0</v>
      </c>
      <c r="AA293" s="123">
        <v>0</v>
      </c>
      <c r="AB293" s="123">
        <v>0</v>
      </c>
      <c r="AC293" s="123">
        <v>0</v>
      </c>
      <c r="AD293" s="123">
        <v>0</v>
      </c>
      <c r="AE293" s="123">
        <v>0</v>
      </c>
      <c r="AF293" s="123">
        <v>0</v>
      </c>
      <c r="AG293" s="123">
        <v>0</v>
      </c>
      <c r="AH293" s="123">
        <v>0</v>
      </c>
      <c r="AI293" s="123">
        <v>0</v>
      </c>
      <c r="AJ293" s="123">
        <v>0</v>
      </c>
      <c r="AK293" s="123">
        <v>0</v>
      </c>
      <c r="AL293" s="123">
        <v>0</v>
      </c>
      <c r="AM293" s="123">
        <v>0</v>
      </c>
      <c r="AN293" s="123">
        <v>0</v>
      </c>
      <c r="AO293" s="123">
        <v>0</v>
      </c>
      <c r="AP293" s="123">
        <v>0</v>
      </c>
      <c r="AQ293" s="123">
        <v>0</v>
      </c>
      <c r="AR293" s="123">
        <v>0</v>
      </c>
      <c r="AS293" s="123">
        <v>0</v>
      </c>
      <c r="AT293" s="123">
        <v>0</v>
      </c>
      <c r="AU293" s="123">
        <v>0</v>
      </c>
      <c r="AV293" s="123">
        <v>0</v>
      </c>
      <c r="AW293" s="123">
        <v>0</v>
      </c>
      <c r="AX293" s="123">
        <v>0</v>
      </c>
      <c r="AY293" s="123">
        <v>0</v>
      </c>
      <c r="AZ293" s="123">
        <v>0</v>
      </c>
      <c r="BA293" s="123">
        <v>0</v>
      </c>
      <c r="BB293" s="123">
        <v>0</v>
      </c>
      <c r="BC293" s="123">
        <v>0</v>
      </c>
      <c r="BD293" s="123">
        <v>0</v>
      </c>
      <c r="BE293" s="123">
        <v>0</v>
      </c>
      <c r="BF293" s="123">
        <v>0</v>
      </c>
      <c r="BG293" s="123">
        <v>0</v>
      </c>
      <c r="BH293" s="123">
        <v>0</v>
      </c>
      <c r="BI293" s="123">
        <v>0</v>
      </c>
      <c r="BJ293" s="124">
        <v>0</v>
      </c>
      <c r="BO293" s="126"/>
    </row>
    <row r="294" spans="1:67" s="125" customFormat="1" ht="12.75">
      <c r="A294" s="120" t="s">
        <v>121</v>
      </c>
      <c r="B294" s="121">
        <f t="shared" si="152"/>
        <v>47253715.128329284</v>
      </c>
      <c r="C294" s="224">
        <v>0</v>
      </c>
      <c r="D294" s="123">
        <v>0</v>
      </c>
      <c r="E294" s="123">
        <v>0</v>
      </c>
      <c r="F294" s="123">
        <v>0</v>
      </c>
      <c r="G294" s="123">
        <v>0</v>
      </c>
      <c r="H294" s="123">
        <v>718256.46995060507</v>
      </c>
      <c r="I294" s="123">
        <v>1436512.9399012101</v>
      </c>
      <c r="J294" s="123">
        <v>2154769.4098518151</v>
      </c>
      <c r="K294" s="123">
        <v>2873025.8798024203</v>
      </c>
      <c r="L294" s="123">
        <v>4111073.2161646485</v>
      </c>
      <c r="M294" s="123">
        <v>4111073.2161646485</v>
      </c>
      <c r="N294" s="123">
        <v>4111073.2161646485</v>
      </c>
      <c r="O294" s="123">
        <v>4111073.2161646485</v>
      </c>
      <c r="P294" s="123">
        <v>4111073.2161646485</v>
      </c>
      <c r="Q294" s="123">
        <v>4111073.2161646485</v>
      </c>
      <c r="R294" s="123">
        <v>4111073.2161646485</v>
      </c>
      <c r="S294" s="123">
        <v>4111073.2161646485</v>
      </c>
      <c r="T294" s="123">
        <v>2873025.8798024203</v>
      </c>
      <c r="U294" s="123">
        <v>2154769.4098518151</v>
      </c>
      <c r="V294" s="123">
        <v>1436512.9399012101</v>
      </c>
      <c r="W294" s="123">
        <v>718256.46995060507</v>
      </c>
      <c r="X294" s="123">
        <v>0</v>
      </c>
      <c r="Y294" s="123">
        <v>0</v>
      </c>
      <c r="Z294" s="123">
        <v>0</v>
      </c>
      <c r="AA294" s="123">
        <v>0</v>
      </c>
      <c r="AB294" s="123">
        <v>0</v>
      </c>
      <c r="AC294" s="123">
        <v>0</v>
      </c>
      <c r="AD294" s="123">
        <v>0</v>
      </c>
      <c r="AE294" s="123">
        <v>0</v>
      </c>
      <c r="AF294" s="123">
        <v>0</v>
      </c>
      <c r="AG294" s="123">
        <v>0</v>
      </c>
      <c r="AH294" s="123">
        <v>0</v>
      </c>
      <c r="AI294" s="123">
        <v>0</v>
      </c>
      <c r="AJ294" s="123">
        <v>0</v>
      </c>
      <c r="AK294" s="123">
        <v>0</v>
      </c>
      <c r="AL294" s="123">
        <v>0</v>
      </c>
      <c r="AM294" s="123">
        <v>0</v>
      </c>
      <c r="AN294" s="123">
        <v>0</v>
      </c>
      <c r="AO294" s="123">
        <v>0</v>
      </c>
      <c r="AP294" s="123">
        <v>0</v>
      </c>
      <c r="AQ294" s="123">
        <v>0</v>
      </c>
      <c r="AR294" s="123">
        <v>0</v>
      </c>
      <c r="AS294" s="123">
        <v>0</v>
      </c>
      <c r="AT294" s="123">
        <v>0</v>
      </c>
      <c r="AU294" s="123">
        <v>0</v>
      </c>
      <c r="AV294" s="123">
        <v>0</v>
      </c>
      <c r="AW294" s="123">
        <v>0</v>
      </c>
      <c r="AX294" s="123">
        <v>0</v>
      </c>
      <c r="AY294" s="123">
        <v>0</v>
      </c>
      <c r="AZ294" s="123">
        <v>0</v>
      </c>
      <c r="BA294" s="123">
        <v>0</v>
      </c>
      <c r="BB294" s="123">
        <v>0</v>
      </c>
      <c r="BC294" s="123">
        <v>0</v>
      </c>
      <c r="BD294" s="123">
        <v>0</v>
      </c>
      <c r="BE294" s="123">
        <v>0</v>
      </c>
      <c r="BF294" s="123">
        <v>0</v>
      </c>
      <c r="BG294" s="123">
        <v>0</v>
      </c>
      <c r="BH294" s="123">
        <v>0</v>
      </c>
      <c r="BI294" s="123">
        <v>0</v>
      </c>
      <c r="BJ294" s="124">
        <v>0</v>
      </c>
    </row>
    <row r="295" spans="1:67" s="125" customFormat="1" ht="12.75">
      <c r="A295" s="120" t="s">
        <v>122</v>
      </c>
      <c r="B295" s="121">
        <f t="shared" si="152"/>
        <v>8731462.9367116988</v>
      </c>
      <c r="C295" s="224">
        <v>0</v>
      </c>
      <c r="D295" s="123">
        <v>0</v>
      </c>
      <c r="E295" s="123">
        <v>0</v>
      </c>
      <c r="F295" s="123">
        <v>0</v>
      </c>
      <c r="G295" s="123">
        <v>0</v>
      </c>
      <c r="H295" s="123">
        <v>132718.23663801781</v>
      </c>
      <c r="I295" s="123">
        <v>265436.47327603563</v>
      </c>
      <c r="J295" s="123">
        <v>398154.70991405338</v>
      </c>
      <c r="K295" s="123">
        <v>530872.94655207125</v>
      </c>
      <c r="L295" s="123">
        <v>759637.27549391787</v>
      </c>
      <c r="M295" s="123">
        <v>759637.27549391787</v>
      </c>
      <c r="N295" s="123">
        <v>759637.27549391787</v>
      </c>
      <c r="O295" s="123">
        <v>759637.27549391787</v>
      </c>
      <c r="P295" s="123">
        <v>759637.27549391787</v>
      </c>
      <c r="Q295" s="123">
        <v>759637.27549391787</v>
      </c>
      <c r="R295" s="123">
        <v>759637.27549391787</v>
      </c>
      <c r="S295" s="123">
        <v>759637.27549391787</v>
      </c>
      <c r="T295" s="123">
        <v>530872.94655207125</v>
      </c>
      <c r="U295" s="123">
        <v>398154.70991405338</v>
      </c>
      <c r="V295" s="123">
        <v>265436.47327603563</v>
      </c>
      <c r="W295" s="123">
        <v>132718.23663801781</v>
      </c>
      <c r="X295" s="123">
        <v>0</v>
      </c>
      <c r="Y295" s="123">
        <v>0</v>
      </c>
      <c r="Z295" s="123">
        <v>0</v>
      </c>
      <c r="AA295" s="123">
        <v>0</v>
      </c>
      <c r="AB295" s="123">
        <v>0</v>
      </c>
      <c r="AC295" s="123">
        <v>0</v>
      </c>
      <c r="AD295" s="123">
        <v>0</v>
      </c>
      <c r="AE295" s="123">
        <v>0</v>
      </c>
      <c r="AF295" s="123">
        <v>0</v>
      </c>
      <c r="AG295" s="123">
        <v>0</v>
      </c>
      <c r="AH295" s="123">
        <v>0</v>
      </c>
      <c r="AI295" s="123">
        <v>0</v>
      </c>
      <c r="AJ295" s="123">
        <v>0</v>
      </c>
      <c r="AK295" s="123">
        <v>0</v>
      </c>
      <c r="AL295" s="123">
        <v>0</v>
      </c>
      <c r="AM295" s="123">
        <v>0</v>
      </c>
      <c r="AN295" s="123">
        <v>0</v>
      </c>
      <c r="AO295" s="123">
        <v>0</v>
      </c>
      <c r="AP295" s="123">
        <v>0</v>
      </c>
      <c r="AQ295" s="123">
        <v>0</v>
      </c>
      <c r="AR295" s="123">
        <v>0</v>
      </c>
      <c r="AS295" s="123">
        <v>0</v>
      </c>
      <c r="AT295" s="123">
        <v>0</v>
      </c>
      <c r="AU295" s="123">
        <v>0</v>
      </c>
      <c r="AV295" s="123">
        <v>0</v>
      </c>
      <c r="AW295" s="123">
        <v>0</v>
      </c>
      <c r="AX295" s="123">
        <v>0</v>
      </c>
      <c r="AY295" s="123">
        <v>0</v>
      </c>
      <c r="AZ295" s="123">
        <v>0</v>
      </c>
      <c r="BA295" s="123">
        <v>0</v>
      </c>
      <c r="BB295" s="123">
        <v>0</v>
      </c>
      <c r="BC295" s="123">
        <v>0</v>
      </c>
      <c r="BD295" s="123">
        <v>0</v>
      </c>
      <c r="BE295" s="123">
        <v>0</v>
      </c>
      <c r="BF295" s="123">
        <v>0</v>
      </c>
      <c r="BG295" s="123">
        <v>0</v>
      </c>
      <c r="BH295" s="123">
        <v>0</v>
      </c>
      <c r="BI295" s="123">
        <v>0</v>
      </c>
      <c r="BJ295" s="124">
        <v>0</v>
      </c>
    </row>
    <row r="296" spans="1:67" s="116" customFormat="1">
      <c r="A296" s="127" t="s">
        <v>123</v>
      </c>
      <c r="B296" s="112">
        <f t="shared" si="152"/>
        <v>59283872.971058324</v>
      </c>
      <c r="C296" s="225">
        <v>11856774.594211664</v>
      </c>
      <c r="D296" s="129">
        <f>C296</f>
        <v>11856774.594211664</v>
      </c>
      <c r="E296" s="129">
        <f>D296</f>
        <v>11856774.594211664</v>
      </c>
      <c r="F296" s="129">
        <f>E296</f>
        <v>11856774.594211664</v>
      </c>
      <c r="G296" s="129">
        <f>F296</f>
        <v>11856774.594211664</v>
      </c>
      <c r="H296" s="129"/>
      <c r="I296" s="129"/>
      <c r="J296" s="129"/>
      <c r="K296" s="129"/>
      <c r="L296" s="129"/>
      <c r="M296" s="129"/>
      <c r="N296" s="129"/>
      <c r="O296" s="129"/>
      <c r="P296" s="129"/>
      <c r="Q296" s="129"/>
      <c r="R296" s="129"/>
      <c r="S296" s="129"/>
      <c r="T296" s="129"/>
      <c r="U296" s="129"/>
      <c r="V296" s="129"/>
      <c r="W296" s="129"/>
      <c r="X296" s="129"/>
      <c r="Y296" s="129"/>
      <c r="Z296" s="129"/>
      <c r="AA296" s="129"/>
      <c r="AB296" s="129"/>
      <c r="AC296" s="129"/>
      <c r="AD296" s="129"/>
      <c r="AE296" s="129"/>
      <c r="AF296" s="129"/>
      <c r="AG296" s="129"/>
      <c r="AH296" s="129"/>
      <c r="AI296" s="129"/>
      <c r="AJ296" s="129"/>
      <c r="AK296" s="129"/>
      <c r="AL296" s="129"/>
      <c r="AM296" s="129"/>
      <c r="AN296" s="129"/>
      <c r="AO296" s="129"/>
      <c r="AP296" s="129"/>
      <c r="AQ296" s="129"/>
      <c r="AR296" s="129"/>
      <c r="AS296" s="129"/>
      <c r="AT296" s="129"/>
      <c r="AU296" s="129"/>
      <c r="AV296" s="129"/>
      <c r="AW296" s="129"/>
      <c r="AX296" s="129"/>
      <c r="AY296" s="129"/>
      <c r="AZ296" s="129"/>
      <c r="BA296" s="129"/>
      <c r="BB296" s="129"/>
      <c r="BC296" s="129"/>
      <c r="BD296" s="129"/>
      <c r="BE296" s="129"/>
      <c r="BF296" s="129"/>
      <c r="BG296" s="129"/>
      <c r="BH296" s="129"/>
      <c r="BI296" s="129"/>
      <c r="BJ296" s="130"/>
    </row>
    <row r="297" spans="1:67" s="105" customFormat="1" ht="22.5" customHeight="1">
      <c r="A297" s="131" t="s">
        <v>124</v>
      </c>
      <c r="B297" s="132">
        <f t="shared" si="152"/>
        <v>2844210102.2509108</v>
      </c>
      <c r="C297" s="102">
        <f>C288-C290-C291-C296</f>
        <v>2964193.6485529169</v>
      </c>
      <c r="D297" s="103">
        <f>D288-D290-D291-D296</f>
        <v>2964193.6485529169</v>
      </c>
      <c r="E297" s="103">
        <f t="shared" ref="E297:BJ297" si="153">E288-E290-E291-E296</f>
        <v>2964193.6485529169</v>
      </c>
      <c r="F297" s="103">
        <f t="shared" si="153"/>
        <v>2964193.6485529169</v>
      </c>
      <c r="G297" s="103">
        <f t="shared" si="153"/>
        <v>2964193.6485529169</v>
      </c>
      <c r="H297" s="103">
        <f t="shared" si="153"/>
        <v>43006714.836923823</v>
      </c>
      <c r="I297" s="103">
        <f t="shared" si="153"/>
        <v>86013429.673847646</v>
      </c>
      <c r="J297" s="103">
        <f t="shared" si="153"/>
        <v>129020144.5107715</v>
      </c>
      <c r="K297" s="103">
        <f t="shared" si="153"/>
        <v>172026859.34769529</v>
      </c>
      <c r="L297" s="103">
        <f t="shared" si="153"/>
        <v>246156854.65870881</v>
      </c>
      <c r="M297" s="103">
        <f t="shared" si="153"/>
        <v>246156854.65870881</v>
      </c>
      <c r="N297" s="103">
        <f t="shared" si="153"/>
        <v>246156854.65870881</v>
      </c>
      <c r="O297" s="103">
        <f t="shared" si="153"/>
        <v>246156854.65870881</v>
      </c>
      <c r="P297" s="103">
        <f t="shared" si="153"/>
        <v>246156854.65870881</v>
      </c>
      <c r="Q297" s="103">
        <f t="shared" si="153"/>
        <v>246156854.65870881</v>
      </c>
      <c r="R297" s="103">
        <f t="shared" si="153"/>
        <v>246156854.65870881</v>
      </c>
      <c r="S297" s="103">
        <f t="shared" si="153"/>
        <v>246156854.65870881</v>
      </c>
      <c r="T297" s="103">
        <f t="shared" si="153"/>
        <v>172026859.34769529</v>
      </c>
      <c r="U297" s="103">
        <f t="shared" si="153"/>
        <v>129020144.5107715</v>
      </c>
      <c r="V297" s="103">
        <f t="shared" si="153"/>
        <v>86013429.673847646</v>
      </c>
      <c r="W297" s="103">
        <f t="shared" si="153"/>
        <v>43006714.836923823</v>
      </c>
      <c r="X297" s="103">
        <f t="shared" si="153"/>
        <v>0</v>
      </c>
      <c r="Y297" s="103">
        <f t="shared" si="153"/>
        <v>0</v>
      </c>
      <c r="Z297" s="103">
        <f t="shared" si="153"/>
        <v>0</v>
      </c>
      <c r="AA297" s="103">
        <f t="shared" si="153"/>
        <v>0</v>
      </c>
      <c r="AB297" s="103">
        <f t="shared" si="153"/>
        <v>0</v>
      </c>
      <c r="AC297" s="103">
        <f t="shared" si="153"/>
        <v>0</v>
      </c>
      <c r="AD297" s="103">
        <f t="shared" si="153"/>
        <v>0</v>
      </c>
      <c r="AE297" s="103">
        <f t="shared" si="153"/>
        <v>0</v>
      </c>
      <c r="AF297" s="103">
        <f t="shared" si="153"/>
        <v>0</v>
      </c>
      <c r="AG297" s="103">
        <f t="shared" si="153"/>
        <v>0</v>
      </c>
      <c r="AH297" s="103">
        <f t="shared" si="153"/>
        <v>0</v>
      </c>
      <c r="AI297" s="103">
        <f t="shared" si="153"/>
        <v>0</v>
      </c>
      <c r="AJ297" s="103">
        <f t="shared" si="153"/>
        <v>0</v>
      </c>
      <c r="AK297" s="103">
        <f t="shared" si="153"/>
        <v>0</v>
      </c>
      <c r="AL297" s="103">
        <f t="shared" si="153"/>
        <v>0</v>
      </c>
      <c r="AM297" s="103">
        <f t="shared" si="153"/>
        <v>0</v>
      </c>
      <c r="AN297" s="103">
        <f t="shared" si="153"/>
        <v>0</v>
      </c>
      <c r="AO297" s="103">
        <f t="shared" si="153"/>
        <v>0</v>
      </c>
      <c r="AP297" s="103">
        <f t="shared" si="153"/>
        <v>0</v>
      </c>
      <c r="AQ297" s="103">
        <f t="shared" si="153"/>
        <v>0</v>
      </c>
      <c r="AR297" s="103">
        <f t="shared" si="153"/>
        <v>0</v>
      </c>
      <c r="AS297" s="103">
        <f t="shared" si="153"/>
        <v>0</v>
      </c>
      <c r="AT297" s="103">
        <f t="shared" si="153"/>
        <v>0</v>
      </c>
      <c r="AU297" s="103">
        <f t="shared" si="153"/>
        <v>0</v>
      </c>
      <c r="AV297" s="103">
        <f t="shared" si="153"/>
        <v>0</v>
      </c>
      <c r="AW297" s="103">
        <f t="shared" si="153"/>
        <v>0</v>
      </c>
      <c r="AX297" s="103">
        <f t="shared" si="153"/>
        <v>0</v>
      </c>
      <c r="AY297" s="103">
        <f t="shared" si="153"/>
        <v>0</v>
      </c>
      <c r="AZ297" s="103">
        <f t="shared" si="153"/>
        <v>0</v>
      </c>
      <c r="BA297" s="103">
        <f t="shared" si="153"/>
        <v>0</v>
      </c>
      <c r="BB297" s="103">
        <f t="shared" si="153"/>
        <v>0</v>
      </c>
      <c r="BC297" s="103">
        <f t="shared" si="153"/>
        <v>0</v>
      </c>
      <c r="BD297" s="103">
        <f t="shared" si="153"/>
        <v>0</v>
      </c>
      <c r="BE297" s="103">
        <f t="shared" si="153"/>
        <v>0</v>
      </c>
      <c r="BF297" s="103">
        <f t="shared" si="153"/>
        <v>0</v>
      </c>
      <c r="BG297" s="103">
        <f t="shared" si="153"/>
        <v>0</v>
      </c>
      <c r="BH297" s="103">
        <f t="shared" si="153"/>
        <v>0</v>
      </c>
      <c r="BI297" s="103">
        <f t="shared" si="153"/>
        <v>0</v>
      </c>
      <c r="BJ297" s="104">
        <f t="shared" si="153"/>
        <v>0</v>
      </c>
      <c r="BK297" s="109"/>
      <c r="BL297" s="109"/>
    </row>
    <row r="298" spans="1:67" s="116" customFormat="1">
      <c r="A298" s="136" t="s">
        <v>125</v>
      </c>
      <c r="B298" s="137">
        <f t="shared" ref="B298:G298" si="154">SUM(B299:B302)</f>
        <v>245069592.75996885</v>
      </c>
      <c r="C298" s="113">
        <f t="shared" si="154"/>
        <v>37193949.410236254</v>
      </c>
      <c r="D298" s="114">
        <f t="shared" si="154"/>
        <v>40126360.443694256</v>
      </c>
      <c r="E298" s="114">
        <f t="shared" si="154"/>
        <v>55916427.635346115</v>
      </c>
      <c r="F298" s="114">
        <f t="shared" si="154"/>
        <v>55916427.635346115</v>
      </c>
      <c r="G298" s="114">
        <f t="shared" si="154"/>
        <v>55916427.635346115</v>
      </c>
      <c r="H298" s="114"/>
      <c r="I298" s="114"/>
      <c r="J298" s="114"/>
      <c r="K298" s="114"/>
      <c r="L298" s="114"/>
      <c r="M298" s="114"/>
      <c r="N298" s="114"/>
      <c r="O298" s="114"/>
      <c r="P298" s="114"/>
      <c r="Q298" s="114"/>
      <c r="R298" s="114"/>
      <c r="S298" s="114"/>
      <c r="T298" s="114"/>
      <c r="U298" s="114"/>
      <c r="V298" s="114"/>
      <c r="W298" s="114"/>
      <c r="X298" s="114"/>
      <c r="Y298" s="114"/>
      <c r="Z298" s="114"/>
      <c r="AA298" s="114"/>
      <c r="AB298" s="114"/>
      <c r="AC298" s="114"/>
      <c r="AD298" s="114"/>
      <c r="AE298" s="114"/>
      <c r="AF298" s="114"/>
      <c r="AG298" s="114"/>
      <c r="AH298" s="114"/>
      <c r="AI298" s="114"/>
      <c r="AJ298" s="114"/>
      <c r="AK298" s="114"/>
      <c r="AL298" s="114"/>
      <c r="AM298" s="114"/>
      <c r="AN298" s="114"/>
      <c r="AO298" s="114"/>
      <c r="AP298" s="114"/>
      <c r="AQ298" s="114"/>
      <c r="AR298" s="114"/>
      <c r="AS298" s="114"/>
      <c r="AT298" s="114"/>
      <c r="AU298" s="114"/>
      <c r="AV298" s="114"/>
      <c r="AW298" s="114"/>
      <c r="AX298" s="114"/>
      <c r="AY298" s="114"/>
      <c r="AZ298" s="114"/>
      <c r="BA298" s="114"/>
      <c r="BB298" s="114"/>
      <c r="BC298" s="114"/>
      <c r="BD298" s="114"/>
      <c r="BE298" s="114"/>
      <c r="BF298" s="114"/>
      <c r="BG298" s="114"/>
      <c r="BH298" s="114"/>
      <c r="BI298" s="114"/>
      <c r="BJ298" s="115"/>
    </row>
    <row r="299" spans="1:67" s="143" customFormat="1" ht="12.75">
      <c r="A299" s="138" t="s">
        <v>126</v>
      </c>
      <c r="B299" s="139">
        <f>SUM(C299:BJ299)</f>
        <v>56964667.775703572</v>
      </c>
      <c r="C299" s="140"/>
      <c r="D299" s="141"/>
      <c r="E299" s="226">
        <v>18988222.591901191</v>
      </c>
      <c r="F299" s="141">
        <f t="shared" ref="F299:G301" si="155">E299</f>
        <v>18988222.591901191</v>
      </c>
      <c r="G299" s="141">
        <f t="shared" si="155"/>
        <v>18988222.591901191</v>
      </c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  <c r="AH299" s="141"/>
      <c r="AI299" s="141"/>
      <c r="AJ299" s="141"/>
      <c r="AK299" s="141"/>
      <c r="AL299" s="141"/>
      <c r="AM299" s="141"/>
      <c r="AN299" s="141"/>
      <c r="AO299" s="141"/>
      <c r="AP299" s="141"/>
      <c r="AQ299" s="141"/>
      <c r="AR299" s="141"/>
      <c r="AS299" s="141"/>
      <c r="AT299" s="141"/>
      <c r="AU299" s="141"/>
      <c r="AV299" s="141"/>
      <c r="AW299" s="141"/>
      <c r="AX299" s="141"/>
      <c r="AY299" s="141"/>
      <c r="AZ299" s="141"/>
      <c r="BA299" s="141"/>
      <c r="BB299" s="141"/>
      <c r="BC299" s="141"/>
      <c r="BD299" s="141"/>
      <c r="BE299" s="141"/>
      <c r="BF299" s="141"/>
      <c r="BG299" s="141"/>
      <c r="BH299" s="141"/>
      <c r="BI299" s="141"/>
      <c r="BJ299" s="142"/>
      <c r="BK299" s="141"/>
      <c r="BL299" s="141"/>
    </row>
    <row r="300" spans="1:67" s="143" customFormat="1" ht="12.75">
      <c r="A300" s="138" t="s">
        <v>127</v>
      </c>
      <c r="B300" s="139">
        <f>SUM(C300:BJ300)</f>
        <v>8000000</v>
      </c>
      <c r="C300" s="140"/>
      <c r="D300" s="141"/>
      <c r="E300" s="141">
        <v>2666666.6666666665</v>
      </c>
      <c r="F300" s="141">
        <f t="shared" si="155"/>
        <v>2666666.6666666665</v>
      </c>
      <c r="G300" s="141">
        <f t="shared" si="155"/>
        <v>2666666.6666666665</v>
      </c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  <c r="AH300" s="141"/>
      <c r="AI300" s="141"/>
      <c r="AJ300" s="141"/>
      <c r="AK300" s="141"/>
      <c r="AL300" s="141"/>
      <c r="AM300" s="141"/>
      <c r="AN300" s="141"/>
      <c r="AO300" s="141"/>
      <c r="AP300" s="141"/>
      <c r="AQ300" s="141"/>
      <c r="AR300" s="141"/>
      <c r="AS300" s="141"/>
      <c r="AT300" s="141"/>
      <c r="AU300" s="141"/>
      <c r="AV300" s="141"/>
      <c r="AW300" s="141"/>
      <c r="AX300" s="141"/>
      <c r="AY300" s="141"/>
      <c r="AZ300" s="141"/>
      <c r="BA300" s="141"/>
      <c r="BB300" s="141"/>
      <c r="BC300" s="141"/>
      <c r="BD300" s="141"/>
      <c r="BE300" s="141"/>
      <c r="BF300" s="141"/>
      <c r="BG300" s="141"/>
      <c r="BH300" s="141"/>
      <c r="BI300" s="141"/>
      <c r="BJ300" s="142"/>
      <c r="BK300" s="141"/>
      <c r="BL300" s="141"/>
    </row>
    <row r="301" spans="1:67" s="143" customFormat="1" ht="12.75">
      <c r="A301" s="138" t="s">
        <v>128</v>
      </c>
      <c r="B301" s="139">
        <f>SUM(C301:BJ301)</f>
        <v>171307691.88389128</v>
      </c>
      <c r="C301" s="140">
        <v>34261538.37677826</v>
      </c>
      <c r="D301" s="141">
        <f>C301</f>
        <v>34261538.37677826</v>
      </c>
      <c r="E301" s="141">
        <f>D301</f>
        <v>34261538.37677826</v>
      </c>
      <c r="F301" s="141">
        <f t="shared" si="155"/>
        <v>34261538.37677826</v>
      </c>
      <c r="G301" s="141">
        <f t="shared" si="155"/>
        <v>34261538.37677826</v>
      </c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  <c r="AH301" s="141"/>
      <c r="AI301" s="141"/>
      <c r="AJ301" s="141"/>
      <c r="AK301" s="141"/>
      <c r="AL301" s="141"/>
      <c r="AM301" s="141"/>
      <c r="AN301" s="141"/>
      <c r="AO301" s="141"/>
      <c r="AP301" s="141"/>
      <c r="AQ301" s="141"/>
      <c r="AR301" s="141"/>
      <c r="AS301" s="141"/>
      <c r="AT301" s="141"/>
      <c r="AU301" s="141"/>
      <c r="AV301" s="141"/>
      <c r="AW301" s="141"/>
      <c r="AX301" s="141"/>
      <c r="AY301" s="141"/>
      <c r="AZ301" s="141"/>
      <c r="BA301" s="141"/>
      <c r="BB301" s="141"/>
      <c r="BC301" s="141"/>
      <c r="BD301" s="141"/>
      <c r="BE301" s="141"/>
      <c r="BF301" s="141"/>
      <c r="BG301" s="141"/>
      <c r="BH301" s="141"/>
      <c r="BI301" s="141"/>
      <c r="BJ301" s="142"/>
      <c r="BK301" s="141"/>
      <c r="BL301" s="141"/>
    </row>
    <row r="302" spans="1:67" s="143" customFormat="1" ht="12.75">
      <c r="A302" s="138" t="s">
        <v>129</v>
      </c>
      <c r="B302" s="139">
        <f>SUM(C302:BJ302)</f>
        <v>8797233.1003739908</v>
      </c>
      <c r="C302" s="140">
        <v>2932411.0334579973</v>
      </c>
      <c r="D302" s="141">
        <v>5864822.0669159945</v>
      </c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  <c r="AH302" s="141"/>
      <c r="AI302" s="141"/>
      <c r="AJ302" s="141"/>
      <c r="AK302" s="141"/>
      <c r="AL302" s="141"/>
      <c r="AM302" s="141"/>
      <c r="AN302" s="141"/>
      <c r="AO302" s="141"/>
      <c r="AP302" s="141"/>
      <c r="AQ302" s="141"/>
      <c r="AR302" s="141"/>
      <c r="AS302" s="141"/>
      <c r="AT302" s="141"/>
      <c r="AU302" s="141"/>
      <c r="AV302" s="141"/>
      <c r="AW302" s="141"/>
      <c r="AX302" s="141"/>
      <c r="AY302" s="141"/>
      <c r="AZ302" s="141"/>
      <c r="BA302" s="141"/>
      <c r="BB302" s="141"/>
      <c r="BC302" s="141"/>
      <c r="BD302" s="141"/>
      <c r="BE302" s="141"/>
      <c r="BF302" s="141"/>
      <c r="BG302" s="141"/>
      <c r="BH302" s="141"/>
      <c r="BI302" s="141"/>
      <c r="BJ302" s="142"/>
      <c r="BK302" s="141"/>
      <c r="BL302" s="141"/>
    </row>
    <row r="303" spans="1:67" s="116" customFormat="1">
      <c r="A303" s="111" t="s">
        <v>130</v>
      </c>
      <c r="B303" s="137">
        <f>SUM(B304:B307)</f>
        <v>245069592.75996888</v>
      </c>
      <c r="C303" s="117">
        <f>SUM(C304:C307)</f>
        <v>1239798.3136745419</v>
      </c>
      <c r="D303" s="118">
        <f>SUM(D304:D307)</f>
        <v>2577343.6617976837</v>
      </c>
      <c r="E303" s="118">
        <f t="shared" ref="E303:BJ303" si="156">SUM(E304:E307)</f>
        <v>4441224.5829758877</v>
      </c>
      <c r="F303" s="118">
        <f t="shared" si="156"/>
        <v>6305105.5041540917</v>
      </c>
      <c r="G303" s="118">
        <f t="shared" si="156"/>
        <v>8168986.4253322948</v>
      </c>
      <c r="H303" s="118">
        <f t="shared" si="156"/>
        <v>8168986.4253322948</v>
      </c>
      <c r="I303" s="118">
        <f t="shared" si="156"/>
        <v>8168986.4253322948</v>
      </c>
      <c r="J303" s="118">
        <f t="shared" si="156"/>
        <v>8168986.4253322948</v>
      </c>
      <c r="K303" s="118">
        <f t="shared" si="156"/>
        <v>8168986.4253322948</v>
      </c>
      <c r="L303" s="118">
        <f t="shared" si="156"/>
        <v>8168986.4253322948</v>
      </c>
      <c r="M303" s="118">
        <f t="shared" si="156"/>
        <v>8168986.4253322948</v>
      </c>
      <c r="N303" s="118">
        <f t="shared" si="156"/>
        <v>8168986.4253322948</v>
      </c>
      <c r="O303" s="118">
        <f t="shared" si="156"/>
        <v>8168986.4253322948</v>
      </c>
      <c r="P303" s="118">
        <f t="shared" si="156"/>
        <v>8168986.4253322948</v>
      </c>
      <c r="Q303" s="118">
        <f t="shared" si="156"/>
        <v>8168986.4253322948</v>
      </c>
      <c r="R303" s="118">
        <f t="shared" si="156"/>
        <v>8168986.4253322948</v>
      </c>
      <c r="S303" s="118">
        <f t="shared" si="156"/>
        <v>8168986.4253322948</v>
      </c>
      <c r="T303" s="118">
        <f t="shared" si="156"/>
        <v>8168986.4253322948</v>
      </c>
      <c r="U303" s="118">
        <f t="shared" si="156"/>
        <v>8168986.4253322948</v>
      </c>
      <c r="V303" s="118">
        <f t="shared" si="156"/>
        <v>8168986.4253322948</v>
      </c>
      <c r="W303" s="118">
        <f t="shared" si="156"/>
        <v>8168986.4253322948</v>
      </c>
      <c r="X303" s="118">
        <f t="shared" si="156"/>
        <v>8168986.4253322948</v>
      </c>
      <c r="Y303" s="118">
        <f t="shared" si="156"/>
        <v>8168986.4253322948</v>
      </c>
      <c r="Z303" s="118">
        <f t="shared" si="156"/>
        <v>8168986.4253322948</v>
      </c>
      <c r="AA303" s="118">
        <f t="shared" si="156"/>
        <v>8168986.4253322948</v>
      </c>
      <c r="AB303" s="118">
        <f t="shared" si="156"/>
        <v>8168986.4253322948</v>
      </c>
      <c r="AC303" s="118">
        <f t="shared" si="156"/>
        <v>8168986.4253322948</v>
      </c>
      <c r="AD303" s="118">
        <f t="shared" si="156"/>
        <v>8168986.4253322948</v>
      </c>
      <c r="AE303" s="118">
        <f t="shared" si="156"/>
        <v>8168986.4253322948</v>
      </c>
      <c r="AF303" s="118">
        <f t="shared" si="156"/>
        <v>8168986.4253322948</v>
      </c>
      <c r="AG303" s="118">
        <f t="shared" si="156"/>
        <v>6929188.1116577536</v>
      </c>
      <c r="AH303" s="118">
        <f t="shared" si="156"/>
        <v>5591642.763534612</v>
      </c>
      <c r="AI303" s="118">
        <f t="shared" si="156"/>
        <v>3727761.842356408</v>
      </c>
      <c r="AJ303" s="118">
        <f t="shared" si="156"/>
        <v>1863880.921178204</v>
      </c>
      <c r="AK303" s="118">
        <f t="shared" si="156"/>
        <v>0</v>
      </c>
      <c r="AL303" s="118">
        <f t="shared" si="156"/>
        <v>0</v>
      </c>
      <c r="AM303" s="118">
        <f t="shared" si="156"/>
        <v>0</v>
      </c>
      <c r="AN303" s="118">
        <f t="shared" si="156"/>
        <v>0</v>
      </c>
      <c r="AO303" s="118">
        <f t="shared" si="156"/>
        <v>0</v>
      </c>
      <c r="AP303" s="118">
        <f t="shared" si="156"/>
        <v>0</v>
      </c>
      <c r="AQ303" s="118">
        <f t="shared" si="156"/>
        <v>0</v>
      </c>
      <c r="AR303" s="118">
        <f t="shared" si="156"/>
        <v>0</v>
      </c>
      <c r="AS303" s="118">
        <f t="shared" si="156"/>
        <v>0</v>
      </c>
      <c r="AT303" s="118">
        <f t="shared" si="156"/>
        <v>0</v>
      </c>
      <c r="AU303" s="118">
        <f t="shared" si="156"/>
        <v>0</v>
      </c>
      <c r="AV303" s="118">
        <f t="shared" si="156"/>
        <v>0</v>
      </c>
      <c r="AW303" s="118">
        <f t="shared" si="156"/>
        <v>0</v>
      </c>
      <c r="AX303" s="118">
        <f t="shared" si="156"/>
        <v>0</v>
      </c>
      <c r="AY303" s="118">
        <f t="shared" si="156"/>
        <v>0</v>
      </c>
      <c r="AZ303" s="118">
        <f t="shared" si="156"/>
        <v>0</v>
      </c>
      <c r="BA303" s="118">
        <f t="shared" si="156"/>
        <v>0</v>
      </c>
      <c r="BB303" s="118">
        <f t="shared" si="156"/>
        <v>0</v>
      </c>
      <c r="BC303" s="118">
        <f t="shared" si="156"/>
        <v>0</v>
      </c>
      <c r="BD303" s="118">
        <f t="shared" si="156"/>
        <v>0</v>
      </c>
      <c r="BE303" s="118">
        <f t="shared" si="156"/>
        <v>0</v>
      </c>
      <c r="BF303" s="118">
        <f t="shared" si="156"/>
        <v>0</v>
      </c>
      <c r="BG303" s="118">
        <f t="shared" si="156"/>
        <v>0</v>
      </c>
      <c r="BH303" s="118">
        <f t="shared" si="156"/>
        <v>0</v>
      </c>
      <c r="BI303" s="118">
        <f t="shared" si="156"/>
        <v>0</v>
      </c>
      <c r="BJ303" s="119">
        <f t="shared" si="156"/>
        <v>0</v>
      </c>
      <c r="BK303" s="118"/>
      <c r="BL303" s="118"/>
    </row>
    <row r="304" spans="1:67" s="143" customFormat="1" ht="12.75">
      <c r="A304" s="138" t="s">
        <v>126</v>
      </c>
      <c r="B304" s="139">
        <f>SUM(C304:BJ304)</f>
        <v>56964667.775703587</v>
      </c>
      <c r="C304" s="140"/>
      <c r="D304" s="141"/>
      <c r="E304" s="226">
        <f>$C299/$O285+$D299/$O285+$E299/$O285</f>
        <v>632940.75306337303</v>
      </c>
      <c r="F304" s="141">
        <f>$C299/$O285+$D299/$O285+$E299/$O285+$F299/$O285</f>
        <v>1265881.5061267461</v>
      </c>
      <c r="G304" s="141">
        <f>$C299/$O285+$D299/$O285+$E299/$O285+$F299/$O285+$G299/$O285</f>
        <v>1898822.2591901191</v>
      </c>
      <c r="H304" s="141">
        <f t="shared" ref="H304:AH307" si="157">G304</f>
        <v>1898822.2591901191</v>
      </c>
      <c r="I304" s="141">
        <f t="shared" si="157"/>
        <v>1898822.2591901191</v>
      </c>
      <c r="J304" s="141">
        <f t="shared" si="157"/>
        <v>1898822.2591901191</v>
      </c>
      <c r="K304" s="141">
        <f t="shared" si="157"/>
        <v>1898822.2591901191</v>
      </c>
      <c r="L304" s="141">
        <f t="shared" si="157"/>
        <v>1898822.2591901191</v>
      </c>
      <c r="M304" s="141">
        <f t="shared" si="157"/>
        <v>1898822.2591901191</v>
      </c>
      <c r="N304" s="141">
        <f t="shared" si="157"/>
        <v>1898822.2591901191</v>
      </c>
      <c r="O304" s="141">
        <f t="shared" si="157"/>
        <v>1898822.2591901191</v>
      </c>
      <c r="P304" s="141">
        <f t="shared" si="157"/>
        <v>1898822.2591901191</v>
      </c>
      <c r="Q304" s="141">
        <f t="shared" si="157"/>
        <v>1898822.2591901191</v>
      </c>
      <c r="R304" s="141">
        <f t="shared" si="157"/>
        <v>1898822.2591901191</v>
      </c>
      <c r="S304" s="141">
        <f t="shared" si="157"/>
        <v>1898822.2591901191</v>
      </c>
      <c r="T304" s="141">
        <f t="shared" si="157"/>
        <v>1898822.2591901191</v>
      </c>
      <c r="U304" s="141">
        <f t="shared" si="157"/>
        <v>1898822.2591901191</v>
      </c>
      <c r="V304" s="141">
        <f t="shared" si="157"/>
        <v>1898822.2591901191</v>
      </c>
      <c r="W304" s="141">
        <f t="shared" si="157"/>
        <v>1898822.2591901191</v>
      </c>
      <c r="X304" s="141">
        <f t="shared" si="157"/>
        <v>1898822.2591901191</v>
      </c>
      <c r="Y304" s="141">
        <f t="shared" si="157"/>
        <v>1898822.2591901191</v>
      </c>
      <c r="Z304" s="141">
        <f t="shared" si="157"/>
        <v>1898822.2591901191</v>
      </c>
      <c r="AA304" s="141">
        <f t="shared" si="157"/>
        <v>1898822.2591901191</v>
      </c>
      <c r="AB304" s="141">
        <f t="shared" si="157"/>
        <v>1898822.2591901191</v>
      </c>
      <c r="AC304" s="141">
        <f t="shared" si="157"/>
        <v>1898822.2591901191</v>
      </c>
      <c r="AD304" s="141">
        <f t="shared" si="157"/>
        <v>1898822.2591901191</v>
      </c>
      <c r="AE304" s="141">
        <f t="shared" si="157"/>
        <v>1898822.2591901191</v>
      </c>
      <c r="AF304" s="141">
        <f t="shared" si="157"/>
        <v>1898822.2591901191</v>
      </c>
      <c r="AG304" s="141">
        <f t="shared" si="157"/>
        <v>1898822.2591901191</v>
      </c>
      <c r="AH304" s="141">
        <f t="shared" si="157"/>
        <v>1898822.2591901191</v>
      </c>
      <c r="AI304" s="141">
        <f>F304</f>
        <v>1265881.5061267461</v>
      </c>
      <c r="AJ304" s="141">
        <f>E304</f>
        <v>632940.75306337303</v>
      </c>
      <c r="AK304" s="141"/>
      <c r="AL304" s="141"/>
      <c r="AM304" s="141"/>
      <c r="AN304" s="141"/>
      <c r="AO304" s="141"/>
      <c r="AP304" s="141"/>
      <c r="AQ304" s="141"/>
      <c r="AR304" s="141"/>
      <c r="AS304" s="141"/>
      <c r="AT304" s="141"/>
      <c r="AU304" s="141"/>
      <c r="AV304" s="141"/>
      <c r="AW304" s="141"/>
      <c r="AX304" s="141"/>
      <c r="AY304" s="141"/>
      <c r="AZ304" s="141"/>
      <c r="BA304" s="141"/>
      <c r="BB304" s="141"/>
      <c r="BC304" s="141"/>
      <c r="BD304" s="141"/>
      <c r="BE304" s="141"/>
      <c r="BF304" s="141"/>
      <c r="BG304" s="141"/>
      <c r="BH304" s="141"/>
      <c r="BI304" s="141"/>
      <c r="BJ304" s="142"/>
      <c r="BK304" s="141"/>
      <c r="BL304" s="141"/>
    </row>
    <row r="305" spans="1:64" s="143" customFormat="1" ht="12.75">
      <c r="A305" s="138" t="s">
        <v>127</v>
      </c>
      <c r="B305" s="139">
        <f>SUM(C305:BJ305)</f>
        <v>8000000.0000000037</v>
      </c>
      <c r="C305" s="140"/>
      <c r="D305" s="141"/>
      <c r="E305" s="226">
        <f>$C300/$O285+$D300/$O285+$E300/$O285</f>
        <v>88888.888888888891</v>
      </c>
      <c r="F305" s="141">
        <f>$C300/$O285+$D300/$O285+$E300/$O285+$F300/$O285</f>
        <v>177777.77777777778</v>
      </c>
      <c r="G305" s="141">
        <f>$C300/$O285+$D300/$O285+$E300/$O285+$F300/$O285+$G300/$O285</f>
        <v>266666.66666666669</v>
      </c>
      <c r="H305" s="141">
        <f t="shared" si="157"/>
        <v>266666.66666666669</v>
      </c>
      <c r="I305" s="141">
        <f t="shared" si="157"/>
        <v>266666.66666666669</v>
      </c>
      <c r="J305" s="141">
        <f t="shared" si="157"/>
        <v>266666.66666666669</v>
      </c>
      <c r="K305" s="141">
        <f t="shared" si="157"/>
        <v>266666.66666666669</v>
      </c>
      <c r="L305" s="141">
        <f t="shared" si="157"/>
        <v>266666.66666666669</v>
      </c>
      <c r="M305" s="141">
        <f t="shared" si="157"/>
        <v>266666.66666666669</v>
      </c>
      <c r="N305" s="141">
        <f t="shared" si="157"/>
        <v>266666.66666666669</v>
      </c>
      <c r="O305" s="141">
        <f t="shared" si="157"/>
        <v>266666.66666666669</v>
      </c>
      <c r="P305" s="141">
        <f t="shared" si="157"/>
        <v>266666.66666666669</v>
      </c>
      <c r="Q305" s="141">
        <f t="shared" si="157"/>
        <v>266666.66666666669</v>
      </c>
      <c r="R305" s="141">
        <f t="shared" si="157"/>
        <v>266666.66666666669</v>
      </c>
      <c r="S305" s="141">
        <f t="shared" si="157"/>
        <v>266666.66666666669</v>
      </c>
      <c r="T305" s="141">
        <f t="shared" si="157"/>
        <v>266666.66666666669</v>
      </c>
      <c r="U305" s="141">
        <f t="shared" si="157"/>
        <v>266666.66666666669</v>
      </c>
      <c r="V305" s="141">
        <f t="shared" si="157"/>
        <v>266666.66666666669</v>
      </c>
      <c r="W305" s="141">
        <f t="shared" si="157"/>
        <v>266666.66666666669</v>
      </c>
      <c r="X305" s="141">
        <f t="shared" si="157"/>
        <v>266666.66666666669</v>
      </c>
      <c r="Y305" s="141">
        <f t="shared" si="157"/>
        <v>266666.66666666669</v>
      </c>
      <c r="Z305" s="141">
        <f t="shared" si="157"/>
        <v>266666.66666666669</v>
      </c>
      <c r="AA305" s="141">
        <f t="shared" si="157"/>
        <v>266666.66666666669</v>
      </c>
      <c r="AB305" s="141">
        <f t="shared" si="157"/>
        <v>266666.66666666669</v>
      </c>
      <c r="AC305" s="141">
        <f t="shared" si="157"/>
        <v>266666.66666666669</v>
      </c>
      <c r="AD305" s="141">
        <f t="shared" si="157"/>
        <v>266666.66666666669</v>
      </c>
      <c r="AE305" s="141">
        <f t="shared" si="157"/>
        <v>266666.66666666669</v>
      </c>
      <c r="AF305" s="141">
        <f t="shared" si="157"/>
        <v>266666.66666666669</v>
      </c>
      <c r="AG305" s="141">
        <f t="shared" si="157"/>
        <v>266666.66666666669</v>
      </c>
      <c r="AH305" s="141">
        <f t="shared" si="157"/>
        <v>266666.66666666669</v>
      </c>
      <c r="AI305" s="141">
        <f>F305</f>
        <v>177777.77777777778</v>
      </c>
      <c r="AJ305" s="141">
        <f>E305</f>
        <v>88888.888888888891</v>
      </c>
      <c r="AK305" s="141"/>
      <c r="AL305" s="141"/>
      <c r="AM305" s="141"/>
      <c r="AN305" s="141"/>
      <c r="AO305" s="141"/>
      <c r="AP305" s="141"/>
      <c r="AQ305" s="141"/>
      <c r="AR305" s="141"/>
      <c r="AS305" s="141"/>
      <c r="AT305" s="141"/>
      <c r="AU305" s="141"/>
      <c r="AV305" s="141"/>
      <c r="AW305" s="141"/>
      <c r="AX305" s="141"/>
      <c r="AY305" s="141"/>
      <c r="AZ305" s="141"/>
      <c r="BA305" s="141"/>
      <c r="BB305" s="141"/>
      <c r="BC305" s="141"/>
      <c r="BD305" s="141"/>
      <c r="BE305" s="141"/>
      <c r="BF305" s="141"/>
      <c r="BG305" s="141"/>
      <c r="BH305" s="141"/>
      <c r="BI305" s="141"/>
      <c r="BJ305" s="142"/>
      <c r="BK305" s="141"/>
      <c r="BL305" s="141"/>
    </row>
    <row r="306" spans="1:64" s="143" customFormat="1" ht="12.75">
      <c r="A306" s="138" t="s">
        <v>128</v>
      </c>
      <c r="B306" s="139">
        <f>SUM(C306:BJ306)</f>
        <v>171307691.88389131</v>
      </c>
      <c r="C306" s="227">
        <f>$C301/$O285</f>
        <v>1142051.279225942</v>
      </c>
      <c r="D306" s="141">
        <f>$C301/$O285+$D301/$O285</f>
        <v>2284102.558451884</v>
      </c>
      <c r="E306" s="141">
        <f>$C301/$O285+$D301/$O285+$E301/$O285</f>
        <v>3426153.8376778262</v>
      </c>
      <c r="F306" s="141">
        <f>$C301/$O285+$D301/$O285+$E301/$O285+$F301/$O285</f>
        <v>4568205.1169037679</v>
      </c>
      <c r="G306" s="141">
        <f>$C301/$O285+$D301/$O285+$E301/$O285+$F301/$O285+$G301/$O285</f>
        <v>5710256.3961297097</v>
      </c>
      <c r="H306" s="141">
        <f t="shared" si="157"/>
        <v>5710256.3961297097</v>
      </c>
      <c r="I306" s="141">
        <f t="shared" si="157"/>
        <v>5710256.3961297097</v>
      </c>
      <c r="J306" s="141">
        <f t="shared" si="157"/>
        <v>5710256.3961297097</v>
      </c>
      <c r="K306" s="141">
        <f t="shared" si="157"/>
        <v>5710256.3961297097</v>
      </c>
      <c r="L306" s="141">
        <f t="shared" si="157"/>
        <v>5710256.3961297097</v>
      </c>
      <c r="M306" s="141">
        <f t="shared" si="157"/>
        <v>5710256.3961297097</v>
      </c>
      <c r="N306" s="141">
        <f t="shared" si="157"/>
        <v>5710256.3961297097</v>
      </c>
      <c r="O306" s="141">
        <f t="shared" si="157"/>
        <v>5710256.3961297097</v>
      </c>
      <c r="P306" s="141">
        <f t="shared" si="157"/>
        <v>5710256.3961297097</v>
      </c>
      <c r="Q306" s="141">
        <f t="shared" si="157"/>
        <v>5710256.3961297097</v>
      </c>
      <c r="R306" s="141">
        <f t="shared" si="157"/>
        <v>5710256.3961297097</v>
      </c>
      <c r="S306" s="141">
        <f t="shared" si="157"/>
        <v>5710256.3961297097</v>
      </c>
      <c r="T306" s="141">
        <f t="shared" si="157"/>
        <v>5710256.3961297097</v>
      </c>
      <c r="U306" s="141">
        <f t="shared" si="157"/>
        <v>5710256.3961297097</v>
      </c>
      <c r="V306" s="141">
        <f t="shared" si="157"/>
        <v>5710256.3961297097</v>
      </c>
      <c r="W306" s="141">
        <f t="shared" si="157"/>
        <v>5710256.3961297097</v>
      </c>
      <c r="X306" s="141">
        <f t="shared" si="157"/>
        <v>5710256.3961297097</v>
      </c>
      <c r="Y306" s="141">
        <f t="shared" si="157"/>
        <v>5710256.3961297097</v>
      </c>
      <c r="Z306" s="141">
        <f t="shared" si="157"/>
        <v>5710256.3961297097</v>
      </c>
      <c r="AA306" s="141">
        <f t="shared" si="157"/>
        <v>5710256.3961297097</v>
      </c>
      <c r="AB306" s="141">
        <f t="shared" si="157"/>
        <v>5710256.3961297097</v>
      </c>
      <c r="AC306" s="141">
        <f t="shared" si="157"/>
        <v>5710256.3961297097</v>
      </c>
      <c r="AD306" s="141">
        <f t="shared" si="157"/>
        <v>5710256.3961297097</v>
      </c>
      <c r="AE306" s="141">
        <f t="shared" si="157"/>
        <v>5710256.3961297097</v>
      </c>
      <c r="AF306" s="141">
        <f t="shared" si="157"/>
        <v>5710256.3961297097</v>
      </c>
      <c r="AG306" s="141">
        <f>F306</f>
        <v>4568205.1169037679</v>
      </c>
      <c r="AH306" s="141">
        <f>E306</f>
        <v>3426153.8376778262</v>
      </c>
      <c r="AI306" s="141">
        <f>D306</f>
        <v>2284102.558451884</v>
      </c>
      <c r="AJ306" s="141">
        <f>C306</f>
        <v>1142051.279225942</v>
      </c>
      <c r="AK306" s="141"/>
      <c r="AL306" s="141"/>
      <c r="AM306" s="141"/>
      <c r="AN306" s="141"/>
      <c r="AO306" s="141"/>
      <c r="AP306" s="141"/>
      <c r="AQ306" s="141"/>
      <c r="AR306" s="141"/>
      <c r="AS306" s="141"/>
      <c r="AT306" s="141"/>
      <c r="AU306" s="141"/>
      <c r="AV306" s="141"/>
      <c r="AW306" s="141"/>
      <c r="AX306" s="141"/>
      <c r="AY306" s="141"/>
      <c r="AZ306" s="141"/>
      <c r="BA306" s="141"/>
      <c r="BB306" s="141"/>
      <c r="BC306" s="141"/>
      <c r="BD306" s="141"/>
      <c r="BE306" s="141"/>
      <c r="BF306" s="141"/>
      <c r="BG306" s="141"/>
      <c r="BH306" s="141"/>
      <c r="BI306" s="141"/>
      <c r="BJ306" s="142"/>
      <c r="BK306" s="141"/>
      <c r="BL306" s="141"/>
    </row>
    <row r="307" spans="1:64" s="143" customFormat="1" ht="12.75">
      <c r="A307" s="138" t="s">
        <v>129</v>
      </c>
      <c r="B307" s="139">
        <f>SUM(C307:BJ307)</f>
        <v>8797233.1003739983</v>
      </c>
      <c r="C307" s="227">
        <f>$C302/$O285</f>
        <v>97747.034448599909</v>
      </c>
      <c r="D307" s="141">
        <f>$C302/$O285+$D302/$O285</f>
        <v>293241.10334579973</v>
      </c>
      <c r="E307" s="141">
        <f>$C302/$O285+$D302/$O285+$E302/$O285</f>
        <v>293241.10334579973</v>
      </c>
      <c r="F307" s="141">
        <f>$C302/$O285+$D302/$O285+$E302/$O285+$F302/$O285</f>
        <v>293241.10334579973</v>
      </c>
      <c r="G307" s="141">
        <f>$C302/$O285+$D302/$O285+$E302/$O285+$F302/$O285+$G302/$O285</f>
        <v>293241.10334579973</v>
      </c>
      <c r="H307" s="141">
        <f t="shared" si="157"/>
        <v>293241.10334579973</v>
      </c>
      <c r="I307" s="141">
        <f t="shared" si="157"/>
        <v>293241.10334579973</v>
      </c>
      <c r="J307" s="141">
        <f t="shared" si="157"/>
        <v>293241.10334579973</v>
      </c>
      <c r="K307" s="141">
        <f t="shared" si="157"/>
        <v>293241.10334579973</v>
      </c>
      <c r="L307" s="141">
        <f t="shared" si="157"/>
        <v>293241.10334579973</v>
      </c>
      <c r="M307" s="141">
        <f t="shared" si="157"/>
        <v>293241.10334579973</v>
      </c>
      <c r="N307" s="141">
        <f t="shared" si="157"/>
        <v>293241.10334579973</v>
      </c>
      <c r="O307" s="141">
        <f t="shared" si="157"/>
        <v>293241.10334579973</v>
      </c>
      <c r="P307" s="141">
        <f t="shared" si="157"/>
        <v>293241.10334579973</v>
      </c>
      <c r="Q307" s="141">
        <f t="shared" si="157"/>
        <v>293241.10334579973</v>
      </c>
      <c r="R307" s="141">
        <f t="shared" si="157"/>
        <v>293241.10334579973</v>
      </c>
      <c r="S307" s="141">
        <f t="shared" si="157"/>
        <v>293241.10334579973</v>
      </c>
      <c r="T307" s="141">
        <f t="shared" si="157"/>
        <v>293241.10334579973</v>
      </c>
      <c r="U307" s="141">
        <f t="shared" si="157"/>
        <v>293241.10334579973</v>
      </c>
      <c r="V307" s="141">
        <f t="shared" si="157"/>
        <v>293241.10334579973</v>
      </c>
      <c r="W307" s="141">
        <f t="shared" si="157"/>
        <v>293241.10334579973</v>
      </c>
      <c r="X307" s="141">
        <f t="shared" si="157"/>
        <v>293241.10334579973</v>
      </c>
      <c r="Y307" s="141">
        <f t="shared" si="157"/>
        <v>293241.10334579973</v>
      </c>
      <c r="Z307" s="141">
        <f t="shared" si="157"/>
        <v>293241.10334579973</v>
      </c>
      <c r="AA307" s="141">
        <f t="shared" si="157"/>
        <v>293241.10334579973</v>
      </c>
      <c r="AB307" s="141">
        <f t="shared" si="157"/>
        <v>293241.10334579973</v>
      </c>
      <c r="AC307" s="141">
        <f t="shared" si="157"/>
        <v>293241.10334579973</v>
      </c>
      <c r="AD307" s="141">
        <f t="shared" si="157"/>
        <v>293241.10334579973</v>
      </c>
      <c r="AE307" s="141">
        <f t="shared" si="157"/>
        <v>293241.10334579973</v>
      </c>
      <c r="AF307" s="141">
        <f t="shared" si="157"/>
        <v>293241.10334579973</v>
      </c>
      <c r="AG307" s="141">
        <f>AF307-C307</f>
        <v>195494.06889719982</v>
      </c>
      <c r="AH307" s="141"/>
      <c r="AI307" s="141"/>
      <c r="AJ307" s="141"/>
      <c r="AK307" s="141"/>
      <c r="AL307" s="141"/>
      <c r="AM307" s="141"/>
      <c r="AN307" s="141"/>
      <c r="AO307" s="141"/>
      <c r="AP307" s="141"/>
      <c r="AQ307" s="141"/>
      <c r="AR307" s="141"/>
      <c r="AS307" s="141"/>
      <c r="AT307" s="141"/>
      <c r="AU307" s="141"/>
      <c r="AV307" s="141"/>
      <c r="AW307" s="141"/>
      <c r="AX307" s="141"/>
      <c r="AY307" s="141"/>
      <c r="AZ307" s="141"/>
      <c r="BA307" s="141"/>
      <c r="BB307" s="141"/>
      <c r="BC307" s="141"/>
      <c r="BD307" s="141"/>
      <c r="BE307" s="141"/>
      <c r="BF307" s="141"/>
      <c r="BG307" s="141"/>
      <c r="BH307" s="141"/>
      <c r="BI307" s="141"/>
      <c r="BJ307" s="142"/>
      <c r="BK307" s="141"/>
      <c r="BL307" s="141"/>
    </row>
    <row r="308" spans="1:64" s="148" customFormat="1">
      <c r="A308" s="111" t="s">
        <v>131</v>
      </c>
      <c r="B308" s="144"/>
      <c r="C308" s="145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  <c r="AH308" s="146"/>
      <c r="AI308" s="146"/>
      <c r="AJ308" s="146"/>
      <c r="AK308" s="146"/>
      <c r="AL308" s="146"/>
      <c r="AM308" s="146"/>
      <c r="AN308" s="146"/>
      <c r="AO308" s="146"/>
      <c r="AP308" s="146"/>
      <c r="AQ308" s="146"/>
      <c r="AR308" s="146"/>
      <c r="AS308" s="146"/>
      <c r="AT308" s="146"/>
      <c r="AU308" s="146"/>
      <c r="AV308" s="146"/>
      <c r="AW308" s="146"/>
      <c r="AX308" s="146"/>
      <c r="AY308" s="146"/>
      <c r="AZ308" s="146"/>
      <c r="BA308" s="146"/>
      <c r="BB308" s="146"/>
      <c r="BC308" s="146"/>
      <c r="BD308" s="146"/>
      <c r="BE308" s="146"/>
      <c r="BF308" s="146"/>
      <c r="BG308" s="146"/>
      <c r="BH308" s="146"/>
      <c r="BI308" s="146"/>
      <c r="BJ308" s="147"/>
      <c r="BK308" s="146"/>
      <c r="BL308" s="146"/>
    </row>
    <row r="309" spans="1:64" s="153" customFormat="1" ht="12.75">
      <c r="A309" s="138" t="s">
        <v>126</v>
      </c>
      <c r="B309" s="144"/>
      <c r="C309" s="149"/>
      <c r="D309" s="150"/>
      <c r="E309" s="151">
        <f>$B299-E304</f>
        <v>56331727.022640198</v>
      </c>
      <c r="F309" s="151">
        <f t="shared" ref="F309:AJ312" si="158">E309-F304</f>
        <v>55065845.516513452</v>
      </c>
      <c r="G309" s="151">
        <f t="shared" si="158"/>
        <v>53167023.257323332</v>
      </c>
      <c r="H309" s="151">
        <f t="shared" si="158"/>
        <v>51268200.998133212</v>
      </c>
      <c r="I309" s="151">
        <f t="shared" si="158"/>
        <v>49369378.738943093</v>
      </c>
      <c r="J309" s="151">
        <f t="shared" si="158"/>
        <v>47470556.479752973</v>
      </c>
      <c r="K309" s="151">
        <f t="shared" si="158"/>
        <v>45571734.220562853</v>
      </c>
      <c r="L309" s="151">
        <f t="shared" si="158"/>
        <v>43672911.961372733</v>
      </c>
      <c r="M309" s="151">
        <f t="shared" si="158"/>
        <v>41774089.702182613</v>
      </c>
      <c r="N309" s="151">
        <f t="shared" si="158"/>
        <v>39875267.442992494</v>
      </c>
      <c r="O309" s="151">
        <f t="shared" si="158"/>
        <v>37976445.183802374</v>
      </c>
      <c r="P309" s="151">
        <f t="shared" si="158"/>
        <v>36077622.924612254</v>
      </c>
      <c r="Q309" s="151">
        <f t="shared" si="158"/>
        <v>34178800.665422134</v>
      </c>
      <c r="R309" s="151">
        <f t="shared" si="158"/>
        <v>32279978.406232014</v>
      </c>
      <c r="S309" s="151">
        <f t="shared" si="158"/>
        <v>30381156.147041894</v>
      </c>
      <c r="T309" s="151">
        <f t="shared" si="158"/>
        <v>28482333.887851775</v>
      </c>
      <c r="U309" s="151">
        <f t="shared" si="158"/>
        <v>26583511.628661655</v>
      </c>
      <c r="V309" s="151">
        <f t="shared" si="158"/>
        <v>24684689.369471535</v>
      </c>
      <c r="W309" s="151">
        <f t="shared" si="158"/>
        <v>22785867.110281415</v>
      </c>
      <c r="X309" s="151">
        <f t="shared" si="158"/>
        <v>20887044.851091295</v>
      </c>
      <c r="Y309" s="151">
        <f t="shared" si="158"/>
        <v>18988222.591901176</v>
      </c>
      <c r="Z309" s="151">
        <f t="shared" si="158"/>
        <v>17089400.332711056</v>
      </c>
      <c r="AA309" s="151">
        <f t="shared" si="158"/>
        <v>15190578.073520936</v>
      </c>
      <c r="AB309" s="151">
        <f t="shared" si="158"/>
        <v>13291755.814330816</v>
      </c>
      <c r="AC309" s="151">
        <f t="shared" si="158"/>
        <v>11392933.555140696</v>
      </c>
      <c r="AD309" s="151">
        <f t="shared" si="158"/>
        <v>9494111.2959505767</v>
      </c>
      <c r="AE309" s="151">
        <f t="shared" si="158"/>
        <v>7595289.0367604578</v>
      </c>
      <c r="AF309" s="151">
        <f t="shared" si="158"/>
        <v>5696466.7775703389</v>
      </c>
      <c r="AG309" s="151">
        <f t="shared" si="158"/>
        <v>3797644.51838022</v>
      </c>
      <c r="AH309" s="151">
        <f t="shared" si="158"/>
        <v>1898822.2591901009</v>
      </c>
      <c r="AI309" s="151">
        <f t="shared" si="158"/>
        <v>632940.75306335487</v>
      </c>
      <c r="AJ309" s="151">
        <f t="shared" si="158"/>
        <v>-1.8160790205001831E-8</v>
      </c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2"/>
      <c r="BK309" s="151"/>
      <c r="BL309" s="151"/>
    </row>
    <row r="310" spans="1:64" s="153" customFormat="1" ht="12.75">
      <c r="A310" s="138" t="s">
        <v>127</v>
      </c>
      <c r="B310" s="144"/>
      <c r="C310" s="149"/>
      <c r="D310" s="150"/>
      <c r="E310" s="151">
        <f>$B300-E305</f>
        <v>7911111.111111111</v>
      </c>
      <c r="F310" s="151">
        <f t="shared" si="158"/>
        <v>7733333.333333333</v>
      </c>
      <c r="G310" s="151">
        <f t="shared" si="158"/>
        <v>7466666.666666666</v>
      </c>
      <c r="H310" s="151">
        <f t="shared" si="158"/>
        <v>7199999.9999999991</v>
      </c>
      <c r="I310" s="151">
        <f t="shared" si="158"/>
        <v>6933333.3333333321</v>
      </c>
      <c r="J310" s="151">
        <f t="shared" si="158"/>
        <v>6666666.6666666651</v>
      </c>
      <c r="K310" s="151">
        <f t="shared" si="158"/>
        <v>6399999.9999999981</v>
      </c>
      <c r="L310" s="151">
        <f t="shared" si="158"/>
        <v>6133333.3333333312</v>
      </c>
      <c r="M310" s="151">
        <f t="shared" si="158"/>
        <v>5866666.6666666642</v>
      </c>
      <c r="N310" s="151">
        <f t="shared" si="158"/>
        <v>5599999.9999999972</v>
      </c>
      <c r="O310" s="151">
        <f t="shared" si="158"/>
        <v>5333333.3333333302</v>
      </c>
      <c r="P310" s="151">
        <f t="shared" si="158"/>
        <v>5066666.6666666633</v>
      </c>
      <c r="Q310" s="151">
        <f t="shared" si="158"/>
        <v>4799999.9999999963</v>
      </c>
      <c r="R310" s="151">
        <f t="shared" si="158"/>
        <v>4533333.3333333293</v>
      </c>
      <c r="S310" s="151">
        <f t="shared" si="158"/>
        <v>4266666.6666666623</v>
      </c>
      <c r="T310" s="151">
        <f t="shared" si="158"/>
        <v>3999999.9999999958</v>
      </c>
      <c r="U310" s="151">
        <f t="shared" si="158"/>
        <v>3733333.3333333293</v>
      </c>
      <c r="V310" s="151">
        <f t="shared" si="158"/>
        <v>3466666.6666666628</v>
      </c>
      <c r="W310" s="151">
        <f t="shared" si="158"/>
        <v>3199999.9999999963</v>
      </c>
      <c r="X310" s="151">
        <f t="shared" si="158"/>
        <v>2933333.3333333298</v>
      </c>
      <c r="Y310" s="151">
        <f t="shared" si="158"/>
        <v>2666666.6666666633</v>
      </c>
      <c r="Z310" s="151">
        <f t="shared" si="158"/>
        <v>2399999.9999999967</v>
      </c>
      <c r="AA310" s="151">
        <f t="shared" si="158"/>
        <v>2133333.3333333302</v>
      </c>
      <c r="AB310" s="151">
        <f t="shared" si="158"/>
        <v>1866666.6666666635</v>
      </c>
      <c r="AC310" s="151">
        <f t="shared" si="158"/>
        <v>1599999.9999999967</v>
      </c>
      <c r="AD310" s="151">
        <f t="shared" si="158"/>
        <v>1333333.33333333</v>
      </c>
      <c r="AE310" s="151">
        <f t="shared" si="158"/>
        <v>1066666.6666666633</v>
      </c>
      <c r="AF310" s="151">
        <f t="shared" si="158"/>
        <v>799999.99999999651</v>
      </c>
      <c r="AG310" s="151">
        <f t="shared" si="158"/>
        <v>533333.33333332976</v>
      </c>
      <c r="AH310" s="151">
        <f t="shared" si="158"/>
        <v>266666.66666666308</v>
      </c>
      <c r="AI310" s="151">
        <f t="shared" si="158"/>
        <v>88888.888888885296</v>
      </c>
      <c r="AJ310" s="151">
        <f t="shared" si="158"/>
        <v>-3.5943230614066124E-9</v>
      </c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2"/>
      <c r="BK310" s="151"/>
      <c r="BL310" s="151"/>
    </row>
    <row r="311" spans="1:64" s="153" customFormat="1" ht="12.75">
      <c r="A311" s="138" t="s">
        <v>128</v>
      </c>
      <c r="B311" s="144"/>
      <c r="C311" s="154">
        <f>$B301-C306</f>
        <v>170165640.60466534</v>
      </c>
      <c r="D311" s="151">
        <f>C311-D306</f>
        <v>167881538.04621345</v>
      </c>
      <c r="E311" s="151">
        <f>D311-E306</f>
        <v>164455384.20853561</v>
      </c>
      <c r="F311" s="151">
        <f t="shared" si="158"/>
        <v>159887179.09163183</v>
      </c>
      <c r="G311" s="151">
        <f t="shared" si="158"/>
        <v>154176922.69550213</v>
      </c>
      <c r="H311" s="151">
        <f t="shared" si="158"/>
        <v>148466666.29937243</v>
      </c>
      <c r="I311" s="151">
        <f t="shared" si="158"/>
        <v>142756409.90324274</v>
      </c>
      <c r="J311" s="151">
        <f t="shared" si="158"/>
        <v>137046153.50711304</v>
      </c>
      <c r="K311" s="151">
        <f t="shared" si="158"/>
        <v>131335897.11098333</v>
      </c>
      <c r="L311" s="151">
        <f t="shared" si="158"/>
        <v>125625640.71485361</v>
      </c>
      <c r="M311" s="151">
        <f t="shared" si="158"/>
        <v>119915384.3187239</v>
      </c>
      <c r="N311" s="151">
        <f t="shared" si="158"/>
        <v>114205127.92259419</v>
      </c>
      <c r="O311" s="151">
        <f t="shared" si="158"/>
        <v>108494871.52646448</v>
      </c>
      <c r="P311" s="151">
        <f t="shared" si="158"/>
        <v>102784615.13033476</v>
      </c>
      <c r="Q311" s="151">
        <f t="shared" si="158"/>
        <v>97074358.734205052</v>
      </c>
      <c r="R311" s="151">
        <f t="shared" si="158"/>
        <v>91364102.33807534</v>
      </c>
      <c r="S311" s="151">
        <f t="shared" si="158"/>
        <v>85653845.941945627</v>
      </c>
      <c r="T311" s="151">
        <f t="shared" si="158"/>
        <v>79943589.545815915</v>
      </c>
      <c r="U311" s="151">
        <f t="shared" si="158"/>
        <v>74233333.149686202</v>
      </c>
      <c r="V311" s="151">
        <f t="shared" si="158"/>
        <v>68523076.75355649</v>
      </c>
      <c r="W311" s="151">
        <f t="shared" si="158"/>
        <v>62812820.357426777</v>
      </c>
      <c r="X311" s="151">
        <f t="shared" si="158"/>
        <v>57102563.961297065</v>
      </c>
      <c r="Y311" s="151">
        <f t="shared" si="158"/>
        <v>51392307.565167353</v>
      </c>
      <c r="Z311" s="151">
        <f t="shared" si="158"/>
        <v>45682051.16903764</v>
      </c>
      <c r="AA311" s="151">
        <f t="shared" si="158"/>
        <v>39971794.772907928</v>
      </c>
      <c r="AB311" s="151">
        <f t="shared" si="158"/>
        <v>34261538.376778215</v>
      </c>
      <c r="AC311" s="151">
        <f t="shared" si="158"/>
        <v>28551281.980648506</v>
      </c>
      <c r="AD311" s="151">
        <f t="shared" si="158"/>
        <v>22841025.584518798</v>
      </c>
      <c r="AE311" s="151">
        <f t="shared" si="158"/>
        <v>17130769.188389089</v>
      </c>
      <c r="AF311" s="151">
        <f t="shared" si="158"/>
        <v>11420512.79225938</v>
      </c>
      <c r="AG311" s="151">
        <f t="shared" si="158"/>
        <v>6852307.6753556123</v>
      </c>
      <c r="AH311" s="151">
        <f t="shared" si="158"/>
        <v>3426153.8376777861</v>
      </c>
      <c r="AI311" s="151">
        <f t="shared" si="158"/>
        <v>1142051.2792259022</v>
      </c>
      <c r="AJ311" s="151">
        <f t="shared" si="158"/>
        <v>-3.9814040064811707E-8</v>
      </c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2"/>
      <c r="BK311" s="151"/>
      <c r="BL311" s="151"/>
    </row>
    <row r="312" spans="1:64" s="153" customFormat="1" ht="12.75">
      <c r="A312" s="138" t="s">
        <v>129</v>
      </c>
      <c r="B312" s="144"/>
      <c r="C312" s="154">
        <f>$B302-C307</f>
        <v>8699486.0659253914</v>
      </c>
      <c r="D312" s="151">
        <f>C312-D307</f>
        <v>8406244.9625795912</v>
      </c>
      <c r="E312" s="151">
        <f>D312-E307</f>
        <v>8113003.859233791</v>
      </c>
      <c r="F312" s="151">
        <f t="shared" si="158"/>
        <v>7819762.7558879908</v>
      </c>
      <c r="G312" s="151">
        <f t="shared" si="158"/>
        <v>7526521.6525421906</v>
      </c>
      <c r="H312" s="151">
        <f t="shared" si="158"/>
        <v>7233280.5491963904</v>
      </c>
      <c r="I312" s="151">
        <f t="shared" si="158"/>
        <v>6940039.4458505902</v>
      </c>
      <c r="J312" s="151">
        <f t="shared" si="158"/>
        <v>6646798.3425047901</v>
      </c>
      <c r="K312" s="151">
        <f t="shared" si="158"/>
        <v>6353557.2391589899</v>
      </c>
      <c r="L312" s="151">
        <f t="shared" si="158"/>
        <v>6060316.1358131897</v>
      </c>
      <c r="M312" s="151">
        <f t="shared" si="158"/>
        <v>5767075.0324673895</v>
      </c>
      <c r="N312" s="151">
        <f t="shared" si="158"/>
        <v>5473833.9291215893</v>
      </c>
      <c r="O312" s="151">
        <f t="shared" si="158"/>
        <v>5180592.8257757891</v>
      </c>
      <c r="P312" s="151">
        <f t="shared" si="158"/>
        <v>4887351.7224299889</v>
      </c>
      <c r="Q312" s="151">
        <f t="shared" si="158"/>
        <v>4594110.6190841887</v>
      </c>
      <c r="R312" s="151">
        <f t="shared" si="158"/>
        <v>4300869.5157383885</v>
      </c>
      <c r="S312" s="151">
        <f t="shared" si="158"/>
        <v>4007628.4123925888</v>
      </c>
      <c r="T312" s="151">
        <f t="shared" si="158"/>
        <v>3714387.3090467891</v>
      </c>
      <c r="U312" s="151">
        <f t="shared" si="158"/>
        <v>3421146.2057009893</v>
      </c>
      <c r="V312" s="151">
        <f t="shared" si="158"/>
        <v>3127905.1023551896</v>
      </c>
      <c r="W312" s="151">
        <f t="shared" si="158"/>
        <v>2834663.9990093899</v>
      </c>
      <c r="X312" s="151">
        <f t="shared" si="158"/>
        <v>2541422.8956635902</v>
      </c>
      <c r="Y312" s="151">
        <f t="shared" si="158"/>
        <v>2248181.7923177904</v>
      </c>
      <c r="Z312" s="151">
        <f t="shared" si="158"/>
        <v>1954940.6889719907</v>
      </c>
      <c r="AA312" s="151">
        <f t="shared" si="158"/>
        <v>1661699.585626191</v>
      </c>
      <c r="AB312" s="151">
        <f t="shared" si="158"/>
        <v>1368458.4822803913</v>
      </c>
      <c r="AC312" s="151">
        <f t="shared" si="158"/>
        <v>1075217.3789345915</v>
      </c>
      <c r="AD312" s="151">
        <f t="shared" si="158"/>
        <v>781976.27558879182</v>
      </c>
      <c r="AE312" s="151">
        <f t="shared" si="158"/>
        <v>488735.17224299209</v>
      </c>
      <c r="AF312" s="151">
        <f t="shared" si="158"/>
        <v>195494.06889719237</v>
      </c>
      <c r="AG312" s="151">
        <f t="shared" si="158"/>
        <v>-7.4505805969238281E-9</v>
      </c>
      <c r="AH312" s="151">
        <f t="shared" si="158"/>
        <v>-7.4505805969238281E-9</v>
      </c>
      <c r="AI312" s="151">
        <f t="shared" si="158"/>
        <v>-7.4505805969238281E-9</v>
      </c>
      <c r="AJ312" s="151">
        <f t="shared" si="158"/>
        <v>-7.4505805969238281E-9</v>
      </c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2"/>
      <c r="BK312" s="151"/>
      <c r="BL312" s="151"/>
    </row>
    <row r="313" spans="1:64" s="116" customFormat="1">
      <c r="A313" s="111" t="s">
        <v>132</v>
      </c>
      <c r="B313" s="155">
        <f>SUM(B314:B317)</f>
        <v>364465562.6650914</v>
      </c>
      <c r="C313" s="117">
        <f>SUM(C314:C317)</f>
        <v>18010492.498426531</v>
      </c>
      <c r="D313" s="118">
        <f t="shared" ref="D313:AJ313" si="159">SUM(D314:D317)</f>
        <v>17886512.667059075</v>
      </c>
      <c r="E313" s="118">
        <f t="shared" si="159"/>
        <v>24125245.078449667</v>
      </c>
      <c r="F313" s="118">
        <f t="shared" si="159"/>
        <v>23681122.620152071</v>
      </c>
      <c r="G313" s="118">
        <f t="shared" si="159"/>
        <v>23050612.069736663</v>
      </c>
      <c r="H313" s="118">
        <f t="shared" si="159"/>
        <v>22233713.427203435</v>
      </c>
      <c r="I313" s="118">
        <f t="shared" si="159"/>
        <v>21416814.784670204</v>
      </c>
      <c r="J313" s="118">
        <f t="shared" si="159"/>
        <v>20599916.142136976</v>
      </c>
      <c r="K313" s="118">
        <f t="shared" si="159"/>
        <v>19783017.499603748</v>
      </c>
      <c r="L313" s="118">
        <f t="shared" si="159"/>
        <v>18966118.857070517</v>
      </c>
      <c r="M313" s="118">
        <f t="shared" si="159"/>
        <v>18149220.214537289</v>
      </c>
      <c r="N313" s="118">
        <f t="shared" si="159"/>
        <v>17332321.572004057</v>
      </c>
      <c r="O313" s="118">
        <f t="shared" si="159"/>
        <v>16515422.929470828</v>
      </c>
      <c r="P313" s="118">
        <f t="shared" si="159"/>
        <v>15698524.286937598</v>
      </c>
      <c r="Q313" s="118">
        <f t="shared" si="159"/>
        <v>14881625.644404368</v>
      </c>
      <c r="R313" s="118">
        <f t="shared" si="159"/>
        <v>14064727.001871137</v>
      </c>
      <c r="S313" s="118">
        <f t="shared" si="159"/>
        <v>13247828.359337909</v>
      </c>
      <c r="T313" s="118">
        <f t="shared" si="159"/>
        <v>12430929.716804678</v>
      </c>
      <c r="U313" s="118">
        <f t="shared" si="159"/>
        <v>11614031.07427145</v>
      </c>
      <c r="V313" s="118">
        <f t="shared" si="159"/>
        <v>10797132.431738218</v>
      </c>
      <c r="W313" s="118">
        <f t="shared" si="159"/>
        <v>9980233.7892049886</v>
      </c>
      <c r="X313" s="118">
        <f t="shared" si="159"/>
        <v>0</v>
      </c>
      <c r="Y313" s="118">
        <f t="shared" si="159"/>
        <v>0</v>
      </c>
      <c r="Z313" s="118">
        <f t="shared" si="159"/>
        <v>0</v>
      </c>
      <c r="AA313" s="118">
        <f t="shared" si="159"/>
        <v>0</v>
      </c>
      <c r="AB313" s="118">
        <f t="shared" si="159"/>
        <v>0</v>
      </c>
      <c r="AC313" s="118">
        <f t="shared" si="159"/>
        <v>0</v>
      </c>
      <c r="AD313" s="118">
        <f t="shared" si="159"/>
        <v>0</v>
      </c>
      <c r="AE313" s="118">
        <f t="shared" si="159"/>
        <v>0</v>
      </c>
      <c r="AF313" s="118">
        <f t="shared" si="159"/>
        <v>0</v>
      </c>
      <c r="AG313" s="118">
        <f t="shared" si="159"/>
        <v>0</v>
      </c>
      <c r="AH313" s="118">
        <f t="shared" si="159"/>
        <v>0</v>
      </c>
      <c r="AI313" s="118">
        <f t="shared" si="159"/>
        <v>0</v>
      </c>
      <c r="AJ313" s="118">
        <f t="shared" si="159"/>
        <v>0</v>
      </c>
      <c r="AK313" s="118"/>
      <c r="AL313" s="118"/>
      <c r="AM313" s="118"/>
      <c r="AN313" s="118"/>
      <c r="AO313" s="118"/>
      <c r="AP313" s="118"/>
      <c r="AQ313" s="118"/>
      <c r="AR313" s="118"/>
      <c r="AS313" s="118"/>
      <c r="AT313" s="118"/>
      <c r="AU313" s="118"/>
      <c r="AV313" s="118"/>
      <c r="AW313" s="118"/>
      <c r="AX313" s="118"/>
      <c r="AY313" s="118"/>
      <c r="AZ313" s="118"/>
      <c r="BA313" s="118"/>
      <c r="BB313" s="118"/>
      <c r="BC313" s="118"/>
      <c r="BD313" s="118"/>
      <c r="BE313" s="118"/>
      <c r="BF313" s="118"/>
      <c r="BG313" s="118"/>
      <c r="BH313" s="118"/>
      <c r="BI313" s="118"/>
      <c r="BJ313" s="119"/>
      <c r="BK313" s="118"/>
      <c r="BL313" s="118"/>
    </row>
    <row r="314" spans="1:64" s="143" customFormat="1" ht="12.75">
      <c r="A314" s="138" t="s">
        <v>126</v>
      </c>
      <c r="B314" s="139">
        <f>SUM(C314:BJ314)</f>
        <v>79117594.132921621</v>
      </c>
      <c r="C314" s="140"/>
      <c r="D314" s="141"/>
      <c r="E314" s="226">
        <f>IF(AND(E286&gt;5,E287=0),0,(E309+E304)*$I285)</f>
        <v>5696466.7775703575</v>
      </c>
      <c r="F314" s="141">
        <f>IF(AND(F286&gt;5,F287=0),0,(F309+F304)*$I285)</f>
        <v>5633172.7022640202</v>
      </c>
      <c r="G314" s="141">
        <f t="shared" ref="G314:BJ314" si="160">IF(AND(G286&gt;5,G287=0),0,(G309+G304)*$I285)</f>
        <v>5506584.5516513456</v>
      </c>
      <c r="H314" s="141">
        <f t="shared" si="160"/>
        <v>5316702.3257323336</v>
      </c>
      <c r="I314" s="141">
        <f t="shared" si="160"/>
        <v>5126820.0998133216</v>
      </c>
      <c r="J314" s="141">
        <f t="shared" si="160"/>
        <v>4936937.8738943096</v>
      </c>
      <c r="K314" s="141">
        <f t="shared" si="160"/>
        <v>4747055.6479752976</v>
      </c>
      <c r="L314" s="141">
        <f t="shared" si="160"/>
        <v>4557173.4220562857</v>
      </c>
      <c r="M314" s="141">
        <f t="shared" si="160"/>
        <v>4367291.1961372737</v>
      </c>
      <c r="N314" s="141">
        <f t="shared" si="160"/>
        <v>4177408.9702182617</v>
      </c>
      <c r="O314" s="141">
        <f t="shared" si="160"/>
        <v>3987526.7442992497</v>
      </c>
      <c r="P314" s="141">
        <f t="shared" si="160"/>
        <v>3797644.5183802377</v>
      </c>
      <c r="Q314" s="141">
        <f t="shared" si="160"/>
        <v>3607762.2924612258</v>
      </c>
      <c r="R314" s="141">
        <f t="shared" si="160"/>
        <v>3417880.0665422138</v>
      </c>
      <c r="S314" s="141">
        <f t="shared" si="160"/>
        <v>3227997.8406232018</v>
      </c>
      <c r="T314" s="141">
        <f t="shared" si="160"/>
        <v>3038115.6147041898</v>
      </c>
      <c r="U314" s="141">
        <f t="shared" si="160"/>
        <v>2848233.3887851778</v>
      </c>
      <c r="V314" s="141">
        <f t="shared" si="160"/>
        <v>2658351.1628661659</v>
      </c>
      <c r="W314" s="141">
        <f t="shared" si="160"/>
        <v>2468468.9369471534</v>
      </c>
      <c r="X314" s="141">
        <f t="shared" si="160"/>
        <v>0</v>
      </c>
      <c r="Y314" s="141">
        <f t="shared" si="160"/>
        <v>0</v>
      </c>
      <c r="Z314" s="141">
        <f t="shared" si="160"/>
        <v>0</v>
      </c>
      <c r="AA314" s="141">
        <f t="shared" si="160"/>
        <v>0</v>
      </c>
      <c r="AB314" s="141">
        <f t="shared" si="160"/>
        <v>0</v>
      </c>
      <c r="AC314" s="141">
        <f t="shared" si="160"/>
        <v>0</v>
      </c>
      <c r="AD314" s="141">
        <f t="shared" si="160"/>
        <v>0</v>
      </c>
      <c r="AE314" s="141">
        <f t="shared" si="160"/>
        <v>0</v>
      </c>
      <c r="AF314" s="141">
        <f t="shared" si="160"/>
        <v>0</v>
      </c>
      <c r="AG314" s="141">
        <f t="shared" si="160"/>
        <v>0</v>
      </c>
      <c r="AH314" s="141">
        <f t="shared" si="160"/>
        <v>0</v>
      </c>
      <c r="AI314" s="141">
        <f t="shared" si="160"/>
        <v>0</v>
      </c>
      <c r="AJ314" s="141">
        <f t="shared" si="160"/>
        <v>0</v>
      </c>
      <c r="AK314" s="141">
        <f t="shared" si="160"/>
        <v>0</v>
      </c>
      <c r="AL314" s="141">
        <f t="shared" si="160"/>
        <v>0</v>
      </c>
      <c r="AM314" s="141">
        <f t="shared" si="160"/>
        <v>0</v>
      </c>
      <c r="AN314" s="141">
        <f t="shared" si="160"/>
        <v>0</v>
      </c>
      <c r="AO314" s="141">
        <f t="shared" si="160"/>
        <v>0</v>
      </c>
      <c r="AP314" s="141">
        <f t="shared" si="160"/>
        <v>0</v>
      </c>
      <c r="AQ314" s="141">
        <f t="shared" si="160"/>
        <v>0</v>
      </c>
      <c r="AR314" s="141">
        <f t="shared" si="160"/>
        <v>0</v>
      </c>
      <c r="AS314" s="141">
        <f t="shared" si="160"/>
        <v>0</v>
      </c>
      <c r="AT314" s="141">
        <f t="shared" si="160"/>
        <v>0</v>
      </c>
      <c r="AU314" s="141">
        <f t="shared" si="160"/>
        <v>0</v>
      </c>
      <c r="AV314" s="141">
        <f t="shared" si="160"/>
        <v>0</v>
      </c>
      <c r="AW314" s="141">
        <f t="shared" si="160"/>
        <v>0</v>
      </c>
      <c r="AX314" s="141">
        <f t="shared" si="160"/>
        <v>0</v>
      </c>
      <c r="AY314" s="141">
        <f t="shared" si="160"/>
        <v>0</v>
      </c>
      <c r="AZ314" s="141">
        <f t="shared" si="160"/>
        <v>0</v>
      </c>
      <c r="BA314" s="141">
        <f t="shared" si="160"/>
        <v>0</v>
      </c>
      <c r="BB314" s="141">
        <f t="shared" si="160"/>
        <v>0</v>
      </c>
      <c r="BC314" s="141">
        <f t="shared" si="160"/>
        <v>0</v>
      </c>
      <c r="BD314" s="141">
        <f t="shared" si="160"/>
        <v>0</v>
      </c>
      <c r="BE314" s="141">
        <f t="shared" si="160"/>
        <v>0</v>
      </c>
      <c r="BF314" s="141">
        <f t="shared" si="160"/>
        <v>0</v>
      </c>
      <c r="BG314" s="141">
        <f t="shared" si="160"/>
        <v>0</v>
      </c>
      <c r="BH314" s="141">
        <f t="shared" si="160"/>
        <v>0</v>
      </c>
      <c r="BI314" s="141">
        <f t="shared" si="160"/>
        <v>0</v>
      </c>
      <c r="BJ314" s="142">
        <f t="shared" si="160"/>
        <v>0</v>
      </c>
      <c r="BK314" s="141"/>
      <c r="BL314" s="141"/>
    </row>
    <row r="315" spans="1:64" s="143" customFormat="1" ht="12.75">
      <c r="A315" s="138" t="s">
        <v>127</v>
      </c>
      <c r="B315" s="139">
        <f>SUM(C315:BJ315)</f>
        <v>11111111.111111104</v>
      </c>
      <c r="C315" s="140"/>
      <c r="D315" s="141"/>
      <c r="E315" s="226">
        <f>IF(AND(E286&gt;5,E287=0),0,(E310+E305)*$I285)</f>
        <v>800000</v>
      </c>
      <c r="F315" s="141">
        <f t="shared" ref="F315:BJ315" si="161">IF(AND(F286&gt;5,F287=0),0,(F310+F305)*$I285)</f>
        <v>791111.11111111112</v>
      </c>
      <c r="G315" s="141">
        <f t="shared" si="161"/>
        <v>773333.33333333337</v>
      </c>
      <c r="H315" s="141">
        <f t="shared" si="161"/>
        <v>746666.66666666663</v>
      </c>
      <c r="I315" s="141">
        <f t="shared" si="161"/>
        <v>720000</v>
      </c>
      <c r="J315" s="141">
        <f t="shared" si="161"/>
        <v>693333.33333333326</v>
      </c>
      <c r="K315" s="141">
        <f t="shared" si="161"/>
        <v>666666.66666666651</v>
      </c>
      <c r="L315" s="141">
        <f t="shared" si="161"/>
        <v>639999.99999999988</v>
      </c>
      <c r="M315" s="141">
        <f t="shared" si="161"/>
        <v>613333.33333333314</v>
      </c>
      <c r="N315" s="141">
        <f t="shared" si="161"/>
        <v>586666.6666666664</v>
      </c>
      <c r="O315" s="141">
        <f t="shared" si="161"/>
        <v>559999.99999999977</v>
      </c>
      <c r="P315" s="141">
        <f t="shared" si="161"/>
        <v>533333.33333333302</v>
      </c>
      <c r="Q315" s="141">
        <f t="shared" si="161"/>
        <v>506666.66666666634</v>
      </c>
      <c r="R315" s="141">
        <f t="shared" si="161"/>
        <v>479999.99999999965</v>
      </c>
      <c r="S315" s="141">
        <f t="shared" si="161"/>
        <v>453333.33333333296</v>
      </c>
      <c r="T315" s="141">
        <f t="shared" si="161"/>
        <v>426666.66666666628</v>
      </c>
      <c r="U315" s="141">
        <f t="shared" si="161"/>
        <v>399999.99999999959</v>
      </c>
      <c r="V315" s="141">
        <f t="shared" si="161"/>
        <v>373333.33333333296</v>
      </c>
      <c r="W315" s="141">
        <f t="shared" si="161"/>
        <v>346666.66666666628</v>
      </c>
      <c r="X315" s="141">
        <f t="shared" si="161"/>
        <v>0</v>
      </c>
      <c r="Y315" s="141">
        <f t="shared" si="161"/>
        <v>0</v>
      </c>
      <c r="Z315" s="141">
        <f t="shared" si="161"/>
        <v>0</v>
      </c>
      <c r="AA315" s="141">
        <f t="shared" si="161"/>
        <v>0</v>
      </c>
      <c r="AB315" s="141">
        <f t="shared" si="161"/>
        <v>0</v>
      </c>
      <c r="AC315" s="141">
        <f t="shared" si="161"/>
        <v>0</v>
      </c>
      <c r="AD315" s="141">
        <f t="shared" si="161"/>
        <v>0</v>
      </c>
      <c r="AE315" s="141">
        <f t="shared" si="161"/>
        <v>0</v>
      </c>
      <c r="AF315" s="141">
        <f t="shared" si="161"/>
        <v>0</v>
      </c>
      <c r="AG315" s="141">
        <f t="shared" si="161"/>
        <v>0</v>
      </c>
      <c r="AH315" s="141">
        <f t="shared" si="161"/>
        <v>0</v>
      </c>
      <c r="AI315" s="141">
        <f t="shared" si="161"/>
        <v>0</v>
      </c>
      <c r="AJ315" s="141">
        <f t="shared" si="161"/>
        <v>0</v>
      </c>
      <c r="AK315" s="141">
        <f t="shared" si="161"/>
        <v>0</v>
      </c>
      <c r="AL315" s="141">
        <f t="shared" si="161"/>
        <v>0</v>
      </c>
      <c r="AM315" s="141">
        <f t="shared" si="161"/>
        <v>0</v>
      </c>
      <c r="AN315" s="141">
        <f t="shared" si="161"/>
        <v>0</v>
      </c>
      <c r="AO315" s="141">
        <f t="shared" si="161"/>
        <v>0</v>
      </c>
      <c r="AP315" s="141">
        <f t="shared" si="161"/>
        <v>0</v>
      </c>
      <c r="AQ315" s="141">
        <f t="shared" si="161"/>
        <v>0</v>
      </c>
      <c r="AR315" s="141">
        <f t="shared" si="161"/>
        <v>0</v>
      </c>
      <c r="AS315" s="141">
        <f t="shared" si="161"/>
        <v>0</v>
      </c>
      <c r="AT315" s="141">
        <f t="shared" si="161"/>
        <v>0</v>
      </c>
      <c r="AU315" s="141">
        <f t="shared" si="161"/>
        <v>0</v>
      </c>
      <c r="AV315" s="141">
        <f t="shared" si="161"/>
        <v>0</v>
      </c>
      <c r="AW315" s="141">
        <f t="shared" si="161"/>
        <v>0</v>
      </c>
      <c r="AX315" s="141">
        <f t="shared" si="161"/>
        <v>0</v>
      </c>
      <c r="AY315" s="141">
        <f t="shared" si="161"/>
        <v>0</v>
      </c>
      <c r="AZ315" s="141">
        <f t="shared" si="161"/>
        <v>0</v>
      </c>
      <c r="BA315" s="141">
        <f t="shared" si="161"/>
        <v>0</v>
      </c>
      <c r="BB315" s="141">
        <f t="shared" si="161"/>
        <v>0</v>
      </c>
      <c r="BC315" s="141">
        <f t="shared" si="161"/>
        <v>0</v>
      </c>
      <c r="BD315" s="141">
        <f t="shared" si="161"/>
        <v>0</v>
      </c>
      <c r="BE315" s="141">
        <f t="shared" si="161"/>
        <v>0</v>
      </c>
      <c r="BF315" s="141">
        <f t="shared" si="161"/>
        <v>0</v>
      </c>
      <c r="BG315" s="141">
        <f t="shared" si="161"/>
        <v>0</v>
      </c>
      <c r="BH315" s="141">
        <f t="shared" si="161"/>
        <v>0</v>
      </c>
      <c r="BI315" s="141">
        <f t="shared" si="161"/>
        <v>0</v>
      </c>
      <c r="BJ315" s="142">
        <f t="shared" si="161"/>
        <v>0</v>
      </c>
      <c r="BK315" s="141"/>
      <c r="BL315" s="141"/>
    </row>
    <row r="316" spans="1:64" s="143" customFormat="1" ht="12.75">
      <c r="A316" s="138" t="s">
        <v>128</v>
      </c>
      <c r="B316" s="139">
        <f>SUM(C316:BJ316)</f>
        <v>261529742.94274071</v>
      </c>
      <c r="C316" s="227">
        <f>IF(AND(C286&gt;5,C287=0),0,(C311+C306)*$I285)</f>
        <v>17130769.18838913</v>
      </c>
      <c r="D316" s="141">
        <f>IF(AND(D286&gt;5,D287=0),0,(D311+D306)*$I285)</f>
        <v>17016564.060466535</v>
      </c>
      <c r="E316" s="141">
        <f t="shared" ref="E316:BJ316" si="162">IF(AND(E286&gt;5,E287=0),0,(E311+E306)*$I285)</f>
        <v>16788153.804621346</v>
      </c>
      <c r="F316" s="141">
        <f t="shared" si="162"/>
        <v>16445538.420853563</v>
      </c>
      <c r="G316" s="141">
        <f t="shared" si="162"/>
        <v>15988717.909163184</v>
      </c>
      <c r="H316" s="141">
        <f t="shared" si="162"/>
        <v>15417692.269550214</v>
      </c>
      <c r="I316" s="141">
        <f t="shared" si="162"/>
        <v>14846666.629937245</v>
      </c>
      <c r="J316" s="141">
        <f t="shared" si="162"/>
        <v>14275640.990324274</v>
      </c>
      <c r="K316" s="141">
        <f t="shared" si="162"/>
        <v>13704615.350711305</v>
      </c>
      <c r="L316" s="141">
        <f t="shared" si="162"/>
        <v>13133589.711098334</v>
      </c>
      <c r="M316" s="141">
        <f t="shared" si="162"/>
        <v>12562564.071485363</v>
      </c>
      <c r="N316" s="141">
        <f t="shared" si="162"/>
        <v>11991538.43187239</v>
      </c>
      <c r="O316" s="141">
        <f t="shared" si="162"/>
        <v>11420512.792259419</v>
      </c>
      <c r="P316" s="141">
        <f t="shared" si="162"/>
        <v>10849487.152646448</v>
      </c>
      <c r="Q316" s="141">
        <f t="shared" si="162"/>
        <v>10278461.513033478</v>
      </c>
      <c r="R316" s="141">
        <f t="shared" si="162"/>
        <v>9707435.8734205049</v>
      </c>
      <c r="S316" s="141">
        <f t="shared" si="162"/>
        <v>9136410.233807534</v>
      </c>
      <c r="T316" s="141">
        <f t="shared" si="162"/>
        <v>8565384.5941945631</v>
      </c>
      <c r="U316" s="141">
        <f t="shared" si="162"/>
        <v>7994358.9545815922</v>
      </c>
      <c r="V316" s="141">
        <f t="shared" si="162"/>
        <v>7423333.3149686204</v>
      </c>
      <c r="W316" s="141">
        <f t="shared" si="162"/>
        <v>6852307.6753556496</v>
      </c>
      <c r="X316" s="141">
        <f t="shared" si="162"/>
        <v>0</v>
      </c>
      <c r="Y316" s="141">
        <f t="shared" si="162"/>
        <v>0</v>
      </c>
      <c r="Z316" s="141">
        <f t="shared" si="162"/>
        <v>0</v>
      </c>
      <c r="AA316" s="141">
        <f t="shared" si="162"/>
        <v>0</v>
      </c>
      <c r="AB316" s="141">
        <f t="shared" si="162"/>
        <v>0</v>
      </c>
      <c r="AC316" s="141">
        <f t="shared" si="162"/>
        <v>0</v>
      </c>
      <c r="AD316" s="141">
        <f t="shared" si="162"/>
        <v>0</v>
      </c>
      <c r="AE316" s="141">
        <f t="shared" si="162"/>
        <v>0</v>
      </c>
      <c r="AF316" s="141">
        <f t="shared" si="162"/>
        <v>0</v>
      </c>
      <c r="AG316" s="141">
        <f t="shared" si="162"/>
        <v>0</v>
      </c>
      <c r="AH316" s="141">
        <f t="shared" si="162"/>
        <v>0</v>
      </c>
      <c r="AI316" s="141">
        <f t="shared" si="162"/>
        <v>0</v>
      </c>
      <c r="AJ316" s="141">
        <f t="shared" si="162"/>
        <v>0</v>
      </c>
      <c r="AK316" s="141">
        <f t="shared" si="162"/>
        <v>0</v>
      </c>
      <c r="AL316" s="141">
        <f t="shared" si="162"/>
        <v>0</v>
      </c>
      <c r="AM316" s="141">
        <f t="shared" si="162"/>
        <v>0</v>
      </c>
      <c r="AN316" s="141">
        <f t="shared" si="162"/>
        <v>0</v>
      </c>
      <c r="AO316" s="141">
        <f t="shared" si="162"/>
        <v>0</v>
      </c>
      <c r="AP316" s="141">
        <f t="shared" si="162"/>
        <v>0</v>
      </c>
      <c r="AQ316" s="141">
        <f t="shared" si="162"/>
        <v>0</v>
      </c>
      <c r="AR316" s="141">
        <f t="shared" si="162"/>
        <v>0</v>
      </c>
      <c r="AS316" s="141">
        <f t="shared" si="162"/>
        <v>0</v>
      </c>
      <c r="AT316" s="141">
        <f t="shared" si="162"/>
        <v>0</v>
      </c>
      <c r="AU316" s="141">
        <f t="shared" si="162"/>
        <v>0</v>
      </c>
      <c r="AV316" s="141">
        <f t="shared" si="162"/>
        <v>0</v>
      </c>
      <c r="AW316" s="141">
        <f t="shared" si="162"/>
        <v>0</v>
      </c>
      <c r="AX316" s="141">
        <f t="shared" si="162"/>
        <v>0</v>
      </c>
      <c r="AY316" s="141">
        <f t="shared" si="162"/>
        <v>0</v>
      </c>
      <c r="AZ316" s="141">
        <f t="shared" si="162"/>
        <v>0</v>
      </c>
      <c r="BA316" s="141">
        <f t="shared" si="162"/>
        <v>0</v>
      </c>
      <c r="BB316" s="141">
        <f t="shared" si="162"/>
        <v>0</v>
      </c>
      <c r="BC316" s="141">
        <f t="shared" si="162"/>
        <v>0</v>
      </c>
      <c r="BD316" s="141">
        <f t="shared" si="162"/>
        <v>0</v>
      </c>
      <c r="BE316" s="141">
        <f t="shared" si="162"/>
        <v>0</v>
      </c>
      <c r="BF316" s="141">
        <f t="shared" si="162"/>
        <v>0</v>
      </c>
      <c r="BG316" s="141">
        <f t="shared" si="162"/>
        <v>0</v>
      </c>
      <c r="BH316" s="141">
        <f t="shared" si="162"/>
        <v>0</v>
      </c>
      <c r="BI316" s="141">
        <f t="shared" si="162"/>
        <v>0</v>
      </c>
      <c r="BJ316" s="142">
        <f t="shared" si="162"/>
        <v>0</v>
      </c>
      <c r="BK316" s="141"/>
      <c r="BL316" s="141"/>
    </row>
    <row r="317" spans="1:64" s="143" customFormat="1" ht="12.75">
      <c r="A317" s="138" t="s">
        <v>129</v>
      </c>
      <c r="B317" s="139">
        <f>SUM(C317:BJ317)</f>
        <v>12707114.478317982</v>
      </c>
      <c r="C317" s="227">
        <f>IF(AND(C286&gt;5,C287=0),0,(C312+C307)*$I285)</f>
        <v>879723.31003739918</v>
      </c>
      <c r="D317" s="141">
        <f>IF(AND(D286&gt;5,D287=0),0,(D312+D307)*$I285)</f>
        <v>869948.60659253923</v>
      </c>
      <c r="E317" s="141">
        <f t="shared" ref="E317:BJ317" si="163">IF(AND(E286&gt;5,E287=0),0,(E312+E307)*$I285)</f>
        <v>840624.49625795917</v>
      </c>
      <c r="F317" s="141">
        <f t="shared" si="163"/>
        <v>811300.3859233791</v>
      </c>
      <c r="G317" s="141">
        <f t="shared" si="163"/>
        <v>781976.27558879915</v>
      </c>
      <c r="H317" s="141">
        <f t="shared" si="163"/>
        <v>752652.16525421909</v>
      </c>
      <c r="I317" s="141">
        <f t="shared" si="163"/>
        <v>723328.05491963914</v>
      </c>
      <c r="J317" s="141">
        <f t="shared" si="163"/>
        <v>694003.94458505907</v>
      </c>
      <c r="K317" s="141">
        <f t="shared" si="163"/>
        <v>664679.83425047901</v>
      </c>
      <c r="L317" s="141">
        <f t="shared" si="163"/>
        <v>635355.72391589906</v>
      </c>
      <c r="M317" s="141">
        <f t="shared" si="163"/>
        <v>606031.61358131899</v>
      </c>
      <c r="N317" s="141">
        <f t="shared" si="163"/>
        <v>576707.50324673892</v>
      </c>
      <c r="O317" s="141">
        <f t="shared" si="163"/>
        <v>547383.39291215898</v>
      </c>
      <c r="P317" s="141">
        <f t="shared" si="163"/>
        <v>518059.28257757891</v>
      </c>
      <c r="Q317" s="141">
        <f t="shared" si="163"/>
        <v>488735.1722429989</v>
      </c>
      <c r="R317" s="141">
        <f t="shared" si="163"/>
        <v>459411.06190841889</v>
      </c>
      <c r="S317" s="141">
        <f t="shared" si="163"/>
        <v>430086.95157383889</v>
      </c>
      <c r="T317" s="141">
        <f t="shared" si="163"/>
        <v>400762.84123925888</v>
      </c>
      <c r="U317" s="141">
        <f t="shared" si="163"/>
        <v>371438.73090467893</v>
      </c>
      <c r="V317" s="141">
        <f t="shared" si="163"/>
        <v>342114.62057009898</v>
      </c>
      <c r="W317" s="141">
        <f t="shared" si="163"/>
        <v>312790.51023551897</v>
      </c>
      <c r="X317" s="141">
        <f t="shared" si="163"/>
        <v>0</v>
      </c>
      <c r="Y317" s="141">
        <f t="shared" si="163"/>
        <v>0</v>
      </c>
      <c r="Z317" s="141">
        <f t="shared" si="163"/>
        <v>0</v>
      </c>
      <c r="AA317" s="141">
        <f t="shared" si="163"/>
        <v>0</v>
      </c>
      <c r="AB317" s="141">
        <f t="shared" si="163"/>
        <v>0</v>
      </c>
      <c r="AC317" s="141">
        <f t="shared" si="163"/>
        <v>0</v>
      </c>
      <c r="AD317" s="141">
        <f t="shared" si="163"/>
        <v>0</v>
      </c>
      <c r="AE317" s="141">
        <f t="shared" si="163"/>
        <v>0</v>
      </c>
      <c r="AF317" s="141">
        <f t="shared" si="163"/>
        <v>0</v>
      </c>
      <c r="AG317" s="141">
        <f t="shared" si="163"/>
        <v>0</v>
      </c>
      <c r="AH317" s="141">
        <f t="shared" si="163"/>
        <v>0</v>
      </c>
      <c r="AI317" s="141">
        <f t="shared" si="163"/>
        <v>0</v>
      </c>
      <c r="AJ317" s="141">
        <f t="shared" si="163"/>
        <v>0</v>
      </c>
      <c r="AK317" s="141">
        <f t="shared" si="163"/>
        <v>0</v>
      </c>
      <c r="AL317" s="141">
        <f t="shared" si="163"/>
        <v>0</v>
      </c>
      <c r="AM317" s="141">
        <f t="shared" si="163"/>
        <v>0</v>
      </c>
      <c r="AN317" s="141">
        <f t="shared" si="163"/>
        <v>0</v>
      </c>
      <c r="AO317" s="141">
        <f t="shared" si="163"/>
        <v>0</v>
      </c>
      <c r="AP317" s="141">
        <f t="shared" si="163"/>
        <v>0</v>
      </c>
      <c r="AQ317" s="141">
        <f t="shared" si="163"/>
        <v>0</v>
      </c>
      <c r="AR317" s="141">
        <f t="shared" si="163"/>
        <v>0</v>
      </c>
      <c r="AS317" s="141">
        <f t="shared" si="163"/>
        <v>0</v>
      </c>
      <c r="AT317" s="141">
        <f t="shared" si="163"/>
        <v>0</v>
      </c>
      <c r="AU317" s="141">
        <f t="shared" si="163"/>
        <v>0</v>
      </c>
      <c r="AV317" s="141">
        <f t="shared" si="163"/>
        <v>0</v>
      </c>
      <c r="AW317" s="141">
        <f t="shared" si="163"/>
        <v>0</v>
      </c>
      <c r="AX317" s="141">
        <f t="shared" si="163"/>
        <v>0</v>
      </c>
      <c r="AY317" s="141">
        <f t="shared" si="163"/>
        <v>0</v>
      </c>
      <c r="AZ317" s="141">
        <f t="shared" si="163"/>
        <v>0</v>
      </c>
      <c r="BA317" s="141">
        <f t="shared" si="163"/>
        <v>0</v>
      </c>
      <c r="BB317" s="141">
        <f t="shared" si="163"/>
        <v>0</v>
      </c>
      <c r="BC317" s="141">
        <f t="shared" si="163"/>
        <v>0</v>
      </c>
      <c r="BD317" s="141">
        <f t="shared" si="163"/>
        <v>0</v>
      </c>
      <c r="BE317" s="141">
        <f t="shared" si="163"/>
        <v>0</v>
      </c>
      <c r="BF317" s="141">
        <f t="shared" si="163"/>
        <v>0</v>
      </c>
      <c r="BG317" s="141">
        <f t="shared" si="163"/>
        <v>0</v>
      </c>
      <c r="BH317" s="141">
        <f t="shared" si="163"/>
        <v>0</v>
      </c>
      <c r="BI317" s="141">
        <f t="shared" si="163"/>
        <v>0</v>
      </c>
      <c r="BJ317" s="142">
        <f t="shared" si="163"/>
        <v>0</v>
      </c>
      <c r="BK317" s="141"/>
      <c r="BL317" s="141"/>
    </row>
    <row r="318" spans="1:64" s="116" customFormat="1">
      <c r="A318" s="111" t="s">
        <v>133</v>
      </c>
      <c r="B318" s="155">
        <f>SUM(B319:B322)</f>
        <v>153436241.29325128</v>
      </c>
      <c r="C318" s="117">
        <f>SUM(C319:C322)</f>
        <v>1239798.3136745419</v>
      </c>
      <c r="D318" s="118">
        <f>SUM(D319:D322)</f>
        <v>2577343.6617976837</v>
      </c>
      <c r="E318" s="118">
        <f>SUM(E319:E322)</f>
        <v>4441224.5829758877</v>
      </c>
      <c r="F318" s="118">
        <f t="shared" ref="F318:AJ318" si="164">SUM(F319:F322)</f>
        <v>6305105.5041540917</v>
      </c>
      <c r="G318" s="118">
        <f t="shared" si="164"/>
        <v>8168986.4253322948</v>
      </c>
      <c r="H318" s="118">
        <f t="shared" si="164"/>
        <v>8168986.4253322948</v>
      </c>
      <c r="I318" s="118">
        <f t="shared" si="164"/>
        <v>8168986.4253322948</v>
      </c>
      <c r="J318" s="118">
        <f t="shared" si="164"/>
        <v>8168986.4253322948</v>
      </c>
      <c r="K318" s="118">
        <f t="shared" si="164"/>
        <v>8168986.4253322948</v>
      </c>
      <c r="L318" s="118">
        <f t="shared" si="164"/>
        <v>8168986.4253322948</v>
      </c>
      <c r="M318" s="118">
        <f t="shared" si="164"/>
        <v>8168986.4253322948</v>
      </c>
      <c r="N318" s="118">
        <f t="shared" si="164"/>
        <v>8168986.4253322948</v>
      </c>
      <c r="O318" s="118">
        <f t="shared" si="164"/>
        <v>8168986.4253322948</v>
      </c>
      <c r="P318" s="118">
        <f t="shared" si="164"/>
        <v>8168986.4253322948</v>
      </c>
      <c r="Q318" s="118">
        <f t="shared" si="164"/>
        <v>8168986.4253322948</v>
      </c>
      <c r="R318" s="118">
        <f t="shared" si="164"/>
        <v>8168986.4253322948</v>
      </c>
      <c r="S318" s="118">
        <f t="shared" si="164"/>
        <v>8168986.4253322948</v>
      </c>
      <c r="T318" s="118">
        <f t="shared" si="164"/>
        <v>8168986.4253322948</v>
      </c>
      <c r="U318" s="118">
        <f t="shared" si="164"/>
        <v>8168986.4253322948</v>
      </c>
      <c r="V318" s="118">
        <f t="shared" si="164"/>
        <v>8168986.4253322948</v>
      </c>
      <c r="W318" s="118">
        <f t="shared" si="164"/>
        <v>8168986.4253322948</v>
      </c>
      <c r="X318" s="118">
        <f t="shared" si="164"/>
        <v>0</v>
      </c>
      <c r="Y318" s="118">
        <f t="shared" si="164"/>
        <v>0</v>
      </c>
      <c r="Z318" s="118">
        <f t="shared" si="164"/>
        <v>0</v>
      </c>
      <c r="AA318" s="118">
        <f t="shared" si="164"/>
        <v>0</v>
      </c>
      <c r="AB318" s="118">
        <f t="shared" si="164"/>
        <v>0</v>
      </c>
      <c r="AC318" s="118">
        <f t="shared" si="164"/>
        <v>0</v>
      </c>
      <c r="AD318" s="118">
        <f t="shared" si="164"/>
        <v>0</v>
      </c>
      <c r="AE318" s="118">
        <f t="shared" si="164"/>
        <v>0</v>
      </c>
      <c r="AF318" s="118">
        <f t="shared" si="164"/>
        <v>0</v>
      </c>
      <c r="AG318" s="118">
        <f t="shared" si="164"/>
        <v>0</v>
      </c>
      <c r="AH318" s="118">
        <f t="shared" si="164"/>
        <v>0</v>
      </c>
      <c r="AI318" s="118">
        <f t="shared" si="164"/>
        <v>0</v>
      </c>
      <c r="AJ318" s="118">
        <f t="shared" si="164"/>
        <v>0</v>
      </c>
      <c r="AK318" s="118"/>
      <c r="AL318" s="118"/>
      <c r="AM318" s="118"/>
      <c r="AN318" s="118"/>
      <c r="AO318" s="118"/>
      <c r="AP318" s="118"/>
      <c r="AQ318" s="118"/>
      <c r="AR318" s="118"/>
      <c r="AS318" s="118"/>
      <c r="AT318" s="118"/>
      <c r="AU318" s="118"/>
      <c r="AV318" s="118"/>
      <c r="AW318" s="118"/>
      <c r="AX318" s="118"/>
      <c r="AY318" s="118"/>
      <c r="AZ318" s="118"/>
      <c r="BA318" s="118"/>
      <c r="BB318" s="118"/>
      <c r="BC318" s="118"/>
      <c r="BD318" s="118"/>
      <c r="BE318" s="118"/>
      <c r="BF318" s="118"/>
      <c r="BG318" s="118"/>
      <c r="BH318" s="118"/>
      <c r="BI318" s="118"/>
      <c r="BJ318" s="119"/>
      <c r="BK318" s="118"/>
      <c r="BL318" s="118"/>
    </row>
    <row r="319" spans="1:64" s="143" customFormat="1" ht="12.75">
      <c r="A319" s="138" t="s">
        <v>126</v>
      </c>
      <c r="B319" s="139">
        <f t="shared" ref="B319:B325" si="165">SUM(C319:BJ319)</f>
        <v>34178800.665422149</v>
      </c>
      <c r="C319" s="227">
        <f>IF(AND(C286&gt;5,C287=0),0,C304)</f>
        <v>0</v>
      </c>
      <c r="D319" s="141">
        <f>IF(AND(D286&gt;5,D287=0),0,D304)</f>
        <v>0</v>
      </c>
      <c r="E319" s="141">
        <f t="shared" ref="E319:BJ319" si="166">IF(AND(E286&gt;5,E287=0),0,E304)</f>
        <v>632940.75306337303</v>
      </c>
      <c r="F319" s="141">
        <f t="shared" si="166"/>
        <v>1265881.5061267461</v>
      </c>
      <c r="G319" s="141">
        <f t="shared" si="166"/>
        <v>1898822.2591901191</v>
      </c>
      <c r="H319" s="141">
        <f t="shared" si="166"/>
        <v>1898822.2591901191</v>
      </c>
      <c r="I319" s="141">
        <f t="shared" si="166"/>
        <v>1898822.2591901191</v>
      </c>
      <c r="J319" s="141">
        <f t="shared" si="166"/>
        <v>1898822.2591901191</v>
      </c>
      <c r="K319" s="141">
        <f t="shared" si="166"/>
        <v>1898822.2591901191</v>
      </c>
      <c r="L319" s="141">
        <f t="shared" si="166"/>
        <v>1898822.2591901191</v>
      </c>
      <c r="M319" s="141">
        <f t="shared" si="166"/>
        <v>1898822.2591901191</v>
      </c>
      <c r="N319" s="141">
        <f t="shared" si="166"/>
        <v>1898822.2591901191</v>
      </c>
      <c r="O319" s="141">
        <f t="shared" si="166"/>
        <v>1898822.2591901191</v>
      </c>
      <c r="P319" s="141">
        <f t="shared" si="166"/>
        <v>1898822.2591901191</v>
      </c>
      <c r="Q319" s="141">
        <f t="shared" si="166"/>
        <v>1898822.2591901191</v>
      </c>
      <c r="R319" s="141">
        <f t="shared" si="166"/>
        <v>1898822.2591901191</v>
      </c>
      <c r="S319" s="141">
        <f t="shared" si="166"/>
        <v>1898822.2591901191</v>
      </c>
      <c r="T319" s="141">
        <f t="shared" si="166"/>
        <v>1898822.2591901191</v>
      </c>
      <c r="U319" s="141">
        <f t="shared" si="166"/>
        <v>1898822.2591901191</v>
      </c>
      <c r="V319" s="141">
        <f t="shared" si="166"/>
        <v>1898822.2591901191</v>
      </c>
      <c r="W319" s="141">
        <f t="shared" si="166"/>
        <v>1898822.2591901191</v>
      </c>
      <c r="X319" s="141">
        <f t="shared" si="166"/>
        <v>0</v>
      </c>
      <c r="Y319" s="141">
        <f t="shared" si="166"/>
        <v>0</v>
      </c>
      <c r="Z319" s="141">
        <f t="shared" si="166"/>
        <v>0</v>
      </c>
      <c r="AA319" s="141">
        <f t="shared" si="166"/>
        <v>0</v>
      </c>
      <c r="AB319" s="141">
        <f t="shared" si="166"/>
        <v>0</v>
      </c>
      <c r="AC319" s="141">
        <f t="shared" si="166"/>
        <v>0</v>
      </c>
      <c r="AD319" s="141">
        <f t="shared" si="166"/>
        <v>0</v>
      </c>
      <c r="AE319" s="141">
        <f t="shared" si="166"/>
        <v>0</v>
      </c>
      <c r="AF319" s="141">
        <f t="shared" si="166"/>
        <v>0</v>
      </c>
      <c r="AG319" s="141">
        <f t="shared" si="166"/>
        <v>0</v>
      </c>
      <c r="AH319" s="141">
        <f t="shared" si="166"/>
        <v>0</v>
      </c>
      <c r="AI319" s="141">
        <f t="shared" si="166"/>
        <v>0</v>
      </c>
      <c r="AJ319" s="141">
        <f t="shared" si="166"/>
        <v>0</v>
      </c>
      <c r="AK319" s="141">
        <f t="shared" si="166"/>
        <v>0</v>
      </c>
      <c r="AL319" s="141">
        <f t="shared" si="166"/>
        <v>0</v>
      </c>
      <c r="AM319" s="141">
        <f t="shared" si="166"/>
        <v>0</v>
      </c>
      <c r="AN319" s="141">
        <f t="shared" si="166"/>
        <v>0</v>
      </c>
      <c r="AO319" s="141">
        <f t="shared" si="166"/>
        <v>0</v>
      </c>
      <c r="AP319" s="141">
        <f t="shared" si="166"/>
        <v>0</v>
      </c>
      <c r="AQ319" s="141">
        <f t="shared" si="166"/>
        <v>0</v>
      </c>
      <c r="AR319" s="141">
        <f t="shared" si="166"/>
        <v>0</v>
      </c>
      <c r="AS319" s="141">
        <f t="shared" si="166"/>
        <v>0</v>
      </c>
      <c r="AT319" s="141">
        <f t="shared" si="166"/>
        <v>0</v>
      </c>
      <c r="AU319" s="141">
        <f t="shared" si="166"/>
        <v>0</v>
      </c>
      <c r="AV319" s="141">
        <f t="shared" si="166"/>
        <v>0</v>
      </c>
      <c r="AW319" s="141">
        <f t="shared" si="166"/>
        <v>0</v>
      </c>
      <c r="AX319" s="141">
        <f t="shared" si="166"/>
        <v>0</v>
      </c>
      <c r="AY319" s="141">
        <f t="shared" si="166"/>
        <v>0</v>
      </c>
      <c r="AZ319" s="141">
        <f t="shared" si="166"/>
        <v>0</v>
      </c>
      <c r="BA319" s="141">
        <f t="shared" si="166"/>
        <v>0</v>
      </c>
      <c r="BB319" s="141">
        <f t="shared" si="166"/>
        <v>0</v>
      </c>
      <c r="BC319" s="141">
        <f t="shared" si="166"/>
        <v>0</v>
      </c>
      <c r="BD319" s="141">
        <f t="shared" si="166"/>
        <v>0</v>
      </c>
      <c r="BE319" s="141">
        <f t="shared" si="166"/>
        <v>0</v>
      </c>
      <c r="BF319" s="141">
        <f t="shared" si="166"/>
        <v>0</v>
      </c>
      <c r="BG319" s="141">
        <f t="shared" si="166"/>
        <v>0</v>
      </c>
      <c r="BH319" s="141">
        <f t="shared" si="166"/>
        <v>0</v>
      </c>
      <c r="BI319" s="141">
        <f t="shared" si="166"/>
        <v>0</v>
      </c>
      <c r="BJ319" s="142">
        <f t="shared" si="166"/>
        <v>0</v>
      </c>
      <c r="BK319" s="141"/>
      <c r="BL319" s="141"/>
    </row>
    <row r="320" spans="1:64" s="143" customFormat="1" ht="12.75">
      <c r="A320" s="138" t="s">
        <v>127</v>
      </c>
      <c r="B320" s="139">
        <f t="shared" si="165"/>
        <v>4800000</v>
      </c>
      <c r="C320" s="227">
        <f>IF(AND(C286&gt;5,C287=0),0,C305)</f>
        <v>0</v>
      </c>
      <c r="D320" s="141">
        <f>IF(AND(D286&gt;5,D287=0),0,D305)</f>
        <v>0</v>
      </c>
      <c r="E320" s="141">
        <f t="shared" ref="E320:BJ320" si="167">IF(AND(E286&gt;5,E287=0),0,E305)</f>
        <v>88888.888888888891</v>
      </c>
      <c r="F320" s="141">
        <f t="shared" si="167"/>
        <v>177777.77777777778</v>
      </c>
      <c r="G320" s="141">
        <f t="shared" si="167"/>
        <v>266666.66666666669</v>
      </c>
      <c r="H320" s="141">
        <f t="shared" si="167"/>
        <v>266666.66666666669</v>
      </c>
      <c r="I320" s="141">
        <f t="shared" si="167"/>
        <v>266666.66666666669</v>
      </c>
      <c r="J320" s="141">
        <f t="shared" si="167"/>
        <v>266666.66666666669</v>
      </c>
      <c r="K320" s="141">
        <f t="shared" si="167"/>
        <v>266666.66666666669</v>
      </c>
      <c r="L320" s="141">
        <f t="shared" si="167"/>
        <v>266666.66666666669</v>
      </c>
      <c r="M320" s="141">
        <f t="shared" si="167"/>
        <v>266666.66666666669</v>
      </c>
      <c r="N320" s="141">
        <f t="shared" si="167"/>
        <v>266666.66666666669</v>
      </c>
      <c r="O320" s="141">
        <f t="shared" si="167"/>
        <v>266666.66666666669</v>
      </c>
      <c r="P320" s="141">
        <f t="shared" si="167"/>
        <v>266666.66666666669</v>
      </c>
      <c r="Q320" s="141">
        <f t="shared" si="167"/>
        <v>266666.66666666669</v>
      </c>
      <c r="R320" s="141">
        <f t="shared" si="167"/>
        <v>266666.66666666669</v>
      </c>
      <c r="S320" s="141">
        <f t="shared" si="167"/>
        <v>266666.66666666669</v>
      </c>
      <c r="T320" s="141">
        <f t="shared" si="167"/>
        <v>266666.66666666669</v>
      </c>
      <c r="U320" s="141">
        <f t="shared" si="167"/>
        <v>266666.66666666669</v>
      </c>
      <c r="V320" s="141">
        <f t="shared" si="167"/>
        <v>266666.66666666669</v>
      </c>
      <c r="W320" s="141">
        <f t="shared" si="167"/>
        <v>266666.66666666669</v>
      </c>
      <c r="X320" s="141">
        <f t="shared" si="167"/>
        <v>0</v>
      </c>
      <c r="Y320" s="141">
        <f t="shared" si="167"/>
        <v>0</v>
      </c>
      <c r="Z320" s="141">
        <f t="shared" si="167"/>
        <v>0</v>
      </c>
      <c r="AA320" s="141">
        <f t="shared" si="167"/>
        <v>0</v>
      </c>
      <c r="AB320" s="141">
        <f t="shared" si="167"/>
        <v>0</v>
      </c>
      <c r="AC320" s="141">
        <f t="shared" si="167"/>
        <v>0</v>
      </c>
      <c r="AD320" s="141">
        <f t="shared" si="167"/>
        <v>0</v>
      </c>
      <c r="AE320" s="141">
        <f t="shared" si="167"/>
        <v>0</v>
      </c>
      <c r="AF320" s="141">
        <f t="shared" si="167"/>
        <v>0</v>
      </c>
      <c r="AG320" s="141">
        <f t="shared" si="167"/>
        <v>0</v>
      </c>
      <c r="AH320" s="141">
        <f t="shared" si="167"/>
        <v>0</v>
      </c>
      <c r="AI320" s="141">
        <f t="shared" si="167"/>
        <v>0</v>
      </c>
      <c r="AJ320" s="141">
        <f t="shared" si="167"/>
        <v>0</v>
      </c>
      <c r="AK320" s="141">
        <f t="shared" si="167"/>
        <v>0</v>
      </c>
      <c r="AL320" s="141">
        <f t="shared" si="167"/>
        <v>0</v>
      </c>
      <c r="AM320" s="141">
        <f t="shared" si="167"/>
        <v>0</v>
      </c>
      <c r="AN320" s="141">
        <f t="shared" si="167"/>
        <v>0</v>
      </c>
      <c r="AO320" s="141">
        <f t="shared" si="167"/>
        <v>0</v>
      </c>
      <c r="AP320" s="141">
        <f t="shared" si="167"/>
        <v>0</v>
      </c>
      <c r="AQ320" s="141">
        <f t="shared" si="167"/>
        <v>0</v>
      </c>
      <c r="AR320" s="141">
        <f t="shared" si="167"/>
        <v>0</v>
      </c>
      <c r="AS320" s="141">
        <f t="shared" si="167"/>
        <v>0</v>
      </c>
      <c r="AT320" s="141">
        <f t="shared" si="167"/>
        <v>0</v>
      </c>
      <c r="AU320" s="141">
        <f t="shared" si="167"/>
        <v>0</v>
      </c>
      <c r="AV320" s="141">
        <f t="shared" si="167"/>
        <v>0</v>
      </c>
      <c r="AW320" s="141">
        <f t="shared" si="167"/>
        <v>0</v>
      </c>
      <c r="AX320" s="141">
        <f t="shared" si="167"/>
        <v>0</v>
      </c>
      <c r="AY320" s="141">
        <f t="shared" si="167"/>
        <v>0</v>
      </c>
      <c r="AZ320" s="141">
        <f t="shared" si="167"/>
        <v>0</v>
      </c>
      <c r="BA320" s="141">
        <f t="shared" si="167"/>
        <v>0</v>
      </c>
      <c r="BB320" s="141">
        <f t="shared" si="167"/>
        <v>0</v>
      </c>
      <c r="BC320" s="141">
        <f t="shared" si="167"/>
        <v>0</v>
      </c>
      <c r="BD320" s="141">
        <f t="shared" si="167"/>
        <v>0</v>
      </c>
      <c r="BE320" s="141">
        <f t="shared" si="167"/>
        <v>0</v>
      </c>
      <c r="BF320" s="141">
        <f t="shared" si="167"/>
        <v>0</v>
      </c>
      <c r="BG320" s="141">
        <f t="shared" si="167"/>
        <v>0</v>
      </c>
      <c r="BH320" s="141">
        <f t="shared" si="167"/>
        <v>0</v>
      </c>
      <c r="BI320" s="141">
        <f t="shared" si="167"/>
        <v>0</v>
      </c>
      <c r="BJ320" s="142">
        <f t="shared" si="167"/>
        <v>0</v>
      </c>
      <c r="BK320" s="141"/>
      <c r="BL320" s="141"/>
    </row>
    <row r="321" spans="1:64" s="143" customFormat="1" ht="12.75">
      <c r="A321" s="138" t="s">
        <v>128</v>
      </c>
      <c r="B321" s="139">
        <f t="shared" si="165"/>
        <v>108494871.52646452</v>
      </c>
      <c r="C321" s="227">
        <f>IF(AND(C286&gt;5,C287=0),0,C306)</f>
        <v>1142051.279225942</v>
      </c>
      <c r="D321" s="141">
        <f>IF(AND(D286&gt;5,D287=0),0,D306)</f>
        <v>2284102.558451884</v>
      </c>
      <c r="E321" s="141">
        <f t="shared" ref="E321:BJ321" si="168">IF(AND(E286&gt;5,E287=0),0,E306)</f>
        <v>3426153.8376778262</v>
      </c>
      <c r="F321" s="141">
        <f t="shared" si="168"/>
        <v>4568205.1169037679</v>
      </c>
      <c r="G321" s="141">
        <f t="shared" si="168"/>
        <v>5710256.3961297097</v>
      </c>
      <c r="H321" s="141">
        <f t="shared" si="168"/>
        <v>5710256.3961297097</v>
      </c>
      <c r="I321" s="141">
        <f t="shared" si="168"/>
        <v>5710256.3961297097</v>
      </c>
      <c r="J321" s="141">
        <f t="shared" si="168"/>
        <v>5710256.3961297097</v>
      </c>
      <c r="K321" s="141">
        <f t="shared" si="168"/>
        <v>5710256.3961297097</v>
      </c>
      <c r="L321" s="141">
        <f t="shared" si="168"/>
        <v>5710256.3961297097</v>
      </c>
      <c r="M321" s="141">
        <f t="shared" si="168"/>
        <v>5710256.3961297097</v>
      </c>
      <c r="N321" s="141">
        <f t="shared" si="168"/>
        <v>5710256.3961297097</v>
      </c>
      <c r="O321" s="141">
        <f t="shared" si="168"/>
        <v>5710256.3961297097</v>
      </c>
      <c r="P321" s="141">
        <f t="shared" si="168"/>
        <v>5710256.3961297097</v>
      </c>
      <c r="Q321" s="141">
        <f t="shared" si="168"/>
        <v>5710256.3961297097</v>
      </c>
      <c r="R321" s="141">
        <f t="shared" si="168"/>
        <v>5710256.3961297097</v>
      </c>
      <c r="S321" s="141">
        <f t="shared" si="168"/>
        <v>5710256.3961297097</v>
      </c>
      <c r="T321" s="141">
        <f t="shared" si="168"/>
        <v>5710256.3961297097</v>
      </c>
      <c r="U321" s="141">
        <f t="shared" si="168"/>
        <v>5710256.3961297097</v>
      </c>
      <c r="V321" s="141">
        <f t="shared" si="168"/>
        <v>5710256.3961297097</v>
      </c>
      <c r="W321" s="141">
        <f t="shared" si="168"/>
        <v>5710256.3961297097</v>
      </c>
      <c r="X321" s="141">
        <f t="shared" si="168"/>
        <v>0</v>
      </c>
      <c r="Y321" s="141">
        <f t="shared" si="168"/>
        <v>0</v>
      </c>
      <c r="Z321" s="141">
        <f t="shared" si="168"/>
        <v>0</v>
      </c>
      <c r="AA321" s="141">
        <f t="shared" si="168"/>
        <v>0</v>
      </c>
      <c r="AB321" s="141">
        <f t="shared" si="168"/>
        <v>0</v>
      </c>
      <c r="AC321" s="141">
        <f t="shared" si="168"/>
        <v>0</v>
      </c>
      <c r="AD321" s="141">
        <f t="shared" si="168"/>
        <v>0</v>
      </c>
      <c r="AE321" s="141">
        <f t="shared" si="168"/>
        <v>0</v>
      </c>
      <c r="AF321" s="141">
        <f t="shared" si="168"/>
        <v>0</v>
      </c>
      <c r="AG321" s="141">
        <f t="shared" si="168"/>
        <v>0</v>
      </c>
      <c r="AH321" s="141">
        <f t="shared" si="168"/>
        <v>0</v>
      </c>
      <c r="AI321" s="141">
        <f t="shared" si="168"/>
        <v>0</v>
      </c>
      <c r="AJ321" s="141">
        <f t="shared" si="168"/>
        <v>0</v>
      </c>
      <c r="AK321" s="141">
        <f t="shared" si="168"/>
        <v>0</v>
      </c>
      <c r="AL321" s="141">
        <f t="shared" si="168"/>
        <v>0</v>
      </c>
      <c r="AM321" s="141">
        <f t="shared" si="168"/>
        <v>0</v>
      </c>
      <c r="AN321" s="141">
        <f t="shared" si="168"/>
        <v>0</v>
      </c>
      <c r="AO321" s="141">
        <f t="shared" si="168"/>
        <v>0</v>
      </c>
      <c r="AP321" s="141">
        <f t="shared" si="168"/>
        <v>0</v>
      </c>
      <c r="AQ321" s="141">
        <f t="shared" si="168"/>
        <v>0</v>
      </c>
      <c r="AR321" s="141">
        <f t="shared" si="168"/>
        <v>0</v>
      </c>
      <c r="AS321" s="141">
        <f t="shared" si="168"/>
        <v>0</v>
      </c>
      <c r="AT321" s="141">
        <f t="shared" si="168"/>
        <v>0</v>
      </c>
      <c r="AU321" s="141">
        <f t="shared" si="168"/>
        <v>0</v>
      </c>
      <c r="AV321" s="141">
        <f t="shared" si="168"/>
        <v>0</v>
      </c>
      <c r="AW321" s="141">
        <f t="shared" si="168"/>
        <v>0</v>
      </c>
      <c r="AX321" s="141">
        <f t="shared" si="168"/>
        <v>0</v>
      </c>
      <c r="AY321" s="141">
        <f t="shared" si="168"/>
        <v>0</v>
      </c>
      <c r="AZ321" s="141">
        <f t="shared" si="168"/>
        <v>0</v>
      </c>
      <c r="BA321" s="141">
        <f t="shared" si="168"/>
        <v>0</v>
      </c>
      <c r="BB321" s="141">
        <f t="shared" si="168"/>
        <v>0</v>
      </c>
      <c r="BC321" s="141">
        <f t="shared" si="168"/>
        <v>0</v>
      </c>
      <c r="BD321" s="141">
        <f t="shared" si="168"/>
        <v>0</v>
      </c>
      <c r="BE321" s="141">
        <f t="shared" si="168"/>
        <v>0</v>
      </c>
      <c r="BF321" s="141">
        <f t="shared" si="168"/>
        <v>0</v>
      </c>
      <c r="BG321" s="141">
        <f t="shared" si="168"/>
        <v>0</v>
      </c>
      <c r="BH321" s="141">
        <f t="shared" si="168"/>
        <v>0</v>
      </c>
      <c r="BI321" s="141">
        <f t="shared" si="168"/>
        <v>0</v>
      </c>
      <c r="BJ321" s="142">
        <f t="shared" si="168"/>
        <v>0</v>
      </c>
      <c r="BK321" s="141"/>
      <c r="BL321" s="141"/>
    </row>
    <row r="322" spans="1:64" s="143" customFormat="1" ht="12.75">
      <c r="A322" s="228" t="s">
        <v>129</v>
      </c>
      <c r="B322" s="229">
        <f t="shared" si="165"/>
        <v>5962569.1013645977</v>
      </c>
      <c r="C322" s="230">
        <f>IF(AND(C286&gt;5,C287=0),0,C307)</f>
        <v>97747.034448599909</v>
      </c>
      <c r="D322" s="214">
        <f>IF(AND(D286&gt;5,D287=0),0,D307)</f>
        <v>293241.10334579973</v>
      </c>
      <c r="E322" s="214">
        <f t="shared" ref="E322:BJ322" si="169">IF(AND(E286&gt;5,E287=0),0,E307)</f>
        <v>293241.10334579973</v>
      </c>
      <c r="F322" s="214">
        <f t="shared" si="169"/>
        <v>293241.10334579973</v>
      </c>
      <c r="G322" s="214">
        <f t="shared" si="169"/>
        <v>293241.10334579973</v>
      </c>
      <c r="H322" s="214">
        <f t="shared" si="169"/>
        <v>293241.10334579973</v>
      </c>
      <c r="I322" s="214">
        <f t="shared" si="169"/>
        <v>293241.10334579973</v>
      </c>
      <c r="J322" s="214">
        <f t="shared" si="169"/>
        <v>293241.10334579973</v>
      </c>
      <c r="K322" s="214">
        <f t="shared" si="169"/>
        <v>293241.10334579973</v>
      </c>
      <c r="L322" s="214">
        <f t="shared" si="169"/>
        <v>293241.10334579973</v>
      </c>
      <c r="M322" s="214">
        <f t="shared" si="169"/>
        <v>293241.10334579973</v>
      </c>
      <c r="N322" s="214">
        <f t="shared" si="169"/>
        <v>293241.10334579973</v>
      </c>
      <c r="O322" s="214">
        <f t="shared" si="169"/>
        <v>293241.10334579973</v>
      </c>
      <c r="P322" s="214">
        <f t="shared" si="169"/>
        <v>293241.10334579973</v>
      </c>
      <c r="Q322" s="214">
        <f t="shared" si="169"/>
        <v>293241.10334579973</v>
      </c>
      <c r="R322" s="214">
        <f t="shared" si="169"/>
        <v>293241.10334579973</v>
      </c>
      <c r="S322" s="214">
        <f t="shared" si="169"/>
        <v>293241.10334579973</v>
      </c>
      <c r="T322" s="214">
        <f t="shared" si="169"/>
        <v>293241.10334579973</v>
      </c>
      <c r="U322" s="214">
        <f t="shared" si="169"/>
        <v>293241.10334579973</v>
      </c>
      <c r="V322" s="214">
        <f t="shared" si="169"/>
        <v>293241.10334579973</v>
      </c>
      <c r="W322" s="214">
        <f t="shared" si="169"/>
        <v>293241.10334579973</v>
      </c>
      <c r="X322" s="214">
        <f t="shared" si="169"/>
        <v>0</v>
      </c>
      <c r="Y322" s="214">
        <f t="shared" si="169"/>
        <v>0</v>
      </c>
      <c r="Z322" s="214">
        <f t="shared" si="169"/>
        <v>0</v>
      </c>
      <c r="AA322" s="214">
        <f t="shared" si="169"/>
        <v>0</v>
      </c>
      <c r="AB322" s="214">
        <f t="shared" si="169"/>
        <v>0</v>
      </c>
      <c r="AC322" s="214">
        <f t="shared" si="169"/>
        <v>0</v>
      </c>
      <c r="AD322" s="214">
        <f t="shared" si="169"/>
        <v>0</v>
      </c>
      <c r="AE322" s="214">
        <f t="shared" si="169"/>
        <v>0</v>
      </c>
      <c r="AF322" s="214">
        <f t="shared" si="169"/>
        <v>0</v>
      </c>
      <c r="AG322" s="214">
        <f t="shared" si="169"/>
        <v>0</v>
      </c>
      <c r="AH322" s="214">
        <f t="shared" si="169"/>
        <v>0</v>
      </c>
      <c r="AI322" s="214">
        <f t="shared" si="169"/>
        <v>0</v>
      </c>
      <c r="AJ322" s="214">
        <f t="shared" si="169"/>
        <v>0</v>
      </c>
      <c r="AK322" s="214">
        <f t="shared" si="169"/>
        <v>0</v>
      </c>
      <c r="AL322" s="214">
        <f t="shared" si="169"/>
        <v>0</v>
      </c>
      <c r="AM322" s="214">
        <f t="shared" si="169"/>
        <v>0</v>
      </c>
      <c r="AN322" s="214">
        <f t="shared" si="169"/>
        <v>0</v>
      </c>
      <c r="AO322" s="214">
        <f t="shared" si="169"/>
        <v>0</v>
      </c>
      <c r="AP322" s="214">
        <f t="shared" si="169"/>
        <v>0</v>
      </c>
      <c r="AQ322" s="214">
        <f t="shared" si="169"/>
        <v>0</v>
      </c>
      <c r="AR322" s="214">
        <f t="shared" si="169"/>
        <v>0</v>
      </c>
      <c r="AS322" s="214">
        <f t="shared" si="169"/>
        <v>0</v>
      </c>
      <c r="AT322" s="214">
        <f t="shared" si="169"/>
        <v>0</v>
      </c>
      <c r="AU322" s="214">
        <f t="shared" si="169"/>
        <v>0</v>
      </c>
      <c r="AV322" s="214">
        <f t="shared" si="169"/>
        <v>0</v>
      </c>
      <c r="AW322" s="214">
        <f t="shared" si="169"/>
        <v>0</v>
      </c>
      <c r="AX322" s="214">
        <f t="shared" si="169"/>
        <v>0</v>
      </c>
      <c r="AY322" s="214">
        <f t="shared" si="169"/>
        <v>0</v>
      </c>
      <c r="AZ322" s="214">
        <f t="shared" si="169"/>
        <v>0</v>
      </c>
      <c r="BA322" s="214">
        <f t="shared" si="169"/>
        <v>0</v>
      </c>
      <c r="BB322" s="214">
        <f t="shared" si="169"/>
        <v>0</v>
      </c>
      <c r="BC322" s="214">
        <f t="shared" si="169"/>
        <v>0</v>
      </c>
      <c r="BD322" s="214">
        <f t="shared" si="169"/>
        <v>0</v>
      </c>
      <c r="BE322" s="214">
        <f t="shared" si="169"/>
        <v>0</v>
      </c>
      <c r="BF322" s="214">
        <f t="shared" si="169"/>
        <v>0</v>
      </c>
      <c r="BG322" s="214">
        <f t="shared" si="169"/>
        <v>0</v>
      </c>
      <c r="BH322" s="214">
        <f t="shared" si="169"/>
        <v>0</v>
      </c>
      <c r="BI322" s="214">
        <f t="shared" si="169"/>
        <v>0</v>
      </c>
      <c r="BJ322" s="215">
        <f t="shared" si="169"/>
        <v>0</v>
      </c>
      <c r="BK322" s="141"/>
      <c r="BL322" s="141"/>
    </row>
    <row r="323" spans="1:64" s="160" customFormat="1">
      <c r="A323" s="131" t="s">
        <v>134</v>
      </c>
      <c r="B323" s="156">
        <f t="shared" si="165"/>
        <v>2445704268.197691</v>
      </c>
      <c r="C323" s="156">
        <f>C297-C298-C318</f>
        <v>-35469554.075357877</v>
      </c>
      <c r="D323" s="157">
        <f t="shared" ref="D323:BJ323" si="170">D297-D298-D318</f>
        <v>-39739510.456939027</v>
      </c>
      <c r="E323" s="157">
        <f t="shared" si="170"/>
        <v>-57393458.569769084</v>
      </c>
      <c r="F323" s="157">
        <f t="shared" si="170"/>
        <v>-59257339.490947291</v>
      </c>
      <c r="G323" s="157">
        <f t="shared" si="170"/>
        <v>-61121220.412125491</v>
      </c>
      <c r="H323" s="157">
        <f t="shared" si="170"/>
        <v>34837728.41159153</v>
      </c>
      <c r="I323" s="157">
        <f t="shared" si="170"/>
        <v>77844443.248515353</v>
      </c>
      <c r="J323" s="157">
        <f t="shared" si="170"/>
        <v>120851158.08543921</v>
      </c>
      <c r="K323" s="157">
        <f t="shared" si="170"/>
        <v>163857872.92236298</v>
      </c>
      <c r="L323" s="157">
        <f t="shared" si="170"/>
        <v>237987868.2333765</v>
      </c>
      <c r="M323" s="157">
        <f t="shared" si="170"/>
        <v>237987868.2333765</v>
      </c>
      <c r="N323" s="157">
        <f t="shared" si="170"/>
        <v>237987868.2333765</v>
      </c>
      <c r="O323" s="157">
        <f t="shared" si="170"/>
        <v>237987868.2333765</v>
      </c>
      <c r="P323" s="157">
        <f t="shared" si="170"/>
        <v>237987868.2333765</v>
      </c>
      <c r="Q323" s="157">
        <f t="shared" si="170"/>
        <v>237987868.2333765</v>
      </c>
      <c r="R323" s="157">
        <f t="shared" si="170"/>
        <v>237987868.2333765</v>
      </c>
      <c r="S323" s="157">
        <f t="shared" si="170"/>
        <v>237987868.2333765</v>
      </c>
      <c r="T323" s="157">
        <f t="shared" si="170"/>
        <v>163857872.92236298</v>
      </c>
      <c r="U323" s="157">
        <f t="shared" si="170"/>
        <v>120851158.08543921</v>
      </c>
      <c r="V323" s="157">
        <f t="shared" si="170"/>
        <v>77844443.248515353</v>
      </c>
      <c r="W323" s="157">
        <f t="shared" si="170"/>
        <v>34837728.41159153</v>
      </c>
      <c r="X323" s="157">
        <f t="shared" si="170"/>
        <v>0</v>
      </c>
      <c r="Y323" s="157">
        <f t="shared" si="170"/>
        <v>0</v>
      </c>
      <c r="Z323" s="157">
        <f t="shared" si="170"/>
        <v>0</v>
      </c>
      <c r="AA323" s="157">
        <f t="shared" si="170"/>
        <v>0</v>
      </c>
      <c r="AB323" s="157">
        <f t="shared" si="170"/>
        <v>0</v>
      </c>
      <c r="AC323" s="157">
        <f t="shared" si="170"/>
        <v>0</v>
      </c>
      <c r="AD323" s="157">
        <f t="shared" si="170"/>
        <v>0</v>
      </c>
      <c r="AE323" s="157">
        <f t="shared" si="170"/>
        <v>0</v>
      </c>
      <c r="AF323" s="157">
        <f t="shared" si="170"/>
        <v>0</v>
      </c>
      <c r="AG323" s="157">
        <f t="shared" si="170"/>
        <v>0</v>
      </c>
      <c r="AH323" s="157">
        <f t="shared" si="170"/>
        <v>0</v>
      </c>
      <c r="AI323" s="157">
        <f t="shared" si="170"/>
        <v>0</v>
      </c>
      <c r="AJ323" s="157">
        <f t="shared" si="170"/>
        <v>0</v>
      </c>
      <c r="AK323" s="157">
        <f t="shared" si="170"/>
        <v>0</v>
      </c>
      <c r="AL323" s="157">
        <f t="shared" si="170"/>
        <v>0</v>
      </c>
      <c r="AM323" s="157">
        <f t="shared" si="170"/>
        <v>0</v>
      </c>
      <c r="AN323" s="157">
        <f t="shared" si="170"/>
        <v>0</v>
      </c>
      <c r="AO323" s="157">
        <f t="shared" si="170"/>
        <v>0</v>
      </c>
      <c r="AP323" s="157">
        <f t="shared" si="170"/>
        <v>0</v>
      </c>
      <c r="AQ323" s="157">
        <f t="shared" si="170"/>
        <v>0</v>
      </c>
      <c r="AR323" s="157">
        <f t="shared" si="170"/>
        <v>0</v>
      </c>
      <c r="AS323" s="157">
        <f t="shared" si="170"/>
        <v>0</v>
      </c>
      <c r="AT323" s="157">
        <f t="shared" si="170"/>
        <v>0</v>
      </c>
      <c r="AU323" s="157">
        <f t="shared" si="170"/>
        <v>0</v>
      </c>
      <c r="AV323" s="157">
        <f t="shared" si="170"/>
        <v>0</v>
      </c>
      <c r="AW323" s="157">
        <f t="shared" si="170"/>
        <v>0</v>
      </c>
      <c r="AX323" s="157">
        <f t="shared" si="170"/>
        <v>0</v>
      </c>
      <c r="AY323" s="157">
        <f t="shared" si="170"/>
        <v>0</v>
      </c>
      <c r="AZ323" s="157">
        <f t="shared" si="170"/>
        <v>0</v>
      </c>
      <c r="BA323" s="157">
        <f t="shared" si="170"/>
        <v>0</v>
      </c>
      <c r="BB323" s="157">
        <f t="shared" si="170"/>
        <v>0</v>
      </c>
      <c r="BC323" s="157">
        <f t="shared" si="170"/>
        <v>0</v>
      </c>
      <c r="BD323" s="157">
        <f t="shared" si="170"/>
        <v>0</v>
      </c>
      <c r="BE323" s="157">
        <f t="shared" si="170"/>
        <v>0</v>
      </c>
      <c r="BF323" s="157">
        <f t="shared" si="170"/>
        <v>0</v>
      </c>
      <c r="BG323" s="157">
        <f t="shared" si="170"/>
        <v>0</v>
      </c>
      <c r="BH323" s="157">
        <f t="shared" si="170"/>
        <v>0</v>
      </c>
      <c r="BI323" s="157">
        <f t="shared" si="170"/>
        <v>0</v>
      </c>
      <c r="BJ323" s="158">
        <f t="shared" si="170"/>
        <v>0</v>
      </c>
      <c r="BK323" s="159"/>
      <c r="BL323" s="159"/>
    </row>
    <row r="324" spans="1:64" s="160" customFormat="1">
      <c r="A324" s="131" t="s">
        <v>135</v>
      </c>
      <c r="B324" s="156">
        <f t="shared" si="165"/>
        <v>809605605.36084902</v>
      </c>
      <c r="C324" s="231">
        <f>IF(C323&lt;=0,0,C323*$K285)</f>
        <v>0</v>
      </c>
      <c r="D324" s="157">
        <f>IF(D323&lt;=0,0,D323*$K285)</f>
        <v>0</v>
      </c>
      <c r="E324" s="157">
        <f t="shared" ref="E324:BJ324" si="171">IF(E323&lt;=0,0,E323*$K285)</f>
        <v>0</v>
      </c>
      <c r="F324" s="157">
        <f t="shared" si="171"/>
        <v>0</v>
      </c>
      <c r="G324" s="157">
        <f t="shared" si="171"/>
        <v>0</v>
      </c>
      <c r="H324" s="157">
        <f t="shared" si="171"/>
        <v>10451318.523477459</v>
      </c>
      <c r="I324" s="157">
        <f t="shared" si="171"/>
        <v>23353332.974554606</v>
      </c>
      <c r="J324" s="157">
        <f t="shared" si="171"/>
        <v>36255347.425631762</v>
      </c>
      <c r="K324" s="157">
        <f t="shared" si="171"/>
        <v>49157361.876708895</v>
      </c>
      <c r="L324" s="157">
        <f t="shared" si="171"/>
        <v>71396360.470012948</v>
      </c>
      <c r="M324" s="157">
        <f t="shared" si="171"/>
        <v>71396360.470012948</v>
      </c>
      <c r="N324" s="157">
        <f t="shared" si="171"/>
        <v>71396360.470012948</v>
      </c>
      <c r="O324" s="157">
        <f t="shared" si="171"/>
        <v>71396360.470012948</v>
      </c>
      <c r="P324" s="157">
        <f t="shared" si="171"/>
        <v>71396360.470012948</v>
      </c>
      <c r="Q324" s="157">
        <f t="shared" si="171"/>
        <v>71396360.470012948</v>
      </c>
      <c r="R324" s="157">
        <f t="shared" si="171"/>
        <v>71396360.470012948</v>
      </c>
      <c r="S324" s="157">
        <f t="shared" si="171"/>
        <v>71396360.470012948</v>
      </c>
      <c r="T324" s="157">
        <f t="shared" si="171"/>
        <v>49157361.876708895</v>
      </c>
      <c r="U324" s="157">
        <f t="shared" si="171"/>
        <v>36255347.425631762</v>
      </c>
      <c r="V324" s="157">
        <f t="shared" si="171"/>
        <v>23353332.974554606</v>
      </c>
      <c r="W324" s="157">
        <f t="shared" si="171"/>
        <v>10451318.523477459</v>
      </c>
      <c r="X324" s="157">
        <f t="shared" si="171"/>
        <v>0</v>
      </c>
      <c r="Y324" s="157">
        <f t="shared" si="171"/>
        <v>0</v>
      </c>
      <c r="Z324" s="157">
        <f t="shared" si="171"/>
        <v>0</v>
      </c>
      <c r="AA324" s="157">
        <f t="shared" si="171"/>
        <v>0</v>
      </c>
      <c r="AB324" s="157">
        <f t="shared" si="171"/>
        <v>0</v>
      </c>
      <c r="AC324" s="157">
        <f t="shared" si="171"/>
        <v>0</v>
      </c>
      <c r="AD324" s="157">
        <f t="shared" si="171"/>
        <v>0</v>
      </c>
      <c r="AE324" s="157">
        <f t="shared" si="171"/>
        <v>0</v>
      </c>
      <c r="AF324" s="157">
        <f t="shared" si="171"/>
        <v>0</v>
      </c>
      <c r="AG324" s="157">
        <f t="shared" si="171"/>
        <v>0</v>
      </c>
      <c r="AH324" s="157">
        <f t="shared" si="171"/>
        <v>0</v>
      </c>
      <c r="AI324" s="157">
        <f t="shared" si="171"/>
        <v>0</v>
      </c>
      <c r="AJ324" s="157">
        <f t="shared" si="171"/>
        <v>0</v>
      </c>
      <c r="AK324" s="157">
        <f t="shared" si="171"/>
        <v>0</v>
      </c>
      <c r="AL324" s="157">
        <f t="shared" si="171"/>
        <v>0</v>
      </c>
      <c r="AM324" s="157">
        <f t="shared" si="171"/>
        <v>0</v>
      </c>
      <c r="AN324" s="157">
        <f t="shared" si="171"/>
        <v>0</v>
      </c>
      <c r="AO324" s="157">
        <f t="shared" si="171"/>
        <v>0</v>
      </c>
      <c r="AP324" s="157">
        <f t="shared" si="171"/>
        <v>0</v>
      </c>
      <c r="AQ324" s="157">
        <f t="shared" si="171"/>
        <v>0</v>
      </c>
      <c r="AR324" s="157">
        <f t="shared" si="171"/>
        <v>0</v>
      </c>
      <c r="AS324" s="157">
        <f t="shared" si="171"/>
        <v>0</v>
      </c>
      <c r="AT324" s="157">
        <f t="shared" si="171"/>
        <v>0</v>
      </c>
      <c r="AU324" s="157">
        <f t="shared" si="171"/>
        <v>0</v>
      </c>
      <c r="AV324" s="157">
        <f t="shared" si="171"/>
        <v>0</v>
      </c>
      <c r="AW324" s="157">
        <f t="shared" si="171"/>
        <v>0</v>
      </c>
      <c r="AX324" s="157">
        <f t="shared" si="171"/>
        <v>0</v>
      </c>
      <c r="AY324" s="157">
        <f t="shared" si="171"/>
        <v>0</v>
      </c>
      <c r="AZ324" s="157">
        <f t="shared" si="171"/>
        <v>0</v>
      </c>
      <c r="BA324" s="157">
        <f t="shared" si="171"/>
        <v>0</v>
      </c>
      <c r="BB324" s="157">
        <f t="shared" si="171"/>
        <v>0</v>
      </c>
      <c r="BC324" s="157">
        <f t="shared" si="171"/>
        <v>0</v>
      </c>
      <c r="BD324" s="157">
        <f t="shared" si="171"/>
        <v>0</v>
      </c>
      <c r="BE324" s="157">
        <f t="shared" si="171"/>
        <v>0</v>
      </c>
      <c r="BF324" s="157">
        <f t="shared" si="171"/>
        <v>0</v>
      </c>
      <c r="BG324" s="157">
        <f t="shared" si="171"/>
        <v>0</v>
      </c>
      <c r="BH324" s="157">
        <f t="shared" si="171"/>
        <v>0</v>
      </c>
      <c r="BI324" s="157">
        <f t="shared" si="171"/>
        <v>0</v>
      </c>
      <c r="BJ324" s="158">
        <f t="shared" si="171"/>
        <v>0</v>
      </c>
      <c r="BK324" s="159"/>
      <c r="BL324" s="159"/>
    </row>
    <row r="325" spans="1:64" s="105" customFormat="1">
      <c r="A325" s="164" t="s">
        <v>136</v>
      </c>
      <c r="B325" s="161">
        <f t="shared" si="165"/>
        <v>1636098662.8368423</v>
      </c>
      <c r="C325" s="133">
        <f>C323-C324</f>
        <v>-35469554.075357877</v>
      </c>
      <c r="D325" s="134">
        <f>D323-D324</f>
        <v>-39739510.456939027</v>
      </c>
      <c r="E325" s="134">
        <f>E323-E324</f>
        <v>-57393458.569769084</v>
      </c>
      <c r="F325" s="134">
        <f>F323-F324</f>
        <v>-59257339.490947291</v>
      </c>
      <c r="G325" s="134">
        <f t="shared" ref="G325:BJ325" si="172">G323-G324</f>
        <v>-61121220.412125491</v>
      </c>
      <c r="H325" s="134">
        <f t="shared" si="172"/>
        <v>24386409.888114072</v>
      </c>
      <c r="I325" s="134">
        <f t="shared" si="172"/>
        <v>54491110.273960747</v>
      </c>
      <c r="J325" s="134">
        <f t="shared" si="172"/>
        <v>84595810.659807444</v>
      </c>
      <c r="K325" s="134">
        <f t="shared" si="172"/>
        <v>114700511.04565409</v>
      </c>
      <c r="L325" s="134">
        <f t="shared" si="172"/>
        <v>166591507.76336354</v>
      </c>
      <c r="M325" s="134">
        <f t="shared" si="172"/>
        <v>166591507.76336354</v>
      </c>
      <c r="N325" s="134">
        <f t="shared" si="172"/>
        <v>166591507.76336354</v>
      </c>
      <c r="O325" s="134">
        <f t="shared" si="172"/>
        <v>166591507.76336354</v>
      </c>
      <c r="P325" s="134">
        <f t="shared" si="172"/>
        <v>166591507.76336354</v>
      </c>
      <c r="Q325" s="134">
        <f t="shared" si="172"/>
        <v>166591507.76336354</v>
      </c>
      <c r="R325" s="134">
        <f t="shared" si="172"/>
        <v>166591507.76336354</v>
      </c>
      <c r="S325" s="134">
        <f t="shared" si="172"/>
        <v>166591507.76336354</v>
      </c>
      <c r="T325" s="134">
        <f t="shared" si="172"/>
        <v>114700511.04565409</v>
      </c>
      <c r="U325" s="134">
        <f t="shared" si="172"/>
        <v>84595810.659807444</v>
      </c>
      <c r="V325" s="134">
        <f t="shared" si="172"/>
        <v>54491110.273960747</v>
      </c>
      <c r="W325" s="134">
        <f t="shared" si="172"/>
        <v>24386409.888114072</v>
      </c>
      <c r="X325" s="134">
        <f t="shared" si="172"/>
        <v>0</v>
      </c>
      <c r="Y325" s="134">
        <f t="shared" si="172"/>
        <v>0</v>
      </c>
      <c r="Z325" s="134">
        <f t="shared" si="172"/>
        <v>0</v>
      </c>
      <c r="AA325" s="134">
        <f t="shared" si="172"/>
        <v>0</v>
      </c>
      <c r="AB325" s="134">
        <f t="shared" si="172"/>
        <v>0</v>
      </c>
      <c r="AC325" s="134">
        <f t="shared" si="172"/>
        <v>0</v>
      </c>
      <c r="AD325" s="134">
        <f t="shared" si="172"/>
        <v>0</v>
      </c>
      <c r="AE325" s="134">
        <f t="shared" si="172"/>
        <v>0</v>
      </c>
      <c r="AF325" s="134">
        <f t="shared" si="172"/>
        <v>0</v>
      </c>
      <c r="AG325" s="134">
        <f t="shared" si="172"/>
        <v>0</v>
      </c>
      <c r="AH325" s="134">
        <f t="shared" si="172"/>
        <v>0</v>
      </c>
      <c r="AI325" s="134">
        <f t="shared" si="172"/>
        <v>0</v>
      </c>
      <c r="AJ325" s="134">
        <f t="shared" si="172"/>
        <v>0</v>
      </c>
      <c r="AK325" s="134">
        <f t="shared" si="172"/>
        <v>0</v>
      </c>
      <c r="AL325" s="134">
        <f t="shared" si="172"/>
        <v>0</v>
      </c>
      <c r="AM325" s="134">
        <f t="shared" si="172"/>
        <v>0</v>
      </c>
      <c r="AN325" s="134">
        <f t="shared" si="172"/>
        <v>0</v>
      </c>
      <c r="AO325" s="134">
        <f t="shared" si="172"/>
        <v>0</v>
      </c>
      <c r="AP325" s="134">
        <f t="shared" si="172"/>
        <v>0</v>
      </c>
      <c r="AQ325" s="134">
        <f t="shared" si="172"/>
        <v>0</v>
      </c>
      <c r="AR325" s="134">
        <f t="shared" si="172"/>
        <v>0</v>
      </c>
      <c r="AS325" s="134">
        <f t="shared" si="172"/>
        <v>0</v>
      </c>
      <c r="AT325" s="134">
        <f t="shared" si="172"/>
        <v>0</v>
      </c>
      <c r="AU325" s="134">
        <f t="shared" si="172"/>
        <v>0</v>
      </c>
      <c r="AV325" s="134">
        <f t="shared" si="172"/>
        <v>0</v>
      </c>
      <c r="AW325" s="134">
        <f t="shared" si="172"/>
        <v>0</v>
      </c>
      <c r="AX325" s="134">
        <f t="shared" si="172"/>
        <v>0</v>
      </c>
      <c r="AY325" s="134">
        <f t="shared" si="172"/>
        <v>0</v>
      </c>
      <c r="AZ325" s="134">
        <f t="shared" si="172"/>
        <v>0</v>
      </c>
      <c r="BA325" s="134">
        <f t="shared" si="172"/>
        <v>0</v>
      </c>
      <c r="BB325" s="134">
        <f t="shared" si="172"/>
        <v>0</v>
      </c>
      <c r="BC325" s="134">
        <f t="shared" si="172"/>
        <v>0</v>
      </c>
      <c r="BD325" s="134">
        <f t="shared" si="172"/>
        <v>0</v>
      </c>
      <c r="BE325" s="134">
        <f t="shared" si="172"/>
        <v>0</v>
      </c>
      <c r="BF325" s="134">
        <f t="shared" si="172"/>
        <v>0</v>
      </c>
      <c r="BG325" s="134">
        <f t="shared" si="172"/>
        <v>0</v>
      </c>
      <c r="BH325" s="134">
        <f t="shared" si="172"/>
        <v>0</v>
      </c>
      <c r="BI325" s="134">
        <f t="shared" si="172"/>
        <v>0</v>
      </c>
      <c r="BJ325" s="135">
        <f t="shared" si="172"/>
        <v>0</v>
      </c>
      <c r="BK325" s="109"/>
      <c r="BL325" s="109"/>
    </row>
    <row r="326" spans="1:64">
      <c r="A326" s="165" t="s">
        <v>137</v>
      </c>
      <c r="B326" s="161" t="e">
        <f>SUM(B327:B329)</f>
        <v>#REF!</v>
      </c>
      <c r="C326" s="166"/>
      <c r="D326" s="167"/>
      <c r="E326" s="168"/>
      <c r="F326" s="168"/>
      <c r="G326" s="168"/>
      <c r="H326" s="168"/>
      <c r="I326" s="168"/>
      <c r="J326" s="168"/>
      <c r="K326" s="168"/>
      <c r="L326" s="168"/>
      <c r="M326" s="168"/>
      <c r="N326" s="168"/>
      <c r="O326" s="168"/>
      <c r="P326" s="168"/>
      <c r="Q326" s="168"/>
      <c r="R326" s="168"/>
      <c r="S326" s="168"/>
      <c r="T326" s="168"/>
      <c r="U326" s="168"/>
      <c r="V326" s="168"/>
      <c r="W326" s="168"/>
      <c r="X326" s="168"/>
      <c r="Y326" s="168"/>
      <c r="Z326" s="168"/>
      <c r="AA326" s="168"/>
      <c r="AB326" s="168"/>
      <c r="AC326" s="168"/>
      <c r="AD326" s="168"/>
      <c r="AE326" s="168"/>
      <c r="AF326" s="168"/>
      <c r="AG326" s="168"/>
      <c r="AH326" s="168"/>
      <c r="AI326" s="168"/>
      <c r="AJ326" s="168"/>
      <c r="AK326" s="168"/>
      <c r="AL326" s="168"/>
      <c r="AM326" s="168"/>
      <c r="AN326" s="168"/>
      <c r="AO326" s="168"/>
      <c r="AP326" s="168"/>
      <c r="AQ326" s="168"/>
      <c r="AR326" s="168"/>
      <c r="AS326" s="168"/>
      <c r="AT326" s="168"/>
      <c r="AU326" s="168"/>
      <c r="AV326" s="168"/>
      <c r="AW326" s="168"/>
      <c r="AX326" s="168"/>
      <c r="AY326" s="168"/>
      <c r="AZ326" s="168"/>
      <c r="BA326" s="168"/>
      <c r="BB326" s="168"/>
      <c r="BC326" s="168"/>
      <c r="BD326" s="168"/>
      <c r="BE326" s="168"/>
      <c r="BF326" s="168"/>
      <c r="BG326" s="168"/>
      <c r="BH326" s="168"/>
      <c r="BI326" s="168"/>
      <c r="BJ326" s="169"/>
    </row>
    <row r="327" spans="1:64" s="174" customFormat="1" ht="12.75">
      <c r="A327" s="120" t="s">
        <v>138</v>
      </c>
      <c r="B327" s="170">
        <f>SUM(C327:BJ327)</f>
        <v>91633351.466717511</v>
      </c>
      <c r="C327" s="171">
        <f>C298-C303</f>
        <v>35954151.096561715</v>
      </c>
      <c r="D327" s="172">
        <f>IF(AND(D286&gt;5,D287=0),0,D298-D303)</f>
        <v>37549016.781896576</v>
      </c>
      <c r="E327" s="172">
        <f t="shared" ref="E327:BJ327" si="173">IF(AND(E286&gt;5,E287=0),0,E298-E303)</f>
        <v>51475203.052370228</v>
      </c>
      <c r="F327" s="172">
        <f t="shared" si="173"/>
        <v>49611322.131192021</v>
      </c>
      <c r="G327" s="172">
        <f t="shared" si="173"/>
        <v>47747441.210013822</v>
      </c>
      <c r="H327" s="172">
        <f t="shared" si="173"/>
        <v>-8168986.4253322948</v>
      </c>
      <c r="I327" s="172">
        <f t="shared" si="173"/>
        <v>-8168986.4253322948</v>
      </c>
      <c r="J327" s="172">
        <f t="shared" si="173"/>
        <v>-8168986.4253322948</v>
      </c>
      <c r="K327" s="172">
        <f t="shared" si="173"/>
        <v>-8168986.4253322948</v>
      </c>
      <c r="L327" s="172">
        <f t="shared" si="173"/>
        <v>-8168986.4253322948</v>
      </c>
      <c r="M327" s="172">
        <f t="shared" si="173"/>
        <v>-8168986.4253322948</v>
      </c>
      <c r="N327" s="172">
        <f t="shared" si="173"/>
        <v>-8168986.4253322948</v>
      </c>
      <c r="O327" s="172">
        <f t="shared" si="173"/>
        <v>-8168986.4253322948</v>
      </c>
      <c r="P327" s="172">
        <f t="shared" si="173"/>
        <v>-8168986.4253322948</v>
      </c>
      <c r="Q327" s="172">
        <f t="shared" si="173"/>
        <v>-8168986.4253322948</v>
      </c>
      <c r="R327" s="172">
        <f t="shared" si="173"/>
        <v>-8168986.4253322948</v>
      </c>
      <c r="S327" s="172">
        <f t="shared" si="173"/>
        <v>-8168986.4253322948</v>
      </c>
      <c r="T327" s="172">
        <f t="shared" si="173"/>
        <v>-8168986.4253322948</v>
      </c>
      <c r="U327" s="172">
        <f t="shared" si="173"/>
        <v>-8168986.4253322948</v>
      </c>
      <c r="V327" s="172">
        <f t="shared" si="173"/>
        <v>-8168986.4253322948</v>
      </c>
      <c r="W327" s="172">
        <f t="shared" si="173"/>
        <v>-8168986.4253322948</v>
      </c>
      <c r="X327" s="172">
        <f t="shared" si="173"/>
        <v>0</v>
      </c>
      <c r="Y327" s="172">
        <f t="shared" si="173"/>
        <v>0</v>
      </c>
      <c r="Z327" s="172">
        <f t="shared" si="173"/>
        <v>0</v>
      </c>
      <c r="AA327" s="172">
        <f t="shared" si="173"/>
        <v>0</v>
      </c>
      <c r="AB327" s="172">
        <f t="shared" si="173"/>
        <v>0</v>
      </c>
      <c r="AC327" s="172">
        <f t="shared" si="173"/>
        <v>0</v>
      </c>
      <c r="AD327" s="172">
        <f t="shared" si="173"/>
        <v>0</v>
      </c>
      <c r="AE327" s="172">
        <f t="shared" si="173"/>
        <v>0</v>
      </c>
      <c r="AF327" s="172">
        <f t="shared" si="173"/>
        <v>0</v>
      </c>
      <c r="AG327" s="172">
        <f t="shared" si="173"/>
        <v>0</v>
      </c>
      <c r="AH327" s="172">
        <f t="shared" si="173"/>
        <v>0</v>
      </c>
      <c r="AI327" s="172">
        <f t="shared" si="173"/>
        <v>0</v>
      </c>
      <c r="AJ327" s="172">
        <f t="shared" si="173"/>
        <v>0</v>
      </c>
      <c r="AK327" s="172">
        <f t="shared" si="173"/>
        <v>0</v>
      </c>
      <c r="AL327" s="172">
        <f t="shared" si="173"/>
        <v>0</v>
      </c>
      <c r="AM327" s="172">
        <f t="shared" si="173"/>
        <v>0</v>
      </c>
      <c r="AN327" s="172">
        <f t="shared" si="173"/>
        <v>0</v>
      </c>
      <c r="AO327" s="172">
        <f t="shared" si="173"/>
        <v>0</v>
      </c>
      <c r="AP327" s="172">
        <f t="shared" si="173"/>
        <v>0</v>
      </c>
      <c r="AQ327" s="172">
        <f t="shared" si="173"/>
        <v>0</v>
      </c>
      <c r="AR327" s="172">
        <f t="shared" si="173"/>
        <v>0</v>
      </c>
      <c r="AS327" s="172">
        <f t="shared" si="173"/>
        <v>0</v>
      </c>
      <c r="AT327" s="172">
        <f t="shared" si="173"/>
        <v>0</v>
      </c>
      <c r="AU327" s="172">
        <f t="shared" si="173"/>
        <v>0</v>
      </c>
      <c r="AV327" s="172">
        <f t="shared" si="173"/>
        <v>0</v>
      </c>
      <c r="AW327" s="172">
        <f t="shared" si="173"/>
        <v>0</v>
      </c>
      <c r="AX327" s="172">
        <f t="shared" si="173"/>
        <v>0</v>
      </c>
      <c r="AY327" s="172">
        <f t="shared" si="173"/>
        <v>0</v>
      </c>
      <c r="AZ327" s="172">
        <f t="shared" si="173"/>
        <v>0</v>
      </c>
      <c r="BA327" s="172">
        <f t="shared" si="173"/>
        <v>0</v>
      </c>
      <c r="BB327" s="172">
        <f t="shared" si="173"/>
        <v>0</v>
      </c>
      <c r="BC327" s="172">
        <f t="shared" si="173"/>
        <v>0</v>
      </c>
      <c r="BD327" s="172">
        <f t="shared" si="173"/>
        <v>0</v>
      </c>
      <c r="BE327" s="172">
        <f t="shared" si="173"/>
        <v>0</v>
      </c>
      <c r="BF327" s="172">
        <f t="shared" si="173"/>
        <v>0</v>
      </c>
      <c r="BG327" s="172">
        <f t="shared" si="173"/>
        <v>0</v>
      </c>
      <c r="BH327" s="172">
        <f t="shared" si="173"/>
        <v>0</v>
      </c>
      <c r="BI327" s="172">
        <f t="shared" si="173"/>
        <v>0</v>
      </c>
      <c r="BJ327" s="173">
        <f t="shared" si="173"/>
        <v>0</v>
      </c>
      <c r="BK327" s="172"/>
      <c r="BL327" s="172"/>
    </row>
    <row r="328" spans="1:64" s="174" customFormat="1" ht="12.75">
      <c r="A328" s="120" t="s">
        <v>139</v>
      </c>
      <c r="B328" s="170">
        <f>SUM(C328:BJ328)</f>
        <v>153436241.29325122</v>
      </c>
      <c r="C328" s="171">
        <f>C318</f>
        <v>1239798.3136745419</v>
      </c>
      <c r="D328" s="172">
        <f>D318</f>
        <v>2577343.6617976837</v>
      </c>
      <c r="E328" s="172">
        <f t="shared" ref="E328:BJ328" si="174">E318</f>
        <v>4441224.5829758877</v>
      </c>
      <c r="F328" s="172">
        <f t="shared" si="174"/>
        <v>6305105.5041540917</v>
      </c>
      <c r="G328" s="172">
        <f t="shared" si="174"/>
        <v>8168986.4253322948</v>
      </c>
      <c r="H328" s="172">
        <f t="shared" si="174"/>
        <v>8168986.4253322948</v>
      </c>
      <c r="I328" s="172">
        <f t="shared" si="174"/>
        <v>8168986.4253322948</v>
      </c>
      <c r="J328" s="172">
        <f t="shared" si="174"/>
        <v>8168986.4253322948</v>
      </c>
      <c r="K328" s="172">
        <f t="shared" si="174"/>
        <v>8168986.4253322948</v>
      </c>
      <c r="L328" s="172">
        <f t="shared" si="174"/>
        <v>8168986.4253322948</v>
      </c>
      <c r="M328" s="172">
        <f t="shared" si="174"/>
        <v>8168986.4253322948</v>
      </c>
      <c r="N328" s="172">
        <f t="shared" si="174"/>
        <v>8168986.4253322948</v>
      </c>
      <c r="O328" s="172">
        <f t="shared" si="174"/>
        <v>8168986.4253322948</v>
      </c>
      <c r="P328" s="172">
        <f t="shared" si="174"/>
        <v>8168986.4253322948</v>
      </c>
      <c r="Q328" s="172">
        <f t="shared" si="174"/>
        <v>8168986.4253322948</v>
      </c>
      <c r="R328" s="172">
        <f t="shared" si="174"/>
        <v>8168986.4253322948</v>
      </c>
      <c r="S328" s="172">
        <f t="shared" si="174"/>
        <v>8168986.4253322948</v>
      </c>
      <c r="T328" s="172">
        <f t="shared" si="174"/>
        <v>8168986.4253322948</v>
      </c>
      <c r="U328" s="172">
        <f t="shared" si="174"/>
        <v>8168986.4253322948</v>
      </c>
      <c r="V328" s="172">
        <f t="shared" si="174"/>
        <v>8168986.4253322948</v>
      </c>
      <c r="W328" s="172">
        <f t="shared" si="174"/>
        <v>8168986.4253322948</v>
      </c>
      <c r="X328" s="172">
        <f t="shared" si="174"/>
        <v>0</v>
      </c>
      <c r="Y328" s="172">
        <f t="shared" si="174"/>
        <v>0</v>
      </c>
      <c r="Z328" s="172">
        <f t="shared" si="174"/>
        <v>0</v>
      </c>
      <c r="AA328" s="172">
        <f t="shared" si="174"/>
        <v>0</v>
      </c>
      <c r="AB328" s="172">
        <f t="shared" si="174"/>
        <v>0</v>
      </c>
      <c r="AC328" s="172">
        <f t="shared" si="174"/>
        <v>0</v>
      </c>
      <c r="AD328" s="172">
        <f t="shared" si="174"/>
        <v>0</v>
      </c>
      <c r="AE328" s="172">
        <f t="shared" si="174"/>
        <v>0</v>
      </c>
      <c r="AF328" s="172">
        <f t="shared" si="174"/>
        <v>0</v>
      </c>
      <c r="AG328" s="172">
        <f t="shared" si="174"/>
        <v>0</v>
      </c>
      <c r="AH328" s="172">
        <f t="shared" si="174"/>
        <v>0</v>
      </c>
      <c r="AI328" s="172">
        <f t="shared" si="174"/>
        <v>0</v>
      </c>
      <c r="AJ328" s="172">
        <f t="shared" si="174"/>
        <v>0</v>
      </c>
      <c r="AK328" s="172">
        <f t="shared" si="174"/>
        <v>0</v>
      </c>
      <c r="AL328" s="172">
        <f t="shared" si="174"/>
        <v>0</v>
      </c>
      <c r="AM328" s="172">
        <f t="shared" si="174"/>
        <v>0</v>
      </c>
      <c r="AN328" s="172">
        <f t="shared" si="174"/>
        <v>0</v>
      </c>
      <c r="AO328" s="172">
        <f t="shared" si="174"/>
        <v>0</v>
      </c>
      <c r="AP328" s="172">
        <f t="shared" si="174"/>
        <v>0</v>
      </c>
      <c r="AQ328" s="172">
        <f t="shared" si="174"/>
        <v>0</v>
      </c>
      <c r="AR328" s="172">
        <f t="shared" si="174"/>
        <v>0</v>
      </c>
      <c r="AS328" s="172">
        <f t="shared" si="174"/>
        <v>0</v>
      </c>
      <c r="AT328" s="172">
        <f t="shared" si="174"/>
        <v>0</v>
      </c>
      <c r="AU328" s="172">
        <f t="shared" si="174"/>
        <v>0</v>
      </c>
      <c r="AV328" s="172">
        <f t="shared" si="174"/>
        <v>0</v>
      </c>
      <c r="AW328" s="172">
        <f t="shared" si="174"/>
        <v>0</v>
      </c>
      <c r="AX328" s="172">
        <f t="shared" si="174"/>
        <v>0</v>
      </c>
      <c r="AY328" s="172">
        <f t="shared" si="174"/>
        <v>0</v>
      </c>
      <c r="AZ328" s="172">
        <f t="shared" si="174"/>
        <v>0</v>
      </c>
      <c r="BA328" s="172">
        <f t="shared" si="174"/>
        <v>0</v>
      </c>
      <c r="BB328" s="172">
        <f t="shared" si="174"/>
        <v>0</v>
      </c>
      <c r="BC328" s="172">
        <f t="shared" si="174"/>
        <v>0</v>
      </c>
      <c r="BD328" s="172">
        <f t="shared" si="174"/>
        <v>0</v>
      </c>
      <c r="BE328" s="172">
        <f t="shared" si="174"/>
        <v>0</v>
      </c>
      <c r="BF328" s="172">
        <f t="shared" si="174"/>
        <v>0</v>
      </c>
      <c r="BG328" s="172">
        <f t="shared" si="174"/>
        <v>0</v>
      </c>
      <c r="BH328" s="172">
        <f t="shared" si="174"/>
        <v>0</v>
      </c>
      <c r="BI328" s="172">
        <f t="shared" si="174"/>
        <v>0</v>
      </c>
      <c r="BJ328" s="173">
        <f t="shared" si="174"/>
        <v>0</v>
      </c>
      <c r="BK328" s="172"/>
      <c r="BL328" s="172"/>
    </row>
    <row r="329" spans="1:64" s="174" customFormat="1" ht="12.75">
      <c r="A329" s="120" t="s">
        <v>140</v>
      </c>
      <c r="B329" s="170" t="e">
        <f>SUM(C329:BJ329)</f>
        <v>#REF!</v>
      </c>
      <c r="C329" s="171">
        <f>-C298</f>
        <v>-37193949.410236254</v>
      </c>
      <c r="D329" s="172">
        <f>IF(AND(D286&gt;5,E287=0,D287&lt;&gt;0),SUM(D$71:$BJ303)-D298,-D298)</f>
        <v>-40126360.443694256</v>
      </c>
      <c r="E329" s="172">
        <f>IF(AND(E286&gt;5,F287=0,E287&lt;&gt;0),SUM(E$71:$BJ303)-E298,-E298)</f>
        <v>-55916427.635346115</v>
      </c>
      <c r="F329" s="172">
        <f>IF(AND(F286&gt;5,G287=0,F287&lt;&gt;0),SUM(F$71:$BJ303)-F298,-F298)</f>
        <v>-55916427.635346115</v>
      </c>
      <c r="G329" s="172">
        <f>IF(AND(G286&gt;5,H287=0,G287&lt;&gt;0),SUM(G$71:$BJ303)-G298,-G298)</f>
        <v>-55916427.635346115</v>
      </c>
      <c r="H329" s="172">
        <f>IF(AND(H286&gt;5,I287=0,H287&lt;&gt;0),SUM(H$71:$BJ303)-H298,-H298)</f>
        <v>0</v>
      </c>
      <c r="I329" s="172">
        <f>IF(AND(I286&gt;5,J287=0,I287&lt;&gt;0),SUM(I$71:$BJ303)-I298,-I298)</f>
        <v>0</v>
      </c>
      <c r="J329" s="172">
        <f>IF(AND(J286&gt;5,K287=0,J287&lt;&gt;0),SUM(J$71:$BJ303)-J298,-J298)</f>
        <v>0</v>
      </c>
      <c r="K329" s="172">
        <f>IF(AND(K286&gt;5,L287=0,K287&lt;&gt;0),SUM(K$71:$BJ303)-K298,-K298)</f>
        <v>0</v>
      </c>
      <c r="L329" s="172">
        <f>IF(AND(L286&gt;5,M287=0,L287&lt;&gt;0),SUM(L$71:$BJ303)-L298,-L298)</f>
        <v>0</v>
      </c>
      <c r="M329" s="172">
        <f>IF(AND(M286&gt;5,N287=0,M287&lt;&gt;0),SUM(M$71:$BJ303)-M298,-M298)</f>
        <v>0</v>
      </c>
      <c r="N329" s="172">
        <f>IF(AND(N286&gt;5,O287=0,N287&lt;&gt;0),SUM(N$71:$BJ303)-N298,-N298)</f>
        <v>0</v>
      </c>
      <c r="O329" s="172">
        <f>IF(AND(O286&gt;5,P287=0,O287&lt;&gt;0),SUM(O$71:$BJ303)-O298,-O298)</f>
        <v>0</v>
      </c>
      <c r="P329" s="172">
        <f>IF(AND(P286&gt;5,Q287=0,P287&lt;&gt;0),SUM(P$71:$BJ303)-P298,-P298)</f>
        <v>0</v>
      </c>
      <c r="Q329" s="172">
        <f>IF(AND(Q286&gt;5,R287=0,Q287&lt;&gt;0),SUM(Q$71:$BJ303)-Q298,-Q298)</f>
        <v>0</v>
      </c>
      <c r="R329" s="172">
        <f>IF(AND(R286&gt;5,S287=0,R287&lt;&gt;0),SUM(R$71:$BJ303)-R298,-R298)</f>
        <v>0</v>
      </c>
      <c r="S329" s="172">
        <f>IF(AND(S286&gt;5,T287=0,S287&lt;&gt;0),SUM(S$71:$BJ303)-S298,-S298)</f>
        <v>0</v>
      </c>
      <c r="T329" s="172">
        <f>IF(AND(T286&gt;5,U287=0,T287&lt;&gt;0),SUM(T$71:$BJ303)-T298,-T298)</f>
        <v>0</v>
      </c>
      <c r="U329" s="172">
        <f>IF(AND(U286&gt;5,V287=0,U287&lt;&gt;0),SUM(U$71:$BJ303)-U298,-U298)</f>
        <v>0</v>
      </c>
      <c r="V329" s="172">
        <f>IF(AND(V286&gt;5,W287=0,V287&lt;&gt;0),SUM(V$71:$BJ303)-V298,-V298)</f>
        <v>0</v>
      </c>
      <c r="W329" s="172" t="e">
        <f>IF(AND(W286&gt;5,X287=0,W287&lt;&gt;0),SUM(W$71:$BJ303)-W298,-W298)</f>
        <v>#REF!</v>
      </c>
      <c r="X329" s="172">
        <f>IF(AND(X286&gt;5,Y287=0,X287&lt;&gt;0),SUM(X$71:$BJ303)-X298,-X298)</f>
        <v>0</v>
      </c>
      <c r="Y329" s="172">
        <f>IF(AND(Y286&gt;5,Z287=0,Y287&lt;&gt;0),SUM(Y$71:$BJ303)-Y298,-Y298)</f>
        <v>0</v>
      </c>
      <c r="Z329" s="175">
        <f>IF(AND(Z286&gt;5,AA287=0,Z287&lt;&gt;0),SUM(Z$71:$BJ303)-Z298,-Z298)</f>
        <v>0</v>
      </c>
      <c r="AA329" s="172">
        <f>IF(AND(AA286&gt;5,AB287=0,AA287&lt;&gt;0),SUM(AA$71:$BJ303)-AA298,-AA298)</f>
        <v>0</v>
      </c>
      <c r="AB329" s="172">
        <f>IF(AND(AB286&gt;5,AC287=0,AB287&lt;&gt;0),SUM(AB$71:$BJ303)-AB298,-AB298)</f>
        <v>0</v>
      </c>
      <c r="AC329" s="172">
        <f>IF(AND(AC286&gt;5,AD287=0,AC287&lt;&gt;0),SUM(AC$71:$BJ303)-AC298,-AC298)</f>
        <v>0</v>
      </c>
      <c r="AD329" s="172">
        <f>IF(AND(AD286&gt;5,AE287=0,AD287&lt;&gt;0),SUM(AD$71:$BJ303)-AD298,-AD298)</f>
        <v>0</v>
      </c>
      <c r="AE329" s="172">
        <f>IF(AND(AE286&gt;5,AF287=0,AE287&lt;&gt;0),SUM(AE$71:$BJ303)-AE298,-AE298)</f>
        <v>0</v>
      </c>
      <c r="AF329" s="172">
        <f>IF(AND(AF286&gt;5,AG287=0,AF287&lt;&gt;0),SUM(AF$71:$BJ303)-AF298,-AF298)</f>
        <v>0</v>
      </c>
      <c r="AG329" s="172">
        <f>IF(AND(AG286&gt;5,AH287=0,AG287&lt;&gt;0),SUM(AG$71:$BJ303)-AG298,-AG298)</f>
        <v>0</v>
      </c>
      <c r="AH329" s="172">
        <f>IF(AND(AH286&gt;5,AI287=0,AH287&lt;&gt;0),SUM(AH$71:$BJ303)-AH298,-AH298)</f>
        <v>0</v>
      </c>
      <c r="AI329" s="172">
        <f>IF(AND(AI286&gt;5,AJ287=0,AI287&lt;&gt;0),SUM(AI$71:$BJ303)-AI298,-AI298)</f>
        <v>0</v>
      </c>
      <c r="AJ329" s="172">
        <f>IF(AND(AJ286&gt;5,AK287=0,AJ287&lt;&gt;0),SUM(AJ$71:$BJ303)-AJ298,-AJ298)</f>
        <v>0</v>
      </c>
      <c r="AK329" s="172">
        <f>IF(AND(AK286&gt;5,AL287=0,AK287&lt;&gt;0),SUM(AK$71:$BJ303)-AK298,-AK298)</f>
        <v>0</v>
      </c>
      <c r="AL329" s="172">
        <f>IF(AND(AL286&gt;5,AM287=0,AL287&lt;&gt;0),SUM(AL$71:$BJ303)-AL298,-AL298)</f>
        <v>0</v>
      </c>
      <c r="AM329" s="172">
        <f>IF(AND(AM286&gt;5,AN287=0,AM287&lt;&gt;0),SUM(AM$71:$BJ303)-AM298,-AM298)</f>
        <v>0</v>
      </c>
      <c r="AN329" s="172">
        <f>IF(AND(AN286&gt;5,AO287=0,AN287&lt;&gt;0),SUM(AN$71:$BJ303)-AN298,-AN298)</f>
        <v>0</v>
      </c>
      <c r="AO329" s="172">
        <f>IF(AND(AO286&gt;5,AP287=0,AO287&lt;&gt;0),SUM(AO$71:$BJ303)-AO298,-AO298)</f>
        <v>0</v>
      </c>
      <c r="AP329" s="172">
        <f>IF(AND(AP286&gt;5,AQ287=0,AP287&lt;&gt;0),SUM(AP$71:$BJ303)-AP298,-AP298)</f>
        <v>0</v>
      </c>
      <c r="AQ329" s="172">
        <f>IF(AND(AQ286&gt;5,AR287=0,AQ287&lt;&gt;0),SUM(AQ$71:$BJ303)-AQ298,-AQ298)</f>
        <v>0</v>
      </c>
      <c r="AR329" s="172">
        <f>IF(AND(AR286&gt;5,AS287=0,AR287&lt;&gt;0),SUM(AR$71:$BJ303)-AR298,-AR298)</f>
        <v>0</v>
      </c>
      <c r="AS329" s="172">
        <f>IF(AND(AS286&gt;5,AT287=0,AS287&lt;&gt;0),SUM(AS$71:$BJ303)-AS298,-AS298)</f>
        <v>0</v>
      </c>
      <c r="AT329" s="172">
        <f>IF(AND(AT286&gt;5,AU287=0,AT287&lt;&gt;0),SUM(AT$71:$BJ303)-AT298,-AT298)</f>
        <v>0</v>
      </c>
      <c r="AU329" s="172">
        <f>IF(AND(AU286&gt;5,AV287=0,AU287&lt;&gt;0),SUM(AU$71:$BJ303)-AU298,-AU298)</f>
        <v>0</v>
      </c>
      <c r="AV329" s="172">
        <f>IF(AND(AV286&gt;5,AW287=0,AV287&lt;&gt;0),SUM(AV$71:$BJ303)-AV298,-AV298)</f>
        <v>0</v>
      </c>
      <c r="AW329" s="172">
        <f>IF(AND(AW286&gt;5,AX287=0,AW287&lt;&gt;0),SUM(AW$71:$BJ303)-AW298,-AW298)</f>
        <v>0</v>
      </c>
      <c r="AX329" s="172">
        <f>IF(AND(AX286&gt;5,AY287=0,AX287&lt;&gt;0),SUM(AX$71:$BJ303)-AX298,-AX298)</f>
        <v>0</v>
      </c>
      <c r="AY329" s="172">
        <f>IF(AND(AY286&gt;5,AZ287=0,AY287&lt;&gt;0),SUM(AY$71:$BJ303)-AY298,-AY298)</f>
        <v>0</v>
      </c>
      <c r="AZ329" s="172">
        <f>IF(AND(AZ286&gt;5,BA287=0,AZ287&lt;&gt;0),SUM(AZ$71:$BJ303)-AZ298,-AZ298)</f>
        <v>0</v>
      </c>
      <c r="BA329" s="172">
        <f>IF(AND(BA286&gt;5,BB287=0,BA287&lt;&gt;0),SUM(BA$71:$BJ303)-BA298,-BA298)</f>
        <v>0</v>
      </c>
      <c r="BB329" s="172">
        <f>IF(AND(BB286&gt;5,BC287=0,BB287&lt;&gt;0),SUM(BB$71:$BJ303)-BB298,-BB298)</f>
        <v>0</v>
      </c>
      <c r="BC329" s="172">
        <f>IF(AND(BC286&gt;5,BD287=0,BC287&lt;&gt;0),SUM(BC$71:$BJ303)-BC298,-BC298)</f>
        <v>0</v>
      </c>
      <c r="BD329" s="172">
        <f>IF(AND(BD286&gt;5,BE287=0,BD287&lt;&gt;0),SUM(BD$71:$BJ303)-BD298,-BD298)</f>
        <v>0</v>
      </c>
      <c r="BE329" s="172">
        <f>IF(AND(BE286&gt;5,BF287=0,BE287&lt;&gt;0),SUM(BE$71:$BJ303)-BE298,-BE298)</f>
        <v>0</v>
      </c>
      <c r="BF329" s="172">
        <f>IF(AND(BF286&gt;5,BG287=0,BF287&lt;&gt;0),SUM(BF$71:$BJ303)-BF298,-BF298)</f>
        <v>0</v>
      </c>
      <c r="BG329" s="172">
        <f>IF(AND(BG286&gt;5,BH287=0,BG287&lt;&gt;0),SUM(BG$71:$BJ303)-BG298,-BG298)</f>
        <v>0</v>
      </c>
      <c r="BH329" s="172">
        <f>IF(AND(BH286&gt;5,BI287=0,BH287&lt;&gt;0),SUM(BH$71:$BJ303)-BH298,-BH298)</f>
        <v>0</v>
      </c>
      <c r="BI329" s="172">
        <f>IF(AND(BI286&gt;5,BJ287=0,BI287&lt;&gt;0),SUM(BI$71:$BJ303)-BI298,-BI298)</f>
        <v>0</v>
      </c>
      <c r="BJ329" s="173">
        <f>IF(AND(BJ286&gt;5,BK287=0,BJ287&lt;&gt;0),SUM(BJ$71:$BJ303)-BJ298,-BJ298)</f>
        <v>0</v>
      </c>
      <c r="BK329" s="172"/>
      <c r="BL329" s="172"/>
    </row>
    <row r="330" spans="1:64" s="160" customFormat="1">
      <c r="A330" s="176" t="s">
        <v>141</v>
      </c>
      <c r="B330" s="177">
        <f>SUM(C330:BJ330)</f>
        <v>1789534904.1300938</v>
      </c>
      <c r="C330" s="178">
        <f>C325+C328</f>
        <v>-34229755.761683337</v>
      </c>
      <c r="D330" s="179">
        <f t="shared" ref="D330:BJ330" si="175">D325+D328</f>
        <v>-37162166.795141339</v>
      </c>
      <c r="E330" s="179">
        <f t="shared" si="175"/>
        <v>-52952233.986793198</v>
      </c>
      <c r="F330" s="179">
        <f t="shared" si="175"/>
        <v>-52952233.986793198</v>
      </c>
      <c r="G330" s="179">
        <f t="shared" si="175"/>
        <v>-52952233.986793198</v>
      </c>
      <c r="H330" s="179">
        <f t="shared" si="175"/>
        <v>32555396.313446365</v>
      </c>
      <c r="I330" s="179">
        <f t="shared" si="175"/>
        <v>62660096.69929304</v>
      </c>
      <c r="J330" s="179">
        <f t="shared" si="175"/>
        <v>92764797.085139737</v>
      </c>
      <c r="K330" s="179">
        <f t="shared" si="175"/>
        <v>122869497.47098638</v>
      </c>
      <c r="L330" s="179">
        <f t="shared" si="175"/>
        <v>174760494.18869585</v>
      </c>
      <c r="M330" s="179">
        <f t="shared" si="175"/>
        <v>174760494.18869585</v>
      </c>
      <c r="N330" s="179">
        <f t="shared" si="175"/>
        <v>174760494.18869585</v>
      </c>
      <c r="O330" s="179">
        <f t="shared" si="175"/>
        <v>174760494.18869585</v>
      </c>
      <c r="P330" s="179">
        <f t="shared" si="175"/>
        <v>174760494.18869585</v>
      </c>
      <c r="Q330" s="179">
        <f t="shared" si="175"/>
        <v>174760494.18869585</v>
      </c>
      <c r="R330" s="179">
        <f t="shared" si="175"/>
        <v>174760494.18869585</v>
      </c>
      <c r="S330" s="179">
        <f t="shared" si="175"/>
        <v>174760494.18869585</v>
      </c>
      <c r="T330" s="179">
        <f t="shared" si="175"/>
        <v>122869497.47098638</v>
      </c>
      <c r="U330" s="179">
        <f t="shared" si="175"/>
        <v>92764797.085139737</v>
      </c>
      <c r="V330" s="179">
        <f t="shared" si="175"/>
        <v>62660096.69929304</v>
      </c>
      <c r="W330" s="179">
        <f t="shared" si="175"/>
        <v>32555396.313446365</v>
      </c>
      <c r="X330" s="179">
        <f t="shared" si="175"/>
        <v>0</v>
      </c>
      <c r="Y330" s="179">
        <f t="shared" si="175"/>
        <v>0</v>
      </c>
      <c r="Z330" s="179">
        <f t="shared" si="175"/>
        <v>0</v>
      </c>
      <c r="AA330" s="179">
        <f t="shared" si="175"/>
        <v>0</v>
      </c>
      <c r="AB330" s="179">
        <f t="shared" si="175"/>
        <v>0</v>
      </c>
      <c r="AC330" s="179">
        <f t="shared" si="175"/>
        <v>0</v>
      </c>
      <c r="AD330" s="179">
        <f t="shared" si="175"/>
        <v>0</v>
      </c>
      <c r="AE330" s="179">
        <f t="shared" si="175"/>
        <v>0</v>
      </c>
      <c r="AF330" s="179">
        <f t="shared" si="175"/>
        <v>0</v>
      </c>
      <c r="AG330" s="179">
        <f t="shared" si="175"/>
        <v>0</v>
      </c>
      <c r="AH330" s="179">
        <f t="shared" si="175"/>
        <v>0</v>
      </c>
      <c r="AI330" s="179">
        <f t="shared" si="175"/>
        <v>0</v>
      </c>
      <c r="AJ330" s="179">
        <f t="shared" si="175"/>
        <v>0</v>
      </c>
      <c r="AK330" s="179">
        <f t="shared" si="175"/>
        <v>0</v>
      </c>
      <c r="AL330" s="179">
        <f t="shared" si="175"/>
        <v>0</v>
      </c>
      <c r="AM330" s="179">
        <f t="shared" si="175"/>
        <v>0</v>
      </c>
      <c r="AN330" s="179">
        <f t="shared" si="175"/>
        <v>0</v>
      </c>
      <c r="AO330" s="179">
        <f t="shared" si="175"/>
        <v>0</v>
      </c>
      <c r="AP330" s="179">
        <f t="shared" si="175"/>
        <v>0</v>
      </c>
      <c r="AQ330" s="179">
        <f t="shared" si="175"/>
        <v>0</v>
      </c>
      <c r="AR330" s="179">
        <f t="shared" si="175"/>
        <v>0</v>
      </c>
      <c r="AS330" s="179">
        <f t="shared" si="175"/>
        <v>0</v>
      </c>
      <c r="AT330" s="179">
        <f t="shared" si="175"/>
        <v>0</v>
      </c>
      <c r="AU330" s="179">
        <f t="shared" si="175"/>
        <v>0</v>
      </c>
      <c r="AV330" s="179">
        <f t="shared" si="175"/>
        <v>0</v>
      </c>
      <c r="AW330" s="179">
        <f t="shared" si="175"/>
        <v>0</v>
      </c>
      <c r="AX330" s="179">
        <f t="shared" si="175"/>
        <v>0</v>
      </c>
      <c r="AY330" s="179">
        <f t="shared" si="175"/>
        <v>0</v>
      </c>
      <c r="AZ330" s="179">
        <f t="shared" si="175"/>
        <v>0</v>
      </c>
      <c r="BA330" s="179">
        <f t="shared" si="175"/>
        <v>0</v>
      </c>
      <c r="BB330" s="179">
        <f t="shared" si="175"/>
        <v>0</v>
      </c>
      <c r="BC330" s="179">
        <f t="shared" si="175"/>
        <v>0</v>
      </c>
      <c r="BD330" s="179">
        <f t="shared" si="175"/>
        <v>0</v>
      </c>
      <c r="BE330" s="179">
        <f t="shared" si="175"/>
        <v>0</v>
      </c>
      <c r="BF330" s="179">
        <f t="shared" si="175"/>
        <v>0</v>
      </c>
      <c r="BG330" s="179">
        <f t="shared" si="175"/>
        <v>0</v>
      </c>
      <c r="BH330" s="179">
        <f t="shared" si="175"/>
        <v>0</v>
      </c>
      <c r="BI330" s="179">
        <f t="shared" si="175"/>
        <v>0</v>
      </c>
      <c r="BJ330" s="180">
        <f t="shared" si="175"/>
        <v>0</v>
      </c>
    </row>
    <row r="331" spans="1:64" s="80" customFormat="1">
      <c r="A331" s="176" t="s">
        <v>142</v>
      </c>
      <c r="B331" s="177">
        <f>SUM(C331:BJ331)</f>
        <v>352078062.17886078</v>
      </c>
      <c r="C331" s="232">
        <f>C330*(1+$C285)^-(C286-1)</f>
        <v>-34229755.761683337</v>
      </c>
      <c r="D331" s="182">
        <f>D330*(1+$C285)^-(D286-1)</f>
        <v>-33180506.067090478</v>
      </c>
      <c r="E331" s="182">
        <f t="shared" ref="E331:BJ331" si="176">E330*(1+$C285)^-(E286-1)</f>
        <v>-42213196.736920595</v>
      </c>
      <c r="F331" s="182">
        <f t="shared" si="176"/>
        <v>-37690354.229393378</v>
      </c>
      <c r="G331" s="182">
        <f t="shared" si="176"/>
        <v>-33652101.990529805</v>
      </c>
      <c r="H331" s="182">
        <f t="shared" si="176"/>
        <v>18472806.166811746</v>
      </c>
      <c r="I331" s="182">
        <f t="shared" si="176"/>
        <v>31745555.043842163</v>
      </c>
      <c r="J331" s="182">
        <f t="shared" si="176"/>
        <v>41962083.172349095</v>
      </c>
      <c r="K331" s="182">
        <f t="shared" si="176"/>
        <v>49624929.258784905</v>
      </c>
      <c r="L331" s="182">
        <f t="shared" si="176"/>
        <v>63020386.175178804</v>
      </c>
      <c r="M331" s="182">
        <f t="shared" si="176"/>
        <v>56268201.94212392</v>
      </c>
      <c r="N331" s="182">
        <f t="shared" si="176"/>
        <v>50239466.019753493</v>
      </c>
      <c r="O331" s="182">
        <f t="shared" si="176"/>
        <v>44856666.089065626</v>
      </c>
      <c r="P331" s="182">
        <f t="shared" si="176"/>
        <v>40050594.722380012</v>
      </c>
      <c r="Q331" s="182">
        <f t="shared" si="176"/>
        <v>35759459.573553577</v>
      </c>
      <c r="R331" s="182">
        <f t="shared" si="176"/>
        <v>31928088.904958554</v>
      </c>
      <c r="S331" s="182">
        <f t="shared" si="176"/>
        <v>28507222.236570135</v>
      </c>
      <c r="T331" s="182">
        <f t="shared" si="176"/>
        <v>17895246.979719546</v>
      </c>
      <c r="U331" s="182">
        <f t="shared" si="176"/>
        <v>12063096.190258231</v>
      </c>
      <c r="V331" s="182">
        <f t="shared" si="176"/>
        <v>7275261.8673938829</v>
      </c>
      <c r="W331" s="182">
        <f t="shared" si="176"/>
        <v>3374912.62173475</v>
      </c>
      <c r="X331" s="182">
        <f t="shared" si="176"/>
        <v>0</v>
      </c>
      <c r="Y331" s="182">
        <f t="shared" si="176"/>
        <v>0</v>
      </c>
      <c r="Z331" s="182">
        <f t="shared" si="176"/>
        <v>0</v>
      </c>
      <c r="AA331" s="182">
        <f t="shared" si="176"/>
        <v>0</v>
      </c>
      <c r="AB331" s="182">
        <f t="shared" si="176"/>
        <v>0</v>
      </c>
      <c r="AC331" s="182">
        <f t="shared" si="176"/>
        <v>0</v>
      </c>
      <c r="AD331" s="182">
        <f t="shared" si="176"/>
        <v>0</v>
      </c>
      <c r="AE331" s="182">
        <f t="shared" si="176"/>
        <v>0</v>
      </c>
      <c r="AF331" s="182">
        <f t="shared" si="176"/>
        <v>0</v>
      </c>
      <c r="AG331" s="182">
        <f t="shared" si="176"/>
        <v>0</v>
      </c>
      <c r="AH331" s="182">
        <f t="shared" si="176"/>
        <v>0</v>
      </c>
      <c r="AI331" s="182">
        <f t="shared" si="176"/>
        <v>0</v>
      </c>
      <c r="AJ331" s="182">
        <f t="shared" si="176"/>
        <v>0</v>
      </c>
      <c r="AK331" s="182">
        <f t="shared" si="176"/>
        <v>0</v>
      </c>
      <c r="AL331" s="182">
        <f t="shared" si="176"/>
        <v>0</v>
      </c>
      <c r="AM331" s="182">
        <f t="shared" si="176"/>
        <v>0</v>
      </c>
      <c r="AN331" s="182">
        <f t="shared" si="176"/>
        <v>0</v>
      </c>
      <c r="AO331" s="182">
        <f t="shared" si="176"/>
        <v>0</v>
      </c>
      <c r="AP331" s="182">
        <f t="shared" si="176"/>
        <v>0</v>
      </c>
      <c r="AQ331" s="182">
        <f t="shared" si="176"/>
        <v>0</v>
      </c>
      <c r="AR331" s="182">
        <f t="shared" si="176"/>
        <v>0</v>
      </c>
      <c r="AS331" s="182">
        <f t="shared" si="176"/>
        <v>0</v>
      </c>
      <c r="AT331" s="182">
        <f t="shared" si="176"/>
        <v>0</v>
      </c>
      <c r="AU331" s="182">
        <f t="shared" si="176"/>
        <v>0</v>
      </c>
      <c r="AV331" s="182">
        <f t="shared" si="176"/>
        <v>0</v>
      </c>
      <c r="AW331" s="182">
        <f t="shared" si="176"/>
        <v>0</v>
      </c>
      <c r="AX331" s="182">
        <f t="shared" si="176"/>
        <v>0</v>
      </c>
      <c r="AY331" s="182">
        <f t="shared" si="176"/>
        <v>0</v>
      </c>
      <c r="AZ331" s="182">
        <f t="shared" si="176"/>
        <v>0</v>
      </c>
      <c r="BA331" s="182">
        <f t="shared" si="176"/>
        <v>0</v>
      </c>
      <c r="BB331" s="182">
        <f t="shared" si="176"/>
        <v>0</v>
      </c>
      <c r="BC331" s="182">
        <f t="shared" si="176"/>
        <v>0</v>
      </c>
      <c r="BD331" s="182">
        <f t="shared" si="176"/>
        <v>0</v>
      </c>
      <c r="BE331" s="182">
        <f t="shared" si="176"/>
        <v>0</v>
      </c>
      <c r="BF331" s="182">
        <f t="shared" si="176"/>
        <v>0</v>
      </c>
      <c r="BG331" s="182">
        <f t="shared" si="176"/>
        <v>0</v>
      </c>
      <c r="BH331" s="182">
        <f t="shared" si="176"/>
        <v>0</v>
      </c>
      <c r="BI331" s="182">
        <f t="shared" si="176"/>
        <v>0</v>
      </c>
      <c r="BJ331" s="183">
        <f t="shared" si="176"/>
        <v>0</v>
      </c>
    </row>
    <row r="332" spans="1:64" s="80" customFormat="1">
      <c r="A332" s="184" t="s">
        <v>143</v>
      </c>
      <c r="B332" s="177"/>
      <c r="C332" s="181">
        <f>C331</f>
        <v>-34229755.761683337</v>
      </c>
      <c r="D332" s="182">
        <f t="shared" ref="D332:BJ332" si="177">IF(D331=0, 0, C332+D331)</f>
        <v>-67410261.828773811</v>
      </c>
      <c r="E332" s="182">
        <f t="shared" si="177"/>
        <v>-109623458.56569441</v>
      </c>
      <c r="F332" s="182">
        <f t="shared" si="177"/>
        <v>-147313812.79508778</v>
      </c>
      <c r="G332" s="182">
        <f t="shared" si="177"/>
        <v>-180965914.78561759</v>
      </c>
      <c r="H332" s="182">
        <f t="shared" si="177"/>
        <v>-162493108.61880586</v>
      </c>
      <c r="I332" s="182">
        <f t="shared" si="177"/>
        <v>-130747553.57496369</v>
      </c>
      <c r="J332" s="182">
        <f t="shared" si="177"/>
        <v>-88785470.402614594</v>
      </c>
      <c r="K332" s="182">
        <f t="shared" si="177"/>
        <v>-39160541.143829688</v>
      </c>
      <c r="L332" s="182">
        <f t="shared" si="177"/>
        <v>23859845.031349115</v>
      </c>
      <c r="M332" s="182">
        <f t="shared" si="177"/>
        <v>80128046.973473042</v>
      </c>
      <c r="N332" s="182">
        <f t="shared" si="177"/>
        <v>130367512.99322653</v>
      </c>
      <c r="O332" s="182">
        <f t="shared" si="177"/>
        <v>175224179.08229214</v>
      </c>
      <c r="P332" s="182">
        <f t="shared" si="177"/>
        <v>215274773.80467215</v>
      </c>
      <c r="Q332" s="182">
        <f t="shared" si="177"/>
        <v>251034233.37822574</v>
      </c>
      <c r="R332" s="182">
        <f t="shared" si="177"/>
        <v>282962322.28318429</v>
      </c>
      <c r="S332" s="182">
        <f t="shared" si="177"/>
        <v>311469544.51975441</v>
      </c>
      <c r="T332" s="182">
        <f t="shared" si="177"/>
        <v>329364791.49947393</v>
      </c>
      <c r="U332" s="182">
        <f t="shared" si="177"/>
        <v>341427887.68973213</v>
      </c>
      <c r="V332" s="182">
        <f t="shared" si="177"/>
        <v>348703149.55712605</v>
      </c>
      <c r="W332" s="182">
        <f t="shared" si="177"/>
        <v>352078062.17886078</v>
      </c>
      <c r="X332" s="182">
        <f t="shared" si="177"/>
        <v>0</v>
      </c>
      <c r="Y332" s="182">
        <f t="shared" si="177"/>
        <v>0</v>
      </c>
      <c r="Z332" s="182">
        <f t="shared" si="177"/>
        <v>0</v>
      </c>
      <c r="AA332" s="182">
        <f t="shared" si="177"/>
        <v>0</v>
      </c>
      <c r="AB332" s="182">
        <f t="shared" si="177"/>
        <v>0</v>
      </c>
      <c r="AC332" s="182">
        <f t="shared" si="177"/>
        <v>0</v>
      </c>
      <c r="AD332" s="182">
        <f t="shared" si="177"/>
        <v>0</v>
      </c>
      <c r="AE332" s="182">
        <f t="shared" si="177"/>
        <v>0</v>
      </c>
      <c r="AF332" s="182">
        <f t="shared" si="177"/>
        <v>0</v>
      </c>
      <c r="AG332" s="182">
        <f t="shared" si="177"/>
        <v>0</v>
      </c>
      <c r="AH332" s="182">
        <f t="shared" si="177"/>
        <v>0</v>
      </c>
      <c r="AI332" s="182">
        <f t="shared" si="177"/>
        <v>0</v>
      </c>
      <c r="AJ332" s="182">
        <f t="shared" si="177"/>
        <v>0</v>
      </c>
      <c r="AK332" s="182">
        <f t="shared" si="177"/>
        <v>0</v>
      </c>
      <c r="AL332" s="182">
        <f t="shared" si="177"/>
        <v>0</v>
      </c>
      <c r="AM332" s="182">
        <f t="shared" si="177"/>
        <v>0</v>
      </c>
      <c r="AN332" s="182">
        <f t="shared" si="177"/>
        <v>0</v>
      </c>
      <c r="AO332" s="182">
        <f t="shared" si="177"/>
        <v>0</v>
      </c>
      <c r="AP332" s="182">
        <f t="shared" si="177"/>
        <v>0</v>
      </c>
      <c r="AQ332" s="182">
        <f t="shared" si="177"/>
        <v>0</v>
      </c>
      <c r="AR332" s="182">
        <f t="shared" si="177"/>
        <v>0</v>
      </c>
      <c r="AS332" s="182">
        <f t="shared" si="177"/>
        <v>0</v>
      </c>
      <c r="AT332" s="182">
        <f t="shared" si="177"/>
        <v>0</v>
      </c>
      <c r="AU332" s="182">
        <f t="shared" si="177"/>
        <v>0</v>
      </c>
      <c r="AV332" s="182">
        <f t="shared" si="177"/>
        <v>0</v>
      </c>
      <c r="AW332" s="182">
        <f t="shared" si="177"/>
        <v>0</v>
      </c>
      <c r="AX332" s="182">
        <f t="shared" si="177"/>
        <v>0</v>
      </c>
      <c r="AY332" s="182">
        <f t="shared" si="177"/>
        <v>0</v>
      </c>
      <c r="AZ332" s="182">
        <f t="shared" si="177"/>
        <v>0</v>
      </c>
      <c r="BA332" s="182">
        <f t="shared" si="177"/>
        <v>0</v>
      </c>
      <c r="BB332" s="182">
        <f t="shared" si="177"/>
        <v>0</v>
      </c>
      <c r="BC332" s="182">
        <f t="shared" si="177"/>
        <v>0</v>
      </c>
      <c r="BD332" s="182">
        <f t="shared" si="177"/>
        <v>0</v>
      </c>
      <c r="BE332" s="182">
        <f t="shared" si="177"/>
        <v>0</v>
      </c>
      <c r="BF332" s="182">
        <f t="shared" si="177"/>
        <v>0</v>
      </c>
      <c r="BG332" s="182">
        <f t="shared" si="177"/>
        <v>0</v>
      </c>
      <c r="BH332" s="182">
        <f t="shared" si="177"/>
        <v>0</v>
      </c>
      <c r="BI332" s="182">
        <f t="shared" si="177"/>
        <v>0</v>
      </c>
      <c r="BJ332" s="183">
        <f t="shared" si="177"/>
        <v>0</v>
      </c>
    </row>
    <row r="333" spans="1:64" s="83" customFormat="1">
      <c r="A333" s="78"/>
      <c r="B333" s="81"/>
      <c r="C333" s="82"/>
      <c r="D333" s="82"/>
      <c r="E333" s="82"/>
      <c r="F333" s="82"/>
      <c r="G333" s="82"/>
      <c r="H333" s="82"/>
      <c r="I333" s="82"/>
      <c r="J333" s="82"/>
      <c r="K333" s="82"/>
      <c r="L333" s="82"/>
      <c r="M333" s="82"/>
      <c r="N333" s="82"/>
      <c r="O333" s="82"/>
      <c r="P333" s="82"/>
      <c r="Q333" s="82"/>
      <c r="R333" s="82"/>
      <c r="S333" s="82"/>
      <c r="T333" s="82"/>
      <c r="U333" s="82"/>
      <c r="V333" s="82"/>
      <c r="W333" s="82"/>
      <c r="X333" s="82"/>
      <c r="Y333" s="82"/>
      <c r="Z333" s="82"/>
      <c r="AA333" s="82"/>
      <c r="AB333" s="82"/>
      <c r="AC333" s="82"/>
      <c r="AD333" s="82"/>
      <c r="AE333" s="82"/>
      <c r="AF333" s="82"/>
      <c r="AG333" s="82"/>
      <c r="AH333" s="82"/>
      <c r="AI333" s="82"/>
      <c r="AJ333" s="82"/>
      <c r="AK333" s="82"/>
      <c r="AL333" s="82"/>
      <c r="AM333" s="82"/>
      <c r="AN333" s="82"/>
      <c r="AO333" s="82"/>
      <c r="AP333" s="82"/>
      <c r="AQ333" s="82"/>
      <c r="AR333" s="82"/>
      <c r="AS333" s="82"/>
      <c r="AT333" s="82"/>
      <c r="AU333" s="82"/>
      <c r="AV333" s="82"/>
      <c r="AW333" s="82"/>
      <c r="AX333" s="82"/>
      <c r="AY333" s="82"/>
      <c r="AZ333" s="82"/>
      <c r="BA333" s="82"/>
      <c r="BB333" s="82"/>
      <c r="BC333" s="82"/>
      <c r="BD333" s="82"/>
      <c r="BE333" s="82"/>
      <c r="BF333" s="82"/>
      <c r="BG333" s="82"/>
      <c r="BH333" s="82"/>
      <c r="BI333" s="82"/>
      <c r="BJ333" s="82"/>
    </row>
    <row r="334" spans="1:64" ht="21">
      <c r="A334" s="185" t="s">
        <v>157</v>
      </c>
      <c r="B334" s="93"/>
      <c r="C334" s="186"/>
      <c r="D334" s="186"/>
      <c r="E334" s="186"/>
      <c r="F334" s="186"/>
      <c r="G334" s="186"/>
      <c r="H334" s="186"/>
      <c r="I334" s="186"/>
      <c r="J334" s="186"/>
      <c r="K334" s="186"/>
      <c r="L334" s="186"/>
      <c r="M334" s="186"/>
      <c r="N334" s="186"/>
      <c r="O334" s="186"/>
      <c r="P334" s="186"/>
      <c r="Q334" s="186"/>
      <c r="R334" s="186"/>
      <c r="S334" s="186"/>
      <c r="T334" s="186"/>
      <c r="U334" s="186"/>
      <c r="V334" s="186"/>
      <c r="W334" s="186"/>
      <c r="X334" s="186"/>
      <c r="Y334" s="186"/>
      <c r="Z334" s="186"/>
      <c r="AA334" s="186"/>
      <c r="AB334" s="186"/>
      <c r="AC334" s="186"/>
      <c r="AD334" s="186"/>
      <c r="AE334" s="186"/>
      <c r="AF334" s="186"/>
      <c r="AG334" s="186"/>
      <c r="AH334" s="186"/>
      <c r="AI334" s="186"/>
      <c r="AJ334" s="186"/>
      <c r="AK334" s="186"/>
      <c r="AL334" s="186"/>
      <c r="AM334" s="186"/>
      <c r="AN334" s="186"/>
      <c r="AO334" s="186"/>
      <c r="AP334" s="186"/>
      <c r="AQ334" s="186"/>
      <c r="AR334" s="186"/>
      <c r="AS334" s="186"/>
      <c r="AT334" s="186"/>
      <c r="AU334" s="186"/>
      <c r="AV334" s="186"/>
      <c r="AW334" s="186"/>
      <c r="AX334" s="186"/>
      <c r="AY334" s="186"/>
      <c r="AZ334" s="186"/>
      <c r="BA334" s="186"/>
      <c r="BB334" s="186"/>
      <c r="BC334" s="186"/>
      <c r="BD334" s="186"/>
      <c r="BE334" s="186"/>
      <c r="BF334" s="186"/>
      <c r="BG334" s="186"/>
      <c r="BH334" s="186"/>
      <c r="BI334" s="186"/>
      <c r="BJ334" s="186"/>
    </row>
    <row r="335" spans="1:64">
      <c r="A335" s="187" t="s">
        <v>158</v>
      </c>
      <c r="B335" s="188">
        <f>SUM(C335:BJ335)</f>
        <v>738.22614965322725</v>
      </c>
      <c r="C335" s="233">
        <f>(C287*(1-$K285))/(1+$C285)^(C286-1)</f>
        <v>0</v>
      </c>
      <c r="D335" s="190">
        <f>(D287*(1-$K285))/(1+$C285)^(D286-1)</f>
        <v>0</v>
      </c>
      <c r="E335" s="190">
        <f t="shared" ref="E335:BJ335" si="178">(E287*(1-$K285))/(1+$C285)^(E286-1)</f>
        <v>0</v>
      </c>
      <c r="F335" s="190">
        <f t="shared" si="178"/>
        <v>0</v>
      </c>
      <c r="G335" s="190">
        <f t="shared" si="178"/>
        <v>0</v>
      </c>
      <c r="H335" s="190">
        <f t="shared" si="178"/>
        <v>24.149686979383578</v>
      </c>
      <c r="I335" s="190">
        <f t="shared" si="178"/>
        <v>43.124441034613525</v>
      </c>
      <c r="J335" s="190">
        <f t="shared" si="178"/>
        <v>57.75594781421453</v>
      </c>
      <c r="K335" s="190">
        <f t="shared" si="178"/>
        <v>68.757080731207779</v>
      </c>
      <c r="L335" s="190">
        <f t="shared" si="178"/>
        <v>87.844602085512776</v>
      </c>
      <c r="M335" s="190">
        <f t="shared" si="178"/>
        <v>78.432680433493545</v>
      </c>
      <c r="N335" s="190">
        <f t="shared" si="178"/>
        <v>70.029178958476365</v>
      </c>
      <c r="O335" s="190">
        <f t="shared" si="178"/>
        <v>62.526052641496761</v>
      </c>
      <c r="P335" s="190">
        <f t="shared" si="178"/>
        <v>55.826832715622096</v>
      </c>
      <c r="Q335" s="190">
        <f t="shared" si="178"/>
        <v>49.845386353234012</v>
      </c>
      <c r="R335" s="190">
        <f t="shared" si="178"/>
        <v>44.504809243958945</v>
      </c>
      <c r="S335" s="190">
        <f t="shared" si="178"/>
        <v>39.736436824963334</v>
      </c>
      <c r="T335" s="190">
        <f t="shared" si="178"/>
        <v>24.794492600141318</v>
      </c>
      <c r="U335" s="190">
        <f t="shared" si="178"/>
        <v>16.603454866166057</v>
      </c>
      <c r="V335" s="190">
        <f t="shared" si="178"/>
        <v>9.8830088489083678</v>
      </c>
      <c r="W335" s="190">
        <f t="shared" si="178"/>
        <v>4.4120575218340932</v>
      </c>
      <c r="X335" s="190">
        <f t="shared" si="178"/>
        <v>0</v>
      </c>
      <c r="Y335" s="190">
        <f t="shared" si="178"/>
        <v>0</v>
      </c>
      <c r="Z335" s="190">
        <f t="shared" si="178"/>
        <v>0</v>
      </c>
      <c r="AA335" s="190">
        <f t="shared" si="178"/>
        <v>0</v>
      </c>
      <c r="AB335" s="190">
        <f t="shared" si="178"/>
        <v>0</v>
      </c>
      <c r="AC335" s="190">
        <f t="shared" si="178"/>
        <v>0</v>
      </c>
      <c r="AD335" s="190">
        <f t="shared" si="178"/>
        <v>0</v>
      </c>
      <c r="AE335" s="190">
        <f t="shared" si="178"/>
        <v>0</v>
      </c>
      <c r="AF335" s="190">
        <f t="shared" si="178"/>
        <v>0</v>
      </c>
      <c r="AG335" s="190">
        <f t="shared" si="178"/>
        <v>0</v>
      </c>
      <c r="AH335" s="190">
        <f t="shared" si="178"/>
        <v>0</v>
      </c>
      <c r="AI335" s="190">
        <f t="shared" si="178"/>
        <v>0</v>
      </c>
      <c r="AJ335" s="190">
        <f t="shared" si="178"/>
        <v>0</v>
      </c>
      <c r="AK335" s="190">
        <f t="shared" si="178"/>
        <v>0</v>
      </c>
      <c r="AL335" s="190">
        <f t="shared" si="178"/>
        <v>0</v>
      </c>
      <c r="AM335" s="190">
        <f t="shared" si="178"/>
        <v>0</v>
      </c>
      <c r="AN335" s="190">
        <f t="shared" si="178"/>
        <v>0</v>
      </c>
      <c r="AO335" s="190">
        <f t="shared" si="178"/>
        <v>0</v>
      </c>
      <c r="AP335" s="190">
        <f t="shared" si="178"/>
        <v>0</v>
      </c>
      <c r="AQ335" s="190">
        <f t="shared" si="178"/>
        <v>0</v>
      </c>
      <c r="AR335" s="190">
        <f t="shared" si="178"/>
        <v>0</v>
      </c>
      <c r="AS335" s="190">
        <f t="shared" si="178"/>
        <v>0</v>
      </c>
      <c r="AT335" s="190">
        <f t="shared" si="178"/>
        <v>0</v>
      </c>
      <c r="AU335" s="190">
        <f t="shared" si="178"/>
        <v>0</v>
      </c>
      <c r="AV335" s="190">
        <f t="shared" si="178"/>
        <v>0</v>
      </c>
      <c r="AW335" s="190">
        <f t="shared" si="178"/>
        <v>0</v>
      </c>
      <c r="AX335" s="190">
        <f t="shared" si="178"/>
        <v>0</v>
      </c>
      <c r="AY335" s="190">
        <f t="shared" si="178"/>
        <v>0</v>
      </c>
      <c r="AZ335" s="190">
        <f t="shared" si="178"/>
        <v>0</v>
      </c>
      <c r="BA335" s="190">
        <f t="shared" si="178"/>
        <v>0</v>
      </c>
      <c r="BB335" s="190">
        <f t="shared" si="178"/>
        <v>0</v>
      </c>
      <c r="BC335" s="190">
        <f t="shared" si="178"/>
        <v>0</v>
      </c>
      <c r="BD335" s="190">
        <f t="shared" si="178"/>
        <v>0</v>
      </c>
      <c r="BE335" s="190">
        <f t="shared" si="178"/>
        <v>0</v>
      </c>
      <c r="BF335" s="190">
        <f t="shared" si="178"/>
        <v>0</v>
      </c>
      <c r="BG335" s="190">
        <f t="shared" si="178"/>
        <v>0</v>
      </c>
      <c r="BH335" s="190">
        <f t="shared" si="178"/>
        <v>0</v>
      </c>
      <c r="BI335" s="190">
        <f t="shared" si="178"/>
        <v>0</v>
      </c>
      <c r="BJ335" s="191">
        <f t="shared" si="178"/>
        <v>0</v>
      </c>
    </row>
    <row r="336" spans="1:64">
      <c r="A336" s="192" t="s">
        <v>159</v>
      </c>
      <c r="B336" s="193">
        <f>SUM(C336:BJ336)</f>
        <v>461401424.81662428</v>
      </c>
      <c r="C336" s="234">
        <f>(((C289+C318)*(1-$K285))-(C328-C298))/(1+$C285)^(C286-1)</f>
        <v>45121752.13208206</v>
      </c>
      <c r="D336" s="186">
        <f>(((D289+D318)*(1-$K285))-(D328-D298))/(1+$C285)^(D286-1)</f>
        <v>42547231.750984922</v>
      </c>
      <c r="E336" s="186">
        <f>(((E289+E318)*(1-$K285))-(E328-E298))/(1+$C285)^(E286-1)</f>
        <v>50130582.331314974</v>
      </c>
      <c r="F336" s="186">
        <f t="shared" ref="F336:BJ336" si="179">(((F289+F318)*(1-$K285))-(F328-F298))/(1+$C285)^(F286-1)</f>
        <v>44361446.422911368</v>
      </c>
      <c r="G336" s="186">
        <f t="shared" si="179"/>
        <v>39253075.299750097</v>
      </c>
      <c r="H336" s="186">
        <f t="shared" si="179"/>
        <v>6815466.6251571514</v>
      </c>
      <c r="I336" s="186">
        <f t="shared" si="179"/>
        <v>13412074.941816581</v>
      </c>
      <c r="J336" s="186">
        <f t="shared" si="179"/>
        <v>18516885.558443867</v>
      </c>
      <c r="K336" s="186">
        <f t="shared" si="179"/>
        <v>22373843.039778125</v>
      </c>
      <c r="L336" s="186">
        <f t="shared" si="179"/>
        <v>28965827.25842943</v>
      </c>
      <c r="M336" s="186">
        <f t="shared" si="179"/>
        <v>25862345.766454846</v>
      </c>
      <c r="N336" s="186">
        <f t="shared" si="179"/>
        <v>23091380.148620393</v>
      </c>
      <c r="O336" s="186">
        <f t="shared" si="179"/>
        <v>20617303.704125352</v>
      </c>
      <c r="P336" s="186">
        <f t="shared" si="179"/>
        <v>18408306.878683347</v>
      </c>
      <c r="Q336" s="186">
        <f t="shared" si="179"/>
        <v>16435988.284538703</v>
      </c>
      <c r="R336" s="186">
        <f t="shared" si="179"/>
        <v>14674989.539766699</v>
      </c>
      <c r="S336" s="186">
        <f t="shared" si="179"/>
        <v>13102669.231934551</v>
      </c>
      <c r="T336" s="186">
        <f t="shared" si="179"/>
        <v>8068232.097508329</v>
      </c>
      <c r="U336" s="186">
        <f t="shared" si="179"/>
        <v>5323162.1203854354</v>
      </c>
      <c r="V336" s="186">
        <f t="shared" si="179"/>
        <v>3073701.4127511545</v>
      </c>
      <c r="W336" s="186">
        <f t="shared" si="179"/>
        <v>1245160.2711871413</v>
      </c>
      <c r="X336" s="186">
        <f t="shared" si="179"/>
        <v>0</v>
      </c>
      <c r="Y336" s="186">
        <f t="shared" si="179"/>
        <v>0</v>
      </c>
      <c r="Z336" s="186">
        <f t="shared" si="179"/>
        <v>0</v>
      </c>
      <c r="AA336" s="186">
        <f t="shared" si="179"/>
        <v>0</v>
      </c>
      <c r="AB336" s="186">
        <f t="shared" si="179"/>
        <v>0</v>
      </c>
      <c r="AC336" s="186">
        <f t="shared" si="179"/>
        <v>0</v>
      </c>
      <c r="AD336" s="186">
        <f t="shared" si="179"/>
        <v>0</v>
      </c>
      <c r="AE336" s="186">
        <f t="shared" si="179"/>
        <v>0</v>
      </c>
      <c r="AF336" s="186">
        <f t="shared" si="179"/>
        <v>0</v>
      </c>
      <c r="AG336" s="186">
        <f t="shared" si="179"/>
        <v>0</v>
      </c>
      <c r="AH336" s="186">
        <f t="shared" si="179"/>
        <v>0</v>
      </c>
      <c r="AI336" s="186">
        <f t="shared" si="179"/>
        <v>0</v>
      </c>
      <c r="AJ336" s="186">
        <f t="shared" si="179"/>
        <v>0</v>
      </c>
      <c r="AK336" s="186">
        <f t="shared" si="179"/>
        <v>0</v>
      </c>
      <c r="AL336" s="186">
        <f t="shared" si="179"/>
        <v>0</v>
      </c>
      <c r="AM336" s="186">
        <f t="shared" si="179"/>
        <v>0</v>
      </c>
      <c r="AN336" s="186">
        <f t="shared" si="179"/>
        <v>0</v>
      </c>
      <c r="AO336" s="186">
        <f t="shared" si="179"/>
        <v>0</v>
      </c>
      <c r="AP336" s="186">
        <f t="shared" si="179"/>
        <v>0</v>
      </c>
      <c r="AQ336" s="186">
        <f t="shared" si="179"/>
        <v>0</v>
      </c>
      <c r="AR336" s="186">
        <f t="shared" si="179"/>
        <v>0</v>
      </c>
      <c r="AS336" s="186">
        <f t="shared" si="179"/>
        <v>0</v>
      </c>
      <c r="AT336" s="186">
        <f t="shared" si="179"/>
        <v>0</v>
      </c>
      <c r="AU336" s="186">
        <f t="shared" si="179"/>
        <v>0</v>
      </c>
      <c r="AV336" s="186">
        <f t="shared" si="179"/>
        <v>0</v>
      </c>
      <c r="AW336" s="186">
        <f t="shared" si="179"/>
        <v>0</v>
      </c>
      <c r="AX336" s="186">
        <f t="shared" si="179"/>
        <v>0</v>
      </c>
      <c r="AY336" s="186">
        <f t="shared" si="179"/>
        <v>0</v>
      </c>
      <c r="AZ336" s="186">
        <f t="shared" si="179"/>
        <v>0</v>
      </c>
      <c r="BA336" s="186">
        <f t="shared" si="179"/>
        <v>0</v>
      </c>
      <c r="BB336" s="186">
        <f t="shared" si="179"/>
        <v>0</v>
      </c>
      <c r="BC336" s="186">
        <f t="shared" si="179"/>
        <v>0</v>
      </c>
      <c r="BD336" s="186">
        <f t="shared" si="179"/>
        <v>0</v>
      </c>
      <c r="BE336" s="186">
        <f t="shared" si="179"/>
        <v>0</v>
      </c>
      <c r="BF336" s="186">
        <f t="shared" si="179"/>
        <v>0</v>
      </c>
      <c r="BG336" s="186">
        <f t="shared" si="179"/>
        <v>0</v>
      </c>
      <c r="BH336" s="186">
        <f t="shared" si="179"/>
        <v>0</v>
      </c>
      <c r="BI336" s="186">
        <f t="shared" si="179"/>
        <v>0</v>
      </c>
      <c r="BJ336" s="195">
        <f t="shared" si="179"/>
        <v>0</v>
      </c>
    </row>
    <row r="337" spans="1:63">
      <c r="A337" s="196" t="s">
        <v>160</v>
      </c>
      <c r="B337" s="197">
        <f>B336/B335</f>
        <v>625013.65609083616</v>
      </c>
      <c r="C337" s="166"/>
      <c r="D337" s="167"/>
      <c r="E337" s="167"/>
      <c r="F337" s="167"/>
      <c r="G337" s="167"/>
      <c r="H337" s="167"/>
      <c r="I337" s="167"/>
      <c r="J337" s="167"/>
      <c r="K337" s="167"/>
      <c r="L337" s="167"/>
      <c r="M337" s="167"/>
      <c r="N337" s="167"/>
      <c r="O337" s="167"/>
      <c r="P337" s="167"/>
      <c r="Q337" s="167"/>
      <c r="R337" s="167"/>
      <c r="S337" s="167"/>
      <c r="T337" s="167"/>
      <c r="U337" s="167"/>
      <c r="V337" s="167"/>
      <c r="W337" s="167"/>
      <c r="X337" s="167"/>
      <c r="Y337" s="167"/>
      <c r="Z337" s="167"/>
      <c r="AA337" s="167"/>
      <c r="AB337" s="167"/>
      <c r="AC337" s="167"/>
      <c r="AD337" s="167"/>
      <c r="AE337" s="167"/>
      <c r="AF337" s="167"/>
      <c r="AG337" s="167"/>
      <c r="AH337" s="167"/>
      <c r="AI337" s="167"/>
      <c r="AJ337" s="167"/>
      <c r="AK337" s="167"/>
      <c r="AL337" s="167"/>
      <c r="AM337" s="167"/>
      <c r="AN337" s="167"/>
      <c r="AO337" s="167"/>
      <c r="AP337" s="167"/>
      <c r="AQ337" s="167"/>
      <c r="AR337" s="167"/>
      <c r="AS337" s="167"/>
      <c r="AT337" s="167"/>
      <c r="AU337" s="167"/>
      <c r="AV337" s="167"/>
      <c r="AW337" s="167"/>
      <c r="AX337" s="167"/>
      <c r="AY337" s="167"/>
      <c r="AZ337" s="167"/>
      <c r="BA337" s="167"/>
      <c r="BB337" s="167"/>
      <c r="BC337" s="167"/>
      <c r="BD337" s="167"/>
      <c r="BE337" s="167"/>
      <c r="BF337" s="167"/>
      <c r="BG337" s="167"/>
      <c r="BH337" s="167"/>
      <c r="BI337" s="167"/>
      <c r="BJ337" s="198"/>
    </row>
    <row r="338" spans="1:63">
      <c r="A338" s="187" t="s">
        <v>158</v>
      </c>
      <c r="B338" s="188">
        <f>SUM(C338:BJ338)</f>
        <v>2799.9999999999991</v>
      </c>
      <c r="C338" s="234">
        <f>(C287*(1-$K285))/(1)^(C286-1)</f>
        <v>0</v>
      </c>
      <c r="D338" s="186">
        <f>(D287*(1-$K285))/(1)^(D286-1)</f>
        <v>0</v>
      </c>
      <c r="E338" s="186">
        <f t="shared" ref="E338:BJ338" si="180">(E287*(1-$K285))/(1)^(E286-1)</f>
        <v>0</v>
      </c>
      <c r="F338" s="186">
        <f t="shared" si="180"/>
        <v>0</v>
      </c>
      <c r="G338" s="186">
        <f t="shared" si="180"/>
        <v>0</v>
      </c>
      <c r="H338" s="186">
        <f t="shared" si="180"/>
        <v>42.559999999999988</v>
      </c>
      <c r="I338" s="186">
        <f t="shared" si="180"/>
        <v>85.119999999999976</v>
      </c>
      <c r="J338" s="186">
        <f t="shared" si="180"/>
        <v>127.67999999999995</v>
      </c>
      <c r="K338" s="186">
        <f t="shared" si="180"/>
        <v>170.23999999999995</v>
      </c>
      <c r="L338" s="186">
        <f t="shared" si="180"/>
        <v>243.6</v>
      </c>
      <c r="M338" s="186">
        <f t="shared" si="180"/>
        <v>243.6</v>
      </c>
      <c r="N338" s="186">
        <f t="shared" si="180"/>
        <v>243.6</v>
      </c>
      <c r="O338" s="186">
        <f t="shared" si="180"/>
        <v>243.6</v>
      </c>
      <c r="P338" s="186">
        <f t="shared" si="180"/>
        <v>243.6</v>
      </c>
      <c r="Q338" s="186">
        <f t="shared" si="180"/>
        <v>243.6</v>
      </c>
      <c r="R338" s="186">
        <f t="shared" si="180"/>
        <v>243.6</v>
      </c>
      <c r="S338" s="186">
        <f t="shared" si="180"/>
        <v>243.6</v>
      </c>
      <c r="T338" s="186">
        <f t="shared" si="180"/>
        <v>170.23999999999995</v>
      </c>
      <c r="U338" s="186">
        <f t="shared" si="180"/>
        <v>127.67999999999995</v>
      </c>
      <c r="V338" s="186">
        <f t="shared" si="180"/>
        <v>85.119999999999976</v>
      </c>
      <c r="W338" s="186">
        <f t="shared" si="180"/>
        <v>42.559999999999988</v>
      </c>
      <c r="X338" s="186">
        <f t="shared" si="180"/>
        <v>0</v>
      </c>
      <c r="Y338" s="186">
        <f t="shared" si="180"/>
        <v>0</v>
      </c>
      <c r="Z338" s="186">
        <f t="shared" si="180"/>
        <v>0</v>
      </c>
      <c r="AA338" s="186">
        <f t="shared" si="180"/>
        <v>0</v>
      </c>
      <c r="AB338" s="186">
        <f t="shared" si="180"/>
        <v>0</v>
      </c>
      <c r="AC338" s="186">
        <f t="shared" si="180"/>
        <v>0</v>
      </c>
      <c r="AD338" s="186">
        <f t="shared" si="180"/>
        <v>0</v>
      </c>
      <c r="AE338" s="186">
        <f t="shared" si="180"/>
        <v>0</v>
      </c>
      <c r="AF338" s="186">
        <f t="shared" si="180"/>
        <v>0</v>
      </c>
      <c r="AG338" s="186">
        <f t="shared" si="180"/>
        <v>0</v>
      </c>
      <c r="AH338" s="186">
        <f t="shared" si="180"/>
        <v>0</v>
      </c>
      <c r="AI338" s="186">
        <f t="shared" si="180"/>
        <v>0</v>
      </c>
      <c r="AJ338" s="186">
        <f t="shared" si="180"/>
        <v>0</v>
      </c>
      <c r="AK338" s="186">
        <f t="shared" si="180"/>
        <v>0</v>
      </c>
      <c r="AL338" s="186">
        <f t="shared" si="180"/>
        <v>0</v>
      </c>
      <c r="AM338" s="186">
        <f t="shared" si="180"/>
        <v>0</v>
      </c>
      <c r="AN338" s="186">
        <f t="shared" si="180"/>
        <v>0</v>
      </c>
      <c r="AO338" s="186">
        <f t="shared" si="180"/>
        <v>0</v>
      </c>
      <c r="AP338" s="186">
        <f t="shared" si="180"/>
        <v>0</v>
      </c>
      <c r="AQ338" s="186">
        <f t="shared" si="180"/>
        <v>0</v>
      </c>
      <c r="AR338" s="186">
        <f t="shared" si="180"/>
        <v>0</v>
      </c>
      <c r="AS338" s="186">
        <f t="shared" si="180"/>
        <v>0</v>
      </c>
      <c r="AT338" s="186">
        <f t="shared" si="180"/>
        <v>0</v>
      </c>
      <c r="AU338" s="186">
        <f t="shared" si="180"/>
        <v>0</v>
      </c>
      <c r="AV338" s="186">
        <f t="shared" si="180"/>
        <v>0</v>
      </c>
      <c r="AW338" s="186">
        <f t="shared" si="180"/>
        <v>0</v>
      </c>
      <c r="AX338" s="186">
        <f t="shared" si="180"/>
        <v>0</v>
      </c>
      <c r="AY338" s="186">
        <f t="shared" si="180"/>
        <v>0</v>
      </c>
      <c r="AZ338" s="186">
        <f t="shared" si="180"/>
        <v>0</v>
      </c>
      <c r="BA338" s="186">
        <f t="shared" si="180"/>
        <v>0</v>
      </c>
      <c r="BB338" s="186">
        <f t="shared" si="180"/>
        <v>0</v>
      </c>
      <c r="BC338" s="186">
        <f t="shared" si="180"/>
        <v>0</v>
      </c>
      <c r="BD338" s="186">
        <f t="shared" si="180"/>
        <v>0</v>
      </c>
      <c r="BE338" s="186">
        <f t="shared" si="180"/>
        <v>0</v>
      </c>
      <c r="BF338" s="186">
        <f t="shared" si="180"/>
        <v>0</v>
      </c>
      <c r="BG338" s="186">
        <f t="shared" si="180"/>
        <v>0</v>
      </c>
      <c r="BH338" s="186">
        <f t="shared" si="180"/>
        <v>0</v>
      </c>
      <c r="BI338" s="186">
        <f t="shared" si="180"/>
        <v>0</v>
      </c>
      <c r="BJ338" s="195">
        <f t="shared" si="180"/>
        <v>0</v>
      </c>
    </row>
    <row r="339" spans="1:63">
      <c r="A339" s="192" t="s">
        <v>159</v>
      </c>
      <c r="B339" s="193">
        <f>SUM(C339:BJ339)</f>
        <v>1191976698.0025618</v>
      </c>
      <c r="C339" s="234">
        <f>(((C289+C318)*(1-$K285))-(C328-C298))/(1)^(C286-1)</f>
        <v>45121752.13208206</v>
      </c>
      <c r="D339" s="186">
        <f>(((D289+D318)*(1-$K285))-(D328-D298))/(1)^(D286-1)</f>
        <v>47652899.56110312</v>
      </c>
      <c r="E339" s="186">
        <f t="shared" ref="E339:BJ339" si="181">(((E289+E318)*(1-$K285))-(E328-E298))/(1)^(E286-1)</f>
        <v>62883802.476401515</v>
      </c>
      <c r="F339" s="186">
        <f t="shared" si="181"/>
        <v>62324638.200048044</v>
      </c>
      <c r="G339" s="186">
        <f t="shared" si="181"/>
        <v>61765473.923694596</v>
      </c>
      <c r="H339" s="186">
        <f t="shared" si="181"/>
        <v>12011180.92397288</v>
      </c>
      <c r="I339" s="186">
        <f t="shared" si="181"/>
        <v>26473057.775545456</v>
      </c>
      <c r="J339" s="186">
        <f t="shared" si="181"/>
        <v>40934934.627118021</v>
      </c>
      <c r="K339" s="186">
        <f t="shared" si="181"/>
        <v>55396811.478690594</v>
      </c>
      <c r="L339" s="186">
        <f t="shared" si="181"/>
        <v>80324520.262322277</v>
      </c>
      <c r="M339" s="186">
        <f t="shared" si="181"/>
        <v>80324520.262322277</v>
      </c>
      <c r="N339" s="186">
        <f t="shared" si="181"/>
        <v>80324520.262322277</v>
      </c>
      <c r="O339" s="186">
        <f t="shared" si="181"/>
        <v>80324520.262322277</v>
      </c>
      <c r="P339" s="186">
        <f t="shared" si="181"/>
        <v>80324520.262322277</v>
      </c>
      <c r="Q339" s="186">
        <f t="shared" si="181"/>
        <v>80324520.262322277</v>
      </c>
      <c r="R339" s="186">
        <f t="shared" si="181"/>
        <v>80324520.262322277</v>
      </c>
      <c r="S339" s="186">
        <f t="shared" si="181"/>
        <v>80324520.262322277</v>
      </c>
      <c r="T339" s="186">
        <f t="shared" si="181"/>
        <v>55396811.478690594</v>
      </c>
      <c r="U339" s="186">
        <f t="shared" si="181"/>
        <v>40934934.627118021</v>
      </c>
      <c r="V339" s="186">
        <f t="shared" si="181"/>
        <v>26473057.775545456</v>
      </c>
      <c r="W339" s="186">
        <f t="shared" si="181"/>
        <v>12011180.92397288</v>
      </c>
      <c r="X339" s="186">
        <f t="shared" si="181"/>
        <v>0</v>
      </c>
      <c r="Y339" s="186">
        <f t="shared" si="181"/>
        <v>0</v>
      </c>
      <c r="Z339" s="186">
        <f t="shared" si="181"/>
        <v>0</v>
      </c>
      <c r="AA339" s="186">
        <f t="shared" si="181"/>
        <v>0</v>
      </c>
      <c r="AB339" s="186">
        <f t="shared" si="181"/>
        <v>0</v>
      </c>
      <c r="AC339" s="186">
        <f t="shared" si="181"/>
        <v>0</v>
      </c>
      <c r="AD339" s="186">
        <f t="shared" si="181"/>
        <v>0</v>
      </c>
      <c r="AE339" s="186">
        <f t="shared" si="181"/>
        <v>0</v>
      </c>
      <c r="AF339" s="186">
        <f t="shared" si="181"/>
        <v>0</v>
      </c>
      <c r="AG339" s="186">
        <f t="shared" si="181"/>
        <v>0</v>
      </c>
      <c r="AH339" s="186">
        <f t="shared" si="181"/>
        <v>0</v>
      </c>
      <c r="AI339" s="186">
        <f t="shared" si="181"/>
        <v>0</v>
      </c>
      <c r="AJ339" s="186">
        <f t="shared" si="181"/>
        <v>0</v>
      </c>
      <c r="AK339" s="186">
        <f t="shared" si="181"/>
        <v>0</v>
      </c>
      <c r="AL339" s="186">
        <f t="shared" si="181"/>
        <v>0</v>
      </c>
      <c r="AM339" s="186">
        <f t="shared" si="181"/>
        <v>0</v>
      </c>
      <c r="AN339" s="186">
        <f t="shared" si="181"/>
        <v>0</v>
      </c>
      <c r="AO339" s="186">
        <f t="shared" si="181"/>
        <v>0</v>
      </c>
      <c r="AP339" s="186">
        <f t="shared" si="181"/>
        <v>0</v>
      </c>
      <c r="AQ339" s="186">
        <f t="shared" si="181"/>
        <v>0</v>
      </c>
      <c r="AR339" s="186">
        <f t="shared" si="181"/>
        <v>0</v>
      </c>
      <c r="AS339" s="186">
        <f t="shared" si="181"/>
        <v>0</v>
      </c>
      <c r="AT339" s="186">
        <f t="shared" si="181"/>
        <v>0</v>
      </c>
      <c r="AU339" s="186">
        <f t="shared" si="181"/>
        <v>0</v>
      </c>
      <c r="AV339" s="186">
        <f t="shared" si="181"/>
        <v>0</v>
      </c>
      <c r="AW339" s="186">
        <f t="shared" si="181"/>
        <v>0</v>
      </c>
      <c r="AX339" s="186">
        <f t="shared" si="181"/>
        <v>0</v>
      </c>
      <c r="AY339" s="186">
        <f t="shared" si="181"/>
        <v>0</v>
      </c>
      <c r="AZ339" s="186">
        <f t="shared" si="181"/>
        <v>0</v>
      </c>
      <c r="BA339" s="186">
        <f t="shared" si="181"/>
        <v>0</v>
      </c>
      <c r="BB339" s="186">
        <f t="shared" si="181"/>
        <v>0</v>
      </c>
      <c r="BC339" s="186">
        <f t="shared" si="181"/>
        <v>0</v>
      </c>
      <c r="BD339" s="186">
        <f t="shared" si="181"/>
        <v>0</v>
      </c>
      <c r="BE339" s="186">
        <f t="shared" si="181"/>
        <v>0</v>
      </c>
      <c r="BF339" s="186">
        <f t="shared" si="181"/>
        <v>0</v>
      </c>
      <c r="BG339" s="186">
        <f t="shared" si="181"/>
        <v>0</v>
      </c>
      <c r="BH339" s="186">
        <f t="shared" si="181"/>
        <v>0</v>
      </c>
      <c r="BI339" s="186">
        <f t="shared" si="181"/>
        <v>0</v>
      </c>
      <c r="BJ339" s="195">
        <f t="shared" si="181"/>
        <v>0</v>
      </c>
      <c r="BK339" s="186"/>
    </row>
    <row r="340" spans="1:63">
      <c r="A340" s="196" t="s">
        <v>161</v>
      </c>
      <c r="B340" s="197">
        <f>B339/B338</f>
        <v>425705.96357234364</v>
      </c>
      <c r="C340" s="166"/>
      <c r="D340" s="167"/>
      <c r="E340" s="167"/>
      <c r="F340" s="167"/>
      <c r="G340" s="167"/>
      <c r="H340" s="167"/>
      <c r="I340" s="167"/>
      <c r="J340" s="167"/>
      <c r="K340" s="167"/>
      <c r="L340" s="167"/>
      <c r="M340" s="167"/>
      <c r="N340" s="167"/>
      <c r="O340" s="167"/>
      <c r="P340" s="167"/>
      <c r="Q340" s="167"/>
      <c r="R340" s="167"/>
      <c r="S340" s="167"/>
      <c r="T340" s="167"/>
      <c r="U340" s="167"/>
      <c r="V340" s="167"/>
      <c r="W340" s="167"/>
      <c r="X340" s="167"/>
      <c r="Y340" s="167"/>
      <c r="Z340" s="167"/>
      <c r="AA340" s="167"/>
      <c r="AB340" s="167"/>
      <c r="AC340" s="167"/>
      <c r="AD340" s="167"/>
      <c r="AE340" s="167"/>
      <c r="AF340" s="167"/>
      <c r="AG340" s="167"/>
      <c r="AH340" s="167"/>
      <c r="AI340" s="167"/>
      <c r="AJ340" s="167"/>
      <c r="AK340" s="167"/>
      <c r="AL340" s="167"/>
      <c r="AM340" s="167"/>
      <c r="AN340" s="167"/>
      <c r="AO340" s="167"/>
      <c r="AP340" s="167"/>
      <c r="AQ340" s="167"/>
      <c r="AR340" s="167"/>
      <c r="AS340" s="167"/>
      <c r="AT340" s="167"/>
      <c r="AU340" s="167"/>
      <c r="AV340" s="167"/>
      <c r="AW340" s="167"/>
      <c r="AX340" s="167"/>
      <c r="AY340" s="167"/>
      <c r="AZ340" s="167"/>
      <c r="BA340" s="167"/>
      <c r="BB340" s="167"/>
      <c r="BC340" s="167"/>
      <c r="BD340" s="167"/>
      <c r="BE340" s="167"/>
      <c r="BF340" s="167"/>
      <c r="BG340" s="167"/>
      <c r="BH340" s="167"/>
      <c r="BI340" s="167"/>
      <c r="BJ340" s="198"/>
    </row>
    <row r="341" spans="1:63">
      <c r="A341" s="199"/>
      <c r="B341" s="200"/>
      <c r="C341" s="201"/>
      <c r="D341" s="201"/>
      <c r="E341" s="201"/>
      <c r="F341" s="201"/>
      <c r="G341" s="201"/>
      <c r="H341" s="201"/>
      <c r="I341" s="202"/>
      <c r="J341" s="201"/>
      <c r="K341" s="201"/>
      <c r="L341" s="201"/>
      <c r="M341" s="201"/>
      <c r="N341" s="201"/>
      <c r="O341" s="201"/>
      <c r="P341" s="201"/>
      <c r="Q341" s="201"/>
      <c r="R341" s="201"/>
      <c r="S341" s="201"/>
      <c r="T341" s="201"/>
      <c r="U341" s="201"/>
      <c r="V341" s="201"/>
      <c r="W341" s="201"/>
      <c r="X341" s="201"/>
      <c r="Y341" s="201"/>
      <c r="Z341" s="201"/>
      <c r="AA341" s="201"/>
      <c r="AB341" s="201"/>
      <c r="AC341" s="201"/>
      <c r="AD341" s="201"/>
      <c r="AE341" s="201"/>
      <c r="AF341" s="201"/>
      <c r="AG341" s="201"/>
      <c r="AH341" s="201"/>
      <c r="AI341" s="201"/>
      <c r="AJ341" s="201"/>
      <c r="AK341" s="201"/>
      <c r="AL341" s="201"/>
      <c r="AM341" s="201"/>
      <c r="AN341" s="201"/>
      <c r="AO341" s="201"/>
      <c r="AP341" s="201"/>
      <c r="AQ341" s="201"/>
      <c r="AR341" s="201"/>
      <c r="AS341" s="201"/>
      <c r="AT341" s="201"/>
      <c r="AU341" s="201"/>
      <c r="AV341" s="201"/>
      <c r="AW341" s="201"/>
      <c r="AX341" s="201"/>
      <c r="AY341" s="201"/>
      <c r="AZ341" s="201"/>
      <c r="BA341" s="201"/>
      <c r="BB341" s="201"/>
      <c r="BC341" s="201"/>
      <c r="BD341" s="201"/>
      <c r="BE341" s="201"/>
      <c r="BF341" s="201"/>
      <c r="BG341" s="201"/>
      <c r="BH341" s="201"/>
      <c r="BI341" s="201"/>
      <c r="BJ341" s="201"/>
    </row>
    <row r="342" spans="1:63" ht="21">
      <c r="A342" s="203" t="s">
        <v>162</v>
      </c>
      <c r="B342" s="89"/>
      <c r="D342" s="204"/>
      <c r="E342" s="204"/>
    </row>
    <row r="343" spans="1:63" s="94" customFormat="1">
      <c r="A343" s="90" t="s">
        <v>154</v>
      </c>
      <c r="B343" s="91" t="s">
        <v>155</v>
      </c>
      <c r="C343" s="91">
        <v>1</v>
      </c>
      <c r="D343" s="92">
        <v>2</v>
      </c>
      <c r="E343" s="92">
        <v>3</v>
      </c>
      <c r="F343" s="92">
        <v>4</v>
      </c>
      <c r="G343" s="92">
        <v>5</v>
      </c>
      <c r="H343" s="92">
        <v>6</v>
      </c>
      <c r="I343" s="92">
        <v>7</v>
      </c>
      <c r="J343" s="92">
        <v>8</v>
      </c>
      <c r="K343" s="92">
        <v>9</v>
      </c>
      <c r="L343" s="92">
        <v>10</v>
      </c>
      <c r="M343" s="92">
        <v>11</v>
      </c>
      <c r="N343" s="92">
        <v>12</v>
      </c>
      <c r="O343" s="92">
        <v>13</v>
      </c>
      <c r="P343" s="92">
        <v>14</v>
      </c>
      <c r="Q343" s="92">
        <v>15</v>
      </c>
      <c r="R343" s="92">
        <v>16</v>
      </c>
      <c r="S343" s="92">
        <v>17</v>
      </c>
      <c r="T343" s="92">
        <v>18</v>
      </c>
      <c r="U343" s="92">
        <v>19</v>
      </c>
      <c r="V343" s="92">
        <v>20</v>
      </c>
      <c r="W343" s="92">
        <v>21</v>
      </c>
      <c r="X343" s="92">
        <v>22</v>
      </c>
      <c r="Y343" s="92">
        <v>23</v>
      </c>
      <c r="Z343" s="92">
        <v>24</v>
      </c>
      <c r="AA343" s="92">
        <v>25</v>
      </c>
      <c r="AB343" s="92">
        <v>26</v>
      </c>
      <c r="AC343" s="92">
        <v>27</v>
      </c>
      <c r="AD343" s="92">
        <v>28</v>
      </c>
      <c r="AE343" s="92">
        <v>29</v>
      </c>
      <c r="AF343" s="92">
        <v>30</v>
      </c>
      <c r="AG343" s="92">
        <v>31</v>
      </c>
      <c r="AH343" s="92">
        <v>32</v>
      </c>
      <c r="AI343" s="92">
        <v>33</v>
      </c>
      <c r="AJ343" s="92">
        <v>34</v>
      </c>
      <c r="AK343" s="92">
        <v>35</v>
      </c>
      <c r="AL343" s="92">
        <v>36</v>
      </c>
      <c r="AM343" s="92">
        <v>37</v>
      </c>
      <c r="AN343" s="92">
        <v>38</v>
      </c>
      <c r="AO343" s="92">
        <v>39</v>
      </c>
      <c r="AP343" s="92">
        <v>40</v>
      </c>
      <c r="AQ343" s="92">
        <v>41</v>
      </c>
      <c r="AR343" s="92">
        <v>42</v>
      </c>
      <c r="AS343" s="92">
        <v>43</v>
      </c>
      <c r="AT343" s="92">
        <v>44</v>
      </c>
      <c r="AU343" s="92">
        <v>45</v>
      </c>
      <c r="AV343" s="92">
        <v>46</v>
      </c>
      <c r="AW343" s="92">
        <v>47</v>
      </c>
      <c r="AX343" s="92">
        <v>48</v>
      </c>
      <c r="AY343" s="92">
        <v>49</v>
      </c>
      <c r="AZ343" s="92">
        <v>50</v>
      </c>
      <c r="BA343" s="92">
        <v>51</v>
      </c>
      <c r="BB343" s="92">
        <v>52</v>
      </c>
      <c r="BC343" s="92">
        <v>53</v>
      </c>
      <c r="BD343" s="92">
        <v>54</v>
      </c>
      <c r="BE343" s="92">
        <v>55</v>
      </c>
      <c r="BF343" s="92">
        <v>56</v>
      </c>
      <c r="BG343" s="92">
        <v>57</v>
      </c>
      <c r="BH343" s="92">
        <v>58</v>
      </c>
      <c r="BI343" s="92">
        <v>59</v>
      </c>
      <c r="BJ343" s="93">
        <v>60</v>
      </c>
    </row>
    <row r="344" spans="1:63" s="100" customFormat="1">
      <c r="A344" s="95" t="s">
        <v>156</v>
      </c>
      <c r="B344" s="96">
        <f>SUM(C344:BJ344)</f>
        <v>4000</v>
      </c>
      <c r="C344" s="96">
        <f t="shared" ref="C344:BJ344" si="182">C287</f>
        <v>0</v>
      </c>
      <c r="D344" s="205">
        <f t="shared" si="182"/>
        <v>0</v>
      </c>
      <c r="E344" s="205">
        <f t="shared" si="182"/>
        <v>0</v>
      </c>
      <c r="F344" s="205">
        <f t="shared" si="182"/>
        <v>0</v>
      </c>
      <c r="G344" s="205">
        <f t="shared" si="182"/>
        <v>0</v>
      </c>
      <c r="H344" s="205">
        <f t="shared" si="182"/>
        <v>60.79999999999999</v>
      </c>
      <c r="I344" s="205">
        <f t="shared" si="182"/>
        <v>121.59999999999998</v>
      </c>
      <c r="J344" s="205">
        <f t="shared" si="182"/>
        <v>182.39999999999995</v>
      </c>
      <c r="K344" s="205">
        <f t="shared" si="182"/>
        <v>243.19999999999996</v>
      </c>
      <c r="L344" s="205">
        <f t="shared" si="182"/>
        <v>348</v>
      </c>
      <c r="M344" s="205">
        <f t="shared" si="182"/>
        <v>348</v>
      </c>
      <c r="N344" s="205">
        <f t="shared" si="182"/>
        <v>348</v>
      </c>
      <c r="O344" s="205">
        <f t="shared" si="182"/>
        <v>348</v>
      </c>
      <c r="P344" s="205">
        <f t="shared" si="182"/>
        <v>348</v>
      </c>
      <c r="Q344" s="205">
        <f t="shared" si="182"/>
        <v>348</v>
      </c>
      <c r="R344" s="205">
        <f t="shared" si="182"/>
        <v>348</v>
      </c>
      <c r="S344" s="205">
        <f t="shared" si="182"/>
        <v>348</v>
      </c>
      <c r="T344" s="205">
        <f t="shared" si="182"/>
        <v>243.19999999999996</v>
      </c>
      <c r="U344" s="205">
        <f t="shared" si="182"/>
        <v>182.39999999999995</v>
      </c>
      <c r="V344" s="205">
        <f t="shared" si="182"/>
        <v>121.59999999999998</v>
      </c>
      <c r="W344" s="205">
        <f t="shared" si="182"/>
        <v>60.79999999999999</v>
      </c>
      <c r="X344" s="205">
        <f t="shared" si="182"/>
        <v>0</v>
      </c>
      <c r="Y344" s="205">
        <f t="shared" si="182"/>
        <v>0</v>
      </c>
      <c r="Z344" s="205">
        <f t="shared" si="182"/>
        <v>0</v>
      </c>
      <c r="AA344" s="205">
        <f t="shared" si="182"/>
        <v>0</v>
      </c>
      <c r="AB344" s="205">
        <f t="shared" si="182"/>
        <v>0</v>
      </c>
      <c r="AC344" s="205">
        <f t="shared" si="182"/>
        <v>0</v>
      </c>
      <c r="AD344" s="205">
        <f t="shared" si="182"/>
        <v>0</v>
      </c>
      <c r="AE344" s="205">
        <f t="shared" si="182"/>
        <v>0</v>
      </c>
      <c r="AF344" s="205">
        <f t="shared" si="182"/>
        <v>0</v>
      </c>
      <c r="AG344" s="205">
        <f t="shared" si="182"/>
        <v>0</v>
      </c>
      <c r="AH344" s="205">
        <f t="shared" si="182"/>
        <v>0</v>
      </c>
      <c r="AI344" s="205">
        <f t="shared" si="182"/>
        <v>0</v>
      </c>
      <c r="AJ344" s="205">
        <f t="shared" si="182"/>
        <v>0</v>
      </c>
      <c r="AK344" s="205">
        <f t="shared" si="182"/>
        <v>0</v>
      </c>
      <c r="AL344" s="205">
        <f t="shared" si="182"/>
        <v>0</v>
      </c>
      <c r="AM344" s="205">
        <f t="shared" si="182"/>
        <v>0</v>
      </c>
      <c r="AN344" s="205">
        <f t="shared" si="182"/>
        <v>0</v>
      </c>
      <c r="AO344" s="205">
        <f t="shared" si="182"/>
        <v>0</v>
      </c>
      <c r="AP344" s="205">
        <f t="shared" si="182"/>
        <v>0</v>
      </c>
      <c r="AQ344" s="205">
        <f t="shared" si="182"/>
        <v>0</v>
      </c>
      <c r="AR344" s="205">
        <f t="shared" si="182"/>
        <v>0</v>
      </c>
      <c r="AS344" s="205">
        <f t="shared" si="182"/>
        <v>0</v>
      </c>
      <c r="AT344" s="205">
        <f t="shared" si="182"/>
        <v>0</v>
      </c>
      <c r="AU344" s="205">
        <f t="shared" si="182"/>
        <v>0</v>
      </c>
      <c r="AV344" s="205">
        <f t="shared" si="182"/>
        <v>0</v>
      </c>
      <c r="AW344" s="205">
        <f t="shared" si="182"/>
        <v>0</v>
      </c>
      <c r="AX344" s="205">
        <f t="shared" si="182"/>
        <v>0</v>
      </c>
      <c r="AY344" s="205">
        <f t="shared" si="182"/>
        <v>0</v>
      </c>
      <c r="AZ344" s="205">
        <f t="shared" si="182"/>
        <v>0</v>
      </c>
      <c r="BA344" s="205">
        <f t="shared" si="182"/>
        <v>0</v>
      </c>
      <c r="BB344" s="205">
        <f t="shared" si="182"/>
        <v>0</v>
      </c>
      <c r="BC344" s="205">
        <f t="shared" si="182"/>
        <v>0</v>
      </c>
      <c r="BD344" s="205">
        <f t="shared" si="182"/>
        <v>0</v>
      </c>
      <c r="BE344" s="205">
        <f t="shared" si="182"/>
        <v>0</v>
      </c>
      <c r="BF344" s="205">
        <f t="shared" si="182"/>
        <v>0</v>
      </c>
      <c r="BG344" s="205">
        <f t="shared" si="182"/>
        <v>0</v>
      </c>
      <c r="BH344" s="205">
        <f t="shared" si="182"/>
        <v>0</v>
      </c>
      <c r="BI344" s="205">
        <f t="shared" si="182"/>
        <v>0</v>
      </c>
      <c r="BJ344" s="206">
        <f t="shared" si="182"/>
        <v>0</v>
      </c>
    </row>
    <row r="345" spans="1:63" s="105" customFormat="1">
      <c r="A345" s="101" t="s">
        <v>115</v>
      </c>
      <c r="B345" s="102">
        <f>SUM(C345:BJ345)</f>
        <v>6988017012.4579849</v>
      </c>
      <c r="C345" s="207">
        <f>C288*(1+$G285)^(C171-1)</f>
        <v>14250931.00265825</v>
      </c>
      <c r="D345" s="208">
        <f>D288*(1+$G285)^(D286-1)</f>
        <v>15413806.972475166</v>
      </c>
      <c r="E345" s="208">
        <f t="shared" ref="E345:BJ345" si="183">E288*(1+$G285)^(E286-1)</f>
        <v>16030359.251374172</v>
      </c>
      <c r="F345" s="208">
        <f t="shared" si="183"/>
        <v>16671573.62142914</v>
      </c>
      <c r="G345" s="208">
        <f t="shared" si="183"/>
        <v>17338436.566286307</v>
      </c>
      <c r="H345" s="208">
        <f t="shared" si="183"/>
        <v>77460079.351342738</v>
      </c>
      <c r="I345" s="208">
        <f t="shared" si="183"/>
        <v>161116965.0507929</v>
      </c>
      <c r="J345" s="208">
        <f t="shared" si="183"/>
        <v>251342465.47923693</v>
      </c>
      <c r="K345" s="208">
        <f t="shared" si="183"/>
        <v>348528218.79787523</v>
      </c>
      <c r="L345" s="208">
        <f t="shared" si="183"/>
        <v>518665020.34262764</v>
      </c>
      <c r="M345" s="208">
        <f t="shared" si="183"/>
        <v>539411621.15633273</v>
      </c>
      <c r="N345" s="208">
        <f t="shared" si="183"/>
        <v>560988086.00258601</v>
      </c>
      <c r="O345" s="208">
        <f t="shared" si="183"/>
        <v>583427609.44268954</v>
      </c>
      <c r="P345" s="208">
        <f t="shared" si="183"/>
        <v>606764713.82039714</v>
      </c>
      <c r="Q345" s="208">
        <f t="shared" si="183"/>
        <v>631035302.37321305</v>
      </c>
      <c r="R345" s="208">
        <f t="shared" si="183"/>
        <v>656276714.46814156</v>
      </c>
      <c r="S345" s="208">
        <f t="shared" si="183"/>
        <v>682527783.04686737</v>
      </c>
      <c r="T345" s="208">
        <f t="shared" si="183"/>
        <v>496064330.77723569</v>
      </c>
      <c r="U345" s="208">
        <f t="shared" si="183"/>
        <v>386930178.00624394</v>
      </c>
      <c r="V345" s="208">
        <f t="shared" si="183"/>
        <v>268271590.0843291</v>
      </c>
      <c r="W345" s="208">
        <f t="shared" si="183"/>
        <v>139501226.84385112</v>
      </c>
      <c r="X345" s="208">
        <f t="shared" si="183"/>
        <v>0</v>
      </c>
      <c r="Y345" s="208">
        <f t="shared" si="183"/>
        <v>0</v>
      </c>
      <c r="Z345" s="208">
        <f t="shared" si="183"/>
        <v>0</v>
      </c>
      <c r="AA345" s="208">
        <f t="shared" si="183"/>
        <v>0</v>
      </c>
      <c r="AB345" s="208">
        <f t="shared" si="183"/>
        <v>0</v>
      </c>
      <c r="AC345" s="208">
        <f t="shared" si="183"/>
        <v>0</v>
      </c>
      <c r="AD345" s="208">
        <f t="shared" si="183"/>
        <v>0</v>
      </c>
      <c r="AE345" s="208">
        <f t="shared" si="183"/>
        <v>0</v>
      </c>
      <c r="AF345" s="208">
        <f t="shared" si="183"/>
        <v>0</v>
      </c>
      <c r="AG345" s="208">
        <f t="shared" si="183"/>
        <v>0</v>
      </c>
      <c r="AH345" s="208">
        <f t="shared" si="183"/>
        <v>0</v>
      </c>
      <c r="AI345" s="208">
        <f t="shared" si="183"/>
        <v>0</v>
      </c>
      <c r="AJ345" s="208">
        <f t="shared" si="183"/>
        <v>0</v>
      </c>
      <c r="AK345" s="208">
        <f t="shared" si="183"/>
        <v>0</v>
      </c>
      <c r="AL345" s="208">
        <f t="shared" si="183"/>
        <v>0</v>
      </c>
      <c r="AM345" s="208">
        <f t="shared" si="183"/>
        <v>0</v>
      </c>
      <c r="AN345" s="208">
        <f t="shared" si="183"/>
        <v>0</v>
      </c>
      <c r="AO345" s="208">
        <f t="shared" si="183"/>
        <v>0</v>
      </c>
      <c r="AP345" s="208">
        <f t="shared" si="183"/>
        <v>0</v>
      </c>
      <c r="AQ345" s="208">
        <f t="shared" si="183"/>
        <v>0</v>
      </c>
      <c r="AR345" s="208">
        <f t="shared" si="183"/>
        <v>0</v>
      </c>
      <c r="AS345" s="208">
        <f t="shared" si="183"/>
        <v>0</v>
      </c>
      <c r="AT345" s="208">
        <f t="shared" si="183"/>
        <v>0</v>
      </c>
      <c r="AU345" s="208">
        <f t="shared" si="183"/>
        <v>0</v>
      </c>
      <c r="AV345" s="208">
        <f t="shared" si="183"/>
        <v>0</v>
      </c>
      <c r="AW345" s="208">
        <f t="shared" si="183"/>
        <v>0</v>
      </c>
      <c r="AX345" s="208">
        <f t="shared" si="183"/>
        <v>0</v>
      </c>
      <c r="AY345" s="208">
        <f t="shared" si="183"/>
        <v>0</v>
      </c>
      <c r="AZ345" s="208">
        <f t="shared" si="183"/>
        <v>0</v>
      </c>
      <c r="BA345" s="208">
        <f t="shared" si="183"/>
        <v>0</v>
      </c>
      <c r="BB345" s="208">
        <f t="shared" si="183"/>
        <v>0</v>
      </c>
      <c r="BC345" s="208">
        <f t="shared" si="183"/>
        <v>0</v>
      </c>
      <c r="BD345" s="208">
        <f t="shared" si="183"/>
        <v>0</v>
      </c>
      <c r="BE345" s="208">
        <f t="shared" si="183"/>
        <v>0</v>
      </c>
      <c r="BF345" s="208">
        <f t="shared" si="183"/>
        <v>0</v>
      </c>
      <c r="BG345" s="208">
        <f t="shared" si="183"/>
        <v>0</v>
      </c>
      <c r="BH345" s="208">
        <f t="shared" si="183"/>
        <v>0</v>
      </c>
      <c r="BI345" s="208">
        <f t="shared" si="183"/>
        <v>0</v>
      </c>
      <c r="BJ345" s="209">
        <f t="shared" si="183"/>
        <v>0</v>
      </c>
    </row>
    <row r="346" spans="1:63" s="105" customFormat="1">
      <c r="A346" s="106" t="s">
        <v>116</v>
      </c>
      <c r="B346" s="210">
        <f>SUM(B353,B347:B348)</f>
        <v>2305970822.5538502</v>
      </c>
      <c r="C346" s="102">
        <f>SUM(C347:C348,C353)</f>
        <v>11856774.594211664</v>
      </c>
      <c r="D346" s="103">
        <f t="shared" ref="D346:BJ346" si="184">SUM(D347:D348,D353)</f>
        <v>12331045.577980131</v>
      </c>
      <c r="E346" s="103">
        <f t="shared" si="184"/>
        <v>12824287.401099337</v>
      </c>
      <c r="F346" s="103">
        <f t="shared" si="184"/>
        <v>13337258.89714331</v>
      </c>
      <c r="G346" s="103">
        <f t="shared" si="184"/>
        <v>13870749.253029045</v>
      </c>
      <c r="H346" s="103">
        <f t="shared" si="184"/>
        <v>25135834.922310211</v>
      </c>
      <c r="I346" s="103">
        <f t="shared" si="184"/>
        <v>52282536.638405234</v>
      </c>
      <c r="J346" s="103">
        <f t="shared" si="184"/>
        <v>81560757.155912161</v>
      </c>
      <c r="K346" s="103">
        <f t="shared" si="184"/>
        <v>113097583.25619823</v>
      </c>
      <c r="L346" s="103">
        <f t="shared" si="184"/>
        <v>168307061.39836872</v>
      </c>
      <c r="M346" s="103">
        <f t="shared" si="184"/>
        <v>175039343.85430348</v>
      </c>
      <c r="N346" s="103">
        <f t="shared" si="184"/>
        <v>182040917.6084756</v>
      </c>
      <c r="O346" s="103">
        <f t="shared" si="184"/>
        <v>189322554.31281465</v>
      </c>
      <c r="P346" s="103">
        <f t="shared" si="184"/>
        <v>196895456.48532724</v>
      </c>
      <c r="Q346" s="103">
        <f t="shared" si="184"/>
        <v>204771274.74474034</v>
      </c>
      <c r="R346" s="103">
        <f t="shared" si="184"/>
        <v>212962125.73452994</v>
      </c>
      <c r="S346" s="103">
        <f t="shared" si="184"/>
        <v>221480610.76391119</v>
      </c>
      <c r="T346" s="103">
        <f t="shared" si="184"/>
        <v>160973126.2048693</v>
      </c>
      <c r="U346" s="103">
        <f t="shared" si="184"/>
        <v>125559038.43979807</v>
      </c>
      <c r="V346" s="103">
        <f t="shared" si="184"/>
        <v>87054266.651593328</v>
      </c>
      <c r="W346" s="103">
        <f t="shared" si="184"/>
        <v>45268218.658828527</v>
      </c>
      <c r="X346" s="103">
        <f t="shared" si="184"/>
        <v>0</v>
      </c>
      <c r="Y346" s="103">
        <f t="shared" si="184"/>
        <v>0</v>
      </c>
      <c r="Z346" s="103">
        <f t="shared" si="184"/>
        <v>0</v>
      </c>
      <c r="AA346" s="103">
        <f t="shared" si="184"/>
        <v>0</v>
      </c>
      <c r="AB346" s="103">
        <f t="shared" si="184"/>
        <v>0</v>
      </c>
      <c r="AC346" s="103">
        <f t="shared" si="184"/>
        <v>0</v>
      </c>
      <c r="AD346" s="103">
        <f t="shared" si="184"/>
        <v>0</v>
      </c>
      <c r="AE346" s="103">
        <f t="shared" si="184"/>
        <v>0</v>
      </c>
      <c r="AF346" s="103">
        <f t="shared" si="184"/>
        <v>0</v>
      </c>
      <c r="AG346" s="103">
        <f t="shared" si="184"/>
        <v>0</v>
      </c>
      <c r="AH346" s="103">
        <f t="shared" si="184"/>
        <v>0</v>
      </c>
      <c r="AI346" s="103">
        <f t="shared" si="184"/>
        <v>0</v>
      </c>
      <c r="AJ346" s="103">
        <f t="shared" si="184"/>
        <v>0</v>
      </c>
      <c r="AK346" s="103">
        <f t="shared" si="184"/>
        <v>0</v>
      </c>
      <c r="AL346" s="103">
        <f t="shared" si="184"/>
        <v>0</v>
      </c>
      <c r="AM346" s="103">
        <f t="shared" si="184"/>
        <v>0</v>
      </c>
      <c r="AN346" s="103">
        <f t="shared" si="184"/>
        <v>0</v>
      </c>
      <c r="AO346" s="103">
        <f t="shared" si="184"/>
        <v>0</v>
      </c>
      <c r="AP346" s="103">
        <f t="shared" si="184"/>
        <v>0</v>
      </c>
      <c r="AQ346" s="103">
        <f t="shared" si="184"/>
        <v>0</v>
      </c>
      <c r="AR346" s="103">
        <f t="shared" si="184"/>
        <v>0</v>
      </c>
      <c r="AS346" s="103">
        <f t="shared" si="184"/>
        <v>0</v>
      </c>
      <c r="AT346" s="103">
        <f t="shared" si="184"/>
        <v>0</v>
      </c>
      <c r="AU346" s="103">
        <f t="shared" si="184"/>
        <v>0</v>
      </c>
      <c r="AV346" s="103">
        <f t="shared" si="184"/>
        <v>0</v>
      </c>
      <c r="AW346" s="103">
        <f t="shared" si="184"/>
        <v>0</v>
      </c>
      <c r="AX346" s="103">
        <f t="shared" si="184"/>
        <v>0</v>
      </c>
      <c r="AY346" s="103">
        <f t="shared" si="184"/>
        <v>0</v>
      </c>
      <c r="AZ346" s="103">
        <f t="shared" si="184"/>
        <v>0</v>
      </c>
      <c r="BA346" s="103">
        <f t="shared" si="184"/>
        <v>0</v>
      </c>
      <c r="BB346" s="103">
        <f t="shared" si="184"/>
        <v>0</v>
      </c>
      <c r="BC346" s="103">
        <f t="shared" si="184"/>
        <v>0</v>
      </c>
      <c r="BD346" s="103">
        <f t="shared" si="184"/>
        <v>0</v>
      </c>
      <c r="BE346" s="103">
        <f t="shared" si="184"/>
        <v>0</v>
      </c>
      <c r="BF346" s="103">
        <f t="shared" si="184"/>
        <v>0</v>
      </c>
      <c r="BG346" s="103">
        <f t="shared" si="184"/>
        <v>0</v>
      </c>
      <c r="BH346" s="103">
        <f t="shared" si="184"/>
        <v>0</v>
      </c>
      <c r="BI346" s="103">
        <f t="shared" si="184"/>
        <v>0</v>
      </c>
      <c r="BJ346" s="104">
        <f t="shared" si="184"/>
        <v>0</v>
      </c>
    </row>
    <row r="347" spans="1:63" s="116" customFormat="1">
      <c r="A347" s="111" t="s">
        <v>117</v>
      </c>
      <c r="B347" s="155">
        <f>SUM(C347:BJ347)</f>
        <v>1468686102.3809173</v>
      </c>
      <c r="C347" s="108">
        <f>C290*(1+$G285)^(C171-1)</f>
        <v>0</v>
      </c>
      <c r="D347" s="109">
        <f>D290*(1+$G285)^(D286-1)</f>
        <v>0</v>
      </c>
      <c r="E347" s="109">
        <f t="shared" ref="E347:BJ347" si="185">E290*(1+$G285)^(E286-1)</f>
        <v>0</v>
      </c>
      <c r="F347" s="109">
        <f t="shared" si="185"/>
        <v>0</v>
      </c>
      <c r="G347" s="109">
        <f t="shared" si="185"/>
        <v>0</v>
      </c>
      <c r="H347" s="109">
        <f t="shared" si="185"/>
        <v>16467777.308893735</v>
      </c>
      <c r="I347" s="109">
        <f t="shared" si="185"/>
        <v>34252976.802498966</v>
      </c>
      <c r="J347" s="109">
        <f t="shared" si="185"/>
        <v>53434643.811898388</v>
      </c>
      <c r="K347" s="109">
        <f t="shared" si="185"/>
        <v>74096039.419165775</v>
      </c>
      <c r="L347" s="109">
        <f t="shared" si="185"/>
        <v>110266606.03036384</v>
      </c>
      <c r="M347" s="109">
        <f t="shared" si="185"/>
        <v>114677270.2715784</v>
      </c>
      <c r="N347" s="109">
        <f t="shared" si="185"/>
        <v>119264361.08244152</v>
      </c>
      <c r="O347" s="109">
        <f t="shared" si="185"/>
        <v>124034935.52573921</v>
      </c>
      <c r="P347" s="109">
        <f t="shared" si="185"/>
        <v>128996332.94676878</v>
      </c>
      <c r="Q347" s="109">
        <f t="shared" si="185"/>
        <v>134156186.26463953</v>
      </c>
      <c r="R347" s="109">
        <f t="shared" si="185"/>
        <v>139522433.7152251</v>
      </c>
      <c r="S347" s="109">
        <f t="shared" si="185"/>
        <v>145103331.06383413</v>
      </c>
      <c r="T347" s="109">
        <f t="shared" si="185"/>
        <v>105461768.15894665</v>
      </c>
      <c r="U347" s="109">
        <f t="shared" si="185"/>
        <v>82260179.163978398</v>
      </c>
      <c r="V347" s="109">
        <f t="shared" si="185"/>
        <v>57033724.220358349</v>
      </c>
      <c r="W347" s="109">
        <f t="shared" si="185"/>
        <v>29657536.594586343</v>
      </c>
      <c r="X347" s="109">
        <f t="shared" si="185"/>
        <v>0</v>
      </c>
      <c r="Y347" s="109">
        <f t="shared" si="185"/>
        <v>0</v>
      </c>
      <c r="Z347" s="109">
        <f t="shared" si="185"/>
        <v>0</v>
      </c>
      <c r="AA347" s="109">
        <f t="shared" si="185"/>
        <v>0</v>
      </c>
      <c r="AB347" s="109">
        <f t="shared" si="185"/>
        <v>0</v>
      </c>
      <c r="AC347" s="109">
        <f t="shared" si="185"/>
        <v>0</v>
      </c>
      <c r="AD347" s="109">
        <f t="shared" si="185"/>
        <v>0</v>
      </c>
      <c r="AE347" s="109">
        <f t="shared" si="185"/>
        <v>0</v>
      </c>
      <c r="AF347" s="109">
        <f t="shared" si="185"/>
        <v>0</v>
      </c>
      <c r="AG347" s="109">
        <f t="shared" si="185"/>
        <v>0</v>
      </c>
      <c r="AH347" s="109">
        <f t="shared" si="185"/>
        <v>0</v>
      </c>
      <c r="AI347" s="109">
        <f t="shared" si="185"/>
        <v>0</v>
      </c>
      <c r="AJ347" s="109">
        <f t="shared" si="185"/>
        <v>0</v>
      </c>
      <c r="AK347" s="109">
        <f t="shared" si="185"/>
        <v>0</v>
      </c>
      <c r="AL347" s="109">
        <f t="shared" si="185"/>
        <v>0</v>
      </c>
      <c r="AM347" s="109">
        <f t="shared" si="185"/>
        <v>0</v>
      </c>
      <c r="AN347" s="109">
        <f t="shared" si="185"/>
        <v>0</v>
      </c>
      <c r="AO347" s="109">
        <f t="shared" si="185"/>
        <v>0</v>
      </c>
      <c r="AP347" s="109">
        <f t="shared" si="185"/>
        <v>0</v>
      </c>
      <c r="AQ347" s="109">
        <f t="shared" si="185"/>
        <v>0</v>
      </c>
      <c r="AR347" s="109">
        <f t="shared" si="185"/>
        <v>0</v>
      </c>
      <c r="AS347" s="109">
        <f t="shared" si="185"/>
        <v>0</v>
      </c>
      <c r="AT347" s="109">
        <f t="shared" si="185"/>
        <v>0</v>
      </c>
      <c r="AU347" s="109">
        <f t="shared" si="185"/>
        <v>0</v>
      </c>
      <c r="AV347" s="109">
        <f t="shared" si="185"/>
        <v>0</v>
      </c>
      <c r="AW347" s="109">
        <f t="shared" si="185"/>
        <v>0</v>
      </c>
      <c r="AX347" s="109">
        <f t="shared" si="185"/>
        <v>0</v>
      </c>
      <c r="AY347" s="109">
        <f t="shared" si="185"/>
        <v>0</v>
      </c>
      <c r="AZ347" s="109">
        <f t="shared" si="185"/>
        <v>0</v>
      </c>
      <c r="BA347" s="109">
        <f t="shared" si="185"/>
        <v>0</v>
      </c>
      <c r="BB347" s="109">
        <f t="shared" si="185"/>
        <v>0</v>
      </c>
      <c r="BC347" s="109">
        <f t="shared" si="185"/>
        <v>0</v>
      </c>
      <c r="BD347" s="109">
        <f t="shared" si="185"/>
        <v>0</v>
      </c>
      <c r="BE347" s="109">
        <f t="shared" si="185"/>
        <v>0</v>
      </c>
      <c r="BF347" s="109">
        <f t="shared" si="185"/>
        <v>0</v>
      </c>
      <c r="BG347" s="109">
        <f t="shared" si="185"/>
        <v>0</v>
      </c>
      <c r="BH347" s="109">
        <f t="shared" si="185"/>
        <v>0</v>
      </c>
      <c r="BI347" s="109">
        <f t="shared" si="185"/>
        <v>0</v>
      </c>
      <c r="BJ347" s="110">
        <f t="shared" si="185"/>
        <v>0</v>
      </c>
    </row>
    <row r="348" spans="1:63" s="116" customFormat="1">
      <c r="A348" s="111" t="s">
        <v>118</v>
      </c>
      <c r="B348" s="155">
        <f>SUM(B349:B352)</f>
        <v>773064604.44946909</v>
      </c>
      <c r="C348" s="108">
        <f>C291*(1+$G285)^(C286-1)</f>
        <v>0</v>
      </c>
      <c r="D348" s="109">
        <f>D291*(1+$G285)^(D286-1)</f>
        <v>0</v>
      </c>
      <c r="E348" s="109">
        <f t="shared" ref="E348:BJ348" si="186">E291*(1+$G285)^(E286-1)</f>
        <v>0</v>
      </c>
      <c r="F348" s="109">
        <f t="shared" si="186"/>
        <v>0</v>
      </c>
      <c r="G348" s="109">
        <f t="shared" si="186"/>
        <v>0</v>
      </c>
      <c r="H348" s="109">
        <f t="shared" si="186"/>
        <v>8668057.6134164762</v>
      </c>
      <c r="I348" s="109">
        <f t="shared" si="186"/>
        <v>18029559.835906271</v>
      </c>
      <c r="J348" s="109">
        <f t="shared" si="186"/>
        <v>28126113.344013777</v>
      </c>
      <c r="K348" s="109">
        <f t="shared" si="186"/>
        <v>39001543.837032445</v>
      </c>
      <c r="L348" s="109">
        <f t="shared" si="186"/>
        <v>58040455.368004881</v>
      </c>
      <c r="M348" s="109">
        <f t="shared" si="186"/>
        <v>60362073.582725078</v>
      </c>
      <c r="N348" s="109">
        <f t="shared" si="186"/>
        <v>62776556.526034079</v>
      </c>
      <c r="O348" s="109">
        <f t="shared" si="186"/>
        <v>65287618.787075453</v>
      </c>
      <c r="P348" s="109">
        <f t="shared" si="186"/>
        <v>67899123.538558468</v>
      </c>
      <c r="Q348" s="109">
        <f t="shared" si="186"/>
        <v>70615088.480100811</v>
      </c>
      <c r="R348" s="109">
        <f t="shared" si="186"/>
        <v>73439692.019304842</v>
      </c>
      <c r="S348" s="109">
        <f t="shared" si="186"/>
        <v>76377279.700077057</v>
      </c>
      <c r="T348" s="109">
        <f t="shared" si="186"/>
        <v>55511358.045922652</v>
      </c>
      <c r="U348" s="109">
        <f t="shared" si="186"/>
        <v>43298859.275819674</v>
      </c>
      <c r="V348" s="109">
        <f t="shared" si="186"/>
        <v>30020542.431234974</v>
      </c>
      <c r="W348" s="109">
        <f t="shared" si="186"/>
        <v>15610682.064242186</v>
      </c>
      <c r="X348" s="109">
        <f t="shared" si="186"/>
        <v>0</v>
      </c>
      <c r="Y348" s="109">
        <f t="shared" si="186"/>
        <v>0</v>
      </c>
      <c r="Z348" s="109">
        <f t="shared" si="186"/>
        <v>0</v>
      </c>
      <c r="AA348" s="109">
        <f t="shared" si="186"/>
        <v>0</v>
      </c>
      <c r="AB348" s="109">
        <f t="shared" si="186"/>
        <v>0</v>
      </c>
      <c r="AC348" s="109">
        <f t="shared" si="186"/>
        <v>0</v>
      </c>
      <c r="AD348" s="109">
        <f t="shared" si="186"/>
        <v>0</v>
      </c>
      <c r="AE348" s="109">
        <f t="shared" si="186"/>
        <v>0</v>
      </c>
      <c r="AF348" s="109">
        <f t="shared" si="186"/>
        <v>0</v>
      </c>
      <c r="AG348" s="109">
        <f t="shared" si="186"/>
        <v>0</v>
      </c>
      <c r="AH348" s="109">
        <f t="shared" si="186"/>
        <v>0</v>
      </c>
      <c r="AI348" s="109">
        <f t="shared" si="186"/>
        <v>0</v>
      </c>
      <c r="AJ348" s="109">
        <f t="shared" si="186"/>
        <v>0</v>
      </c>
      <c r="AK348" s="109">
        <f t="shared" si="186"/>
        <v>0</v>
      </c>
      <c r="AL348" s="109">
        <f t="shared" si="186"/>
        <v>0</v>
      </c>
      <c r="AM348" s="109">
        <f t="shared" si="186"/>
        <v>0</v>
      </c>
      <c r="AN348" s="109">
        <f t="shared" si="186"/>
        <v>0</v>
      </c>
      <c r="AO348" s="109">
        <f t="shared" si="186"/>
        <v>0</v>
      </c>
      <c r="AP348" s="109">
        <f t="shared" si="186"/>
        <v>0</v>
      </c>
      <c r="AQ348" s="109">
        <f t="shared" si="186"/>
        <v>0</v>
      </c>
      <c r="AR348" s="109">
        <f t="shared" si="186"/>
        <v>0</v>
      </c>
      <c r="AS348" s="109">
        <f t="shared" si="186"/>
        <v>0</v>
      </c>
      <c r="AT348" s="109">
        <f t="shared" si="186"/>
        <v>0</v>
      </c>
      <c r="AU348" s="109">
        <f t="shared" si="186"/>
        <v>0</v>
      </c>
      <c r="AV348" s="109">
        <f t="shared" si="186"/>
        <v>0</v>
      </c>
      <c r="AW348" s="109">
        <f t="shared" si="186"/>
        <v>0</v>
      </c>
      <c r="AX348" s="109">
        <f t="shared" si="186"/>
        <v>0</v>
      </c>
      <c r="AY348" s="109">
        <f t="shared" si="186"/>
        <v>0</v>
      </c>
      <c r="AZ348" s="109">
        <f t="shared" si="186"/>
        <v>0</v>
      </c>
      <c r="BA348" s="109">
        <f t="shared" si="186"/>
        <v>0</v>
      </c>
      <c r="BB348" s="109">
        <f t="shared" si="186"/>
        <v>0</v>
      </c>
      <c r="BC348" s="109">
        <f t="shared" si="186"/>
        <v>0</v>
      </c>
      <c r="BD348" s="109">
        <f t="shared" si="186"/>
        <v>0</v>
      </c>
      <c r="BE348" s="109">
        <f t="shared" si="186"/>
        <v>0</v>
      </c>
      <c r="BF348" s="109">
        <f t="shared" si="186"/>
        <v>0</v>
      </c>
      <c r="BG348" s="109">
        <f t="shared" si="186"/>
        <v>0</v>
      </c>
      <c r="BH348" s="109">
        <f t="shared" si="186"/>
        <v>0</v>
      </c>
      <c r="BI348" s="109">
        <f t="shared" si="186"/>
        <v>0</v>
      </c>
      <c r="BJ348" s="110">
        <f t="shared" si="186"/>
        <v>0</v>
      </c>
    </row>
    <row r="349" spans="1:63" s="125" customFormat="1" ht="12.75">
      <c r="A349" s="120" t="s">
        <v>119</v>
      </c>
      <c r="B349" s="211">
        <f t="shared" ref="B349:B354" si="187">SUM(C349:BJ349)</f>
        <v>358336192.50498122</v>
      </c>
      <c r="C349" s="122">
        <f>C292*(1+$G285)^(C286-1)</f>
        <v>0</v>
      </c>
      <c r="D349" s="123">
        <f>D292*(1+$G285)^(D286-1)</f>
        <v>0</v>
      </c>
      <c r="E349" s="123">
        <f t="shared" ref="E349:BJ349" si="188">E292*(1+$G285)^(E286-1)</f>
        <v>0</v>
      </c>
      <c r="F349" s="123">
        <f t="shared" si="188"/>
        <v>0</v>
      </c>
      <c r="G349" s="123">
        <f t="shared" si="188"/>
        <v>0</v>
      </c>
      <c r="H349" s="123">
        <f t="shared" si="188"/>
        <v>4017877.3465090152</v>
      </c>
      <c r="I349" s="123">
        <f t="shared" si="188"/>
        <v>8357184.880738752</v>
      </c>
      <c r="J349" s="123">
        <f t="shared" si="188"/>
        <v>13037208.413952451</v>
      </c>
      <c r="K349" s="123">
        <f t="shared" si="188"/>
        <v>18078262.334014069</v>
      </c>
      <c r="L349" s="123">
        <f t="shared" si="188"/>
        <v>26903308.815486733</v>
      </c>
      <c r="M349" s="123">
        <f t="shared" si="188"/>
        <v>27979441.168106202</v>
      </c>
      <c r="N349" s="123">
        <f t="shared" si="188"/>
        <v>29098618.814830448</v>
      </c>
      <c r="O349" s="123">
        <f t="shared" si="188"/>
        <v>30262563.567423671</v>
      </c>
      <c r="P349" s="123">
        <f t="shared" si="188"/>
        <v>31473066.110120621</v>
      </c>
      <c r="Q349" s="123">
        <f t="shared" si="188"/>
        <v>32731988.754525445</v>
      </c>
      <c r="R349" s="123">
        <f t="shared" si="188"/>
        <v>34041268.304706462</v>
      </c>
      <c r="S349" s="123">
        <f t="shared" si="188"/>
        <v>35402919.036894724</v>
      </c>
      <c r="T349" s="123">
        <f t="shared" si="188"/>
        <v>25731004.328056633</v>
      </c>
      <c r="U349" s="123">
        <f t="shared" si="188"/>
        <v>20070183.375884175</v>
      </c>
      <c r="V349" s="123">
        <f t="shared" si="188"/>
        <v>13915327.140613029</v>
      </c>
      <c r="W349" s="123">
        <f t="shared" si="188"/>
        <v>7235970.1131187752</v>
      </c>
      <c r="X349" s="123">
        <f t="shared" si="188"/>
        <v>0</v>
      </c>
      <c r="Y349" s="123">
        <f t="shared" si="188"/>
        <v>0</v>
      </c>
      <c r="Z349" s="123">
        <f t="shared" si="188"/>
        <v>0</v>
      </c>
      <c r="AA349" s="123">
        <f t="shared" si="188"/>
        <v>0</v>
      </c>
      <c r="AB349" s="123">
        <f t="shared" si="188"/>
        <v>0</v>
      </c>
      <c r="AC349" s="123">
        <f t="shared" si="188"/>
        <v>0</v>
      </c>
      <c r="AD349" s="123">
        <f t="shared" si="188"/>
        <v>0</v>
      </c>
      <c r="AE349" s="123">
        <f t="shared" si="188"/>
        <v>0</v>
      </c>
      <c r="AF349" s="123">
        <f t="shared" si="188"/>
        <v>0</v>
      </c>
      <c r="AG349" s="123">
        <f t="shared" si="188"/>
        <v>0</v>
      </c>
      <c r="AH349" s="123">
        <f t="shared" si="188"/>
        <v>0</v>
      </c>
      <c r="AI349" s="123">
        <f t="shared" si="188"/>
        <v>0</v>
      </c>
      <c r="AJ349" s="123">
        <f t="shared" si="188"/>
        <v>0</v>
      </c>
      <c r="AK349" s="123">
        <f t="shared" si="188"/>
        <v>0</v>
      </c>
      <c r="AL349" s="123">
        <f t="shared" si="188"/>
        <v>0</v>
      </c>
      <c r="AM349" s="123">
        <f t="shared" si="188"/>
        <v>0</v>
      </c>
      <c r="AN349" s="123">
        <f t="shared" si="188"/>
        <v>0</v>
      </c>
      <c r="AO349" s="123">
        <f t="shared" si="188"/>
        <v>0</v>
      </c>
      <c r="AP349" s="123">
        <f t="shared" si="188"/>
        <v>0</v>
      </c>
      <c r="AQ349" s="123">
        <f t="shared" si="188"/>
        <v>0</v>
      </c>
      <c r="AR349" s="123">
        <f t="shared" si="188"/>
        <v>0</v>
      </c>
      <c r="AS349" s="123">
        <f t="shared" si="188"/>
        <v>0</v>
      </c>
      <c r="AT349" s="123">
        <f t="shared" si="188"/>
        <v>0</v>
      </c>
      <c r="AU349" s="123">
        <f t="shared" si="188"/>
        <v>0</v>
      </c>
      <c r="AV349" s="123">
        <f t="shared" si="188"/>
        <v>0</v>
      </c>
      <c r="AW349" s="123">
        <f t="shared" si="188"/>
        <v>0</v>
      </c>
      <c r="AX349" s="123">
        <f t="shared" si="188"/>
        <v>0</v>
      </c>
      <c r="AY349" s="123">
        <f t="shared" si="188"/>
        <v>0</v>
      </c>
      <c r="AZ349" s="123">
        <f t="shared" si="188"/>
        <v>0</v>
      </c>
      <c r="BA349" s="123">
        <f t="shared" si="188"/>
        <v>0</v>
      </c>
      <c r="BB349" s="123">
        <f t="shared" si="188"/>
        <v>0</v>
      </c>
      <c r="BC349" s="123">
        <f t="shared" si="188"/>
        <v>0</v>
      </c>
      <c r="BD349" s="123">
        <f t="shared" si="188"/>
        <v>0</v>
      </c>
      <c r="BE349" s="123">
        <f t="shared" si="188"/>
        <v>0</v>
      </c>
      <c r="BF349" s="123">
        <f t="shared" si="188"/>
        <v>0</v>
      </c>
      <c r="BG349" s="123">
        <f t="shared" si="188"/>
        <v>0</v>
      </c>
      <c r="BH349" s="123">
        <f t="shared" si="188"/>
        <v>0</v>
      </c>
      <c r="BI349" s="123">
        <f t="shared" si="188"/>
        <v>0</v>
      </c>
      <c r="BJ349" s="124">
        <f t="shared" si="188"/>
        <v>0</v>
      </c>
    </row>
    <row r="350" spans="1:63" s="125" customFormat="1" ht="12.75">
      <c r="A350" s="120" t="s">
        <v>120</v>
      </c>
      <c r="B350" s="211">
        <f t="shared" si="187"/>
        <v>322391074.35696226</v>
      </c>
      <c r="C350" s="122">
        <f>C293*(1+$G285)^(C286-1)</f>
        <v>0</v>
      </c>
      <c r="D350" s="123">
        <f>D293*(1+$G285)^(D286-1)</f>
        <v>0</v>
      </c>
      <c r="E350" s="123">
        <f t="shared" ref="E350:BJ350" si="189">E293*(1+$G285)^(E286-1)</f>
        <v>0</v>
      </c>
      <c r="F350" s="123">
        <f t="shared" si="189"/>
        <v>0</v>
      </c>
      <c r="G350" s="123">
        <f t="shared" si="189"/>
        <v>0</v>
      </c>
      <c r="H350" s="123">
        <f t="shared" si="189"/>
        <v>3614839.4202674231</v>
      </c>
      <c r="I350" s="123">
        <f t="shared" si="189"/>
        <v>7518865.9941562405</v>
      </c>
      <c r="J350" s="123">
        <f t="shared" si="189"/>
        <v>11729430.950883733</v>
      </c>
      <c r="K350" s="123">
        <f t="shared" si="189"/>
        <v>16264810.91855878</v>
      </c>
      <c r="L350" s="123">
        <f t="shared" si="189"/>
        <v>24204606.774855245</v>
      </c>
      <c r="M350" s="123">
        <f t="shared" si="189"/>
        <v>25172791.045849454</v>
      </c>
      <c r="N350" s="123">
        <f t="shared" si="189"/>
        <v>26179702.687683433</v>
      </c>
      <c r="O350" s="123">
        <f t="shared" si="189"/>
        <v>27226890.795190774</v>
      </c>
      <c r="P350" s="123">
        <f t="shared" si="189"/>
        <v>28315966.426998407</v>
      </c>
      <c r="Q350" s="123">
        <f t="shared" si="189"/>
        <v>29448605.084078342</v>
      </c>
      <c r="R350" s="123">
        <f t="shared" si="189"/>
        <v>30626549.287441477</v>
      </c>
      <c r="S350" s="123">
        <f t="shared" si="189"/>
        <v>31851611.25893914</v>
      </c>
      <c r="T350" s="123">
        <f t="shared" si="189"/>
        <v>23149897.507186659</v>
      </c>
      <c r="U350" s="123">
        <f t="shared" si="189"/>
        <v>18056920.055605594</v>
      </c>
      <c r="V350" s="123">
        <f t="shared" si="189"/>
        <v>12519464.571886545</v>
      </c>
      <c r="W350" s="123">
        <f t="shared" si="189"/>
        <v>6510121.5773810036</v>
      </c>
      <c r="X350" s="123">
        <f t="shared" si="189"/>
        <v>0</v>
      </c>
      <c r="Y350" s="123">
        <f t="shared" si="189"/>
        <v>0</v>
      </c>
      <c r="Z350" s="123">
        <f t="shared" si="189"/>
        <v>0</v>
      </c>
      <c r="AA350" s="123">
        <f t="shared" si="189"/>
        <v>0</v>
      </c>
      <c r="AB350" s="123">
        <f t="shared" si="189"/>
        <v>0</v>
      </c>
      <c r="AC350" s="123">
        <f t="shared" si="189"/>
        <v>0</v>
      </c>
      <c r="AD350" s="123">
        <f t="shared" si="189"/>
        <v>0</v>
      </c>
      <c r="AE350" s="123">
        <f t="shared" si="189"/>
        <v>0</v>
      </c>
      <c r="AF350" s="123">
        <f t="shared" si="189"/>
        <v>0</v>
      </c>
      <c r="AG350" s="123">
        <f t="shared" si="189"/>
        <v>0</v>
      </c>
      <c r="AH350" s="123">
        <f t="shared" si="189"/>
        <v>0</v>
      </c>
      <c r="AI350" s="123">
        <f t="shared" si="189"/>
        <v>0</v>
      </c>
      <c r="AJ350" s="123">
        <f t="shared" si="189"/>
        <v>0</v>
      </c>
      <c r="AK350" s="123">
        <f t="shared" si="189"/>
        <v>0</v>
      </c>
      <c r="AL350" s="123">
        <f t="shared" si="189"/>
        <v>0</v>
      </c>
      <c r="AM350" s="123">
        <f t="shared" si="189"/>
        <v>0</v>
      </c>
      <c r="AN350" s="123">
        <f t="shared" si="189"/>
        <v>0</v>
      </c>
      <c r="AO350" s="123">
        <f t="shared" si="189"/>
        <v>0</v>
      </c>
      <c r="AP350" s="123">
        <f t="shared" si="189"/>
        <v>0</v>
      </c>
      <c r="AQ350" s="123">
        <f t="shared" si="189"/>
        <v>0</v>
      </c>
      <c r="AR350" s="123">
        <f t="shared" si="189"/>
        <v>0</v>
      </c>
      <c r="AS350" s="123">
        <f t="shared" si="189"/>
        <v>0</v>
      </c>
      <c r="AT350" s="123">
        <f t="shared" si="189"/>
        <v>0</v>
      </c>
      <c r="AU350" s="123">
        <f t="shared" si="189"/>
        <v>0</v>
      </c>
      <c r="AV350" s="123">
        <f t="shared" si="189"/>
        <v>0</v>
      </c>
      <c r="AW350" s="123">
        <f t="shared" si="189"/>
        <v>0</v>
      </c>
      <c r="AX350" s="123">
        <f t="shared" si="189"/>
        <v>0</v>
      </c>
      <c r="AY350" s="123">
        <f t="shared" si="189"/>
        <v>0</v>
      </c>
      <c r="AZ350" s="123">
        <f t="shared" si="189"/>
        <v>0</v>
      </c>
      <c r="BA350" s="123">
        <f t="shared" si="189"/>
        <v>0</v>
      </c>
      <c r="BB350" s="123">
        <f t="shared" si="189"/>
        <v>0</v>
      </c>
      <c r="BC350" s="123">
        <f t="shared" si="189"/>
        <v>0</v>
      </c>
      <c r="BD350" s="123">
        <f t="shared" si="189"/>
        <v>0</v>
      </c>
      <c r="BE350" s="123">
        <f t="shared" si="189"/>
        <v>0</v>
      </c>
      <c r="BF350" s="123">
        <f t="shared" si="189"/>
        <v>0</v>
      </c>
      <c r="BG350" s="123">
        <f t="shared" si="189"/>
        <v>0</v>
      </c>
      <c r="BH350" s="123">
        <f t="shared" si="189"/>
        <v>0</v>
      </c>
      <c r="BI350" s="123">
        <f t="shared" si="189"/>
        <v>0</v>
      </c>
      <c r="BJ350" s="124">
        <f t="shared" si="189"/>
        <v>0</v>
      </c>
    </row>
    <row r="351" spans="1:63" s="125" customFormat="1" ht="12.75">
      <c r="A351" s="120" t="s">
        <v>121</v>
      </c>
      <c r="B351" s="211">
        <f t="shared" si="187"/>
        <v>77936382.393930182</v>
      </c>
      <c r="C351" s="122">
        <f>C294*(1+$G285)^(C286-1)</f>
        <v>0</v>
      </c>
      <c r="D351" s="123">
        <f>D294*(1+$G285)^(D286-1)</f>
        <v>0</v>
      </c>
      <c r="E351" s="123">
        <f t="shared" ref="E351:BJ351" si="190">E294*(1+$G285)^(E286-1)</f>
        <v>0</v>
      </c>
      <c r="F351" s="123">
        <f t="shared" si="190"/>
        <v>0</v>
      </c>
      <c r="G351" s="123">
        <f t="shared" si="190"/>
        <v>0</v>
      </c>
      <c r="H351" s="123">
        <f t="shared" si="190"/>
        <v>873868.81883298233</v>
      </c>
      <c r="I351" s="123">
        <f t="shared" si="190"/>
        <v>1817647.1431726031</v>
      </c>
      <c r="J351" s="123">
        <f t="shared" si="190"/>
        <v>2835529.5433492605</v>
      </c>
      <c r="K351" s="123">
        <f t="shared" si="190"/>
        <v>3931934.3001109753</v>
      </c>
      <c r="L351" s="123">
        <f t="shared" si="190"/>
        <v>5851339.0702967299</v>
      </c>
      <c r="M351" s="123">
        <f t="shared" si="190"/>
        <v>6085392.6331085991</v>
      </c>
      <c r="N351" s="123">
        <f t="shared" si="190"/>
        <v>6328808.3384329425</v>
      </c>
      <c r="O351" s="123">
        <f t="shared" si="190"/>
        <v>6581960.6719702622</v>
      </c>
      <c r="P351" s="123">
        <f t="shared" si="190"/>
        <v>6845239.0988490721</v>
      </c>
      <c r="Q351" s="123">
        <f t="shared" si="190"/>
        <v>7119048.6628030352</v>
      </c>
      <c r="R351" s="123">
        <f t="shared" si="190"/>
        <v>7403810.6093151569</v>
      </c>
      <c r="S351" s="123">
        <f t="shared" si="190"/>
        <v>7699963.0336877638</v>
      </c>
      <c r="T351" s="123">
        <f t="shared" si="190"/>
        <v>5596368.535013156</v>
      </c>
      <c r="U351" s="123">
        <f t="shared" si="190"/>
        <v>4365167.4573102621</v>
      </c>
      <c r="V351" s="123">
        <f t="shared" si="190"/>
        <v>3026516.1037351149</v>
      </c>
      <c r="W351" s="123">
        <f t="shared" si="190"/>
        <v>1573788.3739422599</v>
      </c>
      <c r="X351" s="123">
        <f t="shared" si="190"/>
        <v>0</v>
      </c>
      <c r="Y351" s="123">
        <f t="shared" si="190"/>
        <v>0</v>
      </c>
      <c r="Z351" s="123">
        <f t="shared" si="190"/>
        <v>0</v>
      </c>
      <c r="AA351" s="123">
        <f t="shared" si="190"/>
        <v>0</v>
      </c>
      <c r="AB351" s="123">
        <f t="shared" si="190"/>
        <v>0</v>
      </c>
      <c r="AC351" s="123">
        <f t="shared" si="190"/>
        <v>0</v>
      </c>
      <c r="AD351" s="123">
        <f t="shared" si="190"/>
        <v>0</v>
      </c>
      <c r="AE351" s="123">
        <f t="shared" si="190"/>
        <v>0</v>
      </c>
      <c r="AF351" s="123">
        <f t="shared" si="190"/>
        <v>0</v>
      </c>
      <c r="AG351" s="123">
        <f t="shared" si="190"/>
        <v>0</v>
      </c>
      <c r="AH351" s="123">
        <f t="shared" si="190"/>
        <v>0</v>
      </c>
      <c r="AI351" s="123">
        <f t="shared" si="190"/>
        <v>0</v>
      </c>
      <c r="AJ351" s="123">
        <f t="shared" si="190"/>
        <v>0</v>
      </c>
      <c r="AK351" s="123">
        <f t="shared" si="190"/>
        <v>0</v>
      </c>
      <c r="AL351" s="123">
        <f t="shared" si="190"/>
        <v>0</v>
      </c>
      <c r="AM351" s="123">
        <f t="shared" si="190"/>
        <v>0</v>
      </c>
      <c r="AN351" s="123">
        <f t="shared" si="190"/>
        <v>0</v>
      </c>
      <c r="AO351" s="123">
        <f t="shared" si="190"/>
        <v>0</v>
      </c>
      <c r="AP351" s="123">
        <f t="shared" si="190"/>
        <v>0</v>
      </c>
      <c r="AQ351" s="123">
        <f t="shared" si="190"/>
        <v>0</v>
      </c>
      <c r="AR351" s="123">
        <f t="shared" si="190"/>
        <v>0</v>
      </c>
      <c r="AS351" s="123">
        <f t="shared" si="190"/>
        <v>0</v>
      </c>
      <c r="AT351" s="123">
        <f t="shared" si="190"/>
        <v>0</v>
      </c>
      <c r="AU351" s="123">
        <f t="shared" si="190"/>
        <v>0</v>
      </c>
      <c r="AV351" s="123">
        <f t="shared" si="190"/>
        <v>0</v>
      </c>
      <c r="AW351" s="123">
        <f t="shared" si="190"/>
        <v>0</v>
      </c>
      <c r="AX351" s="123">
        <f t="shared" si="190"/>
        <v>0</v>
      </c>
      <c r="AY351" s="123">
        <f t="shared" si="190"/>
        <v>0</v>
      </c>
      <c r="AZ351" s="123">
        <f t="shared" si="190"/>
        <v>0</v>
      </c>
      <c r="BA351" s="123">
        <f t="shared" si="190"/>
        <v>0</v>
      </c>
      <c r="BB351" s="123">
        <f t="shared" si="190"/>
        <v>0</v>
      </c>
      <c r="BC351" s="123">
        <f t="shared" si="190"/>
        <v>0</v>
      </c>
      <c r="BD351" s="123">
        <f t="shared" si="190"/>
        <v>0</v>
      </c>
      <c r="BE351" s="123">
        <f t="shared" si="190"/>
        <v>0</v>
      </c>
      <c r="BF351" s="123">
        <f t="shared" si="190"/>
        <v>0</v>
      </c>
      <c r="BG351" s="123">
        <f t="shared" si="190"/>
        <v>0</v>
      </c>
      <c r="BH351" s="123">
        <f t="shared" si="190"/>
        <v>0</v>
      </c>
      <c r="BI351" s="123">
        <f t="shared" si="190"/>
        <v>0</v>
      </c>
      <c r="BJ351" s="124">
        <f t="shared" si="190"/>
        <v>0</v>
      </c>
    </row>
    <row r="352" spans="1:63" s="125" customFormat="1" ht="12.75">
      <c r="A352" s="120" t="s">
        <v>122</v>
      </c>
      <c r="B352" s="211">
        <f t="shared" si="187"/>
        <v>14400955.193595409</v>
      </c>
      <c r="C352" s="122">
        <f>C295*(1+$G285)^(C286-1)</f>
        <v>0</v>
      </c>
      <c r="D352" s="123">
        <f>D295*(1+$G285)^(D286-1)</f>
        <v>0</v>
      </c>
      <c r="E352" s="123">
        <f t="shared" ref="E352:BJ352" si="191">E295*(1+$G285)^(E286-1)</f>
        <v>0</v>
      </c>
      <c r="F352" s="123">
        <f t="shared" si="191"/>
        <v>0</v>
      </c>
      <c r="G352" s="123">
        <f t="shared" si="191"/>
        <v>0</v>
      </c>
      <c r="H352" s="123">
        <f t="shared" si="191"/>
        <v>161472.02780705443</v>
      </c>
      <c r="I352" s="123">
        <f t="shared" si="191"/>
        <v>335861.81783867325</v>
      </c>
      <c r="J352" s="123">
        <f t="shared" si="191"/>
        <v>523944.43582833011</v>
      </c>
      <c r="K352" s="123">
        <f t="shared" si="191"/>
        <v>726536.28434861801</v>
      </c>
      <c r="L352" s="123">
        <f t="shared" si="191"/>
        <v>1081200.7073661673</v>
      </c>
      <c r="M352" s="123">
        <f t="shared" si="191"/>
        <v>1124448.735660814</v>
      </c>
      <c r="N352" s="123">
        <f t="shared" si="191"/>
        <v>1169426.6850872464</v>
      </c>
      <c r="O352" s="123">
        <f t="shared" si="191"/>
        <v>1216203.7524907365</v>
      </c>
      <c r="P352" s="123">
        <f t="shared" si="191"/>
        <v>1264851.9025903661</v>
      </c>
      <c r="Q352" s="123">
        <f t="shared" si="191"/>
        <v>1315445.9786939807</v>
      </c>
      <c r="R352" s="123">
        <f t="shared" si="191"/>
        <v>1368063.8178417399</v>
      </c>
      <c r="S352" s="123">
        <f t="shared" si="191"/>
        <v>1422786.3705554097</v>
      </c>
      <c r="T352" s="123">
        <f t="shared" si="191"/>
        <v>1034087.6756662029</v>
      </c>
      <c r="U352" s="123">
        <f t="shared" si="191"/>
        <v>806588.38701963832</v>
      </c>
      <c r="V352" s="123">
        <f t="shared" si="191"/>
        <v>559234.61500028265</v>
      </c>
      <c r="W352" s="123">
        <f t="shared" si="191"/>
        <v>290801.99980014696</v>
      </c>
      <c r="X352" s="123">
        <f t="shared" si="191"/>
        <v>0</v>
      </c>
      <c r="Y352" s="123">
        <f t="shared" si="191"/>
        <v>0</v>
      </c>
      <c r="Z352" s="123">
        <f t="shared" si="191"/>
        <v>0</v>
      </c>
      <c r="AA352" s="123">
        <f t="shared" si="191"/>
        <v>0</v>
      </c>
      <c r="AB352" s="123">
        <f t="shared" si="191"/>
        <v>0</v>
      </c>
      <c r="AC352" s="123">
        <f t="shared" si="191"/>
        <v>0</v>
      </c>
      <c r="AD352" s="123">
        <f t="shared" si="191"/>
        <v>0</v>
      </c>
      <c r="AE352" s="123">
        <f t="shared" si="191"/>
        <v>0</v>
      </c>
      <c r="AF352" s="123">
        <f t="shared" si="191"/>
        <v>0</v>
      </c>
      <c r="AG352" s="123">
        <f t="shared" si="191"/>
        <v>0</v>
      </c>
      <c r="AH352" s="123">
        <f t="shared" si="191"/>
        <v>0</v>
      </c>
      <c r="AI352" s="123">
        <f t="shared" si="191"/>
        <v>0</v>
      </c>
      <c r="AJ352" s="123">
        <f t="shared" si="191"/>
        <v>0</v>
      </c>
      <c r="AK352" s="123">
        <f t="shared" si="191"/>
        <v>0</v>
      </c>
      <c r="AL352" s="123">
        <f t="shared" si="191"/>
        <v>0</v>
      </c>
      <c r="AM352" s="123">
        <f t="shared" si="191"/>
        <v>0</v>
      </c>
      <c r="AN352" s="123">
        <f t="shared" si="191"/>
        <v>0</v>
      </c>
      <c r="AO352" s="123">
        <f t="shared" si="191"/>
        <v>0</v>
      </c>
      <c r="AP352" s="123">
        <f t="shared" si="191"/>
        <v>0</v>
      </c>
      <c r="AQ352" s="123">
        <f t="shared" si="191"/>
        <v>0</v>
      </c>
      <c r="AR352" s="123">
        <f t="shared" si="191"/>
        <v>0</v>
      </c>
      <c r="AS352" s="123">
        <f t="shared" si="191"/>
        <v>0</v>
      </c>
      <c r="AT352" s="123">
        <f t="shared" si="191"/>
        <v>0</v>
      </c>
      <c r="AU352" s="123">
        <f t="shared" si="191"/>
        <v>0</v>
      </c>
      <c r="AV352" s="123">
        <f t="shared" si="191"/>
        <v>0</v>
      </c>
      <c r="AW352" s="123">
        <f t="shared" si="191"/>
        <v>0</v>
      </c>
      <c r="AX352" s="123">
        <f t="shared" si="191"/>
        <v>0</v>
      </c>
      <c r="AY352" s="123">
        <f t="shared" si="191"/>
        <v>0</v>
      </c>
      <c r="AZ352" s="123">
        <f t="shared" si="191"/>
        <v>0</v>
      </c>
      <c r="BA352" s="123">
        <f t="shared" si="191"/>
        <v>0</v>
      </c>
      <c r="BB352" s="123">
        <f t="shared" si="191"/>
        <v>0</v>
      </c>
      <c r="BC352" s="123">
        <f t="shared" si="191"/>
        <v>0</v>
      </c>
      <c r="BD352" s="123">
        <f t="shared" si="191"/>
        <v>0</v>
      </c>
      <c r="BE352" s="123">
        <f t="shared" si="191"/>
        <v>0</v>
      </c>
      <c r="BF352" s="123">
        <f t="shared" si="191"/>
        <v>0</v>
      </c>
      <c r="BG352" s="123">
        <f t="shared" si="191"/>
        <v>0</v>
      </c>
      <c r="BH352" s="123">
        <f t="shared" si="191"/>
        <v>0</v>
      </c>
      <c r="BI352" s="123">
        <f t="shared" si="191"/>
        <v>0</v>
      </c>
      <c r="BJ352" s="124">
        <f t="shared" si="191"/>
        <v>0</v>
      </c>
    </row>
    <row r="353" spans="1:64" s="116" customFormat="1">
      <c r="A353" s="212" t="s">
        <v>123</v>
      </c>
      <c r="B353" s="197">
        <f t="shared" si="187"/>
        <v>64220115.723463491</v>
      </c>
      <c r="C353" s="133">
        <f>C296*(1+$G285)^(C286-1)</f>
        <v>11856774.594211664</v>
      </c>
      <c r="D353" s="134">
        <f>D296*(1+$G285)^(D286-1)</f>
        <v>12331045.577980131</v>
      </c>
      <c r="E353" s="134">
        <f t="shared" ref="E353:BJ353" si="192">E296*(1+$G285)^(E286-1)</f>
        <v>12824287.401099337</v>
      </c>
      <c r="F353" s="134">
        <f t="shared" si="192"/>
        <v>13337258.89714331</v>
      </c>
      <c r="G353" s="134">
        <f t="shared" si="192"/>
        <v>13870749.253029045</v>
      </c>
      <c r="H353" s="134">
        <f t="shared" si="192"/>
        <v>0</v>
      </c>
      <c r="I353" s="134">
        <f t="shared" si="192"/>
        <v>0</v>
      </c>
      <c r="J353" s="134">
        <f t="shared" si="192"/>
        <v>0</v>
      </c>
      <c r="K353" s="134">
        <f t="shared" si="192"/>
        <v>0</v>
      </c>
      <c r="L353" s="134">
        <f t="shared" si="192"/>
        <v>0</v>
      </c>
      <c r="M353" s="134">
        <f t="shared" si="192"/>
        <v>0</v>
      </c>
      <c r="N353" s="134">
        <f t="shared" si="192"/>
        <v>0</v>
      </c>
      <c r="O353" s="134">
        <f t="shared" si="192"/>
        <v>0</v>
      </c>
      <c r="P353" s="134">
        <f t="shared" si="192"/>
        <v>0</v>
      </c>
      <c r="Q353" s="134">
        <f t="shared" si="192"/>
        <v>0</v>
      </c>
      <c r="R353" s="134">
        <f t="shared" si="192"/>
        <v>0</v>
      </c>
      <c r="S353" s="134">
        <f t="shared" si="192"/>
        <v>0</v>
      </c>
      <c r="T353" s="134">
        <f t="shared" si="192"/>
        <v>0</v>
      </c>
      <c r="U353" s="134">
        <f t="shared" si="192"/>
        <v>0</v>
      </c>
      <c r="V353" s="134">
        <f t="shared" si="192"/>
        <v>0</v>
      </c>
      <c r="W353" s="134">
        <f t="shared" si="192"/>
        <v>0</v>
      </c>
      <c r="X353" s="134">
        <f t="shared" si="192"/>
        <v>0</v>
      </c>
      <c r="Y353" s="134">
        <f t="shared" si="192"/>
        <v>0</v>
      </c>
      <c r="Z353" s="134">
        <f t="shared" si="192"/>
        <v>0</v>
      </c>
      <c r="AA353" s="134">
        <f t="shared" si="192"/>
        <v>0</v>
      </c>
      <c r="AB353" s="134">
        <f t="shared" si="192"/>
        <v>0</v>
      </c>
      <c r="AC353" s="134">
        <f t="shared" si="192"/>
        <v>0</v>
      </c>
      <c r="AD353" s="134">
        <f t="shared" si="192"/>
        <v>0</v>
      </c>
      <c r="AE353" s="134">
        <f t="shared" si="192"/>
        <v>0</v>
      </c>
      <c r="AF353" s="134">
        <f t="shared" si="192"/>
        <v>0</v>
      </c>
      <c r="AG353" s="134">
        <f t="shared" si="192"/>
        <v>0</v>
      </c>
      <c r="AH353" s="134">
        <f t="shared" si="192"/>
        <v>0</v>
      </c>
      <c r="AI353" s="134">
        <f t="shared" si="192"/>
        <v>0</v>
      </c>
      <c r="AJ353" s="134">
        <f t="shared" si="192"/>
        <v>0</v>
      </c>
      <c r="AK353" s="134">
        <f t="shared" si="192"/>
        <v>0</v>
      </c>
      <c r="AL353" s="134">
        <f t="shared" si="192"/>
        <v>0</v>
      </c>
      <c r="AM353" s="134">
        <f t="shared" si="192"/>
        <v>0</v>
      </c>
      <c r="AN353" s="134">
        <f t="shared" si="192"/>
        <v>0</v>
      </c>
      <c r="AO353" s="134">
        <f t="shared" si="192"/>
        <v>0</v>
      </c>
      <c r="AP353" s="134">
        <f t="shared" si="192"/>
        <v>0</v>
      </c>
      <c r="AQ353" s="134">
        <f t="shared" si="192"/>
        <v>0</v>
      </c>
      <c r="AR353" s="134">
        <f t="shared" si="192"/>
        <v>0</v>
      </c>
      <c r="AS353" s="134">
        <f t="shared" si="192"/>
        <v>0</v>
      </c>
      <c r="AT353" s="134">
        <f t="shared" si="192"/>
        <v>0</v>
      </c>
      <c r="AU353" s="134">
        <f t="shared" si="192"/>
        <v>0</v>
      </c>
      <c r="AV353" s="134">
        <f t="shared" si="192"/>
        <v>0</v>
      </c>
      <c r="AW353" s="134">
        <f t="shared" si="192"/>
        <v>0</v>
      </c>
      <c r="AX353" s="134">
        <f t="shared" si="192"/>
        <v>0</v>
      </c>
      <c r="AY353" s="134">
        <f t="shared" si="192"/>
        <v>0</v>
      </c>
      <c r="AZ353" s="134">
        <f t="shared" si="192"/>
        <v>0</v>
      </c>
      <c r="BA353" s="134">
        <f t="shared" si="192"/>
        <v>0</v>
      </c>
      <c r="BB353" s="134">
        <f t="shared" si="192"/>
        <v>0</v>
      </c>
      <c r="BC353" s="134">
        <f t="shared" si="192"/>
        <v>0</v>
      </c>
      <c r="BD353" s="134">
        <f t="shared" si="192"/>
        <v>0</v>
      </c>
      <c r="BE353" s="134">
        <f t="shared" si="192"/>
        <v>0</v>
      </c>
      <c r="BF353" s="134">
        <f t="shared" si="192"/>
        <v>0</v>
      </c>
      <c r="BG353" s="134">
        <f t="shared" si="192"/>
        <v>0</v>
      </c>
      <c r="BH353" s="134">
        <f t="shared" si="192"/>
        <v>0</v>
      </c>
      <c r="BI353" s="134">
        <f t="shared" si="192"/>
        <v>0</v>
      </c>
      <c r="BJ353" s="135">
        <f t="shared" si="192"/>
        <v>0</v>
      </c>
    </row>
    <row r="354" spans="1:64" s="105" customFormat="1" ht="22.5" customHeight="1">
      <c r="A354" s="131" t="s">
        <v>124</v>
      </c>
      <c r="B354" s="132">
        <f t="shared" si="187"/>
        <v>4682046189.9041357</v>
      </c>
      <c r="C354" s="133">
        <f>C345-C347-C348-C353</f>
        <v>2394156.4084465858</v>
      </c>
      <c r="D354" s="134">
        <f>D345-D347-D348-D353</f>
        <v>3082761.3944950346</v>
      </c>
      <c r="E354" s="134">
        <f t="shared" ref="E354:BJ354" si="193">E345-E347-E348-E353</f>
        <v>3206071.8502748348</v>
      </c>
      <c r="F354" s="134">
        <f t="shared" si="193"/>
        <v>3334314.7242858298</v>
      </c>
      <c r="G354" s="134">
        <f t="shared" si="193"/>
        <v>3467687.3132572621</v>
      </c>
      <c r="H354" s="134">
        <f t="shared" si="193"/>
        <v>52324244.429032527</v>
      </c>
      <c r="I354" s="134">
        <f t="shared" si="193"/>
        <v>108834428.41238767</v>
      </c>
      <c r="J354" s="134">
        <f t="shared" si="193"/>
        <v>169781708.32332477</v>
      </c>
      <c r="K354" s="134">
        <f t="shared" si="193"/>
        <v>235430635.541677</v>
      </c>
      <c r="L354" s="134">
        <f t="shared" si="193"/>
        <v>350357958.94425893</v>
      </c>
      <c r="M354" s="134">
        <f t="shared" si="193"/>
        <v>364372277.30202925</v>
      </c>
      <c r="N354" s="134">
        <f t="shared" si="193"/>
        <v>378947168.39411044</v>
      </c>
      <c r="O354" s="134">
        <f t="shared" si="193"/>
        <v>394105055.12987489</v>
      </c>
      <c r="P354" s="134">
        <f t="shared" si="193"/>
        <v>409869257.33506989</v>
      </c>
      <c r="Q354" s="134">
        <f t="shared" si="193"/>
        <v>426264027.62847275</v>
      </c>
      <c r="R354" s="134">
        <f t="shared" si="193"/>
        <v>443314588.73361158</v>
      </c>
      <c r="S354" s="134">
        <f t="shared" si="193"/>
        <v>461047172.28295612</v>
      </c>
      <c r="T354" s="134">
        <f t="shared" si="193"/>
        <v>335091204.57236642</v>
      </c>
      <c r="U354" s="134">
        <f t="shared" si="193"/>
        <v>261371139.56644589</v>
      </c>
      <c r="V354" s="134">
        <f t="shared" si="193"/>
        <v>181217323.43273577</v>
      </c>
      <c r="W354" s="134">
        <f t="shared" si="193"/>
        <v>94233008.185022593</v>
      </c>
      <c r="X354" s="134">
        <f t="shared" si="193"/>
        <v>0</v>
      </c>
      <c r="Y354" s="134">
        <f t="shared" si="193"/>
        <v>0</v>
      </c>
      <c r="Z354" s="134">
        <f t="shared" si="193"/>
        <v>0</v>
      </c>
      <c r="AA354" s="134">
        <f t="shared" si="193"/>
        <v>0</v>
      </c>
      <c r="AB354" s="134">
        <f t="shared" si="193"/>
        <v>0</v>
      </c>
      <c r="AC354" s="134">
        <f t="shared" si="193"/>
        <v>0</v>
      </c>
      <c r="AD354" s="134">
        <f t="shared" si="193"/>
        <v>0</v>
      </c>
      <c r="AE354" s="134">
        <f t="shared" si="193"/>
        <v>0</v>
      </c>
      <c r="AF354" s="134">
        <f t="shared" si="193"/>
        <v>0</v>
      </c>
      <c r="AG354" s="134">
        <f t="shared" si="193"/>
        <v>0</v>
      </c>
      <c r="AH354" s="134">
        <f t="shared" si="193"/>
        <v>0</v>
      </c>
      <c r="AI354" s="134">
        <f t="shared" si="193"/>
        <v>0</v>
      </c>
      <c r="AJ354" s="134">
        <f t="shared" si="193"/>
        <v>0</v>
      </c>
      <c r="AK354" s="134">
        <f t="shared" si="193"/>
        <v>0</v>
      </c>
      <c r="AL354" s="134">
        <f t="shared" si="193"/>
        <v>0</v>
      </c>
      <c r="AM354" s="134">
        <f t="shared" si="193"/>
        <v>0</v>
      </c>
      <c r="AN354" s="134">
        <f t="shared" si="193"/>
        <v>0</v>
      </c>
      <c r="AO354" s="134">
        <f t="shared" si="193"/>
        <v>0</v>
      </c>
      <c r="AP354" s="134">
        <f t="shared" si="193"/>
        <v>0</v>
      </c>
      <c r="AQ354" s="134">
        <f t="shared" si="193"/>
        <v>0</v>
      </c>
      <c r="AR354" s="134">
        <f t="shared" si="193"/>
        <v>0</v>
      </c>
      <c r="AS354" s="134">
        <f t="shared" si="193"/>
        <v>0</v>
      </c>
      <c r="AT354" s="134">
        <f t="shared" si="193"/>
        <v>0</v>
      </c>
      <c r="AU354" s="134">
        <f t="shared" si="193"/>
        <v>0</v>
      </c>
      <c r="AV354" s="134">
        <f t="shared" si="193"/>
        <v>0</v>
      </c>
      <c r="AW354" s="134">
        <f t="shared" si="193"/>
        <v>0</v>
      </c>
      <c r="AX354" s="134">
        <f t="shared" si="193"/>
        <v>0</v>
      </c>
      <c r="AY354" s="134">
        <f t="shared" si="193"/>
        <v>0</v>
      </c>
      <c r="AZ354" s="134">
        <f t="shared" si="193"/>
        <v>0</v>
      </c>
      <c r="BA354" s="134">
        <f t="shared" si="193"/>
        <v>0</v>
      </c>
      <c r="BB354" s="134">
        <f t="shared" si="193"/>
        <v>0</v>
      </c>
      <c r="BC354" s="134">
        <f t="shared" si="193"/>
        <v>0</v>
      </c>
      <c r="BD354" s="134">
        <f t="shared" si="193"/>
        <v>0</v>
      </c>
      <c r="BE354" s="134">
        <f t="shared" si="193"/>
        <v>0</v>
      </c>
      <c r="BF354" s="134">
        <f t="shared" si="193"/>
        <v>0</v>
      </c>
      <c r="BG354" s="134">
        <f t="shared" si="193"/>
        <v>0</v>
      </c>
      <c r="BH354" s="134">
        <f t="shared" si="193"/>
        <v>0</v>
      </c>
      <c r="BI354" s="134">
        <f t="shared" si="193"/>
        <v>0</v>
      </c>
      <c r="BJ354" s="135">
        <f t="shared" si="193"/>
        <v>0</v>
      </c>
      <c r="BK354" s="109"/>
      <c r="BL354" s="109"/>
    </row>
    <row r="355" spans="1:64" s="116" customFormat="1">
      <c r="A355" s="136" t="s">
        <v>125</v>
      </c>
      <c r="B355" s="137">
        <f t="shared" ref="B355:G355" si="194">SUM(B356:B359)</f>
        <v>267717260.37150487</v>
      </c>
      <c r="C355" s="113">
        <f t="shared" si="194"/>
        <v>37193949.410236254</v>
      </c>
      <c r="D355" s="114">
        <f t="shared" si="194"/>
        <v>41731414.861442029</v>
      </c>
      <c r="E355" s="114">
        <f t="shared" si="194"/>
        <v>60479208.130390368</v>
      </c>
      <c r="F355" s="114">
        <f t="shared" si="194"/>
        <v>62898376.455605976</v>
      </c>
      <c r="G355" s="114">
        <f t="shared" si="194"/>
        <v>65414311.51383023</v>
      </c>
      <c r="H355" s="114"/>
      <c r="I355" s="114"/>
      <c r="J355" s="114"/>
      <c r="K355" s="114"/>
      <c r="L355" s="114"/>
      <c r="M355" s="114"/>
      <c r="N355" s="114"/>
      <c r="O355" s="114"/>
      <c r="P355" s="114"/>
      <c r="Q355" s="114"/>
      <c r="R355" s="114"/>
      <c r="S355" s="114"/>
      <c r="T355" s="114"/>
      <c r="U355" s="114"/>
      <c r="V355" s="114"/>
      <c r="W355" s="114"/>
      <c r="X355" s="114"/>
      <c r="Y355" s="114"/>
      <c r="Z355" s="114"/>
      <c r="AA355" s="114"/>
      <c r="AB355" s="114"/>
      <c r="AC355" s="114"/>
      <c r="AD355" s="114"/>
      <c r="AE355" s="114"/>
      <c r="AF355" s="114"/>
      <c r="AG355" s="114"/>
      <c r="AH355" s="114"/>
      <c r="AI355" s="114"/>
      <c r="AJ355" s="114"/>
      <c r="AK355" s="114"/>
      <c r="AL355" s="114"/>
      <c r="AM355" s="114"/>
      <c r="AN355" s="114"/>
      <c r="AO355" s="114"/>
      <c r="AP355" s="114"/>
      <c r="AQ355" s="114"/>
      <c r="AR355" s="114"/>
      <c r="AS355" s="114"/>
      <c r="AT355" s="114"/>
      <c r="AU355" s="114"/>
      <c r="AV355" s="114"/>
      <c r="AW355" s="114"/>
      <c r="AX355" s="114"/>
      <c r="AY355" s="114"/>
      <c r="AZ355" s="114"/>
      <c r="BA355" s="114"/>
      <c r="BB355" s="114"/>
      <c r="BC355" s="114"/>
      <c r="BD355" s="114"/>
      <c r="BE355" s="114"/>
      <c r="BF355" s="114"/>
      <c r="BG355" s="114"/>
      <c r="BH355" s="114"/>
      <c r="BI355" s="114"/>
      <c r="BJ355" s="115"/>
    </row>
    <row r="356" spans="1:64" s="143" customFormat="1" ht="12.75">
      <c r="A356" s="138" t="s">
        <v>126</v>
      </c>
      <c r="B356" s="139">
        <f>SUM(C356:BJ356)</f>
        <v>64110364.311337672</v>
      </c>
      <c r="C356" s="140">
        <f>C299*(1+$G285)^(C286-1)</f>
        <v>0</v>
      </c>
      <c r="D356" s="141">
        <f>D299*(1+$G285)^(D286-1)</f>
        <v>0</v>
      </c>
      <c r="E356" s="141">
        <f>E299*(1+$G285)^(E286-1)</f>
        <v>20537661.555400331</v>
      </c>
      <c r="F356" s="141">
        <f>F299*(1+$G285)^(F286-1)</f>
        <v>21359168.017616343</v>
      </c>
      <c r="G356" s="141">
        <f>G299*(1+$G285)^(G286-1)</f>
        <v>22213534.738320999</v>
      </c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  <c r="AH356" s="141"/>
      <c r="AI356" s="141"/>
      <c r="AJ356" s="141"/>
      <c r="AK356" s="141"/>
      <c r="AL356" s="141"/>
      <c r="AM356" s="141"/>
      <c r="AN356" s="141"/>
      <c r="AO356" s="141"/>
      <c r="AP356" s="141"/>
      <c r="AQ356" s="141"/>
      <c r="AR356" s="141"/>
      <c r="AS356" s="141"/>
      <c r="AT356" s="141"/>
      <c r="AU356" s="141"/>
      <c r="AV356" s="141"/>
      <c r="AW356" s="141"/>
      <c r="AX356" s="141"/>
      <c r="AY356" s="141"/>
      <c r="AZ356" s="141"/>
      <c r="BA356" s="141"/>
      <c r="BB356" s="141"/>
      <c r="BC356" s="141"/>
      <c r="BD356" s="141"/>
      <c r="BE356" s="141"/>
      <c r="BF356" s="141"/>
      <c r="BG356" s="141"/>
      <c r="BH356" s="141"/>
      <c r="BI356" s="141"/>
      <c r="BJ356" s="142"/>
      <c r="BK356" s="141"/>
      <c r="BL356" s="141"/>
    </row>
    <row r="357" spans="1:64" s="143" customFormat="1" ht="12.75">
      <c r="A357" s="138" t="s">
        <v>127</v>
      </c>
      <c r="B357" s="139">
        <f>SUM(C357:BJ357)</f>
        <v>9003526.8266666681</v>
      </c>
      <c r="C357" s="140">
        <f>C300*(1+$G285)^(C286-1)</f>
        <v>0</v>
      </c>
      <c r="D357" s="141">
        <f>D300*(1+$G285)^(D286-1)</f>
        <v>0</v>
      </c>
      <c r="E357" s="141">
        <f>E300*(1+$G285)^(E286-1)</f>
        <v>2884266.666666667</v>
      </c>
      <c r="F357" s="141">
        <f>F300*(1+$G285)^(F286-1)</f>
        <v>2999637.3333333335</v>
      </c>
      <c r="G357" s="141">
        <f>G300*(1+$G285)^(G286-1)</f>
        <v>3119622.8266666671</v>
      </c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  <c r="AH357" s="141"/>
      <c r="AI357" s="141"/>
      <c r="AJ357" s="141"/>
      <c r="AK357" s="141"/>
      <c r="AL357" s="141"/>
      <c r="AM357" s="141"/>
      <c r="AN357" s="141"/>
      <c r="AO357" s="141"/>
      <c r="AP357" s="141"/>
      <c r="AQ357" s="141"/>
      <c r="AR357" s="141"/>
      <c r="AS357" s="141"/>
      <c r="AT357" s="141"/>
      <c r="AU357" s="141"/>
      <c r="AV357" s="141"/>
      <c r="AW357" s="141"/>
      <c r="AX357" s="141"/>
      <c r="AY357" s="141"/>
      <c r="AZ357" s="141"/>
      <c r="BA357" s="141"/>
      <c r="BB357" s="141"/>
      <c r="BC357" s="141"/>
      <c r="BD357" s="141"/>
      <c r="BE357" s="141"/>
      <c r="BF357" s="141"/>
      <c r="BG357" s="141"/>
      <c r="BH357" s="141"/>
      <c r="BI357" s="141"/>
      <c r="BJ357" s="142"/>
      <c r="BK357" s="141"/>
      <c r="BL357" s="141"/>
    </row>
    <row r="358" spans="1:64" s="143" customFormat="1" ht="12.75">
      <c r="A358" s="138" t="s">
        <v>128</v>
      </c>
      <c r="B358" s="139">
        <f>SUM(C358:BJ358)</f>
        <v>185571543.2504499</v>
      </c>
      <c r="C358" s="140">
        <f>C301*(1+$G285)^(C286-1)</f>
        <v>34261538.37677826</v>
      </c>
      <c r="D358" s="141">
        <f>D301*(1+$G285)^(D286-1)</f>
        <v>35631999.911849394</v>
      </c>
      <c r="E358" s="141">
        <f>E301*(1+$G285)^(E286-1)</f>
        <v>37057279.90832337</v>
      </c>
      <c r="F358" s="141">
        <f>F301*(1+$G285)^(F286-1)</f>
        <v>38539571.104656301</v>
      </c>
      <c r="G358" s="141">
        <f>G301*(1+$G285)^(G286-1)</f>
        <v>40081153.948842563</v>
      </c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  <c r="AH358" s="141"/>
      <c r="AI358" s="141"/>
      <c r="AJ358" s="141"/>
      <c r="AK358" s="141"/>
      <c r="AL358" s="141"/>
      <c r="AM358" s="141"/>
      <c r="AN358" s="141"/>
      <c r="AO358" s="141"/>
      <c r="AP358" s="141"/>
      <c r="AQ358" s="141"/>
      <c r="AR358" s="141"/>
      <c r="AS358" s="141"/>
      <c r="AT358" s="141"/>
      <c r="AU358" s="141"/>
      <c r="AV358" s="141"/>
      <c r="AW358" s="141"/>
      <c r="AX358" s="141"/>
      <c r="AY358" s="141"/>
      <c r="AZ358" s="141"/>
      <c r="BA358" s="141"/>
      <c r="BB358" s="141"/>
      <c r="BC358" s="141"/>
      <c r="BD358" s="141"/>
      <c r="BE358" s="141"/>
      <c r="BF358" s="141"/>
      <c r="BG358" s="141"/>
      <c r="BH358" s="141"/>
      <c r="BI358" s="141"/>
      <c r="BJ358" s="142"/>
      <c r="BK358" s="141"/>
      <c r="BL358" s="141"/>
    </row>
    <row r="359" spans="1:64" s="143" customFormat="1" ht="12.75">
      <c r="A359" s="138" t="s">
        <v>129</v>
      </c>
      <c r="B359" s="139">
        <f>SUM(C359:BJ359)</f>
        <v>9031825.9830506314</v>
      </c>
      <c r="C359" s="140">
        <f>C302*(1+$G285)^(C286-1)</f>
        <v>2932411.0334579973</v>
      </c>
      <c r="D359" s="141">
        <f>D302*(1+$G285)^(D286-1)</f>
        <v>6099414.9495926341</v>
      </c>
      <c r="E359" s="141">
        <f>E302*(1+$G285)^(E286-1)</f>
        <v>0</v>
      </c>
      <c r="F359" s="141">
        <f>F302*(1+$G285)^(F286-1)</f>
        <v>0</v>
      </c>
      <c r="G359" s="141">
        <f>G302*(1+$G285)^(G286-1)</f>
        <v>0</v>
      </c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  <c r="AH359" s="141"/>
      <c r="AI359" s="141"/>
      <c r="AJ359" s="141"/>
      <c r="AK359" s="141"/>
      <c r="AL359" s="141"/>
      <c r="AM359" s="141"/>
      <c r="AN359" s="141"/>
      <c r="AO359" s="141"/>
      <c r="AP359" s="141"/>
      <c r="AQ359" s="141"/>
      <c r="AR359" s="141"/>
      <c r="AS359" s="141"/>
      <c r="AT359" s="141"/>
      <c r="AU359" s="141"/>
      <c r="AV359" s="141"/>
      <c r="AW359" s="141"/>
      <c r="AX359" s="141"/>
      <c r="AY359" s="141"/>
      <c r="AZ359" s="141"/>
      <c r="BA359" s="141"/>
      <c r="BB359" s="141"/>
      <c r="BC359" s="141"/>
      <c r="BD359" s="141"/>
      <c r="BE359" s="141"/>
      <c r="BF359" s="141"/>
      <c r="BG359" s="141"/>
      <c r="BH359" s="141"/>
      <c r="BI359" s="141"/>
      <c r="BJ359" s="142"/>
      <c r="BK359" s="141"/>
      <c r="BL359" s="141"/>
    </row>
    <row r="360" spans="1:64" s="116" customFormat="1">
      <c r="A360" s="111" t="s">
        <v>130</v>
      </c>
      <c r="B360" s="137">
        <f>SUM(B361:B364)</f>
        <v>500496862.75735718</v>
      </c>
      <c r="C360" s="117">
        <f>SUM(C361:C364)</f>
        <v>1239798.3136745419</v>
      </c>
      <c r="D360" s="118">
        <f>SUM(D361:D364)</f>
        <v>2680437.4082695912</v>
      </c>
      <c r="E360" s="118">
        <f t="shared" ref="E360:BJ360" si="195">SUM(E361:E364)</f>
        <v>4803628.5089467205</v>
      </c>
      <c r="F360" s="118">
        <f t="shared" si="195"/>
        <v>7092386.1978247892</v>
      </c>
      <c r="G360" s="118">
        <f t="shared" si="195"/>
        <v>9556558.6961987875</v>
      </c>
      <c r="H360" s="118">
        <f t="shared" si="195"/>
        <v>9938821.044046741</v>
      </c>
      <c r="I360" s="118">
        <f t="shared" si="195"/>
        <v>10336373.885808609</v>
      </c>
      <c r="J360" s="118">
        <f t="shared" si="195"/>
        <v>10749828.841240954</v>
      </c>
      <c r="K360" s="118">
        <f t="shared" si="195"/>
        <v>11179821.994890595</v>
      </c>
      <c r="L360" s="118">
        <f t="shared" si="195"/>
        <v>11627014.874686217</v>
      </c>
      <c r="M360" s="118">
        <f t="shared" si="195"/>
        <v>12092095.469673669</v>
      </c>
      <c r="N360" s="118">
        <f t="shared" si="195"/>
        <v>12575779.288460612</v>
      </c>
      <c r="O360" s="118">
        <f t="shared" si="195"/>
        <v>13078810.45999904</v>
      </c>
      <c r="P360" s="118">
        <f t="shared" si="195"/>
        <v>13601962.878399003</v>
      </c>
      <c r="Q360" s="118">
        <f t="shared" si="195"/>
        <v>14146041.393534962</v>
      </c>
      <c r="R360" s="118">
        <f t="shared" si="195"/>
        <v>14711883.049276363</v>
      </c>
      <c r="S360" s="118">
        <f t="shared" si="195"/>
        <v>15300358.371247416</v>
      </c>
      <c r="T360" s="118">
        <f t="shared" si="195"/>
        <v>15912372.706097316</v>
      </c>
      <c r="U360" s="118">
        <f t="shared" si="195"/>
        <v>16548867.614341209</v>
      </c>
      <c r="V360" s="118">
        <f t="shared" si="195"/>
        <v>17210822.318914857</v>
      </c>
      <c r="W360" s="118">
        <f t="shared" si="195"/>
        <v>17899255.211671449</v>
      </c>
      <c r="X360" s="118">
        <f t="shared" si="195"/>
        <v>18615225.420138314</v>
      </c>
      <c r="Y360" s="118">
        <f t="shared" si="195"/>
        <v>19359834.436943844</v>
      </c>
      <c r="Z360" s="118">
        <f t="shared" si="195"/>
        <v>20134227.814421598</v>
      </c>
      <c r="AA360" s="118">
        <f t="shared" si="195"/>
        <v>20939596.926998463</v>
      </c>
      <c r="AB360" s="118">
        <f t="shared" si="195"/>
        <v>21777180.804078408</v>
      </c>
      <c r="AC360" s="118">
        <f t="shared" si="195"/>
        <v>22648268.036241539</v>
      </c>
      <c r="AD360" s="118">
        <f t="shared" si="195"/>
        <v>23554198.757691201</v>
      </c>
      <c r="AE360" s="118">
        <f t="shared" si="195"/>
        <v>24496366.707998857</v>
      </c>
      <c r="AF360" s="118">
        <f t="shared" si="195"/>
        <v>25476221.376318809</v>
      </c>
      <c r="AG360" s="118">
        <f t="shared" si="195"/>
        <v>22474111.467863202</v>
      </c>
      <c r="AH360" s="118">
        <f t="shared" si="195"/>
        <v>18861357.024860155</v>
      </c>
      <c r="AI360" s="118">
        <f t="shared" si="195"/>
        <v>13077207.537236374</v>
      </c>
      <c r="AJ360" s="118">
        <f t="shared" si="195"/>
        <v>6800147.9193629147</v>
      </c>
      <c r="AK360" s="118">
        <f t="shared" si="195"/>
        <v>0</v>
      </c>
      <c r="AL360" s="118">
        <f t="shared" si="195"/>
        <v>0</v>
      </c>
      <c r="AM360" s="118">
        <f t="shared" si="195"/>
        <v>0</v>
      </c>
      <c r="AN360" s="118">
        <f t="shared" si="195"/>
        <v>0</v>
      </c>
      <c r="AO360" s="118">
        <f t="shared" si="195"/>
        <v>0</v>
      </c>
      <c r="AP360" s="118">
        <f t="shared" si="195"/>
        <v>0</v>
      </c>
      <c r="AQ360" s="118">
        <f t="shared" si="195"/>
        <v>0</v>
      </c>
      <c r="AR360" s="118">
        <f t="shared" si="195"/>
        <v>0</v>
      </c>
      <c r="AS360" s="118">
        <f t="shared" si="195"/>
        <v>0</v>
      </c>
      <c r="AT360" s="118">
        <f t="shared" si="195"/>
        <v>0</v>
      </c>
      <c r="AU360" s="118">
        <f t="shared" si="195"/>
        <v>0</v>
      </c>
      <c r="AV360" s="118">
        <f t="shared" si="195"/>
        <v>0</v>
      </c>
      <c r="AW360" s="118">
        <f t="shared" si="195"/>
        <v>0</v>
      </c>
      <c r="AX360" s="118">
        <f t="shared" si="195"/>
        <v>0</v>
      </c>
      <c r="AY360" s="118">
        <f t="shared" si="195"/>
        <v>0</v>
      </c>
      <c r="AZ360" s="118">
        <f t="shared" si="195"/>
        <v>0</v>
      </c>
      <c r="BA360" s="118">
        <f t="shared" si="195"/>
        <v>0</v>
      </c>
      <c r="BB360" s="118">
        <f t="shared" si="195"/>
        <v>0</v>
      </c>
      <c r="BC360" s="118">
        <f t="shared" si="195"/>
        <v>0</v>
      </c>
      <c r="BD360" s="118">
        <f t="shared" si="195"/>
        <v>0</v>
      </c>
      <c r="BE360" s="118">
        <f t="shared" si="195"/>
        <v>0</v>
      </c>
      <c r="BF360" s="118">
        <f t="shared" si="195"/>
        <v>0</v>
      </c>
      <c r="BG360" s="118">
        <f t="shared" si="195"/>
        <v>0</v>
      </c>
      <c r="BH360" s="118">
        <f t="shared" si="195"/>
        <v>0</v>
      </c>
      <c r="BI360" s="118">
        <f t="shared" si="195"/>
        <v>0</v>
      </c>
      <c r="BJ360" s="119">
        <f t="shared" si="195"/>
        <v>0</v>
      </c>
      <c r="BK360" s="118"/>
      <c r="BL360" s="118"/>
    </row>
    <row r="361" spans="1:64" s="143" customFormat="1" ht="12.75">
      <c r="A361" s="138" t="s">
        <v>126</v>
      </c>
      <c r="B361" s="139">
        <f>SUM(C361:BJ361)</f>
        <v>119854193.05251114</v>
      </c>
      <c r="C361" s="140">
        <f>C304*(1+$G285)^(C286-1)</f>
        <v>0</v>
      </c>
      <c r="D361" s="141">
        <f t="shared" ref="D361:AJ361" si="196">D304*(1+$G285)^(D286-1)</f>
        <v>0</v>
      </c>
      <c r="E361" s="141">
        <f t="shared" si="196"/>
        <v>684588.7185133443</v>
      </c>
      <c r="F361" s="141">
        <f t="shared" si="196"/>
        <v>1423944.5345077561</v>
      </c>
      <c r="G361" s="141">
        <f t="shared" si="196"/>
        <v>2221353.4738320997</v>
      </c>
      <c r="H361" s="141">
        <f t="shared" si="196"/>
        <v>2310207.6127853841</v>
      </c>
      <c r="I361" s="141">
        <f t="shared" si="196"/>
        <v>2402615.9172967994</v>
      </c>
      <c r="J361" s="141">
        <f t="shared" si="196"/>
        <v>2498720.5539886714</v>
      </c>
      <c r="K361" s="141">
        <f t="shared" si="196"/>
        <v>2598669.3761482188</v>
      </c>
      <c r="L361" s="141">
        <f t="shared" si="196"/>
        <v>2702616.1511941478</v>
      </c>
      <c r="M361" s="141">
        <f t="shared" si="196"/>
        <v>2810720.7972419136</v>
      </c>
      <c r="N361" s="141">
        <f t="shared" si="196"/>
        <v>2923149.6291315896</v>
      </c>
      <c r="O361" s="141">
        <f t="shared" si="196"/>
        <v>3040075.614296854</v>
      </c>
      <c r="P361" s="141">
        <f t="shared" si="196"/>
        <v>3161678.6388687282</v>
      </c>
      <c r="Q361" s="141">
        <f t="shared" si="196"/>
        <v>3288145.7844234775</v>
      </c>
      <c r="R361" s="141">
        <f t="shared" si="196"/>
        <v>3419671.6158004166</v>
      </c>
      <c r="S361" s="141">
        <f t="shared" si="196"/>
        <v>3556458.4804324335</v>
      </c>
      <c r="T361" s="141">
        <f t="shared" si="196"/>
        <v>3698716.8196497313</v>
      </c>
      <c r="U361" s="141">
        <f t="shared" si="196"/>
        <v>3846665.4924357207</v>
      </c>
      <c r="V361" s="141">
        <f t="shared" si="196"/>
        <v>4000532.1121331495</v>
      </c>
      <c r="W361" s="141">
        <f t="shared" si="196"/>
        <v>4160553.3966184757</v>
      </c>
      <c r="X361" s="141">
        <f t="shared" si="196"/>
        <v>4326975.5324832154</v>
      </c>
      <c r="Y361" s="141">
        <f t="shared" si="196"/>
        <v>4500054.5537825441</v>
      </c>
      <c r="Z361" s="141">
        <f t="shared" si="196"/>
        <v>4680056.7359338449</v>
      </c>
      <c r="AA361" s="141">
        <f t="shared" si="196"/>
        <v>4867259.0053711999</v>
      </c>
      <c r="AB361" s="141">
        <f t="shared" si="196"/>
        <v>5061949.3655860489</v>
      </c>
      <c r="AC361" s="141">
        <f t="shared" si="196"/>
        <v>5264427.3402094897</v>
      </c>
      <c r="AD361" s="141">
        <f t="shared" si="196"/>
        <v>5475004.43381787</v>
      </c>
      <c r="AE361" s="141">
        <f t="shared" si="196"/>
        <v>5694004.6111705853</v>
      </c>
      <c r="AF361" s="141">
        <f t="shared" si="196"/>
        <v>5921764.7956174091</v>
      </c>
      <c r="AG361" s="141">
        <f t="shared" si="196"/>
        <v>6158635.3874421045</v>
      </c>
      <c r="AH361" s="141">
        <f t="shared" si="196"/>
        <v>6404980.8029397894</v>
      </c>
      <c r="AI361" s="141">
        <f t="shared" si="196"/>
        <v>4440786.6900382545</v>
      </c>
      <c r="AJ361" s="141">
        <f t="shared" si="196"/>
        <v>2309209.0788198924</v>
      </c>
      <c r="AK361" s="141"/>
      <c r="AL361" s="141"/>
      <c r="AM361" s="141"/>
      <c r="AN361" s="141"/>
      <c r="AO361" s="141"/>
      <c r="AP361" s="141"/>
      <c r="AQ361" s="141"/>
      <c r="AR361" s="141"/>
      <c r="AS361" s="141"/>
      <c r="AT361" s="141"/>
      <c r="AU361" s="141"/>
      <c r="AV361" s="141"/>
      <c r="AW361" s="141"/>
      <c r="AX361" s="141"/>
      <c r="AY361" s="141"/>
      <c r="AZ361" s="141"/>
      <c r="BA361" s="141"/>
      <c r="BB361" s="141"/>
      <c r="BC361" s="141"/>
      <c r="BD361" s="141"/>
      <c r="BE361" s="141"/>
      <c r="BF361" s="141"/>
      <c r="BG361" s="141"/>
      <c r="BH361" s="141"/>
      <c r="BI361" s="141"/>
      <c r="BJ361" s="142"/>
      <c r="BK361" s="141"/>
      <c r="BL361" s="141"/>
    </row>
    <row r="362" spans="1:64" s="143" customFormat="1" ht="12.75">
      <c r="A362" s="138" t="s">
        <v>127</v>
      </c>
      <c r="B362" s="139">
        <f>SUM(C362:BJ362)</f>
        <v>16832074.720341802</v>
      </c>
      <c r="C362" s="140">
        <f>C305*(1+$G285)^(C286-1)</f>
        <v>0</v>
      </c>
      <c r="D362" s="141">
        <f t="shared" ref="D362:AJ362" si="197">D305*(1+$G285)^(D286-1)</f>
        <v>0</v>
      </c>
      <c r="E362" s="141">
        <f t="shared" si="197"/>
        <v>96142.222222222234</v>
      </c>
      <c r="F362" s="141">
        <f t="shared" si="197"/>
        <v>199975.82222222225</v>
      </c>
      <c r="G362" s="141">
        <f t="shared" si="197"/>
        <v>311962.28266666672</v>
      </c>
      <c r="H362" s="141">
        <f t="shared" si="197"/>
        <v>324440.77397333347</v>
      </c>
      <c r="I362" s="141">
        <f t="shared" si="197"/>
        <v>337418.4049322668</v>
      </c>
      <c r="J362" s="141">
        <f t="shared" si="197"/>
        <v>350915.14112955745</v>
      </c>
      <c r="K362" s="141">
        <f t="shared" si="197"/>
        <v>364951.74677473976</v>
      </c>
      <c r="L362" s="141">
        <f t="shared" si="197"/>
        <v>379549.81664572941</v>
      </c>
      <c r="M362" s="141">
        <f t="shared" si="197"/>
        <v>394731.80931155861</v>
      </c>
      <c r="N362" s="141">
        <f t="shared" si="197"/>
        <v>410521.08168402087</v>
      </c>
      <c r="O362" s="141">
        <f t="shared" si="197"/>
        <v>426941.92495138181</v>
      </c>
      <c r="P362" s="141">
        <f t="shared" si="197"/>
        <v>444019.60194943711</v>
      </c>
      <c r="Q362" s="141">
        <f t="shared" si="197"/>
        <v>461780.38602741458</v>
      </c>
      <c r="R362" s="141">
        <f t="shared" si="197"/>
        <v>480251.60146851116</v>
      </c>
      <c r="S362" s="141">
        <f t="shared" si="197"/>
        <v>499461.66552725167</v>
      </c>
      <c r="T362" s="141">
        <f t="shared" si="197"/>
        <v>519440.1321483418</v>
      </c>
      <c r="U362" s="141">
        <f t="shared" si="197"/>
        <v>540217.73743427556</v>
      </c>
      <c r="V362" s="141">
        <f t="shared" si="197"/>
        <v>561826.44693164655</v>
      </c>
      <c r="W362" s="141">
        <f t="shared" si="197"/>
        <v>584299.5048089124</v>
      </c>
      <c r="X362" s="141">
        <f t="shared" si="197"/>
        <v>607671.48500126903</v>
      </c>
      <c r="Y362" s="141">
        <f t="shared" si="197"/>
        <v>631978.34440131974</v>
      </c>
      <c r="Z362" s="141">
        <f t="shared" si="197"/>
        <v>657257.47817737248</v>
      </c>
      <c r="AA362" s="141">
        <f t="shared" si="197"/>
        <v>683547.7773044674</v>
      </c>
      <c r="AB362" s="141">
        <f t="shared" si="197"/>
        <v>710889.68839664629</v>
      </c>
      <c r="AC362" s="141">
        <f t="shared" si="197"/>
        <v>739325.27593251201</v>
      </c>
      <c r="AD362" s="141">
        <f t="shared" si="197"/>
        <v>768898.28696981259</v>
      </c>
      <c r="AE362" s="141">
        <f t="shared" si="197"/>
        <v>799654.21844860527</v>
      </c>
      <c r="AF362" s="141">
        <f t="shared" si="197"/>
        <v>831640.38718654949</v>
      </c>
      <c r="AG362" s="141">
        <f t="shared" si="197"/>
        <v>864906.0026740114</v>
      </c>
      <c r="AH362" s="141">
        <f t="shared" si="197"/>
        <v>899502.24278097181</v>
      </c>
      <c r="AI362" s="141">
        <f t="shared" si="197"/>
        <v>623654.88832814049</v>
      </c>
      <c r="AJ362" s="141">
        <f t="shared" si="197"/>
        <v>324300.54193063307</v>
      </c>
      <c r="AK362" s="141"/>
      <c r="AL362" s="141"/>
      <c r="AM362" s="141"/>
      <c r="AN362" s="141"/>
      <c r="AO362" s="141"/>
      <c r="AP362" s="141"/>
      <c r="AQ362" s="141"/>
      <c r="AR362" s="141"/>
      <c r="AS362" s="141"/>
      <c r="AT362" s="141"/>
      <c r="AU362" s="141"/>
      <c r="AV362" s="141"/>
      <c r="AW362" s="141"/>
      <c r="AX362" s="141"/>
      <c r="AY362" s="141"/>
      <c r="AZ362" s="141"/>
      <c r="BA362" s="141"/>
      <c r="BB362" s="141"/>
      <c r="BC362" s="141"/>
      <c r="BD362" s="141"/>
      <c r="BE362" s="141"/>
      <c r="BF362" s="141"/>
      <c r="BG362" s="141"/>
      <c r="BH362" s="141"/>
      <c r="BI362" s="141"/>
      <c r="BJ362" s="142"/>
      <c r="BK362" s="141"/>
      <c r="BL362" s="141"/>
    </row>
    <row r="363" spans="1:64" s="143" customFormat="1" ht="12.75">
      <c r="A363" s="138" t="s">
        <v>128</v>
      </c>
      <c r="B363" s="139">
        <f>SUM(C363:BJ363)</f>
        <v>346925615.05002272</v>
      </c>
      <c r="C363" s="140">
        <f>C306*(1+$G285)^(C286-1)</f>
        <v>1142051.279225942</v>
      </c>
      <c r="D363" s="141">
        <f t="shared" ref="D363:AJ363" si="198">D306*(1+$G285)^(D286-1)</f>
        <v>2375466.6607899596</v>
      </c>
      <c r="E363" s="141">
        <f t="shared" si="198"/>
        <v>3705727.9908323372</v>
      </c>
      <c r="F363" s="141">
        <f t="shared" si="198"/>
        <v>5138609.4806208406</v>
      </c>
      <c r="G363" s="141">
        <f t="shared" si="198"/>
        <v>6680192.3248070925</v>
      </c>
      <c r="H363" s="141">
        <f t="shared" si="198"/>
        <v>6947400.0177993774</v>
      </c>
      <c r="I363" s="141">
        <f t="shared" si="198"/>
        <v>7225296.0185113521</v>
      </c>
      <c r="J363" s="141">
        <f t="shared" si="198"/>
        <v>7514307.8592518056</v>
      </c>
      <c r="K363" s="141">
        <f t="shared" si="198"/>
        <v>7814880.1736218799</v>
      </c>
      <c r="L363" s="141">
        <f t="shared" si="198"/>
        <v>8127475.3805667553</v>
      </c>
      <c r="M363" s="141">
        <f t="shared" si="198"/>
        <v>8452574.3957894258</v>
      </c>
      <c r="N363" s="141">
        <f t="shared" si="198"/>
        <v>8790677.3716210015</v>
      </c>
      <c r="O363" s="141">
        <f t="shared" si="198"/>
        <v>9142304.4664858431</v>
      </c>
      <c r="P363" s="141">
        <f t="shared" si="198"/>
        <v>9507996.6451452784</v>
      </c>
      <c r="Q363" s="141">
        <f t="shared" si="198"/>
        <v>9888316.5109510887</v>
      </c>
      <c r="R363" s="141">
        <f t="shared" si="198"/>
        <v>10283849.171389133</v>
      </c>
      <c r="S363" s="141">
        <f t="shared" si="198"/>
        <v>10695203.1382447</v>
      </c>
      <c r="T363" s="141">
        <f t="shared" si="198"/>
        <v>11123011.263774488</v>
      </c>
      <c r="U363" s="141">
        <f t="shared" si="198"/>
        <v>11567931.714325469</v>
      </c>
      <c r="V363" s="141">
        <f t="shared" si="198"/>
        <v>12030648.982898487</v>
      </c>
      <c r="W363" s="141">
        <f t="shared" si="198"/>
        <v>12511874.942214426</v>
      </c>
      <c r="X363" s="141">
        <f t="shared" si="198"/>
        <v>13012349.939903006</v>
      </c>
      <c r="Y363" s="141">
        <f t="shared" si="198"/>
        <v>13532843.937499126</v>
      </c>
      <c r="Z363" s="141">
        <f t="shared" si="198"/>
        <v>14074157.694999089</v>
      </c>
      <c r="AA363" s="141">
        <f t="shared" si="198"/>
        <v>14637124.002799055</v>
      </c>
      <c r="AB363" s="141">
        <f t="shared" si="198"/>
        <v>15222608.962911021</v>
      </c>
      <c r="AC363" s="141">
        <f t="shared" si="198"/>
        <v>15831513.321427459</v>
      </c>
      <c r="AD363" s="141">
        <f t="shared" si="198"/>
        <v>16464773.854284558</v>
      </c>
      <c r="AE363" s="141">
        <f t="shared" si="198"/>
        <v>17123364.808455944</v>
      </c>
      <c r="AF363" s="141">
        <f t="shared" si="198"/>
        <v>17808299.400794182</v>
      </c>
      <c r="AG363" s="141">
        <f t="shared" si="198"/>
        <v>14816505.101460759</v>
      </c>
      <c r="AH363" s="141">
        <f t="shared" si="198"/>
        <v>11556873.979139393</v>
      </c>
      <c r="AI363" s="141">
        <f t="shared" si="198"/>
        <v>8012765.9588699797</v>
      </c>
      <c r="AJ363" s="141">
        <f t="shared" si="198"/>
        <v>4166638.2986123892</v>
      </c>
      <c r="AK363" s="141"/>
      <c r="AL363" s="141"/>
      <c r="AM363" s="141"/>
      <c r="AN363" s="141"/>
      <c r="AO363" s="141"/>
      <c r="AP363" s="141"/>
      <c r="AQ363" s="141"/>
      <c r="AR363" s="141"/>
      <c r="AS363" s="141"/>
      <c r="AT363" s="141"/>
      <c r="AU363" s="141"/>
      <c r="AV363" s="141"/>
      <c r="AW363" s="141"/>
      <c r="AX363" s="141"/>
      <c r="AY363" s="141"/>
      <c r="AZ363" s="141"/>
      <c r="BA363" s="141"/>
      <c r="BB363" s="141"/>
      <c r="BC363" s="141"/>
      <c r="BD363" s="141"/>
      <c r="BE363" s="141"/>
      <c r="BF363" s="141"/>
      <c r="BG363" s="141"/>
      <c r="BH363" s="141"/>
      <c r="BI363" s="141"/>
      <c r="BJ363" s="142"/>
      <c r="BK363" s="141"/>
      <c r="BL363" s="141"/>
    </row>
    <row r="364" spans="1:64" s="143" customFormat="1" ht="12.75">
      <c r="A364" s="138" t="s">
        <v>129</v>
      </c>
      <c r="B364" s="139">
        <f>SUM(C364:BJ364)</f>
        <v>16884979.934481524</v>
      </c>
      <c r="C364" s="140">
        <f>C307*(1+$G285)^(C286-1)</f>
        <v>97747.034448599909</v>
      </c>
      <c r="D364" s="141">
        <f t="shared" ref="D364:AJ364" si="199">D307*(1+$G285)^(D286-1)</f>
        <v>304970.74747963174</v>
      </c>
      <c r="E364" s="141">
        <f t="shared" si="199"/>
        <v>317169.57737881702</v>
      </c>
      <c r="F364" s="141">
        <f t="shared" si="199"/>
        <v>329856.36047396966</v>
      </c>
      <c r="G364" s="141">
        <f t="shared" si="199"/>
        <v>343050.61489292851</v>
      </c>
      <c r="H364" s="141">
        <f t="shared" si="199"/>
        <v>356772.63948864571</v>
      </c>
      <c r="I364" s="141">
        <f t="shared" si="199"/>
        <v>371043.54506819154</v>
      </c>
      <c r="J364" s="141">
        <f t="shared" si="199"/>
        <v>385885.28687091917</v>
      </c>
      <c r="K364" s="141">
        <f t="shared" si="199"/>
        <v>401320.69834575598</v>
      </c>
      <c r="L364" s="141">
        <f t="shared" si="199"/>
        <v>417373.52627958625</v>
      </c>
      <c r="M364" s="141">
        <f t="shared" si="199"/>
        <v>434068.46733076969</v>
      </c>
      <c r="N364" s="141">
        <f t="shared" si="199"/>
        <v>451431.20602400048</v>
      </c>
      <c r="O364" s="141">
        <f t="shared" si="199"/>
        <v>469488.4542649606</v>
      </c>
      <c r="P364" s="141">
        <f t="shared" si="199"/>
        <v>488267.99243555899</v>
      </c>
      <c r="Q364" s="141">
        <f t="shared" si="199"/>
        <v>507798.71213298134</v>
      </c>
      <c r="R364" s="141">
        <f t="shared" si="199"/>
        <v>528110.66061830055</v>
      </c>
      <c r="S364" s="141">
        <f t="shared" si="199"/>
        <v>549235.08704303275</v>
      </c>
      <c r="T364" s="141">
        <f t="shared" si="199"/>
        <v>571204.49052475404</v>
      </c>
      <c r="U364" s="141">
        <f t="shared" si="199"/>
        <v>594052.67014574423</v>
      </c>
      <c r="V364" s="141">
        <f t="shared" si="199"/>
        <v>617814.77695157402</v>
      </c>
      <c r="W364" s="141">
        <f t="shared" si="199"/>
        <v>642527.36802963703</v>
      </c>
      <c r="X364" s="141">
        <f t="shared" si="199"/>
        <v>668228.46275082265</v>
      </c>
      <c r="Y364" s="141">
        <f t="shared" si="199"/>
        <v>694957.60126085556</v>
      </c>
      <c r="Z364" s="141">
        <f t="shared" si="199"/>
        <v>722755.90531128971</v>
      </c>
      <c r="AA364" s="141">
        <f t="shared" si="199"/>
        <v>751666.1415237413</v>
      </c>
      <c r="AB364" s="141">
        <f t="shared" si="199"/>
        <v>781732.78718469117</v>
      </c>
      <c r="AC364" s="141">
        <f t="shared" si="199"/>
        <v>813002.09867207869</v>
      </c>
      <c r="AD364" s="141">
        <f t="shared" si="199"/>
        <v>845522.1826189619</v>
      </c>
      <c r="AE364" s="141">
        <f t="shared" si="199"/>
        <v>879343.06992372056</v>
      </c>
      <c r="AF364" s="141">
        <f t="shared" si="199"/>
        <v>914516.79272066941</v>
      </c>
      <c r="AG364" s="141">
        <f t="shared" si="199"/>
        <v>634064.97628633073</v>
      </c>
      <c r="AH364" s="141">
        <f t="shared" si="199"/>
        <v>0</v>
      </c>
      <c r="AI364" s="141">
        <f t="shared" si="199"/>
        <v>0</v>
      </c>
      <c r="AJ364" s="141">
        <f t="shared" si="199"/>
        <v>0</v>
      </c>
      <c r="AK364" s="141"/>
      <c r="AL364" s="141"/>
      <c r="AM364" s="141"/>
      <c r="AN364" s="141"/>
      <c r="AO364" s="141"/>
      <c r="AP364" s="141"/>
      <c r="AQ364" s="141"/>
      <c r="AR364" s="141"/>
      <c r="AS364" s="141"/>
      <c r="AT364" s="141"/>
      <c r="AU364" s="141"/>
      <c r="AV364" s="141"/>
      <c r="AW364" s="141"/>
      <c r="AX364" s="141"/>
      <c r="AY364" s="141"/>
      <c r="AZ364" s="141"/>
      <c r="BA364" s="141"/>
      <c r="BB364" s="141"/>
      <c r="BC364" s="141"/>
      <c r="BD364" s="141"/>
      <c r="BE364" s="141"/>
      <c r="BF364" s="141"/>
      <c r="BG364" s="141"/>
      <c r="BH364" s="141"/>
      <c r="BI364" s="141"/>
      <c r="BJ364" s="142"/>
      <c r="BK364" s="141"/>
      <c r="BL364" s="141"/>
    </row>
    <row r="365" spans="1:64" s="148" customFormat="1">
      <c r="A365" s="111" t="s">
        <v>131</v>
      </c>
      <c r="B365" s="144"/>
      <c r="C365" s="140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  <c r="AH365" s="146"/>
      <c r="AI365" s="146"/>
      <c r="AJ365" s="146"/>
      <c r="AK365" s="146"/>
      <c r="AL365" s="146"/>
      <c r="AM365" s="146"/>
      <c r="AN365" s="146"/>
      <c r="AO365" s="146"/>
      <c r="AP365" s="146"/>
      <c r="AQ365" s="146"/>
      <c r="AR365" s="146"/>
      <c r="AS365" s="146"/>
      <c r="AT365" s="146"/>
      <c r="AU365" s="146"/>
      <c r="AV365" s="146"/>
      <c r="AW365" s="146"/>
      <c r="AX365" s="146"/>
      <c r="AY365" s="146"/>
      <c r="AZ365" s="146"/>
      <c r="BA365" s="146"/>
      <c r="BB365" s="146"/>
      <c r="BC365" s="146"/>
      <c r="BD365" s="146"/>
      <c r="BE365" s="146"/>
      <c r="BF365" s="146"/>
      <c r="BG365" s="146"/>
      <c r="BH365" s="146"/>
      <c r="BI365" s="146"/>
      <c r="BJ365" s="147"/>
      <c r="BK365" s="146"/>
      <c r="BL365" s="146"/>
    </row>
    <row r="366" spans="1:64" s="153" customFormat="1" ht="12.75">
      <c r="A366" s="138" t="s">
        <v>126</v>
      </c>
      <c r="B366" s="144"/>
      <c r="C366" s="140">
        <f>C309*(1+$G285)^(C286-1)</f>
        <v>0</v>
      </c>
      <c r="D366" s="141">
        <f t="shared" ref="D366:AJ366" si="200">D309*(1+$G285)^(D286-1)</f>
        <v>0</v>
      </c>
      <c r="E366" s="141">
        <f t="shared" si="200"/>
        <v>60928395.947687648</v>
      </c>
      <c r="F366" s="141">
        <f t="shared" si="200"/>
        <v>61941587.25108739</v>
      </c>
      <c r="G366" s="141">
        <f t="shared" si="200"/>
        <v>62197897.267298795</v>
      </c>
      <c r="H366" s="141">
        <f t="shared" si="200"/>
        <v>62375605.54520537</v>
      </c>
      <c r="I366" s="141">
        <f t="shared" si="200"/>
        <v>62468013.849716783</v>
      </c>
      <c r="J366" s="141">
        <f t="shared" si="200"/>
        <v>62468013.849716775</v>
      </c>
      <c r="K366" s="141">
        <f t="shared" si="200"/>
        <v>62368065.027557239</v>
      </c>
      <c r="L366" s="141">
        <f t="shared" si="200"/>
        <v>62160171.477465384</v>
      </c>
      <c r="M366" s="141">
        <f t="shared" si="200"/>
        <v>61835857.539322086</v>
      </c>
      <c r="N366" s="141">
        <f t="shared" si="200"/>
        <v>61386142.211763375</v>
      </c>
      <c r="O366" s="141">
        <f t="shared" si="200"/>
        <v>60801512.285937063</v>
      </c>
      <c r="P366" s="141">
        <f t="shared" si="200"/>
        <v>60071894.138505824</v>
      </c>
      <c r="Q366" s="141">
        <f t="shared" si="200"/>
        <v>59186624.119622573</v>
      </c>
      <c r="R366" s="141">
        <f t="shared" si="200"/>
        <v>58134417.468607061</v>
      </c>
      <c r="S366" s="141">
        <f t="shared" si="200"/>
        <v>56903335.686918914</v>
      </c>
      <c r="T366" s="141">
        <f t="shared" si="200"/>
        <v>55480752.294745944</v>
      </c>
      <c r="U366" s="141">
        <f t="shared" si="200"/>
        <v>53853316.894100063</v>
      </c>
      <c r="V366" s="141">
        <f t="shared" si="200"/>
        <v>52006917.457730912</v>
      </c>
      <c r="W366" s="141">
        <f t="shared" si="200"/>
        <v>49926640.759421676</v>
      </c>
      <c r="X366" s="141">
        <f t="shared" si="200"/>
        <v>47596730.857315339</v>
      </c>
      <c r="Y366" s="141">
        <f t="shared" si="200"/>
        <v>45000545.537825406</v>
      </c>
      <c r="Z366" s="141">
        <f t="shared" si="200"/>
        <v>42120510.62340457</v>
      </c>
      <c r="AA366" s="141">
        <f t="shared" si="200"/>
        <v>38938072.042969555</v>
      </c>
      <c r="AB366" s="141">
        <f t="shared" si="200"/>
        <v>35433645.559102289</v>
      </c>
      <c r="AC366" s="141">
        <f t="shared" si="200"/>
        <v>31586564.04125689</v>
      </c>
      <c r="AD366" s="141">
        <f t="shared" si="200"/>
        <v>27375022.169089295</v>
      </c>
      <c r="AE366" s="141">
        <f t="shared" si="200"/>
        <v>22776018.444682285</v>
      </c>
      <c r="AF366" s="141">
        <f t="shared" si="200"/>
        <v>17765294.386852171</v>
      </c>
      <c r="AG366" s="141">
        <f t="shared" si="200"/>
        <v>12317270.774884151</v>
      </c>
      <c r="AH366" s="141">
        <f t="shared" si="200"/>
        <v>6404980.8029397279</v>
      </c>
      <c r="AI366" s="141">
        <f t="shared" si="200"/>
        <v>2220393.3450190634</v>
      </c>
      <c r="AJ366" s="141">
        <f t="shared" si="200"/>
        <v>-6.6257483685419538E-8</v>
      </c>
      <c r="AK366" s="151"/>
      <c r="AL366" s="151"/>
      <c r="AM366" s="151"/>
      <c r="AN366" s="151"/>
      <c r="AO366" s="151"/>
      <c r="AP366" s="151"/>
      <c r="AQ366" s="151"/>
      <c r="AR366" s="151"/>
      <c r="AS366" s="151"/>
      <c r="AT366" s="151"/>
      <c r="AU366" s="151"/>
      <c r="AV366" s="151"/>
      <c r="AW366" s="151"/>
      <c r="AX366" s="151"/>
      <c r="AY366" s="151"/>
      <c r="AZ366" s="151"/>
      <c r="BA366" s="151"/>
      <c r="BB366" s="151"/>
      <c r="BC366" s="151"/>
      <c r="BD366" s="151"/>
      <c r="BE366" s="151"/>
      <c r="BF366" s="151"/>
      <c r="BG366" s="151"/>
      <c r="BH366" s="151"/>
      <c r="BI366" s="151"/>
      <c r="BJ366" s="152"/>
      <c r="BK366" s="151"/>
      <c r="BL366" s="151"/>
    </row>
    <row r="367" spans="1:64" s="153" customFormat="1" ht="12.75">
      <c r="A367" s="138" t="s">
        <v>127</v>
      </c>
      <c r="B367" s="144"/>
      <c r="C367" s="140">
        <f>C310*(1+$G285)^(C286-1)</f>
        <v>0</v>
      </c>
      <c r="D367" s="141">
        <f t="shared" ref="D367:AJ367" si="201">D310*(1+$G285)^(D286-1)</f>
        <v>0</v>
      </c>
      <c r="E367" s="141">
        <f t="shared" si="201"/>
        <v>8556657.777777778</v>
      </c>
      <c r="F367" s="141">
        <f t="shared" si="201"/>
        <v>8698948.2666666675</v>
      </c>
      <c r="G367" s="141">
        <f t="shared" si="201"/>
        <v>8734943.9146666676</v>
      </c>
      <c r="H367" s="141">
        <f t="shared" si="201"/>
        <v>8759900.897280002</v>
      </c>
      <c r="I367" s="141">
        <f t="shared" si="201"/>
        <v>8772878.5282389335</v>
      </c>
      <c r="J367" s="141">
        <f t="shared" si="201"/>
        <v>8772878.5282389335</v>
      </c>
      <c r="K367" s="141">
        <f t="shared" si="201"/>
        <v>8758841.9225937519</v>
      </c>
      <c r="L367" s="141">
        <f t="shared" si="201"/>
        <v>8729645.7828517724</v>
      </c>
      <c r="M367" s="141">
        <f t="shared" si="201"/>
        <v>8684099.804854285</v>
      </c>
      <c r="N367" s="141">
        <f t="shared" si="201"/>
        <v>8620942.7153644338</v>
      </c>
      <c r="O367" s="141">
        <f t="shared" si="201"/>
        <v>8538838.4990276303</v>
      </c>
      <c r="P367" s="141">
        <f t="shared" si="201"/>
        <v>8436372.4370392989</v>
      </c>
      <c r="Q367" s="141">
        <f t="shared" si="201"/>
        <v>8312046.9484934555</v>
      </c>
      <c r="R367" s="141">
        <f t="shared" si="201"/>
        <v>8164277.224964682</v>
      </c>
      <c r="S367" s="141">
        <f t="shared" si="201"/>
        <v>7991386.6484360183</v>
      </c>
      <c r="T367" s="141">
        <f t="shared" si="201"/>
        <v>7791601.9822251182</v>
      </c>
      <c r="U367" s="141">
        <f t="shared" si="201"/>
        <v>7563048.3240798488</v>
      </c>
      <c r="V367" s="141">
        <f t="shared" si="201"/>
        <v>7303743.810111396</v>
      </c>
      <c r="W367" s="141">
        <f t="shared" si="201"/>
        <v>7011594.05770694</v>
      </c>
      <c r="X367" s="141">
        <f t="shared" si="201"/>
        <v>6684386.3350139502</v>
      </c>
      <c r="Y367" s="141">
        <f t="shared" si="201"/>
        <v>6319783.4440131886</v>
      </c>
      <c r="Z367" s="141">
        <f t="shared" si="201"/>
        <v>5915317.3035963438</v>
      </c>
      <c r="AA367" s="141">
        <f t="shared" si="201"/>
        <v>5468382.2184357308</v>
      </c>
      <c r="AB367" s="141">
        <f t="shared" si="201"/>
        <v>4976227.8187765153</v>
      </c>
      <c r="AC367" s="141">
        <f t="shared" si="201"/>
        <v>4435951.6555950632</v>
      </c>
      <c r="AD367" s="141">
        <f t="shared" si="201"/>
        <v>3844491.4348490527</v>
      </c>
      <c r="AE367" s="141">
        <f t="shared" si="201"/>
        <v>3198616.8737944104</v>
      </c>
      <c r="AF367" s="141">
        <f t="shared" si="201"/>
        <v>2494921.1615596372</v>
      </c>
      <c r="AG367" s="141">
        <f t="shared" si="201"/>
        <v>1729812.0053480109</v>
      </c>
      <c r="AH367" s="141">
        <f t="shared" si="201"/>
        <v>899502.2427809597</v>
      </c>
      <c r="AI367" s="141">
        <f t="shared" si="201"/>
        <v>311827.44416405761</v>
      </c>
      <c r="AJ367" s="141">
        <f t="shared" si="201"/>
        <v>-1.3113460312739285E-8</v>
      </c>
      <c r="AK367" s="151"/>
      <c r="AL367" s="151"/>
      <c r="AM367" s="151"/>
      <c r="AN367" s="151"/>
      <c r="AO367" s="151"/>
      <c r="AP367" s="151"/>
      <c r="AQ367" s="151"/>
      <c r="AR367" s="151"/>
      <c r="AS367" s="151"/>
      <c r="AT367" s="151"/>
      <c r="AU367" s="151"/>
      <c r="AV367" s="151"/>
      <c r="AW367" s="151"/>
      <c r="AX367" s="151"/>
      <c r="AY367" s="151"/>
      <c r="AZ367" s="151"/>
      <c r="BA367" s="151"/>
      <c r="BB367" s="151"/>
      <c r="BC367" s="151"/>
      <c r="BD367" s="151"/>
      <c r="BE367" s="151"/>
      <c r="BF367" s="151"/>
      <c r="BG367" s="151"/>
      <c r="BH367" s="151"/>
      <c r="BI367" s="151"/>
      <c r="BJ367" s="152"/>
      <c r="BK367" s="151"/>
      <c r="BL367" s="151"/>
    </row>
    <row r="368" spans="1:64" s="153" customFormat="1" ht="12.75">
      <c r="A368" s="138" t="s">
        <v>128</v>
      </c>
      <c r="B368" s="144"/>
      <c r="C368" s="140">
        <f>C311*(1+$G285)^(C286-1)</f>
        <v>170165640.60466534</v>
      </c>
      <c r="D368" s="141">
        <f t="shared" ref="D368:AJ368" si="202">D311*(1+$G285)^(D286-1)</f>
        <v>174596799.56806198</v>
      </c>
      <c r="E368" s="141">
        <f t="shared" si="202"/>
        <v>177874943.55995214</v>
      </c>
      <c r="F368" s="141">
        <f t="shared" si="202"/>
        <v>179851331.82172936</v>
      </c>
      <c r="G368" s="141">
        <f t="shared" si="202"/>
        <v>180365192.76979148</v>
      </c>
      <c r="H368" s="141">
        <f t="shared" si="202"/>
        <v>180632400.46278378</v>
      </c>
      <c r="I368" s="141">
        <f t="shared" si="202"/>
        <v>180632400.46278381</v>
      </c>
      <c r="J368" s="141">
        <f t="shared" si="202"/>
        <v>180343388.62204334</v>
      </c>
      <c r="K368" s="141">
        <f t="shared" si="202"/>
        <v>179742243.99330324</v>
      </c>
      <c r="L368" s="141">
        <f t="shared" si="202"/>
        <v>178804458.37246862</v>
      </c>
      <c r="M368" s="141">
        <f t="shared" si="202"/>
        <v>177504062.31157795</v>
      </c>
      <c r="N368" s="141">
        <f t="shared" si="202"/>
        <v>175813547.43242005</v>
      </c>
      <c r="O368" s="141">
        <f t="shared" si="202"/>
        <v>173703784.86323103</v>
      </c>
      <c r="P368" s="141">
        <f t="shared" si="202"/>
        <v>171143939.61261499</v>
      </c>
      <c r="Q368" s="141">
        <f t="shared" si="202"/>
        <v>168101380.68616849</v>
      </c>
      <c r="R368" s="141">
        <f t="shared" si="202"/>
        <v>164541586.74222609</v>
      </c>
      <c r="S368" s="141">
        <f t="shared" si="202"/>
        <v>160428047.07367045</v>
      </c>
      <c r="T368" s="141">
        <f t="shared" si="202"/>
        <v>155722157.69284278</v>
      </c>
      <c r="U368" s="141">
        <f t="shared" si="202"/>
        <v>150383112.28623104</v>
      </c>
      <c r="V368" s="141">
        <f t="shared" si="202"/>
        <v>144367787.79478177</v>
      </c>
      <c r="W368" s="141">
        <f t="shared" si="202"/>
        <v>137630624.36435863</v>
      </c>
      <c r="X368" s="141">
        <f t="shared" si="202"/>
        <v>130123499.39903</v>
      </c>
      <c r="Y368" s="141">
        <f t="shared" si="202"/>
        <v>121795595.43749206</v>
      </c>
      <c r="Z368" s="141">
        <f t="shared" si="202"/>
        <v>112593261.55999263</v>
      </c>
      <c r="AA368" s="141">
        <f t="shared" si="202"/>
        <v>102459868.01959328</v>
      </c>
      <c r="AB368" s="141">
        <f t="shared" si="202"/>
        <v>91335653.777466014</v>
      </c>
      <c r="AC368" s="141">
        <f t="shared" si="202"/>
        <v>79157566.607137173</v>
      </c>
      <c r="AD368" s="141">
        <f t="shared" si="202"/>
        <v>65859095.417138115</v>
      </c>
      <c r="AE368" s="141">
        <f t="shared" si="202"/>
        <v>51370094.425367713</v>
      </c>
      <c r="AF368" s="141">
        <f t="shared" si="202"/>
        <v>35616598.801588245</v>
      </c>
      <c r="AG368" s="141">
        <f t="shared" si="202"/>
        <v>22224757.652191009</v>
      </c>
      <c r="AH368" s="141">
        <f t="shared" si="202"/>
        <v>11556873.979139257</v>
      </c>
      <c r="AI368" s="141">
        <f t="shared" si="202"/>
        <v>4006382.9794348502</v>
      </c>
      <c r="AJ368" s="141">
        <f t="shared" si="202"/>
        <v>-1.4525679115649669E-7</v>
      </c>
      <c r="AK368" s="151"/>
      <c r="AL368" s="151"/>
      <c r="AM368" s="151"/>
      <c r="AN368" s="151"/>
      <c r="AO368" s="151"/>
      <c r="AP368" s="151"/>
      <c r="AQ368" s="151"/>
      <c r="AR368" s="151"/>
      <c r="AS368" s="151"/>
      <c r="AT368" s="151"/>
      <c r="AU368" s="151"/>
      <c r="AV368" s="151"/>
      <c r="AW368" s="151"/>
      <c r="AX368" s="151"/>
      <c r="AY368" s="151"/>
      <c r="AZ368" s="151"/>
      <c r="BA368" s="151"/>
      <c r="BB368" s="151"/>
      <c r="BC368" s="151"/>
      <c r="BD368" s="151"/>
      <c r="BE368" s="151"/>
      <c r="BF368" s="151"/>
      <c r="BG368" s="151"/>
      <c r="BH368" s="151"/>
      <c r="BI368" s="151"/>
      <c r="BJ368" s="152"/>
      <c r="BK368" s="151"/>
      <c r="BL368" s="151"/>
    </row>
    <row r="369" spans="1:64" s="153" customFormat="1" ht="12.75">
      <c r="A369" s="138" t="s">
        <v>129</v>
      </c>
      <c r="B369" s="144"/>
      <c r="C369" s="140">
        <f>C312*(1+$G285)^(C286-1)</f>
        <v>8699486.0659253914</v>
      </c>
      <c r="D369" s="141">
        <f t="shared" ref="D369:AJ369" si="203">D312*(1+$G285)^(D286-1)</f>
        <v>8742494.7610827759</v>
      </c>
      <c r="E369" s="141">
        <f t="shared" si="203"/>
        <v>8775024.9741472695</v>
      </c>
      <c r="F369" s="141">
        <f t="shared" si="203"/>
        <v>8796169.6126391888</v>
      </c>
      <c r="G369" s="141">
        <f t="shared" si="203"/>
        <v>8804965.7822518293</v>
      </c>
      <c r="H369" s="141">
        <f t="shared" si="203"/>
        <v>8800391.774053257</v>
      </c>
      <c r="I369" s="141">
        <f t="shared" si="203"/>
        <v>8781363.8999471944</v>
      </c>
      <c r="J369" s="141">
        <f t="shared" si="203"/>
        <v>8746733.1690741628</v>
      </c>
      <c r="K369" s="141">
        <f t="shared" si="203"/>
        <v>8695281.7974913735</v>
      </c>
      <c r="L369" s="141">
        <f t="shared" si="203"/>
        <v>8625719.5431114417</v>
      </c>
      <c r="M369" s="141">
        <f t="shared" si="203"/>
        <v>8536679.8575051297</v>
      </c>
      <c r="N369" s="141">
        <f t="shared" si="203"/>
        <v>8426715.8457813337</v>
      </c>
      <c r="O369" s="141">
        <f t="shared" si="203"/>
        <v>8294296.0253476268</v>
      </c>
      <c r="P369" s="141">
        <f t="shared" si="203"/>
        <v>8137799.8739259727</v>
      </c>
      <c r="Q369" s="141">
        <f t="shared" si="203"/>
        <v>7955513.156750029</v>
      </c>
      <c r="R369" s="141">
        <f t="shared" si="203"/>
        <v>7745623.0224017287</v>
      </c>
      <c r="S369" s="141">
        <f t="shared" si="203"/>
        <v>7506212.8562547667</v>
      </c>
      <c r="T369" s="141">
        <f t="shared" si="203"/>
        <v>7235256.8799802037</v>
      </c>
      <c r="U369" s="141">
        <f t="shared" si="203"/>
        <v>6930614.4850336686</v>
      </c>
      <c r="V369" s="141">
        <f t="shared" si="203"/>
        <v>6590024.2874834407</v>
      </c>
      <c r="W369" s="141">
        <f t="shared" si="203"/>
        <v>6211097.8909531413</v>
      </c>
      <c r="X369" s="141">
        <f t="shared" si="203"/>
        <v>5791313.3438404463</v>
      </c>
      <c r="Y369" s="141">
        <f t="shared" si="203"/>
        <v>5328008.2763332082</v>
      </c>
      <c r="Z369" s="141">
        <f t="shared" si="203"/>
        <v>4818372.7020752458</v>
      </c>
      <c r="AA369" s="141">
        <f t="shared" si="203"/>
        <v>4259441.4686345151</v>
      </c>
      <c r="AB369" s="141">
        <f t="shared" si="203"/>
        <v>3648086.3401952055</v>
      </c>
      <c r="AC369" s="141">
        <f t="shared" si="203"/>
        <v>2981007.6951309345</v>
      </c>
      <c r="AD369" s="141">
        <f t="shared" si="203"/>
        <v>2254725.8203172102</v>
      </c>
      <c r="AE369" s="141">
        <f t="shared" si="203"/>
        <v>1465571.7832061786</v>
      </c>
      <c r="AF369" s="141">
        <f t="shared" si="203"/>
        <v>609677.8618137564</v>
      </c>
      <c r="AG369" s="141">
        <f t="shared" si="203"/>
        <v>-2.4165194556322264E-8</v>
      </c>
      <c r="AH369" s="141">
        <f t="shared" si="203"/>
        <v>-2.5131802338575155E-8</v>
      </c>
      <c r="AI369" s="141">
        <f t="shared" si="203"/>
        <v>-2.6137074432118164E-8</v>
      </c>
      <c r="AJ369" s="141">
        <f t="shared" si="203"/>
        <v>-2.718255740940289E-8</v>
      </c>
      <c r="AK369" s="151"/>
      <c r="AL369" s="151"/>
      <c r="AM369" s="151"/>
      <c r="AN369" s="151"/>
      <c r="AO369" s="151"/>
      <c r="AP369" s="151"/>
      <c r="AQ369" s="151"/>
      <c r="AR369" s="151"/>
      <c r="AS369" s="151"/>
      <c r="AT369" s="151"/>
      <c r="AU369" s="151"/>
      <c r="AV369" s="151"/>
      <c r="AW369" s="151"/>
      <c r="AX369" s="151"/>
      <c r="AY369" s="151"/>
      <c r="AZ369" s="151"/>
      <c r="BA369" s="151"/>
      <c r="BB369" s="151"/>
      <c r="BC369" s="151"/>
      <c r="BD369" s="151"/>
      <c r="BE369" s="151"/>
      <c r="BF369" s="151"/>
      <c r="BG369" s="151"/>
      <c r="BH369" s="151"/>
      <c r="BI369" s="151"/>
      <c r="BJ369" s="152"/>
      <c r="BK369" s="151"/>
      <c r="BL369" s="151"/>
    </row>
    <row r="370" spans="1:64" s="116" customFormat="1">
      <c r="A370" s="111" t="s">
        <v>132</v>
      </c>
      <c r="B370" s="155">
        <f>SUM(B371:B374)</f>
        <v>526036702.432908</v>
      </c>
      <c r="C370" s="117">
        <f>SUM(C371:C374)</f>
        <v>18010492.498426531</v>
      </c>
      <c r="D370" s="118">
        <f t="shared" ref="D370:AJ370" si="204">SUM(D371:D374)</f>
        <v>18601973.173741437</v>
      </c>
      <c r="E370" s="118">
        <f t="shared" si="204"/>
        <v>26093865.076851156</v>
      </c>
      <c r="F370" s="118">
        <f t="shared" si="204"/>
        <v>26638042.314994741</v>
      </c>
      <c r="G370" s="118">
        <f t="shared" si="204"/>
        <v>26965955.843020756</v>
      </c>
      <c r="H370" s="118">
        <f t="shared" si="204"/>
        <v>27050711.972336914</v>
      </c>
      <c r="I370" s="118">
        <f t="shared" si="204"/>
        <v>27099103.062649533</v>
      </c>
      <c r="J370" s="118">
        <f t="shared" si="204"/>
        <v>27108084.301031414</v>
      </c>
      <c r="K370" s="118">
        <f t="shared" si="204"/>
        <v>27074425.473583624</v>
      </c>
      <c r="L370" s="118">
        <f t="shared" si="204"/>
        <v>26994701.005058348</v>
      </c>
      <c r="M370" s="118">
        <f t="shared" si="204"/>
        <v>26865279.49829331</v>
      </c>
      <c r="N370" s="118">
        <f t="shared" si="204"/>
        <v>26682312.749378979</v>
      </c>
      <c r="O370" s="118">
        <f t="shared" si="204"/>
        <v>26441724.213354241</v>
      </c>
      <c r="P370" s="118">
        <f t="shared" si="204"/>
        <v>26139196.894048512</v>
      </c>
      <c r="Q370" s="118">
        <f t="shared" si="204"/>
        <v>25770160.630456954</v>
      </c>
      <c r="R370" s="118">
        <f t="shared" si="204"/>
        <v>25329778.750747591</v>
      </c>
      <c r="S370" s="118">
        <f t="shared" si="204"/>
        <v>24812934.063652758</v>
      </c>
      <c r="T370" s="118">
        <f t="shared" si="204"/>
        <v>24214214.155589137</v>
      </c>
      <c r="U370" s="118">
        <f t="shared" si="204"/>
        <v>23527895.960378587</v>
      </c>
      <c r="V370" s="118">
        <f t="shared" si="204"/>
        <v>22747929.566902246</v>
      </c>
      <c r="W370" s="118">
        <f t="shared" si="204"/>
        <v>21867921.228411183</v>
      </c>
      <c r="X370" s="118">
        <f t="shared" si="204"/>
        <v>0</v>
      </c>
      <c r="Y370" s="118">
        <f t="shared" si="204"/>
        <v>0</v>
      </c>
      <c r="Z370" s="118">
        <f t="shared" si="204"/>
        <v>0</v>
      </c>
      <c r="AA370" s="118">
        <f t="shared" si="204"/>
        <v>0</v>
      </c>
      <c r="AB370" s="118">
        <f t="shared" si="204"/>
        <v>0</v>
      </c>
      <c r="AC370" s="118">
        <f t="shared" si="204"/>
        <v>0</v>
      </c>
      <c r="AD370" s="118">
        <f t="shared" si="204"/>
        <v>0</v>
      </c>
      <c r="AE370" s="118">
        <f t="shared" si="204"/>
        <v>0</v>
      </c>
      <c r="AF370" s="118">
        <f t="shared" si="204"/>
        <v>0</v>
      </c>
      <c r="AG370" s="118">
        <f t="shared" si="204"/>
        <v>0</v>
      </c>
      <c r="AH370" s="118">
        <f t="shared" si="204"/>
        <v>0</v>
      </c>
      <c r="AI370" s="118">
        <f t="shared" si="204"/>
        <v>0</v>
      </c>
      <c r="AJ370" s="118">
        <f t="shared" si="204"/>
        <v>0</v>
      </c>
      <c r="AK370" s="118"/>
      <c r="AL370" s="118"/>
      <c r="AM370" s="118"/>
      <c r="AN370" s="118"/>
      <c r="AO370" s="118"/>
      <c r="AP370" s="118"/>
      <c r="AQ370" s="118"/>
      <c r="AR370" s="118"/>
      <c r="AS370" s="118"/>
      <c r="AT370" s="118"/>
      <c r="AU370" s="118"/>
      <c r="AV370" s="118"/>
      <c r="AW370" s="118"/>
      <c r="AX370" s="118"/>
      <c r="AY370" s="118"/>
      <c r="AZ370" s="118"/>
      <c r="BA370" s="118"/>
      <c r="BB370" s="118"/>
      <c r="BC370" s="118"/>
      <c r="BD370" s="118"/>
      <c r="BE370" s="118"/>
      <c r="BF370" s="118"/>
      <c r="BG370" s="118"/>
      <c r="BH370" s="118"/>
      <c r="BI370" s="118"/>
      <c r="BJ370" s="119"/>
      <c r="BK370" s="118"/>
      <c r="BL370" s="118"/>
    </row>
    <row r="371" spans="1:64" s="143" customFormat="1" ht="12.75">
      <c r="A371" s="138" t="s">
        <v>126</v>
      </c>
      <c r="B371" s="139">
        <f>SUM(C371:BJ371)</f>
        <v>118124424.579171</v>
      </c>
      <c r="C371" s="140">
        <f>C314*(1+$G285)^(C286-1)</f>
        <v>0</v>
      </c>
      <c r="D371" s="141">
        <f t="shared" ref="D371:BJ371" si="205">D314*(1+$G285)^(D286-1)</f>
        <v>0</v>
      </c>
      <c r="E371" s="141">
        <f t="shared" si="205"/>
        <v>6161298.4666200997</v>
      </c>
      <c r="F371" s="141">
        <f t="shared" si="205"/>
        <v>6336553.1785595156</v>
      </c>
      <c r="G371" s="141">
        <f t="shared" si="205"/>
        <v>6441925.0741130896</v>
      </c>
      <c r="H371" s="141">
        <f t="shared" si="205"/>
        <v>6468581.3157990761</v>
      </c>
      <c r="I371" s="141">
        <f t="shared" si="205"/>
        <v>6487062.9767013583</v>
      </c>
      <c r="J371" s="141">
        <f t="shared" si="205"/>
        <v>6496673.4403705448</v>
      </c>
      <c r="K371" s="141">
        <f t="shared" si="205"/>
        <v>6496673.4403705467</v>
      </c>
      <c r="L371" s="141">
        <f t="shared" si="205"/>
        <v>6486278.7628659541</v>
      </c>
      <c r="M371" s="141">
        <f t="shared" si="205"/>
        <v>6464657.8336564004</v>
      </c>
      <c r="N371" s="141">
        <f t="shared" si="205"/>
        <v>6430929.1840894967</v>
      </c>
      <c r="O371" s="141">
        <f t="shared" si="205"/>
        <v>6384158.790023393</v>
      </c>
      <c r="P371" s="141">
        <f t="shared" si="205"/>
        <v>6323357.2777374554</v>
      </c>
      <c r="Q371" s="141">
        <f t="shared" si="205"/>
        <v>6247476.9904046059</v>
      </c>
      <c r="R371" s="141">
        <f t="shared" si="205"/>
        <v>6155408.9084407482</v>
      </c>
      <c r="S371" s="141">
        <f t="shared" si="205"/>
        <v>6045979.416735136</v>
      </c>
      <c r="T371" s="141">
        <f t="shared" si="205"/>
        <v>5917946.9114395678</v>
      </c>
      <c r="U371" s="141">
        <f t="shared" si="205"/>
        <v>5769998.2386535797</v>
      </c>
      <c r="V371" s="141">
        <f t="shared" si="205"/>
        <v>5600744.9569864077</v>
      </c>
      <c r="W371" s="141">
        <f t="shared" si="205"/>
        <v>5408719.4156040149</v>
      </c>
      <c r="X371" s="141">
        <f t="shared" si="205"/>
        <v>0</v>
      </c>
      <c r="Y371" s="141">
        <f t="shared" si="205"/>
        <v>0</v>
      </c>
      <c r="Z371" s="141">
        <f t="shared" si="205"/>
        <v>0</v>
      </c>
      <c r="AA371" s="141">
        <f t="shared" si="205"/>
        <v>0</v>
      </c>
      <c r="AB371" s="141">
        <f t="shared" si="205"/>
        <v>0</v>
      </c>
      <c r="AC371" s="141">
        <f t="shared" si="205"/>
        <v>0</v>
      </c>
      <c r="AD371" s="141">
        <f t="shared" si="205"/>
        <v>0</v>
      </c>
      <c r="AE371" s="141">
        <f t="shared" si="205"/>
        <v>0</v>
      </c>
      <c r="AF371" s="141">
        <f t="shared" si="205"/>
        <v>0</v>
      </c>
      <c r="AG371" s="141">
        <f t="shared" si="205"/>
        <v>0</v>
      </c>
      <c r="AH371" s="141">
        <f t="shared" si="205"/>
        <v>0</v>
      </c>
      <c r="AI371" s="141">
        <f t="shared" si="205"/>
        <v>0</v>
      </c>
      <c r="AJ371" s="141">
        <f t="shared" si="205"/>
        <v>0</v>
      </c>
      <c r="AK371" s="141">
        <f t="shared" si="205"/>
        <v>0</v>
      </c>
      <c r="AL371" s="141">
        <f t="shared" si="205"/>
        <v>0</v>
      </c>
      <c r="AM371" s="141">
        <f t="shared" si="205"/>
        <v>0</v>
      </c>
      <c r="AN371" s="141">
        <f t="shared" si="205"/>
        <v>0</v>
      </c>
      <c r="AO371" s="141">
        <f t="shared" si="205"/>
        <v>0</v>
      </c>
      <c r="AP371" s="141">
        <f t="shared" si="205"/>
        <v>0</v>
      </c>
      <c r="AQ371" s="141">
        <f t="shared" si="205"/>
        <v>0</v>
      </c>
      <c r="AR371" s="141">
        <f t="shared" si="205"/>
        <v>0</v>
      </c>
      <c r="AS371" s="141">
        <f t="shared" si="205"/>
        <v>0</v>
      </c>
      <c r="AT371" s="141">
        <f t="shared" si="205"/>
        <v>0</v>
      </c>
      <c r="AU371" s="141">
        <f t="shared" si="205"/>
        <v>0</v>
      </c>
      <c r="AV371" s="141">
        <f t="shared" si="205"/>
        <v>0</v>
      </c>
      <c r="AW371" s="141">
        <f t="shared" si="205"/>
        <v>0</v>
      </c>
      <c r="AX371" s="141">
        <f t="shared" si="205"/>
        <v>0</v>
      </c>
      <c r="AY371" s="141">
        <f t="shared" si="205"/>
        <v>0</v>
      </c>
      <c r="AZ371" s="141">
        <f t="shared" si="205"/>
        <v>0</v>
      </c>
      <c r="BA371" s="141">
        <f t="shared" si="205"/>
        <v>0</v>
      </c>
      <c r="BB371" s="141">
        <f t="shared" si="205"/>
        <v>0</v>
      </c>
      <c r="BC371" s="141">
        <f t="shared" si="205"/>
        <v>0</v>
      </c>
      <c r="BD371" s="141">
        <f t="shared" si="205"/>
        <v>0</v>
      </c>
      <c r="BE371" s="141">
        <f t="shared" si="205"/>
        <v>0</v>
      </c>
      <c r="BF371" s="141">
        <f t="shared" si="205"/>
        <v>0</v>
      </c>
      <c r="BG371" s="141">
        <f t="shared" si="205"/>
        <v>0</v>
      </c>
      <c r="BH371" s="141">
        <f t="shared" si="205"/>
        <v>0</v>
      </c>
      <c r="BI371" s="141">
        <f t="shared" si="205"/>
        <v>0</v>
      </c>
      <c r="BJ371" s="142">
        <f t="shared" si="205"/>
        <v>0</v>
      </c>
      <c r="BK371" s="141"/>
      <c r="BL371" s="141"/>
    </row>
    <row r="372" spans="1:64" s="143" customFormat="1" ht="12.75">
      <c r="A372" s="138" t="s">
        <v>127</v>
      </c>
      <c r="B372" s="139">
        <f>SUM(C372:BJ372)</f>
        <v>16589149.61734271</v>
      </c>
      <c r="C372" s="140">
        <f>C315*(1+$G285)^(C286-1)</f>
        <v>0</v>
      </c>
      <c r="D372" s="141">
        <f t="shared" ref="D372:BJ372" si="206">D315*(1+$G285)^(D286-1)</f>
        <v>0</v>
      </c>
      <c r="E372" s="141">
        <f t="shared" si="206"/>
        <v>865280.00000000012</v>
      </c>
      <c r="F372" s="141">
        <f t="shared" si="206"/>
        <v>889892.40888888901</v>
      </c>
      <c r="G372" s="141">
        <f t="shared" si="206"/>
        <v>904690.61973333359</v>
      </c>
      <c r="H372" s="141">
        <f t="shared" si="206"/>
        <v>908434.16712533357</v>
      </c>
      <c r="I372" s="141">
        <f t="shared" si="206"/>
        <v>911029.69331712031</v>
      </c>
      <c r="J372" s="141">
        <f t="shared" si="206"/>
        <v>912379.3669368492</v>
      </c>
      <c r="K372" s="141">
        <f t="shared" si="206"/>
        <v>912379.3669368492</v>
      </c>
      <c r="L372" s="141">
        <f t="shared" si="206"/>
        <v>910919.55994975031</v>
      </c>
      <c r="M372" s="141">
        <f t="shared" si="206"/>
        <v>907883.16141658439</v>
      </c>
      <c r="N372" s="141">
        <f t="shared" si="206"/>
        <v>903146.37970484549</v>
      </c>
      <c r="O372" s="141">
        <f t="shared" si="206"/>
        <v>896578.04239790142</v>
      </c>
      <c r="P372" s="141">
        <f t="shared" si="206"/>
        <v>888039.20389887365</v>
      </c>
      <c r="Q372" s="141">
        <f t="shared" si="206"/>
        <v>877382.73345208704</v>
      </c>
      <c r="R372" s="141">
        <f t="shared" si="206"/>
        <v>864452.88264331943</v>
      </c>
      <c r="S372" s="141">
        <f t="shared" si="206"/>
        <v>849084.83139632712</v>
      </c>
      <c r="T372" s="141">
        <f t="shared" si="206"/>
        <v>831104.21143734606</v>
      </c>
      <c r="U372" s="141">
        <f t="shared" si="206"/>
        <v>810326.60615141236</v>
      </c>
      <c r="V372" s="141">
        <f t="shared" si="206"/>
        <v>786557.02570430434</v>
      </c>
      <c r="W372" s="141">
        <f t="shared" si="206"/>
        <v>759589.35625158518</v>
      </c>
      <c r="X372" s="141">
        <f t="shared" si="206"/>
        <v>0</v>
      </c>
      <c r="Y372" s="141">
        <f t="shared" si="206"/>
        <v>0</v>
      </c>
      <c r="Z372" s="141">
        <f t="shared" si="206"/>
        <v>0</v>
      </c>
      <c r="AA372" s="141">
        <f t="shared" si="206"/>
        <v>0</v>
      </c>
      <c r="AB372" s="141">
        <f t="shared" si="206"/>
        <v>0</v>
      </c>
      <c r="AC372" s="141">
        <f t="shared" si="206"/>
        <v>0</v>
      </c>
      <c r="AD372" s="141">
        <f t="shared" si="206"/>
        <v>0</v>
      </c>
      <c r="AE372" s="141">
        <f t="shared" si="206"/>
        <v>0</v>
      </c>
      <c r="AF372" s="141">
        <f t="shared" si="206"/>
        <v>0</v>
      </c>
      <c r="AG372" s="141">
        <f t="shared" si="206"/>
        <v>0</v>
      </c>
      <c r="AH372" s="141">
        <f t="shared" si="206"/>
        <v>0</v>
      </c>
      <c r="AI372" s="141">
        <f t="shared" si="206"/>
        <v>0</v>
      </c>
      <c r="AJ372" s="141">
        <f t="shared" si="206"/>
        <v>0</v>
      </c>
      <c r="AK372" s="141">
        <f t="shared" si="206"/>
        <v>0</v>
      </c>
      <c r="AL372" s="141">
        <f t="shared" si="206"/>
        <v>0</v>
      </c>
      <c r="AM372" s="141">
        <f t="shared" si="206"/>
        <v>0</v>
      </c>
      <c r="AN372" s="141">
        <f t="shared" si="206"/>
        <v>0</v>
      </c>
      <c r="AO372" s="141">
        <f t="shared" si="206"/>
        <v>0</v>
      </c>
      <c r="AP372" s="141">
        <f t="shared" si="206"/>
        <v>0</v>
      </c>
      <c r="AQ372" s="141">
        <f t="shared" si="206"/>
        <v>0</v>
      </c>
      <c r="AR372" s="141">
        <f t="shared" si="206"/>
        <v>0</v>
      </c>
      <c r="AS372" s="141">
        <f t="shared" si="206"/>
        <v>0</v>
      </c>
      <c r="AT372" s="141">
        <f t="shared" si="206"/>
        <v>0</v>
      </c>
      <c r="AU372" s="141">
        <f t="shared" si="206"/>
        <v>0</v>
      </c>
      <c r="AV372" s="141">
        <f t="shared" si="206"/>
        <v>0</v>
      </c>
      <c r="AW372" s="141">
        <f t="shared" si="206"/>
        <v>0</v>
      </c>
      <c r="AX372" s="141">
        <f t="shared" si="206"/>
        <v>0</v>
      </c>
      <c r="AY372" s="141">
        <f t="shared" si="206"/>
        <v>0</v>
      </c>
      <c r="AZ372" s="141">
        <f t="shared" si="206"/>
        <v>0</v>
      </c>
      <c r="BA372" s="141">
        <f t="shared" si="206"/>
        <v>0</v>
      </c>
      <c r="BB372" s="141">
        <f t="shared" si="206"/>
        <v>0</v>
      </c>
      <c r="BC372" s="141">
        <f t="shared" si="206"/>
        <v>0</v>
      </c>
      <c r="BD372" s="141">
        <f t="shared" si="206"/>
        <v>0</v>
      </c>
      <c r="BE372" s="141">
        <f t="shared" si="206"/>
        <v>0</v>
      </c>
      <c r="BF372" s="141">
        <f t="shared" si="206"/>
        <v>0</v>
      </c>
      <c r="BG372" s="141">
        <f t="shared" si="206"/>
        <v>0</v>
      </c>
      <c r="BH372" s="141">
        <f t="shared" si="206"/>
        <v>0</v>
      </c>
      <c r="BI372" s="141">
        <f t="shared" si="206"/>
        <v>0</v>
      </c>
      <c r="BJ372" s="142">
        <f t="shared" si="206"/>
        <v>0</v>
      </c>
      <c r="BK372" s="141"/>
      <c r="BL372" s="141"/>
    </row>
    <row r="373" spans="1:64" s="143" customFormat="1" ht="12.75">
      <c r="A373" s="138" t="s">
        <v>128</v>
      </c>
      <c r="B373" s="139">
        <f>SUM(C373:BJ373)</f>
        <v>373301462.68865734</v>
      </c>
      <c r="C373" s="140">
        <f>C316*(1+$G285)^(C286-1)</f>
        <v>17130769.18838913</v>
      </c>
      <c r="D373" s="141">
        <f t="shared" ref="D373:BJ373" si="207">D316*(1+$G285)^(D286-1)</f>
        <v>17697226.622885197</v>
      </c>
      <c r="E373" s="141">
        <f t="shared" si="207"/>
        <v>18158067.155078448</v>
      </c>
      <c r="F373" s="141">
        <f t="shared" si="207"/>
        <v>18498994.130235024</v>
      </c>
      <c r="G373" s="141">
        <f t="shared" si="207"/>
        <v>18704538.509459857</v>
      </c>
      <c r="H373" s="141">
        <f t="shared" si="207"/>
        <v>18757980.048058316</v>
      </c>
      <c r="I373" s="141">
        <f t="shared" si="207"/>
        <v>18785769.648129515</v>
      </c>
      <c r="J373" s="141">
        <f t="shared" si="207"/>
        <v>18785769.648129515</v>
      </c>
      <c r="K373" s="141">
        <f t="shared" si="207"/>
        <v>18755712.416692514</v>
      </c>
      <c r="L373" s="141">
        <f t="shared" si="207"/>
        <v>18693193.37530354</v>
      </c>
      <c r="M373" s="141">
        <f t="shared" si="207"/>
        <v>18595663.670736738</v>
      </c>
      <c r="N373" s="141">
        <f t="shared" si="207"/>
        <v>18460422.480404105</v>
      </c>
      <c r="O373" s="141">
        <f t="shared" si="207"/>
        <v>18284608.932971686</v>
      </c>
      <c r="P373" s="141">
        <f t="shared" si="207"/>
        <v>18065193.62577603</v>
      </c>
      <c r="Q373" s="141">
        <f t="shared" si="207"/>
        <v>17798969.719711959</v>
      </c>
      <c r="R373" s="141">
        <f t="shared" si="207"/>
        <v>17482543.591361523</v>
      </c>
      <c r="S373" s="141">
        <f t="shared" si="207"/>
        <v>17112325.021191515</v>
      </c>
      <c r="T373" s="141">
        <f t="shared" si="207"/>
        <v>16684516.895661728</v>
      </c>
      <c r="U373" s="141">
        <f t="shared" si="207"/>
        <v>16195104.400055652</v>
      </c>
      <c r="V373" s="141">
        <f t="shared" si="207"/>
        <v>15639843.677768029</v>
      </c>
      <c r="W373" s="141">
        <f t="shared" si="207"/>
        <v>15014249.930657307</v>
      </c>
      <c r="X373" s="141">
        <f t="shared" si="207"/>
        <v>0</v>
      </c>
      <c r="Y373" s="141">
        <f t="shared" si="207"/>
        <v>0</v>
      </c>
      <c r="Z373" s="141">
        <f t="shared" si="207"/>
        <v>0</v>
      </c>
      <c r="AA373" s="141">
        <f t="shared" si="207"/>
        <v>0</v>
      </c>
      <c r="AB373" s="141">
        <f t="shared" si="207"/>
        <v>0</v>
      </c>
      <c r="AC373" s="141">
        <f t="shared" si="207"/>
        <v>0</v>
      </c>
      <c r="AD373" s="141">
        <f t="shared" si="207"/>
        <v>0</v>
      </c>
      <c r="AE373" s="141">
        <f t="shared" si="207"/>
        <v>0</v>
      </c>
      <c r="AF373" s="141">
        <f t="shared" si="207"/>
        <v>0</v>
      </c>
      <c r="AG373" s="141">
        <f t="shared" si="207"/>
        <v>0</v>
      </c>
      <c r="AH373" s="141">
        <f t="shared" si="207"/>
        <v>0</v>
      </c>
      <c r="AI373" s="141">
        <f t="shared" si="207"/>
        <v>0</v>
      </c>
      <c r="AJ373" s="141">
        <f t="shared" si="207"/>
        <v>0</v>
      </c>
      <c r="AK373" s="141">
        <f t="shared" si="207"/>
        <v>0</v>
      </c>
      <c r="AL373" s="141">
        <f t="shared" si="207"/>
        <v>0</v>
      </c>
      <c r="AM373" s="141">
        <f t="shared" si="207"/>
        <v>0</v>
      </c>
      <c r="AN373" s="141">
        <f t="shared" si="207"/>
        <v>0</v>
      </c>
      <c r="AO373" s="141">
        <f t="shared" si="207"/>
        <v>0</v>
      </c>
      <c r="AP373" s="141">
        <f t="shared" si="207"/>
        <v>0</v>
      </c>
      <c r="AQ373" s="141">
        <f t="shared" si="207"/>
        <v>0</v>
      </c>
      <c r="AR373" s="141">
        <f t="shared" si="207"/>
        <v>0</v>
      </c>
      <c r="AS373" s="141">
        <f t="shared" si="207"/>
        <v>0</v>
      </c>
      <c r="AT373" s="141">
        <f t="shared" si="207"/>
        <v>0</v>
      </c>
      <c r="AU373" s="141">
        <f t="shared" si="207"/>
        <v>0</v>
      </c>
      <c r="AV373" s="141">
        <f t="shared" si="207"/>
        <v>0</v>
      </c>
      <c r="AW373" s="141">
        <f t="shared" si="207"/>
        <v>0</v>
      </c>
      <c r="AX373" s="141">
        <f t="shared" si="207"/>
        <v>0</v>
      </c>
      <c r="AY373" s="141">
        <f t="shared" si="207"/>
        <v>0</v>
      </c>
      <c r="AZ373" s="141">
        <f t="shared" si="207"/>
        <v>0</v>
      </c>
      <c r="BA373" s="141">
        <f t="shared" si="207"/>
        <v>0</v>
      </c>
      <c r="BB373" s="141">
        <f t="shared" si="207"/>
        <v>0</v>
      </c>
      <c r="BC373" s="141">
        <f t="shared" si="207"/>
        <v>0</v>
      </c>
      <c r="BD373" s="141">
        <f t="shared" si="207"/>
        <v>0</v>
      </c>
      <c r="BE373" s="141">
        <f t="shared" si="207"/>
        <v>0</v>
      </c>
      <c r="BF373" s="141">
        <f t="shared" si="207"/>
        <v>0</v>
      </c>
      <c r="BG373" s="141">
        <f t="shared" si="207"/>
        <v>0</v>
      </c>
      <c r="BH373" s="141">
        <f t="shared" si="207"/>
        <v>0</v>
      </c>
      <c r="BI373" s="141">
        <f t="shared" si="207"/>
        <v>0</v>
      </c>
      <c r="BJ373" s="142">
        <f t="shared" si="207"/>
        <v>0</v>
      </c>
      <c r="BK373" s="141"/>
      <c r="BL373" s="141"/>
    </row>
    <row r="374" spans="1:64" s="143" customFormat="1" ht="12.75">
      <c r="A374" s="138" t="s">
        <v>129</v>
      </c>
      <c r="B374" s="139">
        <f>SUM(C374:BJ374)</f>
        <v>18021665.547736932</v>
      </c>
      <c r="C374" s="140">
        <f>C317*(1+$G285)^(C286-1)</f>
        <v>879723.31003739918</v>
      </c>
      <c r="D374" s="141">
        <f t="shared" ref="D374:BJ374" si="208">D317*(1+$G285)^(D286-1)</f>
        <v>904746.55085624079</v>
      </c>
      <c r="E374" s="141">
        <f t="shared" si="208"/>
        <v>909219.45515260869</v>
      </c>
      <c r="F374" s="141">
        <f t="shared" si="208"/>
        <v>912602.59731131594</v>
      </c>
      <c r="G374" s="141">
        <f t="shared" si="208"/>
        <v>914801.63971447584</v>
      </c>
      <c r="H374" s="141">
        <f t="shared" si="208"/>
        <v>915716.44135419035</v>
      </c>
      <c r="I374" s="141">
        <f t="shared" si="208"/>
        <v>915240.74450153881</v>
      </c>
      <c r="J374" s="141">
        <f t="shared" si="208"/>
        <v>913261.84559450822</v>
      </c>
      <c r="K374" s="141">
        <f t="shared" si="208"/>
        <v>909660.24958371301</v>
      </c>
      <c r="L374" s="141">
        <f t="shared" si="208"/>
        <v>904309.30693910306</v>
      </c>
      <c r="M374" s="141">
        <f t="shared" si="208"/>
        <v>897074.83248359011</v>
      </c>
      <c r="N374" s="141">
        <f t="shared" si="208"/>
        <v>887814.70518053335</v>
      </c>
      <c r="O374" s="141">
        <f t="shared" si="208"/>
        <v>876378.44796125893</v>
      </c>
      <c r="P374" s="141">
        <f t="shared" si="208"/>
        <v>862606.78663615324</v>
      </c>
      <c r="Q374" s="141">
        <f t="shared" si="208"/>
        <v>846331.18688830116</v>
      </c>
      <c r="R374" s="141">
        <f t="shared" si="208"/>
        <v>827373.36830200301</v>
      </c>
      <c r="S374" s="141">
        <f t="shared" si="208"/>
        <v>805544.79432978004</v>
      </c>
      <c r="T374" s="141">
        <f t="shared" si="208"/>
        <v>780646.13705049572</v>
      </c>
      <c r="U374" s="141">
        <f t="shared" si="208"/>
        <v>752466.71551794128</v>
      </c>
      <c r="V374" s="141">
        <f t="shared" si="208"/>
        <v>720783.90644350159</v>
      </c>
      <c r="W374" s="141">
        <f t="shared" si="208"/>
        <v>685362.52589827788</v>
      </c>
      <c r="X374" s="141">
        <f t="shared" si="208"/>
        <v>0</v>
      </c>
      <c r="Y374" s="141">
        <f t="shared" si="208"/>
        <v>0</v>
      </c>
      <c r="Z374" s="141">
        <f t="shared" si="208"/>
        <v>0</v>
      </c>
      <c r="AA374" s="141">
        <f t="shared" si="208"/>
        <v>0</v>
      </c>
      <c r="AB374" s="141">
        <f t="shared" si="208"/>
        <v>0</v>
      </c>
      <c r="AC374" s="141">
        <f t="shared" si="208"/>
        <v>0</v>
      </c>
      <c r="AD374" s="141">
        <f t="shared" si="208"/>
        <v>0</v>
      </c>
      <c r="AE374" s="141">
        <f t="shared" si="208"/>
        <v>0</v>
      </c>
      <c r="AF374" s="141">
        <f t="shared" si="208"/>
        <v>0</v>
      </c>
      <c r="AG374" s="141">
        <f t="shared" si="208"/>
        <v>0</v>
      </c>
      <c r="AH374" s="141">
        <f t="shared" si="208"/>
        <v>0</v>
      </c>
      <c r="AI374" s="141">
        <f t="shared" si="208"/>
        <v>0</v>
      </c>
      <c r="AJ374" s="141">
        <f t="shared" si="208"/>
        <v>0</v>
      </c>
      <c r="AK374" s="141">
        <f t="shared" si="208"/>
        <v>0</v>
      </c>
      <c r="AL374" s="141">
        <f t="shared" si="208"/>
        <v>0</v>
      </c>
      <c r="AM374" s="141">
        <f t="shared" si="208"/>
        <v>0</v>
      </c>
      <c r="AN374" s="141">
        <f t="shared" si="208"/>
        <v>0</v>
      </c>
      <c r="AO374" s="141">
        <f t="shared" si="208"/>
        <v>0</v>
      </c>
      <c r="AP374" s="141">
        <f t="shared" si="208"/>
        <v>0</v>
      </c>
      <c r="AQ374" s="141">
        <f t="shared" si="208"/>
        <v>0</v>
      </c>
      <c r="AR374" s="141">
        <f t="shared" si="208"/>
        <v>0</v>
      </c>
      <c r="AS374" s="141">
        <f t="shared" si="208"/>
        <v>0</v>
      </c>
      <c r="AT374" s="141">
        <f t="shared" si="208"/>
        <v>0</v>
      </c>
      <c r="AU374" s="141">
        <f t="shared" si="208"/>
        <v>0</v>
      </c>
      <c r="AV374" s="141">
        <f t="shared" si="208"/>
        <v>0</v>
      </c>
      <c r="AW374" s="141">
        <f t="shared" si="208"/>
        <v>0</v>
      </c>
      <c r="AX374" s="141">
        <f t="shared" si="208"/>
        <v>0</v>
      </c>
      <c r="AY374" s="141">
        <f t="shared" si="208"/>
        <v>0</v>
      </c>
      <c r="AZ374" s="141">
        <f t="shared" si="208"/>
        <v>0</v>
      </c>
      <c r="BA374" s="141">
        <f t="shared" si="208"/>
        <v>0</v>
      </c>
      <c r="BB374" s="141">
        <f t="shared" si="208"/>
        <v>0</v>
      </c>
      <c r="BC374" s="141">
        <f t="shared" si="208"/>
        <v>0</v>
      </c>
      <c r="BD374" s="141">
        <f t="shared" si="208"/>
        <v>0</v>
      </c>
      <c r="BE374" s="141">
        <f t="shared" si="208"/>
        <v>0</v>
      </c>
      <c r="BF374" s="141">
        <f t="shared" si="208"/>
        <v>0</v>
      </c>
      <c r="BG374" s="141">
        <f t="shared" si="208"/>
        <v>0</v>
      </c>
      <c r="BH374" s="141">
        <f t="shared" si="208"/>
        <v>0</v>
      </c>
      <c r="BI374" s="141">
        <f t="shared" si="208"/>
        <v>0</v>
      </c>
      <c r="BJ374" s="142">
        <f t="shared" si="208"/>
        <v>0</v>
      </c>
      <c r="BK374" s="141"/>
      <c r="BL374" s="141"/>
    </row>
    <row r="375" spans="1:64" s="116" customFormat="1">
      <c r="A375" s="111" t="s">
        <v>133</v>
      </c>
      <c r="B375" s="155">
        <f>SUM(B376:B379)</f>
        <v>242282918.52720344</v>
      </c>
      <c r="C375" s="117">
        <f>SUM(C376:C379)</f>
        <v>1239798.3136745419</v>
      </c>
      <c r="D375" s="118">
        <f>SUM(D376:D379)</f>
        <v>2680437.4082695912</v>
      </c>
      <c r="E375" s="118">
        <f>SUM(E376:E379)</f>
        <v>4803628.5089467205</v>
      </c>
      <c r="F375" s="118">
        <f t="shared" ref="F375:AJ375" si="209">SUM(F376:F379)</f>
        <v>7092386.1978247892</v>
      </c>
      <c r="G375" s="118">
        <f t="shared" si="209"/>
        <v>9556558.6961987875</v>
      </c>
      <c r="H375" s="118">
        <f t="shared" si="209"/>
        <v>9938821.044046741</v>
      </c>
      <c r="I375" s="118">
        <f t="shared" si="209"/>
        <v>10336373.885808609</v>
      </c>
      <c r="J375" s="118">
        <f t="shared" si="209"/>
        <v>10749828.841240954</v>
      </c>
      <c r="K375" s="118">
        <f t="shared" si="209"/>
        <v>11179821.994890595</v>
      </c>
      <c r="L375" s="118">
        <f t="shared" si="209"/>
        <v>11627014.874686217</v>
      </c>
      <c r="M375" s="118">
        <f t="shared" si="209"/>
        <v>12092095.469673669</v>
      </c>
      <c r="N375" s="118">
        <f t="shared" si="209"/>
        <v>12575779.288460612</v>
      </c>
      <c r="O375" s="118">
        <f t="shared" si="209"/>
        <v>13078810.45999904</v>
      </c>
      <c r="P375" s="118">
        <f t="shared" si="209"/>
        <v>13601962.878399003</v>
      </c>
      <c r="Q375" s="118">
        <f t="shared" si="209"/>
        <v>14146041.393534962</v>
      </c>
      <c r="R375" s="118">
        <f t="shared" si="209"/>
        <v>14711883.049276363</v>
      </c>
      <c r="S375" s="118">
        <f t="shared" si="209"/>
        <v>15300358.371247416</v>
      </c>
      <c r="T375" s="118">
        <f t="shared" si="209"/>
        <v>15912372.706097316</v>
      </c>
      <c r="U375" s="118">
        <f t="shared" si="209"/>
        <v>16548867.614341209</v>
      </c>
      <c r="V375" s="118">
        <f t="shared" si="209"/>
        <v>17210822.318914857</v>
      </c>
      <c r="W375" s="118">
        <f t="shared" si="209"/>
        <v>17899255.211671449</v>
      </c>
      <c r="X375" s="118">
        <f t="shared" si="209"/>
        <v>0</v>
      </c>
      <c r="Y375" s="118">
        <f t="shared" si="209"/>
        <v>0</v>
      </c>
      <c r="Z375" s="118">
        <f t="shared" si="209"/>
        <v>0</v>
      </c>
      <c r="AA375" s="118">
        <f t="shared" si="209"/>
        <v>0</v>
      </c>
      <c r="AB375" s="118">
        <f t="shared" si="209"/>
        <v>0</v>
      </c>
      <c r="AC375" s="118">
        <f t="shared" si="209"/>
        <v>0</v>
      </c>
      <c r="AD375" s="118">
        <f t="shared" si="209"/>
        <v>0</v>
      </c>
      <c r="AE375" s="118">
        <f t="shared" si="209"/>
        <v>0</v>
      </c>
      <c r="AF375" s="118">
        <f t="shared" si="209"/>
        <v>0</v>
      </c>
      <c r="AG375" s="118">
        <f t="shared" si="209"/>
        <v>0</v>
      </c>
      <c r="AH375" s="118">
        <f t="shared" si="209"/>
        <v>0</v>
      </c>
      <c r="AI375" s="118">
        <f t="shared" si="209"/>
        <v>0</v>
      </c>
      <c r="AJ375" s="118">
        <f t="shared" si="209"/>
        <v>0</v>
      </c>
      <c r="AK375" s="118"/>
      <c r="AL375" s="118"/>
      <c r="AM375" s="118"/>
      <c r="AN375" s="118"/>
      <c r="AO375" s="118"/>
      <c r="AP375" s="118"/>
      <c r="AQ375" s="118"/>
      <c r="AR375" s="118"/>
      <c r="AS375" s="118"/>
      <c r="AT375" s="118"/>
      <c r="AU375" s="118"/>
      <c r="AV375" s="118"/>
      <c r="AW375" s="118"/>
      <c r="AX375" s="118"/>
      <c r="AY375" s="118"/>
      <c r="AZ375" s="118"/>
      <c r="BA375" s="118"/>
      <c r="BB375" s="118"/>
      <c r="BC375" s="118"/>
      <c r="BD375" s="118"/>
      <c r="BE375" s="118"/>
      <c r="BF375" s="118"/>
      <c r="BG375" s="118"/>
      <c r="BH375" s="118"/>
      <c r="BI375" s="118"/>
      <c r="BJ375" s="119"/>
      <c r="BK375" s="118"/>
      <c r="BL375" s="118"/>
    </row>
    <row r="376" spans="1:64" s="143" customFormat="1" ht="12.75">
      <c r="A376" s="138" t="s">
        <v>126</v>
      </c>
      <c r="B376" s="139">
        <f t="shared" ref="B376:B382" si="210">SUM(C376:BJ376)</f>
        <v>54749084.719298922</v>
      </c>
      <c r="C376" s="140">
        <f>C319*(1+$G285)^(C286-1)</f>
        <v>0</v>
      </c>
      <c r="D376" s="141">
        <f>D319*(1+$G285)^(D286-1)</f>
        <v>0</v>
      </c>
      <c r="E376" s="141">
        <f t="shared" ref="E376:BJ376" si="211">E319*(1+$G285)^(E286-1)</f>
        <v>684588.7185133443</v>
      </c>
      <c r="F376" s="141">
        <f t="shared" si="211"/>
        <v>1423944.5345077561</v>
      </c>
      <c r="G376" s="141">
        <f t="shared" si="211"/>
        <v>2221353.4738320997</v>
      </c>
      <c r="H376" s="141">
        <f t="shared" si="211"/>
        <v>2310207.6127853841</v>
      </c>
      <c r="I376" s="141">
        <f t="shared" si="211"/>
        <v>2402615.9172967994</v>
      </c>
      <c r="J376" s="141">
        <f t="shared" si="211"/>
        <v>2498720.5539886714</v>
      </c>
      <c r="K376" s="141">
        <f t="shared" si="211"/>
        <v>2598669.3761482188</v>
      </c>
      <c r="L376" s="141">
        <f t="shared" si="211"/>
        <v>2702616.1511941478</v>
      </c>
      <c r="M376" s="141">
        <f t="shared" si="211"/>
        <v>2810720.7972419136</v>
      </c>
      <c r="N376" s="141">
        <f t="shared" si="211"/>
        <v>2923149.6291315896</v>
      </c>
      <c r="O376" s="141">
        <f t="shared" si="211"/>
        <v>3040075.614296854</v>
      </c>
      <c r="P376" s="141">
        <f t="shared" si="211"/>
        <v>3161678.6388687282</v>
      </c>
      <c r="Q376" s="141">
        <f t="shared" si="211"/>
        <v>3288145.7844234775</v>
      </c>
      <c r="R376" s="141">
        <f t="shared" si="211"/>
        <v>3419671.6158004166</v>
      </c>
      <c r="S376" s="141">
        <f t="shared" si="211"/>
        <v>3556458.4804324335</v>
      </c>
      <c r="T376" s="141">
        <f t="shared" si="211"/>
        <v>3698716.8196497313</v>
      </c>
      <c r="U376" s="141">
        <f t="shared" si="211"/>
        <v>3846665.4924357207</v>
      </c>
      <c r="V376" s="141">
        <f t="shared" si="211"/>
        <v>4000532.1121331495</v>
      </c>
      <c r="W376" s="141">
        <f t="shared" si="211"/>
        <v>4160553.3966184757</v>
      </c>
      <c r="X376" s="141">
        <f t="shared" si="211"/>
        <v>0</v>
      </c>
      <c r="Y376" s="141">
        <f t="shared" si="211"/>
        <v>0</v>
      </c>
      <c r="Z376" s="141">
        <f t="shared" si="211"/>
        <v>0</v>
      </c>
      <c r="AA376" s="141">
        <f t="shared" si="211"/>
        <v>0</v>
      </c>
      <c r="AB376" s="141">
        <f t="shared" si="211"/>
        <v>0</v>
      </c>
      <c r="AC376" s="141">
        <f t="shared" si="211"/>
        <v>0</v>
      </c>
      <c r="AD376" s="141">
        <f t="shared" si="211"/>
        <v>0</v>
      </c>
      <c r="AE376" s="141">
        <f t="shared" si="211"/>
        <v>0</v>
      </c>
      <c r="AF376" s="141">
        <f t="shared" si="211"/>
        <v>0</v>
      </c>
      <c r="AG376" s="141">
        <f t="shared" si="211"/>
        <v>0</v>
      </c>
      <c r="AH376" s="141">
        <f t="shared" si="211"/>
        <v>0</v>
      </c>
      <c r="AI376" s="141">
        <f t="shared" si="211"/>
        <v>0</v>
      </c>
      <c r="AJ376" s="141">
        <f t="shared" si="211"/>
        <v>0</v>
      </c>
      <c r="AK376" s="141">
        <f t="shared" si="211"/>
        <v>0</v>
      </c>
      <c r="AL376" s="141">
        <f t="shared" si="211"/>
        <v>0</v>
      </c>
      <c r="AM376" s="141">
        <f t="shared" si="211"/>
        <v>0</v>
      </c>
      <c r="AN376" s="141">
        <f t="shared" si="211"/>
        <v>0</v>
      </c>
      <c r="AO376" s="141">
        <f t="shared" si="211"/>
        <v>0</v>
      </c>
      <c r="AP376" s="141">
        <f t="shared" si="211"/>
        <v>0</v>
      </c>
      <c r="AQ376" s="141">
        <f t="shared" si="211"/>
        <v>0</v>
      </c>
      <c r="AR376" s="141">
        <f t="shared" si="211"/>
        <v>0</v>
      </c>
      <c r="AS376" s="141">
        <f t="shared" si="211"/>
        <v>0</v>
      </c>
      <c r="AT376" s="141">
        <f t="shared" si="211"/>
        <v>0</v>
      </c>
      <c r="AU376" s="141">
        <f t="shared" si="211"/>
        <v>0</v>
      </c>
      <c r="AV376" s="141">
        <f t="shared" si="211"/>
        <v>0</v>
      </c>
      <c r="AW376" s="141">
        <f t="shared" si="211"/>
        <v>0</v>
      </c>
      <c r="AX376" s="141">
        <f t="shared" si="211"/>
        <v>0</v>
      </c>
      <c r="AY376" s="141">
        <f t="shared" si="211"/>
        <v>0</v>
      </c>
      <c r="AZ376" s="141">
        <f t="shared" si="211"/>
        <v>0</v>
      </c>
      <c r="BA376" s="141">
        <f t="shared" si="211"/>
        <v>0</v>
      </c>
      <c r="BB376" s="141">
        <f t="shared" si="211"/>
        <v>0</v>
      </c>
      <c r="BC376" s="141">
        <f t="shared" si="211"/>
        <v>0</v>
      </c>
      <c r="BD376" s="141">
        <f t="shared" si="211"/>
        <v>0</v>
      </c>
      <c r="BE376" s="141">
        <f t="shared" si="211"/>
        <v>0</v>
      </c>
      <c r="BF376" s="141">
        <f t="shared" si="211"/>
        <v>0</v>
      </c>
      <c r="BG376" s="141">
        <f t="shared" si="211"/>
        <v>0</v>
      </c>
      <c r="BH376" s="141">
        <f t="shared" si="211"/>
        <v>0</v>
      </c>
      <c r="BI376" s="141">
        <f t="shared" si="211"/>
        <v>0</v>
      </c>
      <c r="BJ376" s="142">
        <f t="shared" si="211"/>
        <v>0</v>
      </c>
      <c r="BK376" s="141"/>
      <c r="BL376" s="141"/>
    </row>
    <row r="377" spans="1:64" s="143" customFormat="1" ht="12.75">
      <c r="A377" s="138" t="s">
        <v>127</v>
      </c>
      <c r="B377" s="139">
        <f t="shared" si="210"/>
        <v>7688848.1028094897</v>
      </c>
      <c r="C377" s="140">
        <f>C320*(1+$G285)^(C286-1)</f>
        <v>0</v>
      </c>
      <c r="D377" s="141">
        <f>D320*(1+$G285)^(D286-1)</f>
        <v>0</v>
      </c>
      <c r="E377" s="141">
        <f t="shared" ref="E377:BJ377" si="212">E320*(1+$G285)^(E286-1)</f>
        <v>96142.222222222234</v>
      </c>
      <c r="F377" s="141">
        <f t="shared" si="212"/>
        <v>199975.82222222225</v>
      </c>
      <c r="G377" s="141">
        <f t="shared" si="212"/>
        <v>311962.28266666672</v>
      </c>
      <c r="H377" s="141">
        <f t="shared" si="212"/>
        <v>324440.77397333347</v>
      </c>
      <c r="I377" s="141">
        <f t="shared" si="212"/>
        <v>337418.4049322668</v>
      </c>
      <c r="J377" s="141">
        <f t="shared" si="212"/>
        <v>350915.14112955745</v>
      </c>
      <c r="K377" s="141">
        <f t="shared" si="212"/>
        <v>364951.74677473976</v>
      </c>
      <c r="L377" s="141">
        <f t="shared" si="212"/>
        <v>379549.81664572941</v>
      </c>
      <c r="M377" s="141">
        <f t="shared" si="212"/>
        <v>394731.80931155861</v>
      </c>
      <c r="N377" s="141">
        <f t="shared" si="212"/>
        <v>410521.08168402087</v>
      </c>
      <c r="O377" s="141">
        <f t="shared" si="212"/>
        <v>426941.92495138181</v>
      </c>
      <c r="P377" s="141">
        <f t="shared" si="212"/>
        <v>444019.60194943711</v>
      </c>
      <c r="Q377" s="141">
        <f t="shared" si="212"/>
        <v>461780.38602741458</v>
      </c>
      <c r="R377" s="141">
        <f t="shared" si="212"/>
        <v>480251.60146851116</v>
      </c>
      <c r="S377" s="141">
        <f t="shared" si="212"/>
        <v>499461.66552725167</v>
      </c>
      <c r="T377" s="141">
        <f t="shared" si="212"/>
        <v>519440.1321483418</v>
      </c>
      <c r="U377" s="141">
        <f t="shared" si="212"/>
        <v>540217.73743427556</v>
      </c>
      <c r="V377" s="141">
        <f t="shared" si="212"/>
        <v>561826.44693164655</v>
      </c>
      <c r="W377" s="141">
        <f t="shared" si="212"/>
        <v>584299.5048089124</v>
      </c>
      <c r="X377" s="141">
        <f t="shared" si="212"/>
        <v>0</v>
      </c>
      <c r="Y377" s="141">
        <f t="shared" si="212"/>
        <v>0</v>
      </c>
      <c r="Z377" s="141">
        <f t="shared" si="212"/>
        <v>0</v>
      </c>
      <c r="AA377" s="141">
        <f t="shared" si="212"/>
        <v>0</v>
      </c>
      <c r="AB377" s="141">
        <f t="shared" si="212"/>
        <v>0</v>
      </c>
      <c r="AC377" s="141">
        <f t="shared" si="212"/>
        <v>0</v>
      </c>
      <c r="AD377" s="141">
        <f t="shared" si="212"/>
        <v>0</v>
      </c>
      <c r="AE377" s="141">
        <f t="shared" si="212"/>
        <v>0</v>
      </c>
      <c r="AF377" s="141">
        <f t="shared" si="212"/>
        <v>0</v>
      </c>
      <c r="AG377" s="141">
        <f t="shared" si="212"/>
        <v>0</v>
      </c>
      <c r="AH377" s="141">
        <f t="shared" si="212"/>
        <v>0</v>
      </c>
      <c r="AI377" s="141">
        <f t="shared" si="212"/>
        <v>0</v>
      </c>
      <c r="AJ377" s="141">
        <f t="shared" si="212"/>
        <v>0</v>
      </c>
      <c r="AK377" s="141">
        <f t="shared" si="212"/>
        <v>0</v>
      </c>
      <c r="AL377" s="141">
        <f t="shared" si="212"/>
        <v>0</v>
      </c>
      <c r="AM377" s="141">
        <f t="shared" si="212"/>
        <v>0</v>
      </c>
      <c r="AN377" s="141">
        <f t="shared" si="212"/>
        <v>0</v>
      </c>
      <c r="AO377" s="141">
        <f t="shared" si="212"/>
        <v>0</v>
      </c>
      <c r="AP377" s="141">
        <f t="shared" si="212"/>
        <v>0</v>
      </c>
      <c r="AQ377" s="141">
        <f t="shared" si="212"/>
        <v>0</v>
      </c>
      <c r="AR377" s="141">
        <f t="shared" si="212"/>
        <v>0</v>
      </c>
      <c r="AS377" s="141">
        <f t="shared" si="212"/>
        <v>0</v>
      </c>
      <c r="AT377" s="141">
        <f t="shared" si="212"/>
        <v>0</v>
      </c>
      <c r="AU377" s="141">
        <f t="shared" si="212"/>
        <v>0</v>
      </c>
      <c r="AV377" s="141">
        <f t="shared" si="212"/>
        <v>0</v>
      </c>
      <c r="AW377" s="141">
        <f t="shared" si="212"/>
        <v>0</v>
      </c>
      <c r="AX377" s="141">
        <f t="shared" si="212"/>
        <v>0</v>
      </c>
      <c r="AY377" s="141">
        <f t="shared" si="212"/>
        <v>0</v>
      </c>
      <c r="AZ377" s="141">
        <f t="shared" si="212"/>
        <v>0</v>
      </c>
      <c r="BA377" s="141">
        <f t="shared" si="212"/>
        <v>0</v>
      </c>
      <c r="BB377" s="141">
        <f t="shared" si="212"/>
        <v>0</v>
      </c>
      <c r="BC377" s="141">
        <f t="shared" si="212"/>
        <v>0</v>
      </c>
      <c r="BD377" s="141">
        <f t="shared" si="212"/>
        <v>0</v>
      </c>
      <c r="BE377" s="141">
        <f t="shared" si="212"/>
        <v>0</v>
      </c>
      <c r="BF377" s="141">
        <f t="shared" si="212"/>
        <v>0</v>
      </c>
      <c r="BG377" s="141">
        <f t="shared" si="212"/>
        <v>0</v>
      </c>
      <c r="BH377" s="141">
        <f t="shared" si="212"/>
        <v>0</v>
      </c>
      <c r="BI377" s="141">
        <f t="shared" si="212"/>
        <v>0</v>
      </c>
      <c r="BJ377" s="142">
        <f t="shared" si="212"/>
        <v>0</v>
      </c>
      <c r="BK377" s="141"/>
      <c r="BL377" s="141"/>
    </row>
    <row r="378" spans="1:64" s="143" customFormat="1" ht="12.75">
      <c r="A378" s="138" t="s">
        <v>128</v>
      </c>
      <c r="B378" s="139">
        <f t="shared" si="210"/>
        <v>170665795.78886667</v>
      </c>
      <c r="C378" s="140">
        <f>C321*(1+$G285)^(C286-1)</f>
        <v>1142051.279225942</v>
      </c>
      <c r="D378" s="141">
        <f>D321*(1+$G285)^(D286-1)</f>
        <v>2375466.6607899596</v>
      </c>
      <c r="E378" s="141">
        <f t="shared" ref="E378:BJ378" si="213">E321*(1+$G285)^(E286-1)</f>
        <v>3705727.9908323372</v>
      </c>
      <c r="F378" s="141">
        <f t="shared" si="213"/>
        <v>5138609.4806208406</v>
      </c>
      <c r="G378" s="141">
        <f t="shared" si="213"/>
        <v>6680192.3248070925</v>
      </c>
      <c r="H378" s="141">
        <f t="shared" si="213"/>
        <v>6947400.0177993774</v>
      </c>
      <c r="I378" s="141">
        <f t="shared" si="213"/>
        <v>7225296.0185113521</v>
      </c>
      <c r="J378" s="141">
        <f t="shared" si="213"/>
        <v>7514307.8592518056</v>
      </c>
      <c r="K378" s="141">
        <f t="shared" si="213"/>
        <v>7814880.1736218799</v>
      </c>
      <c r="L378" s="141">
        <f t="shared" si="213"/>
        <v>8127475.3805667553</v>
      </c>
      <c r="M378" s="141">
        <f t="shared" si="213"/>
        <v>8452574.3957894258</v>
      </c>
      <c r="N378" s="141">
        <f t="shared" si="213"/>
        <v>8790677.3716210015</v>
      </c>
      <c r="O378" s="141">
        <f t="shared" si="213"/>
        <v>9142304.4664858431</v>
      </c>
      <c r="P378" s="141">
        <f t="shared" si="213"/>
        <v>9507996.6451452784</v>
      </c>
      <c r="Q378" s="141">
        <f t="shared" si="213"/>
        <v>9888316.5109510887</v>
      </c>
      <c r="R378" s="141">
        <f t="shared" si="213"/>
        <v>10283849.171389133</v>
      </c>
      <c r="S378" s="141">
        <f t="shared" si="213"/>
        <v>10695203.1382447</v>
      </c>
      <c r="T378" s="141">
        <f t="shared" si="213"/>
        <v>11123011.263774488</v>
      </c>
      <c r="U378" s="141">
        <f t="shared" si="213"/>
        <v>11567931.714325469</v>
      </c>
      <c r="V378" s="141">
        <f t="shared" si="213"/>
        <v>12030648.982898487</v>
      </c>
      <c r="W378" s="141">
        <f t="shared" si="213"/>
        <v>12511874.942214426</v>
      </c>
      <c r="X378" s="141">
        <f t="shared" si="213"/>
        <v>0</v>
      </c>
      <c r="Y378" s="141">
        <f t="shared" si="213"/>
        <v>0</v>
      </c>
      <c r="Z378" s="141">
        <f t="shared" si="213"/>
        <v>0</v>
      </c>
      <c r="AA378" s="141">
        <f t="shared" si="213"/>
        <v>0</v>
      </c>
      <c r="AB378" s="141">
        <f t="shared" si="213"/>
        <v>0</v>
      </c>
      <c r="AC378" s="141">
        <f t="shared" si="213"/>
        <v>0</v>
      </c>
      <c r="AD378" s="141">
        <f t="shared" si="213"/>
        <v>0</v>
      </c>
      <c r="AE378" s="141">
        <f t="shared" si="213"/>
        <v>0</v>
      </c>
      <c r="AF378" s="141">
        <f t="shared" si="213"/>
        <v>0</v>
      </c>
      <c r="AG378" s="141">
        <f t="shared" si="213"/>
        <v>0</v>
      </c>
      <c r="AH378" s="141">
        <f t="shared" si="213"/>
        <v>0</v>
      </c>
      <c r="AI378" s="141">
        <f t="shared" si="213"/>
        <v>0</v>
      </c>
      <c r="AJ378" s="141">
        <f t="shared" si="213"/>
        <v>0</v>
      </c>
      <c r="AK378" s="141">
        <f t="shared" si="213"/>
        <v>0</v>
      </c>
      <c r="AL378" s="141">
        <f t="shared" si="213"/>
        <v>0</v>
      </c>
      <c r="AM378" s="141">
        <f t="shared" si="213"/>
        <v>0</v>
      </c>
      <c r="AN378" s="141">
        <f t="shared" si="213"/>
        <v>0</v>
      </c>
      <c r="AO378" s="141">
        <f t="shared" si="213"/>
        <v>0</v>
      </c>
      <c r="AP378" s="141">
        <f t="shared" si="213"/>
        <v>0</v>
      </c>
      <c r="AQ378" s="141">
        <f t="shared" si="213"/>
        <v>0</v>
      </c>
      <c r="AR378" s="141">
        <f t="shared" si="213"/>
        <v>0</v>
      </c>
      <c r="AS378" s="141">
        <f t="shared" si="213"/>
        <v>0</v>
      </c>
      <c r="AT378" s="141">
        <f t="shared" si="213"/>
        <v>0</v>
      </c>
      <c r="AU378" s="141">
        <f t="shared" si="213"/>
        <v>0</v>
      </c>
      <c r="AV378" s="141">
        <f t="shared" si="213"/>
        <v>0</v>
      </c>
      <c r="AW378" s="141">
        <f t="shared" si="213"/>
        <v>0</v>
      </c>
      <c r="AX378" s="141">
        <f t="shared" si="213"/>
        <v>0</v>
      </c>
      <c r="AY378" s="141">
        <f t="shared" si="213"/>
        <v>0</v>
      </c>
      <c r="AZ378" s="141">
        <f t="shared" si="213"/>
        <v>0</v>
      </c>
      <c r="BA378" s="141">
        <f t="shared" si="213"/>
        <v>0</v>
      </c>
      <c r="BB378" s="141">
        <f t="shared" si="213"/>
        <v>0</v>
      </c>
      <c r="BC378" s="141">
        <f t="shared" si="213"/>
        <v>0</v>
      </c>
      <c r="BD378" s="141">
        <f t="shared" si="213"/>
        <v>0</v>
      </c>
      <c r="BE378" s="141">
        <f t="shared" si="213"/>
        <v>0</v>
      </c>
      <c r="BF378" s="141">
        <f t="shared" si="213"/>
        <v>0</v>
      </c>
      <c r="BG378" s="141">
        <f t="shared" si="213"/>
        <v>0</v>
      </c>
      <c r="BH378" s="141">
        <f t="shared" si="213"/>
        <v>0</v>
      </c>
      <c r="BI378" s="141">
        <f t="shared" si="213"/>
        <v>0</v>
      </c>
      <c r="BJ378" s="142">
        <f t="shared" si="213"/>
        <v>0</v>
      </c>
      <c r="BK378" s="141"/>
      <c r="BL378" s="141"/>
    </row>
    <row r="379" spans="1:64" s="143" customFormat="1" ht="12.75">
      <c r="A379" s="138" t="s">
        <v>129</v>
      </c>
      <c r="B379" s="139">
        <f t="shared" si="210"/>
        <v>9179189.9162283596</v>
      </c>
      <c r="C379" s="213">
        <f>C322*(1+$G285)^(C286-1)</f>
        <v>97747.034448599909</v>
      </c>
      <c r="D379" s="214">
        <f>D322*(1+$G285)^(D286-1)</f>
        <v>304970.74747963174</v>
      </c>
      <c r="E379" s="214">
        <f t="shared" ref="E379:BJ379" si="214">E322*(1+$G285)^(E286-1)</f>
        <v>317169.57737881702</v>
      </c>
      <c r="F379" s="214">
        <f t="shared" si="214"/>
        <v>329856.36047396966</v>
      </c>
      <c r="G379" s="214">
        <f t="shared" si="214"/>
        <v>343050.61489292851</v>
      </c>
      <c r="H379" s="214">
        <f t="shared" si="214"/>
        <v>356772.63948864571</v>
      </c>
      <c r="I379" s="214">
        <f t="shared" si="214"/>
        <v>371043.54506819154</v>
      </c>
      <c r="J379" s="214">
        <f t="shared" si="214"/>
        <v>385885.28687091917</v>
      </c>
      <c r="K379" s="214">
        <f t="shared" si="214"/>
        <v>401320.69834575598</v>
      </c>
      <c r="L379" s="214">
        <f t="shared" si="214"/>
        <v>417373.52627958625</v>
      </c>
      <c r="M379" s="214">
        <f t="shared" si="214"/>
        <v>434068.46733076969</v>
      </c>
      <c r="N379" s="214">
        <f t="shared" si="214"/>
        <v>451431.20602400048</v>
      </c>
      <c r="O379" s="214">
        <f t="shared" si="214"/>
        <v>469488.4542649606</v>
      </c>
      <c r="P379" s="214">
        <f t="shared" si="214"/>
        <v>488267.99243555899</v>
      </c>
      <c r="Q379" s="214">
        <f t="shared" si="214"/>
        <v>507798.71213298134</v>
      </c>
      <c r="R379" s="214">
        <f t="shared" si="214"/>
        <v>528110.66061830055</v>
      </c>
      <c r="S379" s="214">
        <f t="shared" si="214"/>
        <v>549235.08704303275</v>
      </c>
      <c r="T379" s="214">
        <f t="shared" si="214"/>
        <v>571204.49052475404</v>
      </c>
      <c r="U379" s="214">
        <f t="shared" si="214"/>
        <v>594052.67014574423</v>
      </c>
      <c r="V379" s="214">
        <f t="shared" si="214"/>
        <v>617814.77695157402</v>
      </c>
      <c r="W379" s="214">
        <f t="shared" si="214"/>
        <v>642527.36802963703</v>
      </c>
      <c r="X379" s="214">
        <f t="shared" si="214"/>
        <v>0</v>
      </c>
      <c r="Y379" s="214">
        <f t="shared" si="214"/>
        <v>0</v>
      </c>
      <c r="Z379" s="214">
        <f t="shared" si="214"/>
        <v>0</v>
      </c>
      <c r="AA379" s="214">
        <f t="shared" si="214"/>
        <v>0</v>
      </c>
      <c r="AB379" s="214">
        <f t="shared" si="214"/>
        <v>0</v>
      </c>
      <c r="AC379" s="214">
        <f t="shared" si="214"/>
        <v>0</v>
      </c>
      <c r="AD379" s="214">
        <f t="shared" si="214"/>
        <v>0</v>
      </c>
      <c r="AE379" s="214">
        <f t="shared" si="214"/>
        <v>0</v>
      </c>
      <c r="AF379" s="214">
        <f t="shared" si="214"/>
        <v>0</v>
      </c>
      <c r="AG379" s="214">
        <f t="shared" si="214"/>
        <v>0</v>
      </c>
      <c r="AH379" s="214">
        <f t="shared" si="214"/>
        <v>0</v>
      </c>
      <c r="AI379" s="214">
        <f t="shared" si="214"/>
        <v>0</v>
      </c>
      <c r="AJ379" s="214">
        <f t="shared" si="214"/>
        <v>0</v>
      </c>
      <c r="AK379" s="214">
        <f t="shared" si="214"/>
        <v>0</v>
      </c>
      <c r="AL379" s="214">
        <f t="shared" si="214"/>
        <v>0</v>
      </c>
      <c r="AM379" s="214">
        <f t="shared" si="214"/>
        <v>0</v>
      </c>
      <c r="AN379" s="214">
        <f t="shared" si="214"/>
        <v>0</v>
      </c>
      <c r="AO379" s="214">
        <f t="shared" si="214"/>
        <v>0</v>
      </c>
      <c r="AP379" s="214">
        <f t="shared" si="214"/>
        <v>0</v>
      </c>
      <c r="AQ379" s="214">
        <f t="shared" si="214"/>
        <v>0</v>
      </c>
      <c r="AR379" s="214">
        <f t="shared" si="214"/>
        <v>0</v>
      </c>
      <c r="AS379" s="214">
        <f t="shared" si="214"/>
        <v>0</v>
      </c>
      <c r="AT379" s="214">
        <f t="shared" si="214"/>
        <v>0</v>
      </c>
      <c r="AU379" s="214">
        <f t="shared" si="214"/>
        <v>0</v>
      </c>
      <c r="AV379" s="214">
        <f t="shared" si="214"/>
        <v>0</v>
      </c>
      <c r="AW379" s="214">
        <f t="shared" si="214"/>
        <v>0</v>
      </c>
      <c r="AX379" s="214">
        <f t="shared" si="214"/>
        <v>0</v>
      </c>
      <c r="AY379" s="214">
        <f t="shared" si="214"/>
        <v>0</v>
      </c>
      <c r="AZ379" s="214">
        <f t="shared" si="214"/>
        <v>0</v>
      </c>
      <c r="BA379" s="214">
        <f t="shared" si="214"/>
        <v>0</v>
      </c>
      <c r="BB379" s="214">
        <f t="shared" si="214"/>
        <v>0</v>
      </c>
      <c r="BC379" s="214">
        <f t="shared" si="214"/>
        <v>0</v>
      </c>
      <c r="BD379" s="214">
        <f t="shared" si="214"/>
        <v>0</v>
      </c>
      <c r="BE379" s="214">
        <f t="shared" si="214"/>
        <v>0</v>
      </c>
      <c r="BF379" s="214">
        <f t="shared" si="214"/>
        <v>0</v>
      </c>
      <c r="BG379" s="214">
        <f t="shared" si="214"/>
        <v>0</v>
      </c>
      <c r="BH379" s="214">
        <f t="shared" si="214"/>
        <v>0</v>
      </c>
      <c r="BI379" s="214">
        <f t="shared" si="214"/>
        <v>0</v>
      </c>
      <c r="BJ379" s="215">
        <f t="shared" si="214"/>
        <v>0</v>
      </c>
      <c r="BK379" s="141"/>
      <c r="BL379" s="141"/>
    </row>
    <row r="380" spans="1:64" s="160" customFormat="1">
      <c r="A380" s="131" t="s">
        <v>134</v>
      </c>
      <c r="B380" s="156">
        <f t="shared" si="210"/>
        <v>4172046011.0054278</v>
      </c>
      <c r="C380" s="161">
        <f>C354-C355-C375</f>
        <v>-36039591.315464206</v>
      </c>
      <c r="D380" s="162">
        <f>D354-D355-D375</f>
        <v>-41329090.875216588</v>
      </c>
      <c r="E380" s="162">
        <f>E354-E355-E375</f>
        <v>-62076764.789062247</v>
      </c>
      <c r="F380" s="162">
        <f>F354-F355-F375</f>
        <v>-66656447.929144934</v>
      </c>
      <c r="G380" s="162">
        <f t="shared" ref="G380:BJ380" si="215">G354-G355-G375</f>
        <v>-71503182.896771759</v>
      </c>
      <c r="H380" s="162">
        <f t="shared" si="215"/>
        <v>42385423.38498579</v>
      </c>
      <c r="I380" s="162">
        <f t="shared" si="215"/>
        <v>98498054.526579052</v>
      </c>
      <c r="J380" s="162">
        <f t="shared" si="215"/>
        <v>159031879.48208383</v>
      </c>
      <c r="K380" s="162">
        <f t="shared" si="215"/>
        <v>224250813.5467864</v>
      </c>
      <c r="L380" s="162">
        <f t="shared" si="215"/>
        <v>338730944.06957269</v>
      </c>
      <c r="M380" s="162">
        <f t="shared" si="215"/>
        <v>352280181.83235556</v>
      </c>
      <c r="N380" s="162">
        <f t="shared" si="215"/>
        <v>366371389.10564983</v>
      </c>
      <c r="O380" s="162">
        <f t="shared" si="215"/>
        <v>381026244.66987586</v>
      </c>
      <c r="P380" s="162">
        <f t="shared" si="215"/>
        <v>396267294.45667088</v>
      </c>
      <c r="Q380" s="162">
        <f t="shared" si="215"/>
        <v>412117986.23493779</v>
      </c>
      <c r="R380" s="162">
        <f t="shared" si="215"/>
        <v>428602705.68433523</v>
      </c>
      <c r="S380" s="162">
        <f t="shared" si="215"/>
        <v>445746813.91170871</v>
      </c>
      <c r="T380" s="162">
        <f t="shared" si="215"/>
        <v>319178831.86626911</v>
      </c>
      <c r="U380" s="162">
        <f t="shared" si="215"/>
        <v>244822271.95210469</v>
      </c>
      <c r="V380" s="162">
        <f t="shared" si="215"/>
        <v>164006501.11382091</v>
      </c>
      <c r="W380" s="162">
        <f t="shared" si="215"/>
        <v>76333752.973351151</v>
      </c>
      <c r="X380" s="162">
        <f t="shared" si="215"/>
        <v>0</v>
      </c>
      <c r="Y380" s="162">
        <f t="shared" si="215"/>
        <v>0</v>
      </c>
      <c r="Z380" s="162">
        <f t="shared" si="215"/>
        <v>0</v>
      </c>
      <c r="AA380" s="162">
        <f t="shared" si="215"/>
        <v>0</v>
      </c>
      <c r="AB380" s="162">
        <f t="shared" si="215"/>
        <v>0</v>
      </c>
      <c r="AC380" s="162">
        <f t="shared" si="215"/>
        <v>0</v>
      </c>
      <c r="AD380" s="162">
        <f t="shared" si="215"/>
        <v>0</v>
      </c>
      <c r="AE380" s="162">
        <f t="shared" si="215"/>
        <v>0</v>
      </c>
      <c r="AF380" s="162">
        <f t="shared" si="215"/>
        <v>0</v>
      </c>
      <c r="AG380" s="162">
        <f t="shared" si="215"/>
        <v>0</v>
      </c>
      <c r="AH380" s="162">
        <f t="shared" si="215"/>
        <v>0</v>
      </c>
      <c r="AI380" s="162">
        <f t="shared" si="215"/>
        <v>0</v>
      </c>
      <c r="AJ380" s="162">
        <f t="shared" si="215"/>
        <v>0</v>
      </c>
      <c r="AK380" s="162">
        <f t="shared" si="215"/>
        <v>0</v>
      </c>
      <c r="AL380" s="162">
        <f t="shared" si="215"/>
        <v>0</v>
      </c>
      <c r="AM380" s="162">
        <f t="shared" si="215"/>
        <v>0</v>
      </c>
      <c r="AN380" s="162">
        <f t="shared" si="215"/>
        <v>0</v>
      </c>
      <c r="AO380" s="162">
        <f t="shared" si="215"/>
        <v>0</v>
      </c>
      <c r="AP380" s="162">
        <f t="shared" si="215"/>
        <v>0</v>
      </c>
      <c r="AQ380" s="162">
        <f t="shared" si="215"/>
        <v>0</v>
      </c>
      <c r="AR380" s="162">
        <f t="shared" si="215"/>
        <v>0</v>
      </c>
      <c r="AS380" s="162">
        <f t="shared" si="215"/>
        <v>0</v>
      </c>
      <c r="AT380" s="162">
        <f t="shared" si="215"/>
        <v>0</v>
      </c>
      <c r="AU380" s="162">
        <f t="shared" si="215"/>
        <v>0</v>
      </c>
      <c r="AV380" s="162">
        <f t="shared" si="215"/>
        <v>0</v>
      </c>
      <c r="AW380" s="162">
        <f t="shared" si="215"/>
        <v>0</v>
      </c>
      <c r="AX380" s="162">
        <f t="shared" si="215"/>
        <v>0</v>
      </c>
      <c r="AY380" s="162">
        <f t="shared" si="215"/>
        <v>0</v>
      </c>
      <c r="AZ380" s="162">
        <f t="shared" si="215"/>
        <v>0</v>
      </c>
      <c r="BA380" s="162">
        <f t="shared" si="215"/>
        <v>0</v>
      </c>
      <c r="BB380" s="162">
        <f t="shared" si="215"/>
        <v>0</v>
      </c>
      <c r="BC380" s="162">
        <f t="shared" si="215"/>
        <v>0</v>
      </c>
      <c r="BD380" s="162">
        <f t="shared" si="215"/>
        <v>0</v>
      </c>
      <c r="BE380" s="162">
        <f t="shared" si="215"/>
        <v>0</v>
      </c>
      <c r="BF380" s="162">
        <f t="shared" si="215"/>
        <v>0</v>
      </c>
      <c r="BG380" s="162">
        <f t="shared" si="215"/>
        <v>0</v>
      </c>
      <c r="BH380" s="162">
        <f t="shared" si="215"/>
        <v>0</v>
      </c>
      <c r="BI380" s="162">
        <f t="shared" si="215"/>
        <v>0</v>
      </c>
      <c r="BJ380" s="163">
        <f t="shared" si="215"/>
        <v>0</v>
      </c>
      <c r="BK380" s="159"/>
      <c r="BL380" s="159"/>
    </row>
    <row r="381" spans="1:64" s="160" customFormat="1">
      <c r="A381" s="131" t="s">
        <v>135</v>
      </c>
      <c r="B381" s="156">
        <f t="shared" si="210"/>
        <v>1334895326.6433263</v>
      </c>
      <c r="C381" s="161">
        <f>IF(C380&lt;=0,0,C380*$K285)</f>
        <v>0</v>
      </c>
      <c r="D381" s="162">
        <f>IF(D380&lt;=0,0,D380*$K285)</f>
        <v>0</v>
      </c>
      <c r="E381" s="162">
        <f t="shared" ref="E381:BJ381" si="216">IF(E380&lt;=0,0,E380*$K285)</f>
        <v>0</v>
      </c>
      <c r="F381" s="162">
        <f t="shared" si="216"/>
        <v>0</v>
      </c>
      <c r="G381" s="162">
        <f t="shared" si="216"/>
        <v>0</v>
      </c>
      <c r="H381" s="162">
        <f t="shared" si="216"/>
        <v>12715627.015495736</v>
      </c>
      <c r="I381" s="162">
        <f t="shared" si="216"/>
        <v>29549416.357973713</v>
      </c>
      <c r="J381" s="162">
        <f t="shared" si="216"/>
        <v>47709563.844625145</v>
      </c>
      <c r="K381" s="162">
        <f t="shared" si="216"/>
        <v>67275244.064035922</v>
      </c>
      <c r="L381" s="162">
        <f t="shared" si="216"/>
        <v>101619283.22087181</v>
      </c>
      <c r="M381" s="162">
        <f t="shared" si="216"/>
        <v>105684054.54970667</v>
      </c>
      <c r="N381" s="162">
        <f t="shared" si="216"/>
        <v>109911416.73169495</v>
      </c>
      <c r="O381" s="162">
        <f t="shared" si="216"/>
        <v>114307873.40096276</v>
      </c>
      <c r="P381" s="162">
        <f t="shared" si="216"/>
        <v>118880188.33700126</v>
      </c>
      <c r="Q381" s="162">
        <f t="shared" si="216"/>
        <v>123635395.87048133</v>
      </c>
      <c r="R381" s="162">
        <f t="shared" si="216"/>
        <v>128580811.70530057</v>
      </c>
      <c r="S381" s="162">
        <f t="shared" si="216"/>
        <v>133724044.17351261</v>
      </c>
      <c r="T381" s="162">
        <f t="shared" si="216"/>
        <v>95753649.559880733</v>
      </c>
      <c r="U381" s="162">
        <f t="shared" si="216"/>
        <v>73446681.5856314</v>
      </c>
      <c r="V381" s="162">
        <f t="shared" si="216"/>
        <v>49201950.334146269</v>
      </c>
      <c r="W381" s="162">
        <f t="shared" si="216"/>
        <v>22900125.892005343</v>
      </c>
      <c r="X381" s="162">
        <f t="shared" si="216"/>
        <v>0</v>
      </c>
      <c r="Y381" s="162">
        <f t="shared" si="216"/>
        <v>0</v>
      </c>
      <c r="Z381" s="162">
        <f t="shared" si="216"/>
        <v>0</v>
      </c>
      <c r="AA381" s="162">
        <f t="shared" si="216"/>
        <v>0</v>
      </c>
      <c r="AB381" s="162">
        <f t="shared" si="216"/>
        <v>0</v>
      </c>
      <c r="AC381" s="162">
        <f t="shared" si="216"/>
        <v>0</v>
      </c>
      <c r="AD381" s="162">
        <f t="shared" si="216"/>
        <v>0</v>
      </c>
      <c r="AE381" s="162">
        <f t="shared" si="216"/>
        <v>0</v>
      </c>
      <c r="AF381" s="162">
        <f t="shared" si="216"/>
        <v>0</v>
      </c>
      <c r="AG381" s="162">
        <f t="shared" si="216"/>
        <v>0</v>
      </c>
      <c r="AH381" s="162">
        <f t="shared" si="216"/>
        <v>0</v>
      </c>
      <c r="AI381" s="162">
        <f t="shared" si="216"/>
        <v>0</v>
      </c>
      <c r="AJ381" s="162">
        <f t="shared" si="216"/>
        <v>0</v>
      </c>
      <c r="AK381" s="162">
        <f t="shared" si="216"/>
        <v>0</v>
      </c>
      <c r="AL381" s="162">
        <f t="shared" si="216"/>
        <v>0</v>
      </c>
      <c r="AM381" s="162">
        <f t="shared" si="216"/>
        <v>0</v>
      </c>
      <c r="AN381" s="162">
        <f t="shared" si="216"/>
        <v>0</v>
      </c>
      <c r="AO381" s="162">
        <f t="shared" si="216"/>
        <v>0</v>
      </c>
      <c r="AP381" s="162">
        <f t="shared" si="216"/>
        <v>0</v>
      </c>
      <c r="AQ381" s="162">
        <f t="shared" si="216"/>
        <v>0</v>
      </c>
      <c r="AR381" s="162">
        <f t="shared" si="216"/>
        <v>0</v>
      </c>
      <c r="AS381" s="162">
        <f t="shared" si="216"/>
        <v>0</v>
      </c>
      <c r="AT381" s="162">
        <f t="shared" si="216"/>
        <v>0</v>
      </c>
      <c r="AU381" s="162">
        <f t="shared" si="216"/>
        <v>0</v>
      </c>
      <c r="AV381" s="162">
        <f t="shared" si="216"/>
        <v>0</v>
      </c>
      <c r="AW381" s="162">
        <f t="shared" si="216"/>
        <v>0</v>
      </c>
      <c r="AX381" s="162">
        <f t="shared" si="216"/>
        <v>0</v>
      </c>
      <c r="AY381" s="162">
        <f t="shared" si="216"/>
        <v>0</v>
      </c>
      <c r="AZ381" s="162">
        <f t="shared" si="216"/>
        <v>0</v>
      </c>
      <c r="BA381" s="162">
        <f t="shared" si="216"/>
        <v>0</v>
      </c>
      <c r="BB381" s="162">
        <f t="shared" si="216"/>
        <v>0</v>
      </c>
      <c r="BC381" s="162">
        <f t="shared" si="216"/>
        <v>0</v>
      </c>
      <c r="BD381" s="162">
        <f t="shared" si="216"/>
        <v>0</v>
      </c>
      <c r="BE381" s="162">
        <f t="shared" si="216"/>
        <v>0</v>
      </c>
      <c r="BF381" s="162">
        <f t="shared" si="216"/>
        <v>0</v>
      </c>
      <c r="BG381" s="162">
        <f t="shared" si="216"/>
        <v>0</v>
      </c>
      <c r="BH381" s="162">
        <f t="shared" si="216"/>
        <v>0</v>
      </c>
      <c r="BI381" s="162">
        <f t="shared" si="216"/>
        <v>0</v>
      </c>
      <c r="BJ381" s="163">
        <f t="shared" si="216"/>
        <v>0</v>
      </c>
      <c r="BK381" s="159"/>
      <c r="BL381" s="159"/>
    </row>
    <row r="382" spans="1:64" s="105" customFormat="1">
      <c r="A382" s="164" t="s">
        <v>136</v>
      </c>
      <c r="B382" s="161">
        <f t="shared" si="210"/>
        <v>2837150684.3621016</v>
      </c>
      <c r="C382" s="133">
        <f>C380-C381</f>
        <v>-36039591.315464206</v>
      </c>
      <c r="D382" s="134">
        <f>D380-D381</f>
        <v>-41329090.875216588</v>
      </c>
      <c r="E382" s="134">
        <f>E380-E381</f>
        <v>-62076764.789062247</v>
      </c>
      <c r="F382" s="134">
        <f>F380-F381</f>
        <v>-66656447.929144934</v>
      </c>
      <c r="G382" s="134">
        <f t="shared" ref="G382:BJ382" si="217">G380-G381</f>
        <v>-71503182.896771759</v>
      </c>
      <c r="H382" s="134">
        <f t="shared" si="217"/>
        <v>29669796.369490054</v>
      </c>
      <c r="I382" s="134">
        <f t="shared" si="217"/>
        <v>68948638.168605343</v>
      </c>
      <c r="J382" s="134">
        <f t="shared" si="217"/>
        <v>111322315.63745868</v>
      </c>
      <c r="K382" s="134">
        <f t="shared" si="217"/>
        <v>156975569.48275048</v>
      </c>
      <c r="L382" s="134">
        <f t="shared" si="217"/>
        <v>237111660.84870088</v>
      </c>
      <c r="M382" s="134">
        <f t="shared" si="217"/>
        <v>246596127.28264889</v>
      </c>
      <c r="N382" s="134">
        <f t="shared" si="217"/>
        <v>256459972.37395489</v>
      </c>
      <c r="O382" s="134">
        <f t="shared" si="217"/>
        <v>266718371.26891309</v>
      </c>
      <c r="P382" s="134">
        <f t="shared" si="217"/>
        <v>277387106.11966962</v>
      </c>
      <c r="Q382" s="134">
        <f t="shared" si="217"/>
        <v>288482590.36445647</v>
      </c>
      <c r="R382" s="134">
        <f t="shared" si="217"/>
        <v>300021893.97903466</v>
      </c>
      <c r="S382" s="134">
        <f t="shared" si="217"/>
        <v>312022769.73819613</v>
      </c>
      <c r="T382" s="134">
        <f t="shared" si="217"/>
        <v>223425182.30638838</v>
      </c>
      <c r="U382" s="134">
        <f t="shared" si="217"/>
        <v>171375590.36647329</v>
      </c>
      <c r="V382" s="134">
        <f t="shared" si="217"/>
        <v>114804550.77967465</v>
      </c>
      <c r="W382" s="134">
        <f t="shared" si="217"/>
        <v>53433627.081345811</v>
      </c>
      <c r="X382" s="134">
        <f t="shared" si="217"/>
        <v>0</v>
      </c>
      <c r="Y382" s="134">
        <f t="shared" si="217"/>
        <v>0</v>
      </c>
      <c r="Z382" s="134">
        <f t="shared" si="217"/>
        <v>0</v>
      </c>
      <c r="AA382" s="134">
        <f t="shared" si="217"/>
        <v>0</v>
      </c>
      <c r="AB382" s="134">
        <f t="shared" si="217"/>
        <v>0</v>
      </c>
      <c r="AC382" s="134">
        <f t="shared" si="217"/>
        <v>0</v>
      </c>
      <c r="AD382" s="134">
        <f t="shared" si="217"/>
        <v>0</v>
      </c>
      <c r="AE382" s="134">
        <f t="shared" si="217"/>
        <v>0</v>
      </c>
      <c r="AF382" s="134">
        <f t="shared" si="217"/>
        <v>0</v>
      </c>
      <c r="AG382" s="134">
        <f t="shared" si="217"/>
        <v>0</v>
      </c>
      <c r="AH382" s="134">
        <f t="shared" si="217"/>
        <v>0</v>
      </c>
      <c r="AI382" s="134">
        <f t="shared" si="217"/>
        <v>0</v>
      </c>
      <c r="AJ382" s="134">
        <f t="shared" si="217"/>
        <v>0</v>
      </c>
      <c r="AK382" s="134">
        <f t="shared" si="217"/>
        <v>0</v>
      </c>
      <c r="AL382" s="134">
        <f t="shared" si="217"/>
        <v>0</v>
      </c>
      <c r="AM382" s="134">
        <f t="shared" si="217"/>
        <v>0</v>
      </c>
      <c r="AN382" s="134">
        <f t="shared" si="217"/>
        <v>0</v>
      </c>
      <c r="AO382" s="134">
        <f t="shared" si="217"/>
        <v>0</v>
      </c>
      <c r="AP382" s="134">
        <f t="shared" si="217"/>
        <v>0</v>
      </c>
      <c r="AQ382" s="134">
        <f t="shared" si="217"/>
        <v>0</v>
      </c>
      <c r="AR382" s="134">
        <f t="shared" si="217"/>
        <v>0</v>
      </c>
      <c r="AS382" s="134">
        <f t="shared" si="217"/>
        <v>0</v>
      </c>
      <c r="AT382" s="134">
        <f t="shared" si="217"/>
        <v>0</v>
      </c>
      <c r="AU382" s="134">
        <f t="shared" si="217"/>
        <v>0</v>
      </c>
      <c r="AV382" s="134">
        <f t="shared" si="217"/>
        <v>0</v>
      </c>
      <c r="AW382" s="134">
        <f t="shared" si="217"/>
        <v>0</v>
      </c>
      <c r="AX382" s="134">
        <f t="shared" si="217"/>
        <v>0</v>
      </c>
      <c r="AY382" s="134">
        <f t="shared" si="217"/>
        <v>0</v>
      </c>
      <c r="AZ382" s="134">
        <f t="shared" si="217"/>
        <v>0</v>
      </c>
      <c r="BA382" s="134">
        <f t="shared" si="217"/>
        <v>0</v>
      </c>
      <c r="BB382" s="134">
        <f t="shared" si="217"/>
        <v>0</v>
      </c>
      <c r="BC382" s="134">
        <f t="shared" si="217"/>
        <v>0</v>
      </c>
      <c r="BD382" s="134">
        <f t="shared" si="217"/>
        <v>0</v>
      </c>
      <c r="BE382" s="134">
        <f t="shared" si="217"/>
        <v>0</v>
      </c>
      <c r="BF382" s="134">
        <f t="shared" si="217"/>
        <v>0</v>
      </c>
      <c r="BG382" s="134">
        <f t="shared" si="217"/>
        <v>0</v>
      </c>
      <c r="BH382" s="134">
        <f t="shared" si="217"/>
        <v>0</v>
      </c>
      <c r="BI382" s="134">
        <f t="shared" si="217"/>
        <v>0</v>
      </c>
      <c r="BJ382" s="135">
        <f t="shared" si="217"/>
        <v>0</v>
      </c>
      <c r="BK382" s="109"/>
      <c r="BL382" s="109"/>
    </row>
    <row r="383" spans="1:64">
      <c r="A383" s="165" t="s">
        <v>137</v>
      </c>
      <c r="B383" s="161"/>
      <c r="C383" s="166"/>
      <c r="D383" s="167"/>
      <c r="E383" s="168"/>
      <c r="F383" s="168"/>
      <c r="G383" s="168"/>
      <c r="H383" s="168"/>
      <c r="I383" s="168"/>
      <c r="J383" s="168"/>
      <c r="K383" s="168"/>
      <c r="L383" s="168"/>
      <c r="M383" s="168"/>
      <c r="N383" s="168"/>
      <c r="O383" s="168"/>
      <c r="P383" s="168"/>
      <c r="Q383" s="168"/>
      <c r="R383" s="168"/>
      <c r="S383" s="168"/>
      <c r="T383" s="168"/>
      <c r="U383" s="168"/>
      <c r="V383" s="168"/>
      <c r="W383" s="168"/>
      <c r="X383" s="168"/>
      <c r="Y383" s="168"/>
      <c r="Z383" s="168"/>
      <c r="AA383" s="168"/>
      <c r="AB383" s="168"/>
      <c r="AC383" s="168"/>
      <c r="AD383" s="168"/>
      <c r="AE383" s="168"/>
      <c r="AF383" s="168"/>
      <c r="AG383" s="168"/>
      <c r="AH383" s="168"/>
      <c r="AI383" s="168"/>
      <c r="AJ383" s="168"/>
      <c r="AK383" s="168"/>
      <c r="AL383" s="168"/>
      <c r="AM383" s="168"/>
      <c r="AN383" s="168"/>
      <c r="AO383" s="168"/>
      <c r="AP383" s="168"/>
      <c r="AQ383" s="168"/>
      <c r="AR383" s="168"/>
      <c r="AS383" s="168"/>
      <c r="AT383" s="168"/>
      <c r="AU383" s="168"/>
      <c r="AV383" s="168"/>
      <c r="AW383" s="168"/>
      <c r="AX383" s="168"/>
      <c r="AY383" s="168"/>
      <c r="AZ383" s="168"/>
      <c r="BA383" s="168"/>
      <c r="BB383" s="168"/>
      <c r="BC383" s="168"/>
      <c r="BD383" s="168"/>
      <c r="BE383" s="168"/>
      <c r="BF383" s="168"/>
      <c r="BG383" s="168"/>
      <c r="BH383" s="168"/>
      <c r="BI383" s="168"/>
      <c r="BJ383" s="169"/>
    </row>
    <row r="384" spans="1:64" s="174" customFormat="1" ht="12.75">
      <c r="A384" s="120" t="s">
        <v>138</v>
      </c>
      <c r="B384" s="170">
        <f>SUM(C384:BJ384)</f>
        <v>25434341.844301425</v>
      </c>
      <c r="C384" s="171">
        <f>C355-C360</f>
        <v>35954151.096561715</v>
      </c>
      <c r="D384" s="172">
        <f t="shared" ref="D384:BJ384" si="218">IF(AND(D343&gt;5,D344=0),0,D355-D360)</f>
        <v>39050977.453172438</v>
      </c>
      <c r="E384" s="172">
        <f t="shared" si="218"/>
        <v>55675579.621443644</v>
      </c>
      <c r="F384" s="172">
        <f t="shared" si="218"/>
        <v>55805990.257781185</v>
      </c>
      <c r="G384" s="172">
        <f t="shared" si="218"/>
        <v>55857752.817631438</v>
      </c>
      <c r="H384" s="172">
        <f t="shared" si="218"/>
        <v>-9938821.044046741</v>
      </c>
      <c r="I384" s="172">
        <f t="shared" si="218"/>
        <v>-10336373.885808609</v>
      </c>
      <c r="J384" s="172">
        <f t="shared" si="218"/>
        <v>-10749828.841240954</v>
      </c>
      <c r="K384" s="172">
        <f t="shared" si="218"/>
        <v>-11179821.994890595</v>
      </c>
      <c r="L384" s="172">
        <f t="shared" si="218"/>
        <v>-11627014.874686217</v>
      </c>
      <c r="M384" s="172">
        <f t="shared" si="218"/>
        <v>-12092095.469673669</v>
      </c>
      <c r="N384" s="172">
        <f t="shared" si="218"/>
        <v>-12575779.288460612</v>
      </c>
      <c r="O384" s="172">
        <f t="shared" si="218"/>
        <v>-13078810.45999904</v>
      </c>
      <c r="P384" s="172">
        <f t="shared" si="218"/>
        <v>-13601962.878399003</v>
      </c>
      <c r="Q384" s="172">
        <f t="shared" si="218"/>
        <v>-14146041.393534962</v>
      </c>
      <c r="R384" s="172">
        <f t="shared" si="218"/>
        <v>-14711883.049276363</v>
      </c>
      <c r="S384" s="172">
        <f t="shared" si="218"/>
        <v>-15300358.371247416</v>
      </c>
      <c r="T384" s="172">
        <f t="shared" si="218"/>
        <v>-15912372.706097316</v>
      </c>
      <c r="U384" s="172">
        <f t="shared" si="218"/>
        <v>-16548867.614341209</v>
      </c>
      <c r="V384" s="172">
        <f t="shared" si="218"/>
        <v>-17210822.318914857</v>
      </c>
      <c r="W384" s="172">
        <f t="shared" si="218"/>
        <v>-17899255.211671449</v>
      </c>
      <c r="X384" s="172">
        <f t="shared" si="218"/>
        <v>0</v>
      </c>
      <c r="Y384" s="172">
        <f t="shared" si="218"/>
        <v>0</v>
      </c>
      <c r="Z384" s="172">
        <f t="shared" si="218"/>
        <v>0</v>
      </c>
      <c r="AA384" s="172">
        <f t="shared" si="218"/>
        <v>0</v>
      </c>
      <c r="AB384" s="172">
        <f t="shared" si="218"/>
        <v>0</v>
      </c>
      <c r="AC384" s="172">
        <f t="shared" si="218"/>
        <v>0</v>
      </c>
      <c r="AD384" s="172">
        <f t="shared" si="218"/>
        <v>0</v>
      </c>
      <c r="AE384" s="172">
        <f t="shared" si="218"/>
        <v>0</v>
      </c>
      <c r="AF384" s="172">
        <f t="shared" si="218"/>
        <v>0</v>
      </c>
      <c r="AG384" s="172">
        <f t="shared" si="218"/>
        <v>0</v>
      </c>
      <c r="AH384" s="172">
        <f t="shared" si="218"/>
        <v>0</v>
      </c>
      <c r="AI384" s="172">
        <f t="shared" si="218"/>
        <v>0</v>
      </c>
      <c r="AJ384" s="172">
        <f t="shared" si="218"/>
        <v>0</v>
      </c>
      <c r="AK384" s="172">
        <f t="shared" si="218"/>
        <v>0</v>
      </c>
      <c r="AL384" s="172">
        <f t="shared" si="218"/>
        <v>0</v>
      </c>
      <c r="AM384" s="172">
        <f t="shared" si="218"/>
        <v>0</v>
      </c>
      <c r="AN384" s="172">
        <f t="shared" si="218"/>
        <v>0</v>
      </c>
      <c r="AO384" s="172">
        <f t="shared" si="218"/>
        <v>0</v>
      </c>
      <c r="AP384" s="172">
        <f t="shared" si="218"/>
        <v>0</v>
      </c>
      <c r="AQ384" s="172">
        <f t="shared" si="218"/>
        <v>0</v>
      </c>
      <c r="AR384" s="172">
        <f t="shared" si="218"/>
        <v>0</v>
      </c>
      <c r="AS384" s="172">
        <f t="shared" si="218"/>
        <v>0</v>
      </c>
      <c r="AT384" s="172">
        <f t="shared" si="218"/>
        <v>0</v>
      </c>
      <c r="AU384" s="172">
        <f t="shared" si="218"/>
        <v>0</v>
      </c>
      <c r="AV384" s="172">
        <f t="shared" si="218"/>
        <v>0</v>
      </c>
      <c r="AW384" s="172">
        <f t="shared" si="218"/>
        <v>0</v>
      </c>
      <c r="AX384" s="172">
        <f t="shared" si="218"/>
        <v>0</v>
      </c>
      <c r="AY384" s="172">
        <f t="shared" si="218"/>
        <v>0</v>
      </c>
      <c r="AZ384" s="172">
        <f t="shared" si="218"/>
        <v>0</v>
      </c>
      <c r="BA384" s="172">
        <f t="shared" si="218"/>
        <v>0</v>
      </c>
      <c r="BB384" s="172">
        <f t="shared" si="218"/>
        <v>0</v>
      </c>
      <c r="BC384" s="172">
        <f t="shared" si="218"/>
        <v>0</v>
      </c>
      <c r="BD384" s="172">
        <f t="shared" si="218"/>
        <v>0</v>
      </c>
      <c r="BE384" s="172">
        <f t="shared" si="218"/>
        <v>0</v>
      </c>
      <c r="BF384" s="172">
        <f t="shared" si="218"/>
        <v>0</v>
      </c>
      <c r="BG384" s="172">
        <f t="shared" si="218"/>
        <v>0</v>
      </c>
      <c r="BH384" s="172">
        <f t="shared" si="218"/>
        <v>0</v>
      </c>
      <c r="BI384" s="172">
        <f t="shared" si="218"/>
        <v>0</v>
      </c>
      <c r="BJ384" s="173">
        <f t="shared" si="218"/>
        <v>0</v>
      </c>
      <c r="BK384" s="172"/>
      <c r="BL384" s="172"/>
    </row>
    <row r="385" spans="1:64" s="174" customFormat="1" ht="12.75">
      <c r="A385" s="120" t="s">
        <v>139</v>
      </c>
      <c r="B385" s="170">
        <f>SUM(C385:BJ385)</f>
        <v>242282918.52720338</v>
      </c>
      <c r="C385" s="171">
        <f>C375</f>
        <v>1239798.3136745419</v>
      </c>
      <c r="D385" s="172">
        <f>D375</f>
        <v>2680437.4082695912</v>
      </c>
      <c r="E385" s="172">
        <f t="shared" ref="E385:BJ385" si="219">E375</f>
        <v>4803628.5089467205</v>
      </c>
      <c r="F385" s="172">
        <f t="shared" si="219"/>
        <v>7092386.1978247892</v>
      </c>
      <c r="G385" s="172">
        <f t="shared" si="219"/>
        <v>9556558.6961987875</v>
      </c>
      <c r="H385" s="172">
        <f t="shared" si="219"/>
        <v>9938821.044046741</v>
      </c>
      <c r="I385" s="172">
        <f t="shared" si="219"/>
        <v>10336373.885808609</v>
      </c>
      <c r="J385" s="172">
        <f t="shared" si="219"/>
        <v>10749828.841240954</v>
      </c>
      <c r="K385" s="172">
        <f t="shared" si="219"/>
        <v>11179821.994890595</v>
      </c>
      <c r="L385" s="172">
        <f t="shared" si="219"/>
        <v>11627014.874686217</v>
      </c>
      <c r="M385" s="172">
        <f t="shared" si="219"/>
        <v>12092095.469673669</v>
      </c>
      <c r="N385" s="172">
        <f t="shared" si="219"/>
        <v>12575779.288460612</v>
      </c>
      <c r="O385" s="172">
        <f t="shared" si="219"/>
        <v>13078810.45999904</v>
      </c>
      <c r="P385" s="172">
        <f t="shared" si="219"/>
        <v>13601962.878399003</v>
      </c>
      <c r="Q385" s="172">
        <f t="shared" si="219"/>
        <v>14146041.393534962</v>
      </c>
      <c r="R385" s="172">
        <f t="shared" si="219"/>
        <v>14711883.049276363</v>
      </c>
      <c r="S385" s="172">
        <f t="shared" si="219"/>
        <v>15300358.371247416</v>
      </c>
      <c r="T385" s="172">
        <f t="shared" si="219"/>
        <v>15912372.706097316</v>
      </c>
      <c r="U385" s="172">
        <f t="shared" si="219"/>
        <v>16548867.614341209</v>
      </c>
      <c r="V385" s="172">
        <f t="shared" si="219"/>
        <v>17210822.318914857</v>
      </c>
      <c r="W385" s="172">
        <f t="shared" si="219"/>
        <v>17899255.211671449</v>
      </c>
      <c r="X385" s="172">
        <f t="shared" si="219"/>
        <v>0</v>
      </c>
      <c r="Y385" s="172">
        <f t="shared" si="219"/>
        <v>0</v>
      </c>
      <c r="Z385" s="172">
        <f t="shared" si="219"/>
        <v>0</v>
      </c>
      <c r="AA385" s="172">
        <f t="shared" si="219"/>
        <v>0</v>
      </c>
      <c r="AB385" s="172">
        <f t="shared" si="219"/>
        <v>0</v>
      </c>
      <c r="AC385" s="172">
        <f t="shared" si="219"/>
        <v>0</v>
      </c>
      <c r="AD385" s="172">
        <f t="shared" si="219"/>
        <v>0</v>
      </c>
      <c r="AE385" s="172">
        <f t="shared" si="219"/>
        <v>0</v>
      </c>
      <c r="AF385" s="172">
        <f t="shared" si="219"/>
        <v>0</v>
      </c>
      <c r="AG385" s="172">
        <f t="shared" si="219"/>
        <v>0</v>
      </c>
      <c r="AH385" s="172">
        <f t="shared" si="219"/>
        <v>0</v>
      </c>
      <c r="AI385" s="172">
        <f t="shared" si="219"/>
        <v>0</v>
      </c>
      <c r="AJ385" s="172">
        <f t="shared" si="219"/>
        <v>0</v>
      </c>
      <c r="AK385" s="172">
        <f t="shared" si="219"/>
        <v>0</v>
      </c>
      <c r="AL385" s="172">
        <f t="shared" si="219"/>
        <v>0</v>
      </c>
      <c r="AM385" s="172">
        <f t="shared" si="219"/>
        <v>0</v>
      </c>
      <c r="AN385" s="172">
        <f t="shared" si="219"/>
        <v>0</v>
      </c>
      <c r="AO385" s="172">
        <f t="shared" si="219"/>
        <v>0</v>
      </c>
      <c r="AP385" s="172">
        <f t="shared" si="219"/>
        <v>0</v>
      </c>
      <c r="AQ385" s="172">
        <f t="shared" si="219"/>
        <v>0</v>
      </c>
      <c r="AR385" s="172">
        <f t="shared" si="219"/>
        <v>0</v>
      </c>
      <c r="AS385" s="172">
        <f t="shared" si="219"/>
        <v>0</v>
      </c>
      <c r="AT385" s="172">
        <f t="shared" si="219"/>
        <v>0</v>
      </c>
      <c r="AU385" s="172">
        <f t="shared" si="219"/>
        <v>0</v>
      </c>
      <c r="AV385" s="172">
        <f t="shared" si="219"/>
        <v>0</v>
      </c>
      <c r="AW385" s="172">
        <f t="shared" si="219"/>
        <v>0</v>
      </c>
      <c r="AX385" s="172">
        <f t="shared" si="219"/>
        <v>0</v>
      </c>
      <c r="AY385" s="172">
        <f t="shared" si="219"/>
        <v>0</v>
      </c>
      <c r="AZ385" s="172">
        <f t="shared" si="219"/>
        <v>0</v>
      </c>
      <c r="BA385" s="172">
        <f t="shared" si="219"/>
        <v>0</v>
      </c>
      <c r="BB385" s="172">
        <f t="shared" si="219"/>
        <v>0</v>
      </c>
      <c r="BC385" s="172">
        <f t="shared" si="219"/>
        <v>0</v>
      </c>
      <c r="BD385" s="172">
        <f t="shared" si="219"/>
        <v>0</v>
      </c>
      <c r="BE385" s="172">
        <f t="shared" si="219"/>
        <v>0</v>
      </c>
      <c r="BF385" s="172">
        <f t="shared" si="219"/>
        <v>0</v>
      </c>
      <c r="BG385" s="172">
        <f t="shared" si="219"/>
        <v>0</v>
      </c>
      <c r="BH385" s="172">
        <f t="shared" si="219"/>
        <v>0</v>
      </c>
      <c r="BI385" s="172">
        <f t="shared" si="219"/>
        <v>0</v>
      </c>
      <c r="BJ385" s="173">
        <f t="shared" si="219"/>
        <v>0</v>
      </c>
      <c r="BK385" s="172"/>
      <c r="BL385" s="172"/>
    </row>
    <row r="386" spans="1:64" s="174" customFormat="1" ht="12.75">
      <c r="A386" s="120" t="s">
        <v>140</v>
      </c>
      <c r="B386" s="170" t="e">
        <f>SUM(C386:BJ386)</f>
        <v>#REF!</v>
      </c>
      <c r="C386" s="171">
        <f>-C355</f>
        <v>-37193949.410236254</v>
      </c>
      <c r="D386" s="172">
        <f>IF(AND(D343&gt;5,E344=0,D344&lt;&gt;0),SUM(D$71:$BJ360)-D355,-D355)</f>
        <v>-41731414.861442029</v>
      </c>
      <c r="E386" s="172">
        <f>IF(AND(E343&gt;5,F344=0,E344&lt;&gt;0),SUM(E$71:$BJ360)-E355,-E355)</f>
        <v>-60479208.130390368</v>
      </c>
      <c r="F386" s="172">
        <f>IF(AND(F343&gt;5,G344=0,F344&lt;&gt;0),SUM(F$71:$BJ360)-F355,-F355)</f>
        <v>-62898376.455605976</v>
      </c>
      <c r="G386" s="172">
        <f>IF(AND(G343&gt;5,H344=0,G344&lt;&gt;0),SUM(G$71:$BJ360)-G355,-G355)</f>
        <v>-65414311.51383023</v>
      </c>
      <c r="H386" s="172">
        <f>IF(AND(H343&gt;5,I344=0,H344&lt;&gt;0),SUM(H$71:$BJ360)-H355,-H355)</f>
        <v>0</v>
      </c>
      <c r="I386" s="172">
        <f>IF(AND(I343&gt;5,J344=0,I344&lt;&gt;0),SUM(I$71:$BJ360)-I355,-I355)</f>
        <v>0</v>
      </c>
      <c r="J386" s="172">
        <f>IF(AND(J343&gt;5,K344=0,J344&lt;&gt;0),SUM(J$71:$BJ360)-J355,-J355)</f>
        <v>0</v>
      </c>
      <c r="K386" s="172">
        <f>IF(AND(K343&gt;5,L344=0,K344&lt;&gt;0),SUM(K$71:$BJ360)-K355,-K355)</f>
        <v>0</v>
      </c>
      <c r="L386" s="172">
        <f>IF(AND(L343&gt;5,M344=0,L344&lt;&gt;0),SUM(L$71:$BJ360)-L355,-L355)</f>
        <v>0</v>
      </c>
      <c r="M386" s="172">
        <f>IF(AND(M343&gt;5,N344=0,M344&lt;&gt;0),SUM(M$71:$BJ360)-M355,-M355)</f>
        <v>0</v>
      </c>
      <c r="N386" s="172">
        <f>IF(AND(N343&gt;5,O344=0,N344&lt;&gt;0),SUM(N$71:$BJ360)-N355,-N355)</f>
        <v>0</v>
      </c>
      <c r="O386" s="172">
        <f>IF(AND(O343&gt;5,P344=0,O344&lt;&gt;0),SUM(O$71:$BJ360)-O355,-O355)</f>
        <v>0</v>
      </c>
      <c r="P386" s="172">
        <f>IF(AND(P343&gt;5,Q344=0,P344&lt;&gt;0),SUM(P$71:$BJ360)-P355,-P355)</f>
        <v>0</v>
      </c>
      <c r="Q386" s="172">
        <f>IF(AND(Q343&gt;5,R344=0,Q344&lt;&gt;0),SUM(Q$71:$BJ360)-Q355,-Q355)</f>
        <v>0</v>
      </c>
      <c r="R386" s="172">
        <f>IF(AND(R343&gt;5,S344=0,R344&lt;&gt;0),SUM(R$71:$BJ360)-R355,-R355)</f>
        <v>0</v>
      </c>
      <c r="S386" s="172">
        <f>IF(AND(S343&gt;5,T344=0,S344&lt;&gt;0),SUM(S$71:$BJ360)-S355,-S355)</f>
        <v>0</v>
      </c>
      <c r="T386" s="172">
        <f>IF(AND(T343&gt;5,U344=0,T344&lt;&gt;0),SUM(T$71:$BJ360)-T355,-T355)</f>
        <v>0</v>
      </c>
      <c r="U386" s="172">
        <f>IF(AND(U343&gt;5,V344=0,U344&lt;&gt;0),SUM(U$71:$BJ360)-U355,-U355)</f>
        <v>0</v>
      </c>
      <c r="V386" s="172">
        <f>IF(AND(V343&gt;5,W344=0,V344&lt;&gt;0),SUM(V$71:$BJ360)-V355,-V355)</f>
        <v>0</v>
      </c>
      <c r="W386" s="172" t="e">
        <f>IF(AND(W343&gt;5,X344=0,W344&lt;&gt;0),SUM(W$71:$BJ360)-W355,-W355)</f>
        <v>#REF!</v>
      </c>
      <c r="X386" s="172">
        <f>IF(AND(X343&gt;5,Y344=0,X344&lt;&gt;0),SUM(X$71:$BJ360)-X355,-X355)</f>
        <v>0</v>
      </c>
      <c r="Y386" s="172">
        <f>IF(AND(Y343&gt;5,Z344=0,Y344&lt;&gt;0),SUM(Y$71:$BJ360)-Y355,-Y355)</f>
        <v>0</v>
      </c>
      <c r="Z386" s="175">
        <f>IF(AND(Z343&gt;5,AA344=0,Z344&lt;&gt;0),SUM(Z$71:$BJ360)-Z355,-Z355)</f>
        <v>0</v>
      </c>
      <c r="AA386" s="172">
        <f>IF(AND(AA343&gt;5,AB344=0,AA344&lt;&gt;0),SUM(AA$71:$BJ360)-AA355,-AA355)</f>
        <v>0</v>
      </c>
      <c r="AB386" s="172">
        <f>IF(AND(AB343&gt;5,AC344=0,AB344&lt;&gt;0),SUM(AB$71:$BJ360)-AB355,-AB355)</f>
        <v>0</v>
      </c>
      <c r="AC386" s="172">
        <f>IF(AND(AC343&gt;5,AD344=0,AC344&lt;&gt;0),SUM(AC$71:$BJ360)-AC355,-AC355)</f>
        <v>0</v>
      </c>
      <c r="AD386" s="172">
        <f>IF(AND(AD343&gt;5,AE344=0,AD344&lt;&gt;0),SUM(AD$71:$BJ360)-AD355,-AD355)</f>
        <v>0</v>
      </c>
      <c r="AE386" s="172">
        <f>IF(AND(AE343&gt;5,AF344=0,AE344&lt;&gt;0),SUM(AE$71:$BJ360)-AE355,-AE355)</f>
        <v>0</v>
      </c>
      <c r="AF386" s="172">
        <f>IF(AND(AF343&gt;5,AG344=0,AF344&lt;&gt;0),SUM(AF$71:$BJ360)-AF355,-AF355)</f>
        <v>0</v>
      </c>
      <c r="AG386" s="172">
        <f>IF(AND(AG343&gt;5,AH344=0,AG344&lt;&gt;0),SUM(AG$71:$BJ360)-AG355,-AG355)</f>
        <v>0</v>
      </c>
      <c r="AH386" s="172">
        <f>IF(AND(AH343&gt;5,AI344=0,AH344&lt;&gt;0),SUM(AH$71:$BJ360)-AH355,-AH355)</f>
        <v>0</v>
      </c>
      <c r="AI386" s="172">
        <f>IF(AND(AI343&gt;5,AJ344=0,AI344&lt;&gt;0),SUM(AI$71:$BJ360)-AI355,-AI355)</f>
        <v>0</v>
      </c>
      <c r="AJ386" s="172">
        <f>IF(AND(AJ343&gt;5,AK344=0,AJ344&lt;&gt;0),SUM(AJ$71:$BJ360)-AJ355,-AJ355)</f>
        <v>0</v>
      </c>
      <c r="AK386" s="172">
        <f>IF(AND(AK343&gt;5,AL344=0,AK344&lt;&gt;0),SUM(AK$71:$BJ360)-AK355,-AK355)</f>
        <v>0</v>
      </c>
      <c r="AL386" s="172">
        <f>IF(AND(AL343&gt;5,AM344=0,AL344&lt;&gt;0),SUM(AL$71:$BJ360)-AL355,-AL355)</f>
        <v>0</v>
      </c>
      <c r="AM386" s="172">
        <f>IF(AND(AM343&gt;5,AN344=0,AM344&lt;&gt;0),SUM(AM$71:$BJ360)-AM355,-AM355)</f>
        <v>0</v>
      </c>
      <c r="AN386" s="172">
        <f>IF(AND(AN343&gt;5,AO344=0,AN344&lt;&gt;0),SUM(AN$71:$BJ360)-AN355,-AN355)</f>
        <v>0</v>
      </c>
      <c r="AO386" s="172">
        <f>IF(AND(AO343&gt;5,AP344=0,AO344&lt;&gt;0),SUM(AO$71:$BJ360)-AO355,-AO355)</f>
        <v>0</v>
      </c>
      <c r="AP386" s="172">
        <f>IF(AND(AP343&gt;5,AQ344=0,AP344&lt;&gt;0),SUM(AP$71:$BJ360)-AP355,-AP355)</f>
        <v>0</v>
      </c>
      <c r="AQ386" s="172">
        <f>IF(AND(AQ343&gt;5,AR344=0,AQ344&lt;&gt;0),SUM(AQ$71:$BJ360)-AQ355,-AQ355)</f>
        <v>0</v>
      </c>
      <c r="AR386" s="172">
        <f>IF(AND(AR343&gt;5,AS344=0,AR344&lt;&gt;0),SUM(AR$71:$BJ360)-AR355,-AR355)</f>
        <v>0</v>
      </c>
      <c r="AS386" s="172">
        <f>IF(AND(AS343&gt;5,AT344=0,AS344&lt;&gt;0),SUM(AS$71:$BJ360)-AS355,-AS355)</f>
        <v>0</v>
      </c>
      <c r="AT386" s="172">
        <f>IF(AND(AT343&gt;5,AU344=0,AT344&lt;&gt;0),SUM(AT$71:$BJ360)-AT355,-AT355)</f>
        <v>0</v>
      </c>
      <c r="AU386" s="172">
        <f>IF(AND(AU343&gt;5,AV344=0,AU344&lt;&gt;0),SUM(AU$71:$BJ360)-AU355,-AU355)</f>
        <v>0</v>
      </c>
      <c r="AV386" s="172">
        <f>IF(AND(AV343&gt;5,AW344=0,AV344&lt;&gt;0),SUM(AV$71:$BJ360)-AV355,-AV355)</f>
        <v>0</v>
      </c>
      <c r="AW386" s="172">
        <f>IF(AND(AW343&gt;5,AX344=0,AW344&lt;&gt;0),SUM(AW$71:$BJ360)-AW355,-AW355)</f>
        <v>0</v>
      </c>
      <c r="AX386" s="172">
        <f>IF(AND(AX343&gt;5,AY344=0,AX344&lt;&gt;0),SUM(AX$71:$BJ360)-AX355,-AX355)</f>
        <v>0</v>
      </c>
      <c r="AY386" s="172">
        <f>IF(AND(AY343&gt;5,AZ344=0,AY344&lt;&gt;0),SUM(AY$71:$BJ360)-AY355,-AY355)</f>
        <v>0</v>
      </c>
      <c r="AZ386" s="172">
        <f>IF(AND(AZ343&gt;5,BA344=0,AZ344&lt;&gt;0),SUM(AZ$71:$BJ360)-AZ355,-AZ355)</f>
        <v>0</v>
      </c>
      <c r="BA386" s="172">
        <f>IF(AND(BA343&gt;5,BB344=0,BA344&lt;&gt;0),SUM(BA$71:$BJ360)-BA355,-BA355)</f>
        <v>0</v>
      </c>
      <c r="BB386" s="172">
        <f>IF(AND(BB343&gt;5,BC344=0,BB344&lt;&gt;0),SUM(BB$71:$BJ360)-BB355,-BB355)</f>
        <v>0</v>
      </c>
      <c r="BC386" s="172">
        <f>IF(AND(BC343&gt;5,BD344=0,BC344&lt;&gt;0),SUM(BC$71:$BJ360)-BC355,-BC355)</f>
        <v>0</v>
      </c>
      <c r="BD386" s="172">
        <f>IF(AND(BD343&gt;5,BE344=0,BD344&lt;&gt;0),SUM(BD$71:$BJ360)-BD355,-BD355)</f>
        <v>0</v>
      </c>
      <c r="BE386" s="172">
        <f>IF(AND(BE343&gt;5,BF344=0,BE344&lt;&gt;0),SUM(BE$71:$BJ360)-BE355,-BE355)</f>
        <v>0</v>
      </c>
      <c r="BF386" s="172">
        <f>IF(AND(BF343&gt;5,BG344=0,BF344&lt;&gt;0),SUM(BF$71:$BJ360)-BF355,-BF355)</f>
        <v>0</v>
      </c>
      <c r="BG386" s="172">
        <f>IF(AND(BG343&gt;5,BH344=0,BG344&lt;&gt;0),SUM(BG$71:$BJ360)-BG355,-BG355)</f>
        <v>0</v>
      </c>
      <c r="BH386" s="172">
        <f>IF(AND(BH343&gt;5,BI344=0,BH344&lt;&gt;0),SUM(BH$71:$BJ360)-BH355,-BH355)</f>
        <v>0</v>
      </c>
      <c r="BI386" s="172">
        <f>IF(AND(BI343&gt;5,BJ344=0,BI344&lt;&gt;0),SUM(BI$71:$BJ360)-BI355,-BI355)</f>
        <v>0</v>
      </c>
      <c r="BJ386" s="173">
        <f>IF(AND(BJ343&gt;5,BK344=0,BJ344&lt;&gt;0),SUM(BJ$71:$BJ360)-BJ355,-BJ355)</f>
        <v>0</v>
      </c>
      <c r="BK386" s="172"/>
      <c r="BL386" s="172"/>
    </row>
    <row r="387" spans="1:64" s="160" customFormat="1">
      <c r="A387" s="176" t="s">
        <v>141</v>
      </c>
      <c r="B387" s="177">
        <f>SUM(C387:BJ387)</f>
        <v>3079433602.8893046</v>
      </c>
      <c r="C387" s="178">
        <f>C382+C385</f>
        <v>-34799793.001789667</v>
      </c>
      <c r="D387" s="179">
        <f t="shared" ref="D387:BJ387" si="220">D382+D385</f>
        <v>-38648653.466946997</v>
      </c>
      <c r="E387" s="179">
        <f t="shared" si="220"/>
        <v>-57273136.28011553</v>
      </c>
      <c r="F387" s="179">
        <f t="shared" si="220"/>
        <v>-59564061.731320143</v>
      </c>
      <c r="G387" s="179">
        <f t="shared" si="220"/>
        <v>-61946624.200572968</v>
      </c>
      <c r="H387" s="179">
        <f t="shared" si="220"/>
        <v>39608617.413536794</v>
      </c>
      <c r="I387" s="179">
        <f t="shared" si="220"/>
        <v>79285012.054413944</v>
      </c>
      <c r="J387" s="179">
        <f t="shared" si="220"/>
        <v>122072144.47869964</v>
      </c>
      <c r="K387" s="179">
        <f t="shared" si="220"/>
        <v>168155391.47764108</v>
      </c>
      <c r="L387" s="179">
        <f t="shared" si="220"/>
        <v>248738675.72338709</v>
      </c>
      <c r="M387" s="179">
        <f t="shared" si="220"/>
        <v>258688222.75232255</v>
      </c>
      <c r="N387" s="179">
        <f t="shared" si="220"/>
        <v>269035751.6624155</v>
      </c>
      <c r="O387" s="179">
        <f t="shared" si="220"/>
        <v>279797181.72891212</v>
      </c>
      <c r="P387" s="179">
        <f t="shared" si="220"/>
        <v>290989068.99806863</v>
      </c>
      <c r="Q387" s="179">
        <f t="shared" si="220"/>
        <v>302628631.75799143</v>
      </c>
      <c r="R387" s="179">
        <f t="shared" si="220"/>
        <v>314733777.02831101</v>
      </c>
      <c r="S387" s="179">
        <f t="shared" si="220"/>
        <v>327323128.10944355</v>
      </c>
      <c r="T387" s="179">
        <f t="shared" si="220"/>
        <v>239337555.01248568</v>
      </c>
      <c r="U387" s="179">
        <f t="shared" si="220"/>
        <v>187924457.98081449</v>
      </c>
      <c r="V387" s="179">
        <f t="shared" si="220"/>
        <v>132015373.09858951</v>
      </c>
      <c r="W387" s="179">
        <f t="shared" si="220"/>
        <v>71332882.293017268</v>
      </c>
      <c r="X387" s="179">
        <f t="shared" si="220"/>
        <v>0</v>
      </c>
      <c r="Y387" s="179">
        <f t="shared" si="220"/>
        <v>0</v>
      </c>
      <c r="Z387" s="179">
        <f t="shared" si="220"/>
        <v>0</v>
      </c>
      <c r="AA387" s="179">
        <f t="shared" si="220"/>
        <v>0</v>
      </c>
      <c r="AB387" s="179">
        <f t="shared" si="220"/>
        <v>0</v>
      </c>
      <c r="AC387" s="179">
        <f t="shared" si="220"/>
        <v>0</v>
      </c>
      <c r="AD387" s="179">
        <f t="shared" si="220"/>
        <v>0</v>
      </c>
      <c r="AE387" s="179">
        <f t="shared" si="220"/>
        <v>0</v>
      </c>
      <c r="AF387" s="179">
        <f t="shared" si="220"/>
        <v>0</v>
      </c>
      <c r="AG387" s="179">
        <f t="shared" si="220"/>
        <v>0</v>
      </c>
      <c r="AH387" s="179">
        <f t="shared" si="220"/>
        <v>0</v>
      </c>
      <c r="AI387" s="179">
        <f t="shared" si="220"/>
        <v>0</v>
      </c>
      <c r="AJ387" s="179">
        <f t="shared" si="220"/>
        <v>0</v>
      </c>
      <c r="AK387" s="179">
        <f t="shared" si="220"/>
        <v>0</v>
      </c>
      <c r="AL387" s="179">
        <f t="shared" si="220"/>
        <v>0</v>
      </c>
      <c r="AM387" s="179">
        <f t="shared" si="220"/>
        <v>0</v>
      </c>
      <c r="AN387" s="179">
        <f t="shared" si="220"/>
        <v>0</v>
      </c>
      <c r="AO387" s="179">
        <f t="shared" si="220"/>
        <v>0</v>
      </c>
      <c r="AP387" s="179">
        <f t="shared" si="220"/>
        <v>0</v>
      </c>
      <c r="AQ387" s="179">
        <f t="shared" si="220"/>
        <v>0</v>
      </c>
      <c r="AR387" s="179">
        <f t="shared" si="220"/>
        <v>0</v>
      </c>
      <c r="AS387" s="179">
        <f t="shared" si="220"/>
        <v>0</v>
      </c>
      <c r="AT387" s="179">
        <f t="shared" si="220"/>
        <v>0</v>
      </c>
      <c r="AU387" s="179">
        <f t="shared" si="220"/>
        <v>0</v>
      </c>
      <c r="AV387" s="179">
        <f t="shared" si="220"/>
        <v>0</v>
      </c>
      <c r="AW387" s="179">
        <f t="shared" si="220"/>
        <v>0</v>
      </c>
      <c r="AX387" s="179">
        <f t="shared" si="220"/>
        <v>0</v>
      </c>
      <c r="AY387" s="179">
        <f t="shared" si="220"/>
        <v>0</v>
      </c>
      <c r="AZ387" s="179">
        <f t="shared" si="220"/>
        <v>0</v>
      </c>
      <c r="BA387" s="179">
        <f t="shared" si="220"/>
        <v>0</v>
      </c>
      <c r="BB387" s="179">
        <f t="shared" si="220"/>
        <v>0</v>
      </c>
      <c r="BC387" s="179">
        <f t="shared" si="220"/>
        <v>0</v>
      </c>
      <c r="BD387" s="179">
        <f t="shared" si="220"/>
        <v>0</v>
      </c>
      <c r="BE387" s="179">
        <f t="shared" si="220"/>
        <v>0</v>
      </c>
      <c r="BF387" s="179">
        <f t="shared" si="220"/>
        <v>0</v>
      </c>
      <c r="BG387" s="179">
        <f t="shared" si="220"/>
        <v>0</v>
      </c>
      <c r="BH387" s="179">
        <f t="shared" si="220"/>
        <v>0</v>
      </c>
      <c r="BI387" s="179">
        <f t="shared" si="220"/>
        <v>0</v>
      </c>
      <c r="BJ387" s="180">
        <f t="shared" si="220"/>
        <v>0</v>
      </c>
    </row>
    <row r="388" spans="1:64" s="80" customFormat="1">
      <c r="A388" s="176" t="s">
        <v>142</v>
      </c>
      <c r="B388" s="177">
        <f>SUM(C388:BJ388)</f>
        <v>632717939.25380826</v>
      </c>
      <c r="C388" s="181">
        <f>C387*(1+$C285)^-(C343-1)</f>
        <v>-34799793.001789667</v>
      </c>
      <c r="D388" s="182">
        <f>D387*(1+$C285)^-(D343-1)</f>
        <v>-34507726.309774101</v>
      </c>
      <c r="E388" s="182">
        <f t="shared" ref="E388:BJ388" si="221">E387*(1+$C285)^-(E343-1)</f>
        <v>-45657793.590653323</v>
      </c>
      <c r="F388" s="182">
        <f t="shared" si="221"/>
        <v>-42396522.619892351</v>
      </c>
      <c r="G388" s="182">
        <f t="shared" si="221"/>
        <v>-39368199.575614348</v>
      </c>
      <c r="H388" s="182">
        <f t="shared" si="221"/>
        <v>22474993.238324139</v>
      </c>
      <c r="I388" s="182">
        <f t="shared" si="221"/>
        <v>40168254.549685121</v>
      </c>
      <c r="J388" s="182">
        <f t="shared" si="221"/>
        <v>55219238.769431673</v>
      </c>
      <c r="K388" s="182">
        <f t="shared" si="221"/>
        <v>67915142.312124163</v>
      </c>
      <c r="L388" s="182">
        <f t="shared" si="221"/>
        <v>89697660.066495642</v>
      </c>
      <c r="M388" s="182">
        <f t="shared" si="221"/>
        <v>83290684.34746021</v>
      </c>
      <c r="N388" s="182">
        <f t="shared" si="221"/>
        <v>77341349.751213059</v>
      </c>
      <c r="O388" s="182">
        <f t="shared" si="221"/>
        <v>71816967.626126423</v>
      </c>
      <c r="P388" s="182">
        <f t="shared" si="221"/>
        <v>66687184.224260241</v>
      </c>
      <c r="Q388" s="182">
        <f t="shared" si="221"/>
        <v>61923813.922527373</v>
      </c>
      <c r="R388" s="182">
        <f t="shared" si="221"/>
        <v>57500684.356632546</v>
      </c>
      <c r="S388" s="182">
        <f t="shared" si="221"/>
        <v>53393492.616873085</v>
      </c>
      <c r="T388" s="182">
        <f t="shared" si="221"/>
        <v>34858160.459897757</v>
      </c>
      <c r="U388" s="182">
        <f t="shared" si="221"/>
        <v>24437619.488824986</v>
      </c>
      <c r="V388" s="182">
        <f t="shared" si="221"/>
        <v>15327879.470457004</v>
      </c>
      <c r="W388" s="182">
        <f t="shared" si="221"/>
        <v>7394849.1511986107</v>
      </c>
      <c r="X388" s="182">
        <f t="shared" si="221"/>
        <v>0</v>
      </c>
      <c r="Y388" s="182">
        <f t="shared" si="221"/>
        <v>0</v>
      </c>
      <c r="Z388" s="182">
        <f t="shared" si="221"/>
        <v>0</v>
      </c>
      <c r="AA388" s="182">
        <f t="shared" si="221"/>
        <v>0</v>
      </c>
      <c r="AB388" s="182">
        <f t="shared" si="221"/>
        <v>0</v>
      </c>
      <c r="AC388" s="182">
        <f t="shared" si="221"/>
        <v>0</v>
      </c>
      <c r="AD388" s="182">
        <f t="shared" si="221"/>
        <v>0</v>
      </c>
      <c r="AE388" s="182">
        <f t="shared" si="221"/>
        <v>0</v>
      </c>
      <c r="AF388" s="182">
        <f t="shared" si="221"/>
        <v>0</v>
      </c>
      <c r="AG388" s="182">
        <f t="shared" si="221"/>
        <v>0</v>
      </c>
      <c r="AH388" s="182">
        <f t="shared" si="221"/>
        <v>0</v>
      </c>
      <c r="AI388" s="182">
        <f t="shared" si="221"/>
        <v>0</v>
      </c>
      <c r="AJ388" s="182">
        <f t="shared" si="221"/>
        <v>0</v>
      </c>
      <c r="AK388" s="182">
        <f t="shared" si="221"/>
        <v>0</v>
      </c>
      <c r="AL388" s="182">
        <f t="shared" si="221"/>
        <v>0</v>
      </c>
      <c r="AM388" s="182">
        <f t="shared" si="221"/>
        <v>0</v>
      </c>
      <c r="AN388" s="182">
        <f t="shared" si="221"/>
        <v>0</v>
      </c>
      <c r="AO388" s="182">
        <f t="shared" si="221"/>
        <v>0</v>
      </c>
      <c r="AP388" s="182">
        <f t="shared" si="221"/>
        <v>0</v>
      </c>
      <c r="AQ388" s="182">
        <f t="shared" si="221"/>
        <v>0</v>
      </c>
      <c r="AR388" s="182">
        <f t="shared" si="221"/>
        <v>0</v>
      </c>
      <c r="AS388" s="182">
        <f t="shared" si="221"/>
        <v>0</v>
      </c>
      <c r="AT388" s="182">
        <f t="shared" si="221"/>
        <v>0</v>
      </c>
      <c r="AU388" s="182">
        <f t="shared" si="221"/>
        <v>0</v>
      </c>
      <c r="AV388" s="182">
        <f t="shared" si="221"/>
        <v>0</v>
      </c>
      <c r="AW388" s="182">
        <f t="shared" si="221"/>
        <v>0</v>
      </c>
      <c r="AX388" s="182">
        <f t="shared" si="221"/>
        <v>0</v>
      </c>
      <c r="AY388" s="182">
        <f t="shared" si="221"/>
        <v>0</v>
      </c>
      <c r="AZ388" s="182">
        <f t="shared" si="221"/>
        <v>0</v>
      </c>
      <c r="BA388" s="182">
        <f t="shared" si="221"/>
        <v>0</v>
      </c>
      <c r="BB388" s="182">
        <f t="shared" si="221"/>
        <v>0</v>
      </c>
      <c r="BC388" s="182">
        <f t="shared" si="221"/>
        <v>0</v>
      </c>
      <c r="BD388" s="182">
        <f t="shared" si="221"/>
        <v>0</v>
      </c>
      <c r="BE388" s="182">
        <f t="shared" si="221"/>
        <v>0</v>
      </c>
      <c r="BF388" s="182">
        <f t="shared" si="221"/>
        <v>0</v>
      </c>
      <c r="BG388" s="182">
        <f t="shared" si="221"/>
        <v>0</v>
      </c>
      <c r="BH388" s="182">
        <f t="shared" si="221"/>
        <v>0</v>
      </c>
      <c r="BI388" s="182">
        <f t="shared" si="221"/>
        <v>0</v>
      </c>
      <c r="BJ388" s="183">
        <f t="shared" si="221"/>
        <v>0</v>
      </c>
    </row>
    <row r="389" spans="1:64" s="80" customFormat="1">
      <c r="A389" s="184" t="s">
        <v>143</v>
      </c>
      <c r="B389" s="177"/>
      <c r="C389" s="181">
        <f>C388</f>
        <v>-34799793.001789667</v>
      </c>
      <c r="D389" s="182">
        <f t="shared" ref="D389:BJ389" si="222">IF(D388=0, 0, C389+D388)</f>
        <v>-69307519.31156376</v>
      </c>
      <c r="E389" s="182">
        <f t="shared" si="222"/>
        <v>-114965312.90221709</v>
      </c>
      <c r="F389" s="182">
        <f t="shared" si="222"/>
        <v>-157361835.52210945</v>
      </c>
      <c r="G389" s="182">
        <f t="shared" si="222"/>
        <v>-196730035.09772378</v>
      </c>
      <c r="H389" s="182">
        <f t="shared" si="222"/>
        <v>-174255041.85939965</v>
      </c>
      <c r="I389" s="182">
        <f t="shared" si="222"/>
        <v>-134086787.30971453</v>
      </c>
      <c r="J389" s="182">
        <f t="shared" si="222"/>
        <v>-78867548.540282845</v>
      </c>
      <c r="K389" s="182">
        <f t="shared" si="222"/>
        <v>-10952406.228158683</v>
      </c>
      <c r="L389" s="182">
        <f t="shared" si="222"/>
        <v>78745253.838336959</v>
      </c>
      <c r="M389" s="182">
        <f t="shared" si="222"/>
        <v>162035938.18579715</v>
      </c>
      <c r="N389" s="182">
        <f t="shared" si="222"/>
        <v>239377287.93701023</v>
      </c>
      <c r="O389" s="182">
        <f t="shared" si="222"/>
        <v>311194255.56313664</v>
      </c>
      <c r="P389" s="182">
        <f t="shared" si="222"/>
        <v>377881439.78739691</v>
      </c>
      <c r="Q389" s="182">
        <f t="shared" si="222"/>
        <v>439805253.70992428</v>
      </c>
      <c r="R389" s="182">
        <f t="shared" si="222"/>
        <v>497305938.06655681</v>
      </c>
      <c r="S389" s="182">
        <f t="shared" si="222"/>
        <v>550699430.68342996</v>
      </c>
      <c r="T389" s="182">
        <f t="shared" si="222"/>
        <v>585557591.14332771</v>
      </c>
      <c r="U389" s="182">
        <f t="shared" si="222"/>
        <v>609995210.63215268</v>
      </c>
      <c r="V389" s="182">
        <f t="shared" si="222"/>
        <v>625323090.10260963</v>
      </c>
      <c r="W389" s="182">
        <f t="shared" si="222"/>
        <v>632717939.25380826</v>
      </c>
      <c r="X389" s="182">
        <f t="shared" si="222"/>
        <v>0</v>
      </c>
      <c r="Y389" s="182">
        <f t="shared" si="222"/>
        <v>0</v>
      </c>
      <c r="Z389" s="182">
        <f t="shared" si="222"/>
        <v>0</v>
      </c>
      <c r="AA389" s="182">
        <f t="shared" si="222"/>
        <v>0</v>
      </c>
      <c r="AB389" s="182">
        <f t="shared" si="222"/>
        <v>0</v>
      </c>
      <c r="AC389" s="182">
        <f t="shared" si="222"/>
        <v>0</v>
      </c>
      <c r="AD389" s="182">
        <f t="shared" si="222"/>
        <v>0</v>
      </c>
      <c r="AE389" s="182">
        <f t="shared" si="222"/>
        <v>0</v>
      </c>
      <c r="AF389" s="182">
        <f t="shared" si="222"/>
        <v>0</v>
      </c>
      <c r="AG389" s="182">
        <f t="shared" si="222"/>
        <v>0</v>
      </c>
      <c r="AH389" s="182">
        <f t="shared" si="222"/>
        <v>0</v>
      </c>
      <c r="AI389" s="182">
        <f t="shared" si="222"/>
        <v>0</v>
      </c>
      <c r="AJ389" s="182">
        <f t="shared" si="222"/>
        <v>0</v>
      </c>
      <c r="AK389" s="182">
        <f t="shared" si="222"/>
        <v>0</v>
      </c>
      <c r="AL389" s="182">
        <f t="shared" si="222"/>
        <v>0</v>
      </c>
      <c r="AM389" s="182">
        <f t="shared" si="222"/>
        <v>0</v>
      </c>
      <c r="AN389" s="182">
        <f t="shared" si="222"/>
        <v>0</v>
      </c>
      <c r="AO389" s="182">
        <f t="shared" si="222"/>
        <v>0</v>
      </c>
      <c r="AP389" s="182">
        <f t="shared" si="222"/>
        <v>0</v>
      </c>
      <c r="AQ389" s="182">
        <f t="shared" si="222"/>
        <v>0</v>
      </c>
      <c r="AR389" s="182">
        <f t="shared" si="222"/>
        <v>0</v>
      </c>
      <c r="AS389" s="182">
        <f t="shared" si="222"/>
        <v>0</v>
      </c>
      <c r="AT389" s="182">
        <f t="shared" si="222"/>
        <v>0</v>
      </c>
      <c r="AU389" s="182">
        <f t="shared" si="222"/>
        <v>0</v>
      </c>
      <c r="AV389" s="182">
        <f t="shared" si="222"/>
        <v>0</v>
      </c>
      <c r="AW389" s="182">
        <f t="shared" si="222"/>
        <v>0</v>
      </c>
      <c r="AX389" s="182">
        <f t="shared" si="222"/>
        <v>0</v>
      </c>
      <c r="AY389" s="182">
        <f t="shared" si="222"/>
        <v>0</v>
      </c>
      <c r="AZ389" s="182">
        <f t="shared" si="222"/>
        <v>0</v>
      </c>
      <c r="BA389" s="182">
        <f t="shared" si="222"/>
        <v>0</v>
      </c>
      <c r="BB389" s="182">
        <f t="shared" si="222"/>
        <v>0</v>
      </c>
      <c r="BC389" s="182">
        <f t="shared" si="222"/>
        <v>0</v>
      </c>
      <c r="BD389" s="182">
        <f t="shared" si="222"/>
        <v>0</v>
      </c>
      <c r="BE389" s="182">
        <f t="shared" si="222"/>
        <v>0</v>
      </c>
      <c r="BF389" s="182">
        <f t="shared" si="222"/>
        <v>0</v>
      </c>
      <c r="BG389" s="182">
        <f t="shared" si="222"/>
        <v>0</v>
      </c>
      <c r="BH389" s="182">
        <f t="shared" si="222"/>
        <v>0</v>
      </c>
      <c r="BI389" s="182">
        <f t="shared" si="222"/>
        <v>0</v>
      </c>
      <c r="BJ389" s="183">
        <f t="shared" si="222"/>
        <v>0</v>
      </c>
    </row>
    <row r="390" spans="1:64" s="83" customFormat="1">
      <c r="A390" s="78"/>
      <c r="B390" s="81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  <c r="AA390" s="82"/>
      <c r="AB390" s="82"/>
      <c r="AC390" s="82"/>
      <c r="AD390" s="82"/>
      <c r="AE390" s="82"/>
      <c r="AF390" s="82"/>
      <c r="AG390" s="82"/>
      <c r="AH390" s="82"/>
      <c r="AI390" s="82"/>
      <c r="AJ390" s="82"/>
      <c r="AK390" s="82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2"/>
      <c r="AW390" s="82"/>
      <c r="AX390" s="82"/>
      <c r="AY390" s="82"/>
      <c r="AZ390" s="82"/>
      <c r="BA390" s="82"/>
      <c r="BB390" s="82"/>
      <c r="BC390" s="82"/>
      <c r="BD390" s="82"/>
      <c r="BE390" s="82"/>
      <c r="BF390" s="82"/>
      <c r="BG390" s="82"/>
      <c r="BH390" s="82"/>
      <c r="BI390" s="82"/>
      <c r="BJ390" s="82"/>
    </row>
    <row r="391" spans="1:64" ht="21">
      <c r="A391" s="185" t="s">
        <v>163</v>
      </c>
      <c r="B391" s="93"/>
      <c r="C391" s="186"/>
      <c r="D391" s="186"/>
      <c r="E391" s="186"/>
      <c r="F391" s="186"/>
      <c r="G391" s="186"/>
      <c r="H391" s="186"/>
      <c r="I391" s="186"/>
      <c r="J391" s="186"/>
      <c r="K391" s="186"/>
      <c r="L391" s="186"/>
      <c r="M391" s="186"/>
      <c r="N391" s="186"/>
      <c r="O391" s="186"/>
      <c r="P391" s="186"/>
      <c r="Q391" s="186"/>
      <c r="R391" s="186"/>
      <c r="S391" s="186"/>
      <c r="T391" s="186"/>
      <c r="U391" s="186"/>
      <c r="V391" s="186"/>
      <c r="W391" s="186"/>
      <c r="X391" s="186"/>
      <c r="Y391" s="186"/>
      <c r="Z391" s="186"/>
      <c r="AA391" s="186"/>
      <c r="AB391" s="186"/>
      <c r="AC391" s="186"/>
      <c r="AD391" s="186"/>
      <c r="AE391" s="186"/>
      <c r="AF391" s="186"/>
      <c r="AG391" s="186"/>
      <c r="AH391" s="186"/>
      <c r="AI391" s="186"/>
      <c r="AJ391" s="186"/>
      <c r="AK391" s="186"/>
      <c r="AL391" s="186"/>
      <c r="AM391" s="186"/>
      <c r="AN391" s="186"/>
      <c r="AO391" s="186"/>
      <c r="AP391" s="186"/>
      <c r="AQ391" s="186"/>
      <c r="AR391" s="186"/>
      <c r="AS391" s="186"/>
      <c r="AT391" s="186"/>
      <c r="AU391" s="186"/>
      <c r="AV391" s="186"/>
      <c r="AW391" s="186"/>
      <c r="AX391" s="186"/>
      <c r="AY391" s="186"/>
      <c r="AZ391" s="186"/>
      <c r="BA391" s="186"/>
      <c r="BB391" s="186"/>
      <c r="BC391" s="186"/>
      <c r="BD391" s="186"/>
      <c r="BE391" s="186"/>
      <c r="BF391" s="186"/>
      <c r="BG391" s="186"/>
      <c r="BH391" s="186"/>
      <c r="BI391" s="186"/>
      <c r="BJ391" s="186"/>
    </row>
    <row r="392" spans="1:64">
      <c r="A392" s="187" t="s">
        <v>158</v>
      </c>
      <c r="B392" s="188">
        <f>SUM(C392:BJ392)</f>
        <v>738.22614965322725</v>
      </c>
      <c r="C392" s="189">
        <f>(C344*(1-$K285))/(1+$C285)^(C343-1)</f>
        <v>0</v>
      </c>
      <c r="D392" s="190">
        <f>(D344*(1-$K285))/(1+$C285)^(D343-1)</f>
        <v>0</v>
      </c>
      <c r="E392" s="190">
        <f t="shared" ref="E392:BJ392" si="223">(E344*(1-$K285))/(1+$C285)^(E343-1)</f>
        <v>0</v>
      </c>
      <c r="F392" s="190">
        <f t="shared" si="223"/>
        <v>0</v>
      </c>
      <c r="G392" s="190">
        <f t="shared" si="223"/>
        <v>0</v>
      </c>
      <c r="H392" s="190">
        <f t="shared" si="223"/>
        <v>24.149686979383578</v>
      </c>
      <c r="I392" s="190">
        <f t="shared" si="223"/>
        <v>43.124441034613525</v>
      </c>
      <c r="J392" s="190">
        <f t="shared" si="223"/>
        <v>57.75594781421453</v>
      </c>
      <c r="K392" s="190">
        <f t="shared" si="223"/>
        <v>68.757080731207779</v>
      </c>
      <c r="L392" s="190">
        <f t="shared" si="223"/>
        <v>87.844602085512776</v>
      </c>
      <c r="M392" s="190">
        <f t="shared" si="223"/>
        <v>78.432680433493545</v>
      </c>
      <c r="N392" s="190">
        <f t="shared" si="223"/>
        <v>70.029178958476365</v>
      </c>
      <c r="O392" s="190">
        <f t="shared" si="223"/>
        <v>62.526052641496761</v>
      </c>
      <c r="P392" s="190">
        <f t="shared" si="223"/>
        <v>55.826832715622096</v>
      </c>
      <c r="Q392" s="190">
        <f t="shared" si="223"/>
        <v>49.845386353234012</v>
      </c>
      <c r="R392" s="190">
        <f t="shared" si="223"/>
        <v>44.504809243958945</v>
      </c>
      <c r="S392" s="190">
        <f t="shared" si="223"/>
        <v>39.736436824963334</v>
      </c>
      <c r="T392" s="190">
        <f t="shared" si="223"/>
        <v>24.794492600141318</v>
      </c>
      <c r="U392" s="190">
        <f t="shared" si="223"/>
        <v>16.603454866166057</v>
      </c>
      <c r="V392" s="190">
        <f t="shared" si="223"/>
        <v>9.8830088489083678</v>
      </c>
      <c r="W392" s="190">
        <f t="shared" si="223"/>
        <v>4.4120575218340932</v>
      </c>
      <c r="X392" s="190">
        <f t="shared" si="223"/>
        <v>0</v>
      </c>
      <c r="Y392" s="190">
        <f t="shared" si="223"/>
        <v>0</v>
      </c>
      <c r="Z392" s="190">
        <f t="shared" si="223"/>
        <v>0</v>
      </c>
      <c r="AA392" s="190">
        <f t="shared" si="223"/>
        <v>0</v>
      </c>
      <c r="AB392" s="190">
        <f t="shared" si="223"/>
        <v>0</v>
      </c>
      <c r="AC392" s="190">
        <f t="shared" si="223"/>
        <v>0</v>
      </c>
      <c r="AD392" s="190">
        <f t="shared" si="223"/>
        <v>0</v>
      </c>
      <c r="AE392" s="190">
        <f t="shared" si="223"/>
        <v>0</v>
      </c>
      <c r="AF392" s="190">
        <f t="shared" si="223"/>
        <v>0</v>
      </c>
      <c r="AG392" s="190">
        <f t="shared" si="223"/>
        <v>0</v>
      </c>
      <c r="AH392" s="190">
        <f t="shared" si="223"/>
        <v>0</v>
      </c>
      <c r="AI392" s="190">
        <f t="shared" si="223"/>
        <v>0</v>
      </c>
      <c r="AJ392" s="190">
        <f t="shared" si="223"/>
        <v>0</v>
      </c>
      <c r="AK392" s="190">
        <f t="shared" si="223"/>
        <v>0</v>
      </c>
      <c r="AL392" s="190">
        <f t="shared" si="223"/>
        <v>0</v>
      </c>
      <c r="AM392" s="190">
        <f t="shared" si="223"/>
        <v>0</v>
      </c>
      <c r="AN392" s="190">
        <f t="shared" si="223"/>
        <v>0</v>
      </c>
      <c r="AO392" s="190">
        <f t="shared" si="223"/>
        <v>0</v>
      </c>
      <c r="AP392" s="190">
        <f t="shared" si="223"/>
        <v>0</v>
      </c>
      <c r="AQ392" s="190">
        <f t="shared" si="223"/>
        <v>0</v>
      </c>
      <c r="AR392" s="190">
        <f t="shared" si="223"/>
        <v>0</v>
      </c>
      <c r="AS392" s="190">
        <f t="shared" si="223"/>
        <v>0</v>
      </c>
      <c r="AT392" s="190">
        <f t="shared" si="223"/>
        <v>0</v>
      </c>
      <c r="AU392" s="190">
        <f t="shared" si="223"/>
        <v>0</v>
      </c>
      <c r="AV392" s="190">
        <f t="shared" si="223"/>
        <v>0</v>
      </c>
      <c r="AW392" s="190">
        <f t="shared" si="223"/>
        <v>0</v>
      </c>
      <c r="AX392" s="190">
        <f t="shared" si="223"/>
        <v>0</v>
      </c>
      <c r="AY392" s="190">
        <f t="shared" si="223"/>
        <v>0</v>
      </c>
      <c r="AZ392" s="190">
        <f t="shared" si="223"/>
        <v>0</v>
      </c>
      <c r="BA392" s="190">
        <f t="shared" si="223"/>
        <v>0</v>
      </c>
      <c r="BB392" s="190">
        <f t="shared" si="223"/>
        <v>0</v>
      </c>
      <c r="BC392" s="190">
        <f t="shared" si="223"/>
        <v>0</v>
      </c>
      <c r="BD392" s="190">
        <f t="shared" si="223"/>
        <v>0</v>
      </c>
      <c r="BE392" s="190">
        <f t="shared" si="223"/>
        <v>0</v>
      </c>
      <c r="BF392" s="190">
        <f t="shared" si="223"/>
        <v>0</v>
      </c>
      <c r="BG392" s="190">
        <f t="shared" si="223"/>
        <v>0</v>
      </c>
      <c r="BH392" s="190">
        <f t="shared" si="223"/>
        <v>0</v>
      </c>
      <c r="BI392" s="190">
        <f t="shared" si="223"/>
        <v>0</v>
      </c>
      <c r="BJ392" s="191">
        <f t="shared" si="223"/>
        <v>0</v>
      </c>
    </row>
    <row r="393" spans="1:64">
      <c r="A393" s="192" t="s">
        <v>159</v>
      </c>
      <c r="B393" s="193">
        <f>SUM(C393:BJ393)</f>
        <v>613516915.74925375</v>
      </c>
      <c r="C393" s="194">
        <f>(((C346+C375)*(1-$K285))-(C385-C355))/(1+$C285)^(C343-1)</f>
        <v>45121752.13208206</v>
      </c>
      <c r="D393" s="186">
        <f>(((D346+D375)*(1-$K285))-(D385-D355))/(1+$C285)^(D343-1)</f>
        <v>44249121.021024317</v>
      </c>
      <c r="E393" s="186">
        <f t="shared" ref="E393:BJ393" si="224">(((E346+E375)*(1-$K285))-(E385-E355))/(1+$C285)^(E343-1)</f>
        <v>54221237.849550284</v>
      </c>
      <c r="F393" s="186">
        <f t="shared" si="224"/>
        <v>49900594.069061778</v>
      </c>
      <c r="G393" s="186">
        <f t="shared" si="224"/>
        <v>45920546.145737231</v>
      </c>
      <c r="H393" s="186">
        <f t="shared" si="224"/>
        <v>8292057.2507077819</v>
      </c>
      <c r="I393" s="186">
        <f t="shared" si="224"/>
        <v>16970553.501374152</v>
      </c>
      <c r="J393" s="186">
        <f t="shared" si="224"/>
        <v>24366958.158829473</v>
      </c>
      <c r="K393" s="186">
        <f t="shared" si="224"/>
        <v>30620149.1228658</v>
      </c>
      <c r="L393" s="186">
        <f t="shared" si="224"/>
        <v>41227404.093482852</v>
      </c>
      <c r="M393" s="186">
        <f t="shared" si="224"/>
        <v>38282589.515376933</v>
      </c>
      <c r="N393" s="186">
        <f t="shared" si="224"/>
        <v>35548118.835707143</v>
      </c>
      <c r="O393" s="186">
        <f t="shared" si="224"/>
        <v>33008967.490299493</v>
      </c>
      <c r="P393" s="186">
        <f t="shared" si="224"/>
        <v>30651184.098135244</v>
      </c>
      <c r="Q393" s="186">
        <f t="shared" si="224"/>
        <v>28461813.805411294</v>
      </c>
      <c r="R393" s="186">
        <f t="shared" si="224"/>
        <v>26428827.105024774</v>
      </c>
      <c r="S393" s="186">
        <f t="shared" si="224"/>
        <v>24541053.740380146</v>
      </c>
      <c r="T393" s="186">
        <f t="shared" si="224"/>
        <v>15716113.300999569</v>
      </c>
      <c r="U393" s="186">
        <f t="shared" si="224"/>
        <v>10783749.737514228</v>
      </c>
      <c r="V393" s="186">
        <f t="shared" si="224"/>
        <v>6475825.2887053611</v>
      </c>
      <c r="W393" s="186">
        <f t="shared" si="224"/>
        <v>2728299.4869839163</v>
      </c>
      <c r="X393" s="186">
        <f t="shared" si="224"/>
        <v>0</v>
      </c>
      <c r="Y393" s="186">
        <f t="shared" si="224"/>
        <v>0</v>
      </c>
      <c r="Z393" s="186">
        <f t="shared" si="224"/>
        <v>0</v>
      </c>
      <c r="AA393" s="186">
        <f t="shared" si="224"/>
        <v>0</v>
      </c>
      <c r="AB393" s="186">
        <f t="shared" si="224"/>
        <v>0</v>
      </c>
      <c r="AC393" s="186">
        <f t="shared" si="224"/>
        <v>0</v>
      </c>
      <c r="AD393" s="186">
        <f t="shared" si="224"/>
        <v>0</v>
      </c>
      <c r="AE393" s="186">
        <f t="shared" si="224"/>
        <v>0</v>
      </c>
      <c r="AF393" s="186">
        <f t="shared" si="224"/>
        <v>0</v>
      </c>
      <c r="AG393" s="186">
        <f t="shared" si="224"/>
        <v>0</v>
      </c>
      <c r="AH393" s="186">
        <f t="shared" si="224"/>
        <v>0</v>
      </c>
      <c r="AI393" s="186">
        <f t="shared" si="224"/>
        <v>0</v>
      </c>
      <c r="AJ393" s="186">
        <f t="shared" si="224"/>
        <v>0</v>
      </c>
      <c r="AK393" s="186">
        <f t="shared" si="224"/>
        <v>0</v>
      </c>
      <c r="AL393" s="186">
        <f t="shared" si="224"/>
        <v>0</v>
      </c>
      <c r="AM393" s="186">
        <f t="shared" si="224"/>
        <v>0</v>
      </c>
      <c r="AN393" s="186">
        <f t="shared" si="224"/>
        <v>0</v>
      </c>
      <c r="AO393" s="186">
        <f t="shared" si="224"/>
        <v>0</v>
      </c>
      <c r="AP393" s="186">
        <f t="shared" si="224"/>
        <v>0</v>
      </c>
      <c r="AQ393" s="186">
        <f t="shared" si="224"/>
        <v>0</v>
      </c>
      <c r="AR393" s="186">
        <f t="shared" si="224"/>
        <v>0</v>
      </c>
      <c r="AS393" s="186">
        <f t="shared" si="224"/>
        <v>0</v>
      </c>
      <c r="AT393" s="186">
        <f t="shared" si="224"/>
        <v>0</v>
      </c>
      <c r="AU393" s="186">
        <f t="shared" si="224"/>
        <v>0</v>
      </c>
      <c r="AV393" s="186">
        <f t="shared" si="224"/>
        <v>0</v>
      </c>
      <c r="AW393" s="186">
        <f t="shared" si="224"/>
        <v>0</v>
      </c>
      <c r="AX393" s="186">
        <f t="shared" si="224"/>
        <v>0</v>
      </c>
      <c r="AY393" s="186">
        <f t="shared" si="224"/>
        <v>0</v>
      </c>
      <c r="AZ393" s="186">
        <f t="shared" si="224"/>
        <v>0</v>
      </c>
      <c r="BA393" s="186">
        <f t="shared" si="224"/>
        <v>0</v>
      </c>
      <c r="BB393" s="186">
        <f t="shared" si="224"/>
        <v>0</v>
      </c>
      <c r="BC393" s="186">
        <f t="shared" si="224"/>
        <v>0</v>
      </c>
      <c r="BD393" s="186">
        <f t="shared" si="224"/>
        <v>0</v>
      </c>
      <c r="BE393" s="186">
        <f t="shared" si="224"/>
        <v>0</v>
      </c>
      <c r="BF393" s="186">
        <f t="shared" si="224"/>
        <v>0</v>
      </c>
      <c r="BG393" s="186">
        <f t="shared" si="224"/>
        <v>0</v>
      </c>
      <c r="BH393" s="186">
        <f t="shared" si="224"/>
        <v>0</v>
      </c>
      <c r="BI393" s="186">
        <f t="shared" si="224"/>
        <v>0</v>
      </c>
      <c r="BJ393" s="195">
        <f t="shared" si="224"/>
        <v>0</v>
      </c>
    </row>
    <row r="394" spans="1:64">
      <c r="A394" s="196" t="s">
        <v>160</v>
      </c>
      <c r="B394" s="197">
        <f>B393/B392</f>
        <v>831069.06472690764</v>
      </c>
      <c r="C394" s="166"/>
      <c r="D394" s="167"/>
      <c r="E394" s="167"/>
      <c r="F394" s="167"/>
      <c r="G394" s="167"/>
      <c r="H394" s="167"/>
      <c r="I394" s="167"/>
      <c r="J394" s="167"/>
      <c r="K394" s="167"/>
      <c r="L394" s="167"/>
      <c r="M394" s="167"/>
      <c r="N394" s="167"/>
      <c r="O394" s="167"/>
      <c r="P394" s="167"/>
      <c r="Q394" s="167"/>
      <c r="R394" s="167"/>
      <c r="S394" s="167"/>
      <c r="T394" s="167"/>
      <c r="U394" s="167"/>
      <c r="V394" s="167"/>
      <c r="W394" s="167"/>
      <c r="X394" s="167"/>
      <c r="Y394" s="167"/>
      <c r="Z394" s="167"/>
      <c r="AA394" s="167"/>
      <c r="AB394" s="167"/>
      <c r="AC394" s="167"/>
      <c r="AD394" s="167"/>
      <c r="AE394" s="167"/>
      <c r="AF394" s="167"/>
      <c r="AG394" s="167"/>
      <c r="AH394" s="167"/>
      <c r="AI394" s="167"/>
      <c r="AJ394" s="167"/>
      <c r="AK394" s="167"/>
      <c r="AL394" s="167"/>
      <c r="AM394" s="167"/>
      <c r="AN394" s="167"/>
      <c r="AO394" s="167"/>
      <c r="AP394" s="167"/>
      <c r="AQ394" s="167"/>
      <c r="AR394" s="167"/>
      <c r="AS394" s="167"/>
      <c r="AT394" s="167"/>
      <c r="AU394" s="167"/>
      <c r="AV394" s="167"/>
      <c r="AW394" s="167"/>
      <c r="AX394" s="167"/>
      <c r="AY394" s="167"/>
      <c r="AZ394" s="167"/>
      <c r="BA394" s="167"/>
      <c r="BB394" s="167"/>
      <c r="BC394" s="167"/>
      <c r="BD394" s="167"/>
      <c r="BE394" s="167"/>
      <c r="BF394" s="167"/>
      <c r="BG394" s="167"/>
      <c r="BH394" s="167"/>
      <c r="BI394" s="167"/>
      <c r="BJ394" s="198"/>
    </row>
    <row r="395" spans="1:64">
      <c r="A395" s="187" t="s">
        <v>158</v>
      </c>
      <c r="B395" s="188">
        <f>SUM(C395:BJ395)</f>
        <v>2799.9999999999991</v>
      </c>
      <c r="C395" s="189">
        <f>(C344*(1-$K285))/(1)^(C343-1)</f>
        <v>0</v>
      </c>
      <c r="D395" s="190">
        <f>(D344*(1-$K285))/(1)^(D343-1)</f>
        <v>0</v>
      </c>
      <c r="E395" s="190">
        <f t="shared" ref="E395:BJ395" si="225">(E344*(1-$K285))/(1)^(E343-1)</f>
        <v>0</v>
      </c>
      <c r="F395" s="190">
        <f t="shared" si="225"/>
        <v>0</v>
      </c>
      <c r="G395" s="190">
        <f t="shared" si="225"/>
        <v>0</v>
      </c>
      <c r="H395" s="190">
        <f t="shared" si="225"/>
        <v>42.559999999999988</v>
      </c>
      <c r="I395" s="190">
        <f t="shared" si="225"/>
        <v>85.119999999999976</v>
      </c>
      <c r="J395" s="190">
        <f t="shared" si="225"/>
        <v>127.67999999999995</v>
      </c>
      <c r="K395" s="190">
        <f t="shared" si="225"/>
        <v>170.23999999999995</v>
      </c>
      <c r="L395" s="190">
        <f t="shared" si="225"/>
        <v>243.6</v>
      </c>
      <c r="M395" s="190">
        <f t="shared" si="225"/>
        <v>243.6</v>
      </c>
      <c r="N395" s="190">
        <f t="shared" si="225"/>
        <v>243.6</v>
      </c>
      <c r="O395" s="190">
        <f t="shared" si="225"/>
        <v>243.6</v>
      </c>
      <c r="P395" s="190">
        <f t="shared" si="225"/>
        <v>243.6</v>
      </c>
      <c r="Q395" s="190">
        <f t="shared" si="225"/>
        <v>243.6</v>
      </c>
      <c r="R395" s="190">
        <f t="shared" si="225"/>
        <v>243.6</v>
      </c>
      <c r="S395" s="190">
        <f t="shared" si="225"/>
        <v>243.6</v>
      </c>
      <c r="T395" s="190">
        <f t="shared" si="225"/>
        <v>170.23999999999995</v>
      </c>
      <c r="U395" s="190">
        <f t="shared" si="225"/>
        <v>127.67999999999995</v>
      </c>
      <c r="V395" s="190">
        <f t="shared" si="225"/>
        <v>85.119999999999976</v>
      </c>
      <c r="W395" s="190">
        <f t="shared" si="225"/>
        <v>42.559999999999988</v>
      </c>
      <c r="X395" s="190">
        <f t="shared" si="225"/>
        <v>0</v>
      </c>
      <c r="Y395" s="190">
        <f t="shared" si="225"/>
        <v>0</v>
      </c>
      <c r="Z395" s="190">
        <f t="shared" si="225"/>
        <v>0</v>
      </c>
      <c r="AA395" s="190">
        <f t="shared" si="225"/>
        <v>0</v>
      </c>
      <c r="AB395" s="190">
        <f t="shared" si="225"/>
        <v>0</v>
      </c>
      <c r="AC395" s="190">
        <f t="shared" si="225"/>
        <v>0</v>
      </c>
      <c r="AD395" s="190">
        <f t="shared" si="225"/>
        <v>0</v>
      </c>
      <c r="AE395" s="190">
        <f t="shared" si="225"/>
        <v>0</v>
      </c>
      <c r="AF395" s="190">
        <f t="shared" si="225"/>
        <v>0</v>
      </c>
      <c r="AG395" s="190">
        <f t="shared" si="225"/>
        <v>0</v>
      </c>
      <c r="AH395" s="190">
        <f t="shared" si="225"/>
        <v>0</v>
      </c>
      <c r="AI395" s="190">
        <f t="shared" si="225"/>
        <v>0</v>
      </c>
      <c r="AJ395" s="190">
        <f t="shared" si="225"/>
        <v>0</v>
      </c>
      <c r="AK395" s="190">
        <f t="shared" si="225"/>
        <v>0</v>
      </c>
      <c r="AL395" s="190">
        <f t="shared" si="225"/>
        <v>0</v>
      </c>
      <c r="AM395" s="190">
        <f t="shared" si="225"/>
        <v>0</v>
      </c>
      <c r="AN395" s="190">
        <f t="shared" si="225"/>
        <v>0</v>
      </c>
      <c r="AO395" s="190">
        <f t="shared" si="225"/>
        <v>0</v>
      </c>
      <c r="AP395" s="190">
        <f t="shared" si="225"/>
        <v>0</v>
      </c>
      <c r="AQ395" s="190">
        <f t="shared" si="225"/>
        <v>0</v>
      </c>
      <c r="AR395" s="190">
        <f t="shared" si="225"/>
        <v>0</v>
      </c>
      <c r="AS395" s="190">
        <f t="shared" si="225"/>
        <v>0</v>
      </c>
      <c r="AT395" s="190">
        <f t="shared" si="225"/>
        <v>0</v>
      </c>
      <c r="AU395" s="190">
        <f t="shared" si="225"/>
        <v>0</v>
      </c>
      <c r="AV395" s="190">
        <f t="shared" si="225"/>
        <v>0</v>
      </c>
      <c r="AW395" s="190">
        <f t="shared" si="225"/>
        <v>0</v>
      </c>
      <c r="AX395" s="190">
        <f t="shared" si="225"/>
        <v>0</v>
      </c>
      <c r="AY395" s="190">
        <f t="shared" si="225"/>
        <v>0</v>
      </c>
      <c r="AZ395" s="190">
        <f t="shared" si="225"/>
        <v>0</v>
      </c>
      <c r="BA395" s="190">
        <f t="shared" si="225"/>
        <v>0</v>
      </c>
      <c r="BB395" s="190">
        <f t="shared" si="225"/>
        <v>0</v>
      </c>
      <c r="BC395" s="190">
        <f t="shared" si="225"/>
        <v>0</v>
      </c>
      <c r="BD395" s="190">
        <f t="shared" si="225"/>
        <v>0</v>
      </c>
      <c r="BE395" s="190">
        <f t="shared" si="225"/>
        <v>0</v>
      </c>
      <c r="BF395" s="190">
        <f t="shared" si="225"/>
        <v>0</v>
      </c>
      <c r="BG395" s="190">
        <f t="shared" si="225"/>
        <v>0</v>
      </c>
      <c r="BH395" s="190">
        <f t="shared" si="225"/>
        <v>0</v>
      </c>
      <c r="BI395" s="190">
        <f t="shared" si="225"/>
        <v>0</v>
      </c>
      <c r="BJ395" s="191">
        <f t="shared" si="225"/>
        <v>0</v>
      </c>
    </row>
    <row r="396" spans="1:64">
      <c r="A396" s="192" t="s">
        <v>159</v>
      </c>
      <c r="B396" s="193">
        <f>SUM(C396:BJ396)</f>
        <v>1809211960.6010385</v>
      </c>
      <c r="C396" s="194">
        <f>(((C346+C375)*(1-$K285))-(C385-C355))/(1)^(C343-1)</f>
        <v>45121752.13208206</v>
      </c>
      <c r="D396" s="186">
        <f>(((D346+D375)*(1-$K285))-(D385-D355))/(1)^(D343-1)</f>
        <v>49559015.543547243</v>
      </c>
      <c r="E396" s="186">
        <f t="shared" ref="E396:BJ396" si="226">(((E346+E375)*(1-$K285))-(E385-E355))/(1)^(E343-1)</f>
        <v>68015120.758475885</v>
      </c>
      <c r="F396" s="186">
        <f t="shared" si="226"/>
        <v>70106741.824258849</v>
      </c>
      <c r="G396" s="186">
        <f t="shared" si="226"/>
        <v>72256868.382090926</v>
      </c>
      <c r="H396" s="186">
        <f t="shared" si="226"/>
        <v>14613438.13240312</v>
      </c>
      <c r="I396" s="186">
        <f t="shared" si="226"/>
        <v>33496863.481141075</v>
      </c>
      <c r="J396" s="186">
        <f t="shared" si="226"/>
        <v>53867581.356766224</v>
      </c>
      <c r="K396" s="186">
        <f t="shared" si="226"/>
        <v>75814361.680871576</v>
      </c>
      <c r="L396" s="186">
        <f t="shared" si="226"/>
        <v>114326838.51645222</v>
      </c>
      <c r="M396" s="186">
        <f t="shared" si="226"/>
        <v>118899912.05711032</v>
      </c>
      <c r="N396" s="186">
        <f t="shared" si="226"/>
        <v>123655908.53939474</v>
      </c>
      <c r="O396" s="186">
        <f t="shared" si="226"/>
        <v>128602144.88097052</v>
      </c>
      <c r="P396" s="186">
        <f t="shared" si="226"/>
        <v>133746230.67620938</v>
      </c>
      <c r="Q396" s="186">
        <f t="shared" si="226"/>
        <v>139096079.90325773</v>
      </c>
      <c r="R396" s="186">
        <f t="shared" si="226"/>
        <v>144659923.09938803</v>
      </c>
      <c r="S396" s="186">
        <f t="shared" si="226"/>
        <v>150446320.02336359</v>
      </c>
      <c r="T396" s="186">
        <f t="shared" si="226"/>
        <v>107907476.5315793</v>
      </c>
      <c r="U396" s="186">
        <f t="shared" si="226"/>
        <v>82926666.623556286</v>
      </c>
      <c r="V396" s="186">
        <f t="shared" si="226"/>
        <v>55774739.960440859</v>
      </c>
      <c r="W396" s="186">
        <f t="shared" si="226"/>
        <v>26317976.497678533</v>
      </c>
      <c r="X396" s="186">
        <f t="shared" si="226"/>
        <v>0</v>
      </c>
      <c r="Y396" s="186">
        <f t="shared" si="226"/>
        <v>0</v>
      </c>
      <c r="Z396" s="186">
        <f t="shared" si="226"/>
        <v>0</v>
      </c>
      <c r="AA396" s="186">
        <f t="shared" si="226"/>
        <v>0</v>
      </c>
      <c r="AB396" s="186">
        <f t="shared" si="226"/>
        <v>0</v>
      </c>
      <c r="AC396" s="186">
        <f t="shared" si="226"/>
        <v>0</v>
      </c>
      <c r="AD396" s="186">
        <f t="shared" si="226"/>
        <v>0</v>
      </c>
      <c r="AE396" s="186">
        <f t="shared" si="226"/>
        <v>0</v>
      </c>
      <c r="AF396" s="186">
        <f t="shared" si="226"/>
        <v>0</v>
      </c>
      <c r="AG396" s="186">
        <f t="shared" si="226"/>
        <v>0</v>
      </c>
      <c r="AH396" s="186">
        <f t="shared" si="226"/>
        <v>0</v>
      </c>
      <c r="AI396" s="186">
        <f t="shared" si="226"/>
        <v>0</v>
      </c>
      <c r="AJ396" s="186">
        <f t="shared" si="226"/>
        <v>0</v>
      </c>
      <c r="AK396" s="186">
        <f t="shared" si="226"/>
        <v>0</v>
      </c>
      <c r="AL396" s="186">
        <f t="shared" si="226"/>
        <v>0</v>
      </c>
      <c r="AM396" s="186">
        <f t="shared" si="226"/>
        <v>0</v>
      </c>
      <c r="AN396" s="186">
        <f t="shared" si="226"/>
        <v>0</v>
      </c>
      <c r="AO396" s="186">
        <f t="shared" si="226"/>
        <v>0</v>
      </c>
      <c r="AP396" s="186">
        <f t="shared" si="226"/>
        <v>0</v>
      </c>
      <c r="AQ396" s="186">
        <f t="shared" si="226"/>
        <v>0</v>
      </c>
      <c r="AR396" s="186">
        <f t="shared" si="226"/>
        <v>0</v>
      </c>
      <c r="AS396" s="186">
        <f t="shared" si="226"/>
        <v>0</v>
      </c>
      <c r="AT396" s="186">
        <f t="shared" si="226"/>
        <v>0</v>
      </c>
      <c r="AU396" s="186">
        <f t="shared" si="226"/>
        <v>0</v>
      </c>
      <c r="AV396" s="186">
        <f t="shared" si="226"/>
        <v>0</v>
      </c>
      <c r="AW396" s="186">
        <f t="shared" si="226"/>
        <v>0</v>
      </c>
      <c r="AX396" s="186">
        <f t="shared" si="226"/>
        <v>0</v>
      </c>
      <c r="AY396" s="186">
        <f t="shared" si="226"/>
        <v>0</v>
      </c>
      <c r="AZ396" s="186">
        <f t="shared" si="226"/>
        <v>0</v>
      </c>
      <c r="BA396" s="186">
        <f t="shared" si="226"/>
        <v>0</v>
      </c>
      <c r="BB396" s="186">
        <f t="shared" si="226"/>
        <v>0</v>
      </c>
      <c r="BC396" s="186">
        <f t="shared" si="226"/>
        <v>0</v>
      </c>
      <c r="BD396" s="186">
        <f t="shared" si="226"/>
        <v>0</v>
      </c>
      <c r="BE396" s="186">
        <f t="shared" si="226"/>
        <v>0</v>
      </c>
      <c r="BF396" s="186">
        <f t="shared" si="226"/>
        <v>0</v>
      </c>
      <c r="BG396" s="186">
        <f t="shared" si="226"/>
        <v>0</v>
      </c>
      <c r="BH396" s="186">
        <f t="shared" si="226"/>
        <v>0</v>
      </c>
      <c r="BI396" s="186">
        <f t="shared" si="226"/>
        <v>0</v>
      </c>
      <c r="BJ396" s="195">
        <f t="shared" si="226"/>
        <v>0</v>
      </c>
      <c r="BK396" s="186"/>
    </row>
    <row r="397" spans="1:64">
      <c r="A397" s="196" t="s">
        <v>161</v>
      </c>
      <c r="B397" s="197">
        <f>B396/B395</f>
        <v>646147.12878608541</v>
      </c>
      <c r="C397" s="166"/>
      <c r="D397" s="167"/>
      <c r="E397" s="167"/>
      <c r="F397" s="167"/>
      <c r="G397" s="167"/>
      <c r="H397" s="167"/>
      <c r="I397" s="167"/>
      <c r="J397" s="167"/>
      <c r="K397" s="167"/>
      <c r="L397" s="167"/>
      <c r="M397" s="167"/>
      <c r="N397" s="167"/>
      <c r="O397" s="167"/>
      <c r="P397" s="167"/>
      <c r="Q397" s="167"/>
      <c r="R397" s="167"/>
      <c r="S397" s="167"/>
      <c r="T397" s="167"/>
      <c r="U397" s="167"/>
      <c r="V397" s="167"/>
      <c r="W397" s="167"/>
      <c r="X397" s="167"/>
      <c r="Y397" s="167"/>
      <c r="Z397" s="167"/>
      <c r="AA397" s="167"/>
      <c r="AB397" s="167"/>
      <c r="AC397" s="167"/>
      <c r="AD397" s="167"/>
      <c r="AE397" s="167"/>
      <c r="AF397" s="167"/>
      <c r="AG397" s="167"/>
      <c r="AH397" s="167"/>
      <c r="AI397" s="167"/>
      <c r="AJ397" s="167"/>
      <c r="AK397" s="167"/>
      <c r="AL397" s="167"/>
      <c r="AM397" s="167"/>
      <c r="AN397" s="167"/>
      <c r="AO397" s="167"/>
      <c r="AP397" s="167"/>
      <c r="AQ397" s="167"/>
      <c r="AR397" s="167"/>
      <c r="AS397" s="167"/>
      <c r="AT397" s="167"/>
      <c r="AU397" s="167"/>
      <c r="AV397" s="167"/>
      <c r="AW397" s="167"/>
      <c r="AX397" s="167"/>
      <c r="AY397" s="167"/>
      <c r="AZ397" s="167"/>
      <c r="BA397" s="167"/>
      <c r="BB397" s="167"/>
      <c r="BC397" s="167"/>
      <c r="BD397" s="167"/>
      <c r="BE397" s="167"/>
      <c r="BF397" s="167"/>
      <c r="BG397" s="167"/>
      <c r="BH397" s="167"/>
      <c r="BI397" s="167"/>
      <c r="BJ397" s="198"/>
    </row>
    <row r="398" spans="1:64">
      <c r="A398" s="216" t="s">
        <v>164</v>
      </c>
      <c r="B398" s="235">
        <v>10</v>
      </c>
      <c r="C398" s="218"/>
      <c r="D398" s="186"/>
      <c r="E398" s="186"/>
      <c r="F398" s="186"/>
      <c r="G398" s="186"/>
      <c r="H398" s="186"/>
      <c r="I398" s="186"/>
      <c r="J398" s="186"/>
      <c r="K398" s="186"/>
      <c r="L398" s="186"/>
      <c r="M398" s="186"/>
      <c r="N398" s="186"/>
      <c r="O398" s="186"/>
      <c r="P398" s="186"/>
      <c r="Q398" s="186"/>
      <c r="R398" s="186"/>
      <c r="S398" s="186"/>
      <c r="T398" s="186"/>
      <c r="U398" s="186"/>
      <c r="V398" s="186"/>
      <c r="W398" s="186"/>
      <c r="X398" s="186"/>
      <c r="Y398" s="186"/>
      <c r="Z398" s="186"/>
      <c r="AA398" s="186"/>
      <c r="AB398" s="186"/>
      <c r="AC398" s="186"/>
      <c r="AD398" s="186"/>
      <c r="AE398" s="186"/>
      <c r="AF398" s="186"/>
      <c r="AG398" s="186"/>
      <c r="AH398" s="186"/>
      <c r="AI398" s="186"/>
      <c r="AJ398" s="186"/>
      <c r="AK398" s="186"/>
      <c r="AL398" s="186"/>
      <c r="AM398" s="186"/>
      <c r="AN398" s="186"/>
      <c r="AO398" s="186"/>
      <c r="AP398" s="186"/>
      <c r="AQ398" s="186"/>
      <c r="AR398" s="186"/>
      <c r="AS398" s="186"/>
      <c r="AT398" s="186"/>
      <c r="AU398" s="186"/>
      <c r="AV398" s="186"/>
      <c r="AW398" s="186"/>
      <c r="AX398" s="186"/>
      <c r="AY398" s="186"/>
      <c r="AZ398" s="186"/>
      <c r="BA398" s="186"/>
      <c r="BB398" s="186"/>
      <c r="BC398" s="186"/>
      <c r="BD398" s="186"/>
      <c r="BE398" s="186"/>
      <c r="BF398" s="186"/>
      <c r="BG398" s="186"/>
      <c r="BH398" s="186"/>
      <c r="BI398" s="186"/>
      <c r="BJ398" s="186"/>
    </row>
    <row r="401" spans="1:67" ht="28.5">
      <c r="A401" s="84">
        <v>4</v>
      </c>
      <c r="B401" s="85" t="s">
        <v>147</v>
      </c>
      <c r="C401" s="86">
        <v>0.12</v>
      </c>
      <c r="D401" s="85" t="s">
        <v>148</v>
      </c>
      <c r="E401" s="86">
        <v>0.25</v>
      </c>
      <c r="F401" s="85" t="s">
        <v>149</v>
      </c>
      <c r="G401" s="86">
        <v>0.04</v>
      </c>
      <c r="H401" s="85" t="s">
        <v>150</v>
      </c>
      <c r="I401" s="87">
        <v>0.1</v>
      </c>
      <c r="J401" s="85" t="s">
        <v>151</v>
      </c>
      <c r="K401" s="86">
        <v>0.3</v>
      </c>
      <c r="L401" s="85" t="s">
        <v>152</v>
      </c>
      <c r="M401" s="87">
        <v>0.26</v>
      </c>
      <c r="N401" s="85" t="s">
        <v>153</v>
      </c>
      <c r="O401" s="88">
        <v>30</v>
      </c>
    </row>
    <row r="402" spans="1:67" s="94" customFormat="1">
      <c r="A402" s="90" t="s">
        <v>154</v>
      </c>
      <c r="B402" s="91" t="s">
        <v>155</v>
      </c>
      <c r="C402" s="91">
        <v>1</v>
      </c>
      <c r="D402" s="92">
        <v>2</v>
      </c>
      <c r="E402" s="92">
        <v>3</v>
      </c>
      <c r="F402" s="92">
        <v>4</v>
      </c>
      <c r="G402" s="92">
        <v>5</v>
      </c>
      <c r="H402" s="92">
        <v>6</v>
      </c>
      <c r="I402" s="92">
        <v>7</v>
      </c>
      <c r="J402" s="92">
        <v>8</v>
      </c>
      <c r="K402" s="92">
        <v>9</v>
      </c>
      <c r="L402" s="92">
        <v>10</v>
      </c>
      <c r="M402" s="92">
        <v>11</v>
      </c>
      <c r="N402" s="92">
        <v>12</v>
      </c>
      <c r="O402" s="92">
        <v>13</v>
      </c>
      <c r="P402" s="92">
        <v>14</v>
      </c>
      <c r="Q402" s="92">
        <v>15</v>
      </c>
      <c r="R402" s="92">
        <v>16</v>
      </c>
      <c r="S402" s="92">
        <v>17</v>
      </c>
      <c r="T402" s="92">
        <v>18</v>
      </c>
      <c r="U402" s="92">
        <v>19</v>
      </c>
      <c r="V402" s="92">
        <v>20</v>
      </c>
      <c r="W402" s="92">
        <v>21</v>
      </c>
      <c r="X402" s="92">
        <v>22</v>
      </c>
      <c r="Y402" s="92">
        <v>23</v>
      </c>
      <c r="Z402" s="92">
        <v>24</v>
      </c>
      <c r="AA402" s="92">
        <v>25</v>
      </c>
      <c r="AB402" s="92">
        <v>26</v>
      </c>
      <c r="AC402" s="92">
        <v>27</v>
      </c>
      <c r="AD402" s="92">
        <v>28</v>
      </c>
      <c r="AE402" s="92">
        <v>29</v>
      </c>
      <c r="AF402" s="92">
        <v>30</v>
      </c>
      <c r="AG402" s="92">
        <v>31</v>
      </c>
      <c r="AH402" s="92">
        <v>32</v>
      </c>
      <c r="AI402" s="92">
        <v>33</v>
      </c>
      <c r="AJ402" s="92">
        <v>34</v>
      </c>
      <c r="AK402" s="92">
        <v>35</v>
      </c>
      <c r="AL402" s="92">
        <v>36</v>
      </c>
      <c r="AM402" s="92">
        <v>37</v>
      </c>
      <c r="AN402" s="92">
        <v>38</v>
      </c>
      <c r="AO402" s="92">
        <v>39</v>
      </c>
      <c r="AP402" s="92">
        <v>40</v>
      </c>
      <c r="AQ402" s="92">
        <v>41</v>
      </c>
      <c r="AR402" s="92">
        <v>42</v>
      </c>
      <c r="AS402" s="92">
        <v>43</v>
      </c>
      <c r="AT402" s="92">
        <v>44</v>
      </c>
      <c r="AU402" s="92">
        <v>45</v>
      </c>
      <c r="AV402" s="92">
        <v>46</v>
      </c>
      <c r="AW402" s="92">
        <v>47</v>
      </c>
      <c r="AX402" s="92">
        <v>48</v>
      </c>
      <c r="AY402" s="92">
        <v>49</v>
      </c>
      <c r="AZ402" s="92">
        <v>50</v>
      </c>
      <c r="BA402" s="92">
        <v>51</v>
      </c>
      <c r="BB402" s="92">
        <v>52</v>
      </c>
      <c r="BC402" s="92">
        <v>53</v>
      </c>
      <c r="BD402" s="92">
        <v>54</v>
      </c>
      <c r="BE402" s="92">
        <v>55</v>
      </c>
      <c r="BF402" s="92">
        <v>56</v>
      </c>
      <c r="BG402" s="92">
        <v>57</v>
      </c>
      <c r="BH402" s="92">
        <v>58</v>
      </c>
      <c r="BI402" s="92">
        <v>59</v>
      </c>
      <c r="BJ402" s="93">
        <v>60</v>
      </c>
    </row>
    <row r="403" spans="1:67" s="100" customFormat="1">
      <c r="A403" s="95" t="s">
        <v>156</v>
      </c>
      <c r="B403" s="97">
        <f>SUM(C403:BJ403)</f>
        <v>4000</v>
      </c>
      <c r="C403" s="97">
        <v>0</v>
      </c>
      <c r="D403" s="98">
        <v>0</v>
      </c>
      <c r="E403" s="98">
        <v>0</v>
      </c>
      <c r="F403" s="98">
        <v>0</v>
      </c>
      <c r="G403" s="98">
        <v>0</v>
      </c>
      <c r="H403" s="98">
        <v>51.950000000000017</v>
      </c>
      <c r="I403" s="98">
        <v>103.90000000000003</v>
      </c>
      <c r="J403" s="98">
        <v>155.85000000000002</v>
      </c>
      <c r="K403" s="98">
        <v>207.80000000000007</v>
      </c>
      <c r="L403" s="98">
        <v>329</v>
      </c>
      <c r="M403" s="98">
        <v>329</v>
      </c>
      <c r="N403" s="98">
        <v>329</v>
      </c>
      <c r="O403" s="98">
        <v>329</v>
      </c>
      <c r="P403" s="98">
        <v>329</v>
      </c>
      <c r="Q403" s="98">
        <v>329</v>
      </c>
      <c r="R403" s="98">
        <v>329</v>
      </c>
      <c r="S403" s="98">
        <v>329</v>
      </c>
      <c r="T403" s="98">
        <v>329</v>
      </c>
      <c r="U403" s="98">
        <v>207.80000000000007</v>
      </c>
      <c r="V403" s="98">
        <v>155.85000000000002</v>
      </c>
      <c r="W403" s="98">
        <v>103.90000000000003</v>
      </c>
      <c r="X403" s="98">
        <v>51.950000000000017</v>
      </c>
      <c r="Y403" s="98">
        <v>0</v>
      </c>
      <c r="Z403" s="98">
        <v>0</v>
      </c>
      <c r="AA403" s="98">
        <v>0</v>
      </c>
      <c r="AB403" s="98">
        <v>0</v>
      </c>
      <c r="AC403" s="98">
        <v>0</v>
      </c>
      <c r="AD403" s="98">
        <v>0</v>
      </c>
      <c r="AE403" s="98">
        <v>0</v>
      </c>
      <c r="AF403" s="98">
        <v>0</v>
      </c>
      <c r="AG403" s="98">
        <v>0</v>
      </c>
      <c r="AH403" s="98">
        <v>0</v>
      </c>
      <c r="AI403" s="98">
        <v>0</v>
      </c>
      <c r="AJ403" s="98">
        <v>0</v>
      </c>
      <c r="AK403" s="98">
        <v>0</v>
      </c>
      <c r="AL403" s="98">
        <v>0</v>
      </c>
      <c r="AM403" s="98">
        <v>0</v>
      </c>
      <c r="AN403" s="98">
        <v>0</v>
      </c>
      <c r="AO403" s="98">
        <v>0</v>
      </c>
      <c r="AP403" s="98">
        <v>0</v>
      </c>
      <c r="AQ403" s="98">
        <v>0</v>
      </c>
      <c r="AR403" s="98">
        <v>0</v>
      </c>
      <c r="AS403" s="98">
        <v>0</v>
      </c>
      <c r="AT403" s="98">
        <v>0</v>
      </c>
      <c r="AU403" s="98">
        <v>0</v>
      </c>
      <c r="AV403" s="98">
        <v>0</v>
      </c>
      <c r="AW403" s="98">
        <v>0</v>
      </c>
      <c r="AX403" s="98">
        <v>0</v>
      </c>
      <c r="AY403" s="98">
        <v>0</v>
      </c>
      <c r="AZ403" s="98">
        <v>0</v>
      </c>
      <c r="BA403" s="98">
        <v>0</v>
      </c>
      <c r="BB403" s="98">
        <v>0</v>
      </c>
      <c r="BC403" s="98">
        <v>0</v>
      </c>
      <c r="BD403" s="98">
        <v>0</v>
      </c>
      <c r="BE403" s="98">
        <v>0</v>
      </c>
      <c r="BF403" s="98">
        <v>0</v>
      </c>
      <c r="BG403" s="98">
        <v>0</v>
      </c>
      <c r="BH403" s="98">
        <v>0</v>
      </c>
      <c r="BI403" s="98">
        <v>0</v>
      </c>
      <c r="BJ403" s="99">
        <v>0</v>
      </c>
    </row>
    <row r="404" spans="1:67" s="105" customFormat="1">
      <c r="A404" s="101" t="s">
        <v>115</v>
      </c>
      <c r="B404" s="102">
        <f>SUM(C404:BJ404)</f>
        <v>4002266538.6319399</v>
      </c>
      <c r="C404" s="222">
        <f>(C412*(1+$E401))+(C403*$B510)+(C403*$B510*$M401)</f>
        <v>15575552.657789767</v>
      </c>
      <c r="D404" s="103">
        <f>(D412*(1+$E401))+(D403*$B510)+(D403*$B510*$M401)</f>
        <v>15575552.657789767</v>
      </c>
      <c r="E404" s="103">
        <f t="shared" ref="E404:BJ404" si="227">(E412*(1+$E401))+(E403*$B510)+(E403*$B510*$M401)</f>
        <v>15575552.657789767</v>
      </c>
      <c r="F404" s="103">
        <f t="shared" si="227"/>
        <v>15575552.657789767</v>
      </c>
      <c r="G404" s="103">
        <f t="shared" si="227"/>
        <v>15575552.657789767</v>
      </c>
      <c r="H404" s="103">
        <f t="shared" si="227"/>
        <v>50967999.219767094</v>
      </c>
      <c r="I404" s="103">
        <f t="shared" si="227"/>
        <v>101935998.43953419</v>
      </c>
      <c r="J404" s="103">
        <f t="shared" si="227"/>
        <v>152903997.65930128</v>
      </c>
      <c r="K404" s="103">
        <f t="shared" si="227"/>
        <v>203871996.87906837</v>
      </c>
      <c r="L404" s="103">
        <f t="shared" si="227"/>
        <v>322780976.77196097</v>
      </c>
      <c r="M404" s="103">
        <f t="shared" si="227"/>
        <v>322780976.77196097</v>
      </c>
      <c r="N404" s="103">
        <f t="shared" si="227"/>
        <v>322780976.77196097</v>
      </c>
      <c r="O404" s="103">
        <f t="shared" si="227"/>
        <v>322780976.77196097</v>
      </c>
      <c r="P404" s="103">
        <f t="shared" si="227"/>
        <v>322780976.77196097</v>
      </c>
      <c r="Q404" s="103">
        <f t="shared" si="227"/>
        <v>322780976.77196097</v>
      </c>
      <c r="R404" s="103">
        <f t="shared" si="227"/>
        <v>322780976.77196097</v>
      </c>
      <c r="S404" s="103">
        <f t="shared" si="227"/>
        <v>322780976.77196097</v>
      </c>
      <c r="T404" s="103">
        <f t="shared" si="227"/>
        <v>322780976.77196097</v>
      </c>
      <c r="U404" s="103">
        <f t="shared" si="227"/>
        <v>203871996.87906837</v>
      </c>
      <c r="V404" s="103">
        <f t="shared" si="227"/>
        <v>152903997.65930128</v>
      </c>
      <c r="W404" s="103">
        <f t="shared" si="227"/>
        <v>101935998.43953419</v>
      </c>
      <c r="X404" s="103">
        <f t="shared" si="227"/>
        <v>50967999.219767094</v>
      </c>
      <c r="Y404" s="103">
        <f t="shared" si="227"/>
        <v>0</v>
      </c>
      <c r="Z404" s="103">
        <f t="shared" si="227"/>
        <v>0</v>
      </c>
      <c r="AA404" s="103">
        <f t="shared" si="227"/>
        <v>0</v>
      </c>
      <c r="AB404" s="103">
        <f t="shared" si="227"/>
        <v>0</v>
      </c>
      <c r="AC404" s="103">
        <f t="shared" si="227"/>
        <v>0</v>
      </c>
      <c r="AD404" s="103">
        <f t="shared" si="227"/>
        <v>0</v>
      </c>
      <c r="AE404" s="103">
        <f t="shared" si="227"/>
        <v>0</v>
      </c>
      <c r="AF404" s="103">
        <f t="shared" si="227"/>
        <v>0</v>
      </c>
      <c r="AG404" s="103">
        <f t="shared" si="227"/>
        <v>0</v>
      </c>
      <c r="AH404" s="103">
        <f t="shared" si="227"/>
        <v>0</v>
      </c>
      <c r="AI404" s="103">
        <f t="shared" si="227"/>
        <v>0</v>
      </c>
      <c r="AJ404" s="103">
        <f t="shared" si="227"/>
        <v>0</v>
      </c>
      <c r="AK404" s="103">
        <f t="shared" si="227"/>
        <v>0</v>
      </c>
      <c r="AL404" s="103">
        <f t="shared" si="227"/>
        <v>0</v>
      </c>
      <c r="AM404" s="103">
        <f t="shared" si="227"/>
        <v>0</v>
      </c>
      <c r="AN404" s="103">
        <f t="shared" si="227"/>
        <v>0</v>
      </c>
      <c r="AO404" s="103">
        <f t="shared" si="227"/>
        <v>0</v>
      </c>
      <c r="AP404" s="103">
        <f t="shared" si="227"/>
        <v>0</v>
      </c>
      <c r="AQ404" s="103">
        <f t="shared" si="227"/>
        <v>0</v>
      </c>
      <c r="AR404" s="103">
        <f t="shared" si="227"/>
        <v>0</v>
      </c>
      <c r="AS404" s="103">
        <f t="shared" si="227"/>
        <v>0</v>
      </c>
      <c r="AT404" s="103">
        <f t="shared" si="227"/>
        <v>0</v>
      </c>
      <c r="AU404" s="103">
        <f t="shared" si="227"/>
        <v>0</v>
      </c>
      <c r="AV404" s="103">
        <f t="shared" si="227"/>
        <v>0</v>
      </c>
      <c r="AW404" s="103">
        <f t="shared" si="227"/>
        <v>0</v>
      </c>
      <c r="AX404" s="103">
        <f t="shared" si="227"/>
        <v>0</v>
      </c>
      <c r="AY404" s="103">
        <f t="shared" si="227"/>
        <v>0</v>
      </c>
      <c r="AZ404" s="103">
        <f t="shared" si="227"/>
        <v>0</v>
      </c>
      <c r="BA404" s="103">
        <f t="shared" si="227"/>
        <v>0</v>
      </c>
      <c r="BB404" s="103">
        <f t="shared" si="227"/>
        <v>0</v>
      </c>
      <c r="BC404" s="103">
        <f t="shared" si="227"/>
        <v>0</v>
      </c>
      <c r="BD404" s="103">
        <f t="shared" si="227"/>
        <v>0</v>
      </c>
      <c r="BE404" s="103">
        <f t="shared" si="227"/>
        <v>0</v>
      </c>
      <c r="BF404" s="103">
        <f t="shared" si="227"/>
        <v>0</v>
      </c>
      <c r="BG404" s="103">
        <f t="shared" si="227"/>
        <v>0</v>
      </c>
      <c r="BH404" s="103">
        <f t="shared" si="227"/>
        <v>0</v>
      </c>
      <c r="BI404" s="103">
        <f t="shared" si="227"/>
        <v>0</v>
      </c>
      <c r="BJ404" s="104">
        <f t="shared" si="227"/>
        <v>0</v>
      </c>
    </row>
    <row r="405" spans="1:67" s="105" customFormat="1">
      <c r="A405" s="106" t="s">
        <v>116</v>
      </c>
      <c r="B405" s="107">
        <f>SUM(B412,B406:B407)</f>
        <v>1055292448.9464462</v>
      </c>
      <c r="C405" s="133">
        <f>SUM(C406,C407,C412)</f>
        <v>12460442.126231814</v>
      </c>
      <c r="D405" s="134">
        <f>D406+D407+D412</f>
        <v>12460442.126231814</v>
      </c>
      <c r="E405" s="134">
        <f t="shared" ref="E405:BJ405" si="228">E406+E407+E412</f>
        <v>12460442.126231814</v>
      </c>
      <c r="F405" s="134">
        <f t="shared" si="228"/>
        <v>12460442.126231814</v>
      </c>
      <c r="G405" s="134">
        <f t="shared" si="228"/>
        <v>12460442.126231814</v>
      </c>
      <c r="H405" s="134">
        <f t="shared" si="228"/>
        <v>12896460.720119797</v>
      </c>
      <c r="I405" s="134">
        <f t="shared" si="228"/>
        <v>25792921.440239593</v>
      </c>
      <c r="J405" s="134">
        <f t="shared" si="228"/>
        <v>38689382.160359383</v>
      </c>
      <c r="K405" s="134">
        <f t="shared" si="228"/>
        <v>51585842.880479187</v>
      </c>
      <c r="L405" s="134">
        <f t="shared" si="228"/>
        <v>81673447.101432383</v>
      </c>
      <c r="M405" s="134">
        <f t="shared" si="228"/>
        <v>81673447.101432383</v>
      </c>
      <c r="N405" s="134">
        <f t="shared" si="228"/>
        <v>81673447.101432383</v>
      </c>
      <c r="O405" s="134">
        <f t="shared" si="228"/>
        <v>81673447.101432383</v>
      </c>
      <c r="P405" s="134">
        <f t="shared" si="228"/>
        <v>81673447.101432383</v>
      </c>
      <c r="Q405" s="134">
        <f t="shared" si="228"/>
        <v>81673447.101432383</v>
      </c>
      <c r="R405" s="134">
        <f t="shared" si="228"/>
        <v>81673447.101432383</v>
      </c>
      <c r="S405" s="134">
        <f t="shared" si="228"/>
        <v>81673447.101432383</v>
      </c>
      <c r="T405" s="134">
        <f t="shared" si="228"/>
        <v>81673447.101432383</v>
      </c>
      <c r="U405" s="134">
        <f t="shared" si="228"/>
        <v>51585842.880479187</v>
      </c>
      <c r="V405" s="134">
        <f t="shared" si="228"/>
        <v>38689382.160359383</v>
      </c>
      <c r="W405" s="134">
        <f t="shared" si="228"/>
        <v>25792921.440239593</v>
      </c>
      <c r="X405" s="134">
        <f t="shared" si="228"/>
        <v>12896460.720119797</v>
      </c>
      <c r="Y405" s="134">
        <f t="shared" si="228"/>
        <v>0</v>
      </c>
      <c r="Z405" s="134">
        <f t="shared" si="228"/>
        <v>0</v>
      </c>
      <c r="AA405" s="134">
        <f t="shared" si="228"/>
        <v>0</v>
      </c>
      <c r="AB405" s="134">
        <f t="shared" si="228"/>
        <v>0</v>
      </c>
      <c r="AC405" s="134">
        <f t="shared" si="228"/>
        <v>0</v>
      </c>
      <c r="AD405" s="134">
        <f t="shared" si="228"/>
        <v>0</v>
      </c>
      <c r="AE405" s="134">
        <f t="shared" si="228"/>
        <v>0</v>
      </c>
      <c r="AF405" s="134">
        <f t="shared" si="228"/>
        <v>0</v>
      </c>
      <c r="AG405" s="134">
        <f t="shared" si="228"/>
        <v>0</v>
      </c>
      <c r="AH405" s="134">
        <f t="shared" si="228"/>
        <v>0</v>
      </c>
      <c r="AI405" s="134">
        <f t="shared" si="228"/>
        <v>0</v>
      </c>
      <c r="AJ405" s="134">
        <f t="shared" si="228"/>
        <v>0</v>
      </c>
      <c r="AK405" s="134">
        <f t="shared" si="228"/>
        <v>0</v>
      </c>
      <c r="AL405" s="134">
        <f t="shared" si="228"/>
        <v>0</v>
      </c>
      <c r="AM405" s="134">
        <f t="shared" si="228"/>
        <v>0</v>
      </c>
      <c r="AN405" s="134">
        <f t="shared" si="228"/>
        <v>0</v>
      </c>
      <c r="AO405" s="134">
        <f t="shared" si="228"/>
        <v>0</v>
      </c>
      <c r="AP405" s="134">
        <f t="shared" si="228"/>
        <v>0</v>
      </c>
      <c r="AQ405" s="134">
        <f t="shared" si="228"/>
        <v>0</v>
      </c>
      <c r="AR405" s="134">
        <f t="shared" si="228"/>
        <v>0</v>
      </c>
      <c r="AS405" s="134">
        <f t="shared" si="228"/>
        <v>0</v>
      </c>
      <c r="AT405" s="134">
        <f t="shared" si="228"/>
        <v>0</v>
      </c>
      <c r="AU405" s="134">
        <f t="shared" si="228"/>
        <v>0</v>
      </c>
      <c r="AV405" s="134">
        <f t="shared" si="228"/>
        <v>0</v>
      </c>
      <c r="AW405" s="134">
        <f t="shared" si="228"/>
        <v>0</v>
      </c>
      <c r="AX405" s="134">
        <f t="shared" si="228"/>
        <v>0</v>
      </c>
      <c r="AY405" s="134">
        <f t="shared" si="228"/>
        <v>0</v>
      </c>
      <c r="AZ405" s="134">
        <f t="shared" si="228"/>
        <v>0</v>
      </c>
      <c r="BA405" s="134">
        <f t="shared" si="228"/>
        <v>0</v>
      </c>
      <c r="BB405" s="134">
        <f t="shared" si="228"/>
        <v>0</v>
      </c>
      <c r="BC405" s="134">
        <f t="shared" si="228"/>
        <v>0</v>
      </c>
      <c r="BD405" s="134">
        <f t="shared" si="228"/>
        <v>0</v>
      </c>
      <c r="BE405" s="134">
        <f t="shared" si="228"/>
        <v>0</v>
      </c>
      <c r="BF405" s="134">
        <f t="shared" si="228"/>
        <v>0</v>
      </c>
      <c r="BG405" s="134">
        <f t="shared" si="228"/>
        <v>0</v>
      </c>
      <c r="BH405" s="134">
        <f t="shared" si="228"/>
        <v>0</v>
      </c>
      <c r="BI405" s="134">
        <f t="shared" si="228"/>
        <v>0</v>
      </c>
      <c r="BJ405" s="135">
        <f t="shared" si="228"/>
        <v>0</v>
      </c>
    </row>
    <row r="406" spans="1:67" s="116" customFormat="1">
      <c r="A406" s="111" t="s">
        <v>117</v>
      </c>
      <c r="B406" s="112">
        <f>SUM(C406:BJ406)</f>
        <v>702255434.26628458</v>
      </c>
      <c r="C406" s="223">
        <v>0</v>
      </c>
      <c r="D406" s="118">
        <v>0</v>
      </c>
      <c r="E406" s="118">
        <v>0</v>
      </c>
      <c r="F406" s="118">
        <v>0</v>
      </c>
      <c r="G406" s="118">
        <v>0</v>
      </c>
      <c r="H406" s="118">
        <v>9120542.4525333736</v>
      </c>
      <c r="I406" s="118">
        <v>18241084.905066747</v>
      </c>
      <c r="J406" s="118">
        <v>27361627.357600115</v>
      </c>
      <c r="K406" s="118">
        <v>36482169.810133494</v>
      </c>
      <c r="L406" s="118">
        <v>57760509.468401909</v>
      </c>
      <c r="M406" s="118">
        <v>57760509.468401909</v>
      </c>
      <c r="N406" s="118">
        <v>57760509.468401909</v>
      </c>
      <c r="O406" s="118">
        <v>57760509.468401909</v>
      </c>
      <c r="P406" s="118">
        <v>57760509.468401909</v>
      </c>
      <c r="Q406" s="118">
        <v>57760509.468401909</v>
      </c>
      <c r="R406" s="118">
        <v>57760509.468401909</v>
      </c>
      <c r="S406" s="118">
        <v>57760509.468401909</v>
      </c>
      <c r="T406" s="118">
        <v>57760509.468401909</v>
      </c>
      <c r="U406" s="118">
        <v>36482169.810133494</v>
      </c>
      <c r="V406" s="118">
        <v>27361627.357600115</v>
      </c>
      <c r="W406" s="118">
        <v>18241084.905066747</v>
      </c>
      <c r="X406" s="118">
        <v>9120542.4525333736</v>
      </c>
      <c r="Y406" s="118">
        <v>0</v>
      </c>
      <c r="Z406" s="118">
        <v>0</v>
      </c>
      <c r="AA406" s="118">
        <v>0</v>
      </c>
      <c r="AB406" s="118">
        <v>0</v>
      </c>
      <c r="AC406" s="118">
        <v>0</v>
      </c>
      <c r="AD406" s="118">
        <v>0</v>
      </c>
      <c r="AE406" s="118">
        <v>0</v>
      </c>
      <c r="AF406" s="118">
        <v>0</v>
      </c>
      <c r="AG406" s="118">
        <v>0</v>
      </c>
      <c r="AH406" s="118">
        <v>0</v>
      </c>
      <c r="AI406" s="118">
        <v>0</v>
      </c>
      <c r="AJ406" s="118">
        <v>0</v>
      </c>
      <c r="AK406" s="118">
        <v>0</v>
      </c>
      <c r="AL406" s="118">
        <v>0</v>
      </c>
      <c r="AM406" s="118">
        <v>0</v>
      </c>
      <c r="AN406" s="118">
        <v>0</v>
      </c>
      <c r="AO406" s="118">
        <v>0</v>
      </c>
      <c r="AP406" s="118">
        <v>0</v>
      </c>
      <c r="AQ406" s="118">
        <v>0</v>
      </c>
      <c r="AR406" s="118">
        <v>0</v>
      </c>
      <c r="AS406" s="118">
        <v>0</v>
      </c>
      <c r="AT406" s="118">
        <v>0</v>
      </c>
      <c r="AU406" s="118">
        <v>0</v>
      </c>
      <c r="AV406" s="118">
        <v>0</v>
      </c>
      <c r="AW406" s="118">
        <v>0</v>
      </c>
      <c r="AX406" s="118">
        <v>0</v>
      </c>
      <c r="AY406" s="118">
        <v>0</v>
      </c>
      <c r="AZ406" s="118">
        <v>0</v>
      </c>
      <c r="BA406" s="118">
        <v>0</v>
      </c>
      <c r="BB406" s="118">
        <v>0</v>
      </c>
      <c r="BC406" s="118">
        <v>0</v>
      </c>
      <c r="BD406" s="118">
        <v>0</v>
      </c>
      <c r="BE406" s="118">
        <v>0</v>
      </c>
      <c r="BF406" s="118">
        <v>0</v>
      </c>
      <c r="BG406" s="118">
        <v>0</v>
      </c>
      <c r="BH406" s="118">
        <v>0</v>
      </c>
      <c r="BI406" s="118">
        <v>0</v>
      </c>
      <c r="BJ406" s="119">
        <v>0</v>
      </c>
    </row>
    <row r="407" spans="1:67" s="116" customFormat="1">
      <c r="A407" s="111" t="s">
        <v>118</v>
      </c>
      <c r="B407" s="112">
        <f>SUM(B408:B411)</f>
        <v>290734804.04900259</v>
      </c>
      <c r="C407" s="117">
        <f>SUM(C408:C411)</f>
        <v>0</v>
      </c>
      <c r="D407" s="118">
        <f>SUM(D408:D411)</f>
        <v>0</v>
      </c>
      <c r="E407" s="118">
        <f t="shared" ref="E407:BJ407" si="229">SUM(E408:E411)</f>
        <v>0</v>
      </c>
      <c r="F407" s="118">
        <f t="shared" si="229"/>
        <v>0</v>
      </c>
      <c r="G407" s="118">
        <f t="shared" si="229"/>
        <v>0</v>
      </c>
      <c r="H407" s="118">
        <f t="shared" si="229"/>
        <v>3775918.2675864231</v>
      </c>
      <c r="I407" s="118">
        <f t="shared" si="229"/>
        <v>7551836.5351728462</v>
      </c>
      <c r="J407" s="118">
        <f t="shared" si="229"/>
        <v>11327754.802759267</v>
      </c>
      <c r="K407" s="118">
        <f t="shared" si="229"/>
        <v>15103673.070345692</v>
      </c>
      <c r="L407" s="118">
        <f t="shared" si="229"/>
        <v>23912937.633030467</v>
      </c>
      <c r="M407" s="118">
        <f t="shared" si="229"/>
        <v>23912937.633030467</v>
      </c>
      <c r="N407" s="118">
        <f t="shared" si="229"/>
        <v>23912937.633030467</v>
      </c>
      <c r="O407" s="118">
        <f t="shared" si="229"/>
        <v>23912937.633030467</v>
      </c>
      <c r="P407" s="118">
        <f t="shared" si="229"/>
        <v>23912937.633030467</v>
      </c>
      <c r="Q407" s="118">
        <f t="shared" si="229"/>
        <v>23912937.633030467</v>
      </c>
      <c r="R407" s="118">
        <f t="shared" si="229"/>
        <v>23912937.633030467</v>
      </c>
      <c r="S407" s="118">
        <f t="shared" si="229"/>
        <v>23912937.633030467</v>
      </c>
      <c r="T407" s="118">
        <f t="shared" si="229"/>
        <v>23912937.633030467</v>
      </c>
      <c r="U407" s="118">
        <f t="shared" si="229"/>
        <v>15103673.070345692</v>
      </c>
      <c r="V407" s="118">
        <f t="shared" si="229"/>
        <v>11327754.802759267</v>
      </c>
      <c r="W407" s="118">
        <f t="shared" si="229"/>
        <v>7551836.5351728462</v>
      </c>
      <c r="X407" s="118">
        <f t="shared" si="229"/>
        <v>3775918.2675864231</v>
      </c>
      <c r="Y407" s="118">
        <f t="shared" si="229"/>
        <v>0</v>
      </c>
      <c r="Z407" s="118">
        <f t="shared" si="229"/>
        <v>0</v>
      </c>
      <c r="AA407" s="118">
        <f t="shared" si="229"/>
        <v>0</v>
      </c>
      <c r="AB407" s="118">
        <f t="shared" si="229"/>
        <v>0</v>
      </c>
      <c r="AC407" s="118">
        <f t="shared" si="229"/>
        <v>0</v>
      </c>
      <c r="AD407" s="118">
        <f t="shared" si="229"/>
        <v>0</v>
      </c>
      <c r="AE407" s="118">
        <f t="shared" si="229"/>
        <v>0</v>
      </c>
      <c r="AF407" s="118">
        <f t="shared" si="229"/>
        <v>0</v>
      </c>
      <c r="AG407" s="118">
        <f t="shared" si="229"/>
        <v>0</v>
      </c>
      <c r="AH407" s="118">
        <f t="shared" si="229"/>
        <v>0</v>
      </c>
      <c r="AI407" s="118">
        <f t="shared" si="229"/>
        <v>0</v>
      </c>
      <c r="AJ407" s="118">
        <f t="shared" si="229"/>
        <v>0</v>
      </c>
      <c r="AK407" s="118">
        <f t="shared" si="229"/>
        <v>0</v>
      </c>
      <c r="AL407" s="118">
        <f t="shared" si="229"/>
        <v>0</v>
      </c>
      <c r="AM407" s="118">
        <f t="shared" si="229"/>
        <v>0</v>
      </c>
      <c r="AN407" s="118">
        <f t="shared" si="229"/>
        <v>0</v>
      </c>
      <c r="AO407" s="118">
        <f t="shared" si="229"/>
        <v>0</v>
      </c>
      <c r="AP407" s="118">
        <f t="shared" si="229"/>
        <v>0</v>
      </c>
      <c r="AQ407" s="118">
        <f t="shared" si="229"/>
        <v>0</v>
      </c>
      <c r="AR407" s="118">
        <f t="shared" si="229"/>
        <v>0</v>
      </c>
      <c r="AS407" s="118">
        <f t="shared" si="229"/>
        <v>0</v>
      </c>
      <c r="AT407" s="118">
        <f t="shared" si="229"/>
        <v>0</v>
      </c>
      <c r="AU407" s="118">
        <f t="shared" si="229"/>
        <v>0</v>
      </c>
      <c r="AV407" s="118">
        <f t="shared" si="229"/>
        <v>0</v>
      </c>
      <c r="AW407" s="118">
        <f t="shared" si="229"/>
        <v>0</v>
      </c>
      <c r="AX407" s="118">
        <f t="shared" si="229"/>
        <v>0</v>
      </c>
      <c r="AY407" s="118">
        <f t="shared" si="229"/>
        <v>0</v>
      </c>
      <c r="AZ407" s="118">
        <f t="shared" si="229"/>
        <v>0</v>
      </c>
      <c r="BA407" s="118">
        <f t="shared" si="229"/>
        <v>0</v>
      </c>
      <c r="BB407" s="118">
        <f t="shared" si="229"/>
        <v>0</v>
      </c>
      <c r="BC407" s="118">
        <f t="shared" si="229"/>
        <v>0</v>
      </c>
      <c r="BD407" s="118">
        <f t="shared" si="229"/>
        <v>0</v>
      </c>
      <c r="BE407" s="118">
        <f t="shared" si="229"/>
        <v>0</v>
      </c>
      <c r="BF407" s="118">
        <f t="shared" si="229"/>
        <v>0</v>
      </c>
      <c r="BG407" s="118">
        <f t="shared" si="229"/>
        <v>0</v>
      </c>
      <c r="BH407" s="118">
        <f t="shared" si="229"/>
        <v>0</v>
      </c>
      <c r="BI407" s="118">
        <f t="shared" si="229"/>
        <v>0</v>
      </c>
      <c r="BJ407" s="119">
        <f t="shared" si="229"/>
        <v>0</v>
      </c>
    </row>
    <row r="408" spans="1:67" s="125" customFormat="1" ht="12.75">
      <c r="A408" s="120" t="s">
        <v>119</v>
      </c>
      <c r="B408" s="121">
        <f t="shared" ref="B408:B413" si="230">SUM(C408:BJ408)</f>
        <v>102609857.04147799</v>
      </c>
      <c r="C408" s="224">
        <v>0</v>
      </c>
      <c r="D408" s="123">
        <v>0</v>
      </c>
      <c r="E408" s="123">
        <v>0</v>
      </c>
      <c r="F408" s="123">
        <v>0</v>
      </c>
      <c r="G408" s="123">
        <v>0</v>
      </c>
      <c r="H408" s="123">
        <v>1332645.5183261959</v>
      </c>
      <c r="I408" s="123">
        <v>2665291.0366523918</v>
      </c>
      <c r="J408" s="123">
        <v>3997936.5549785872</v>
      </c>
      <c r="K408" s="123">
        <v>5330582.0733047836</v>
      </c>
      <c r="L408" s="123">
        <v>8439660.7416615654</v>
      </c>
      <c r="M408" s="123">
        <v>8439660.7416615654</v>
      </c>
      <c r="N408" s="123">
        <v>8439660.7416615654</v>
      </c>
      <c r="O408" s="123">
        <v>8439660.7416615654</v>
      </c>
      <c r="P408" s="123">
        <v>8439660.7416615654</v>
      </c>
      <c r="Q408" s="123">
        <v>8439660.7416615654</v>
      </c>
      <c r="R408" s="123">
        <v>8439660.7416615654</v>
      </c>
      <c r="S408" s="123">
        <v>8439660.7416615654</v>
      </c>
      <c r="T408" s="123">
        <v>8439660.7416615654</v>
      </c>
      <c r="U408" s="123">
        <v>5330582.0733047836</v>
      </c>
      <c r="V408" s="123">
        <v>3997936.5549785872</v>
      </c>
      <c r="W408" s="123">
        <v>2665291.0366523918</v>
      </c>
      <c r="X408" s="123">
        <v>1332645.5183261959</v>
      </c>
      <c r="Y408" s="123">
        <v>0</v>
      </c>
      <c r="Z408" s="123">
        <v>0</v>
      </c>
      <c r="AA408" s="123">
        <v>0</v>
      </c>
      <c r="AB408" s="123">
        <v>0</v>
      </c>
      <c r="AC408" s="123">
        <v>0</v>
      </c>
      <c r="AD408" s="123">
        <v>0</v>
      </c>
      <c r="AE408" s="123">
        <v>0</v>
      </c>
      <c r="AF408" s="123">
        <v>0</v>
      </c>
      <c r="AG408" s="123">
        <v>0</v>
      </c>
      <c r="AH408" s="123">
        <v>0</v>
      </c>
      <c r="AI408" s="123">
        <v>0</v>
      </c>
      <c r="AJ408" s="123">
        <v>0</v>
      </c>
      <c r="AK408" s="123">
        <v>0</v>
      </c>
      <c r="AL408" s="123">
        <v>0</v>
      </c>
      <c r="AM408" s="123">
        <v>0</v>
      </c>
      <c r="AN408" s="123">
        <v>0</v>
      </c>
      <c r="AO408" s="123">
        <v>0</v>
      </c>
      <c r="AP408" s="123">
        <v>0</v>
      </c>
      <c r="AQ408" s="123">
        <v>0</v>
      </c>
      <c r="AR408" s="123">
        <v>0</v>
      </c>
      <c r="AS408" s="123">
        <v>0</v>
      </c>
      <c r="AT408" s="123">
        <v>0</v>
      </c>
      <c r="AU408" s="123">
        <v>0</v>
      </c>
      <c r="AV408" s="123">
        <v>0</v>
      </c>
      <c r="AW408" s="123">
        <v>0</v>
      </c>
      <c r="AX408" s="123">
        <v>0</v>
      </c>
      <c r="AY408" s="123">
        <v>0</v>
      </c>
      <c r="AZ408" s="123">
        <v>0</v>
      </c>
      <c r="BA408" s="123">
        <v>0</v>
      </c>
      <c r="BB408" s="123">
        <v>0</v>
      </c>
      <c r="BC408" s="123">
        <v>0</v>
      </c>
      <c r="BD408" s="123">
        <v>0</v>
      </c>
      <c r="BE408" s="123">
        <v>0</v>
      </c>
      <c r="BF408" s="123">
        <v>0</v>
      </c>
      <c r="BG408" s="123">
        <v>0</v>
      </c>
      <c r="BH408" s="123">
        <v>0</v>
      </c>
      <c r="BI408" s="123">
        <v>0</v>
      </c>
      <c r="BJ408" s="124">
        <v>0</v>
      </c>
    </row>
    <row r="409" spans="1:67" s="125" customFormat="1" ht="12.75">
      <c r="A409" s="120" t="s">
        <v>120</v>
      </c>
      <c r="B409" s="121">
        <f t="shared" si="230"/>
        <v>147162469.21028611</v>
      </c>
      <c r="C409" s="224">
        <v>0</v>
      </c>
      <c r="D409" s="123">
        <v>0</v>
      </c>
      <c r="E409" s="123">
        <v>0</v>
      </c>
      <c r="F409" s="123">
        <v>0</v>
      </c>
      <c r="G409" s="123">
        <v>0</v>
      </c>
      <c r="H409" s="123">
        <v>1911272.5688685921</v>
      </c>
      <c r="I409" s="123">
        <v>3822545.1377371843</v>
      </c>
      <c r="J409" s="123">
        <v>5733817.7066057753</v>
      </c>
      <c r="K409" s="123">
        <v>7645090.2754743686</v>
      </c>
      <c r="L409" s="123">
        <v>12104113.092546036</v>
      </c>
      <c r="M409" s="123">
        <v>12104113.092546036</v>
      </c>
      <c r="N409" s="123">
        <v>12104113.092546036</v>
      </c>
      <c r="O409" s="123">
        <v>12104113.092546036</v>
      </c>
      <c r="P409" s="123">
        <v>12104113.092546036</v>
      </c>
      <c r="Q409" s="123">
        <v>12104113.092546036</v>
      </c>
      <c r="R409" s="123">
        <v>12104113.092546036</v>
      </c>
      <c r="S409" s="123">
        <v>12104113.092546036</v>
      </c>
      <c r="T409" s="123">
        <v>12104113.092546036</v>
      </c>
      <c r="U409" s="123">
        <v>7645090.2754743686</v>
      </c>
      <c r="V409" s="123">
        <v>5733817.7066057753</v>
      </c>
      <c r="W409" s="123">
        <v>3822545.1377371843</v>
      </c>
      <c r="X409" s="123">
        <v>1911272.5688685921</v>
      </c>
      <c r="Y409" s="123">
        <v>0</v>
      </c>
      <c r="Z409" s="123">
        <v>0</v>
      </c>
      <c r="AA409" s="123">
        <v>0</v>
      </c>
      <c r="AB409" s="123">
        <v>0</v>
      </c>
      <c r="AC409" s="123">
        <v>0</v>
      </c>
      <c r="AD409" s="123">
        <v>0</v>
      </c>
      <c r="AE409" s="123">
        <v>0</v>
      </c>
      <c r="AF409" s="123">
        <v>0</v>
      </c>
      <c r="AG409" s="123">
        <v>0</v>
      </c>
      <c r="AH409" s="123">
        <v>0</v>
      </c>
      <c r="AI409" s="123">
        <v>0</v>
      </c>
      <c r="AJ409" s="123">
        <v>0</v>
      </c>
      <c r="AK409" s="123">
        <v>0</v>
      </c>
      <c r="AL409" s="123">
        <v>0</v>
      </c>
      <c r="AM409" s="123">
        <v>0</v>
      </c>
      <c r="AN409" s="123">
        <v>0</v>
      </c>
      <c r="AO409" s="123">
        <v>0</v>
      </c>
      <c r="AP409" s="123">
        <v>0</v>
      </c>
      <c r="AQ409" s="123">
        <v>0</v>
      </c>
      <c r="AR409" s="123">
        <v>0</v>
      </c>
      <c r="AS409" s="123">
        <v>0</v>
      </c>
      <c r="AT409" s="123">
        <v>0</v>
      </c>
      <c r="AU409" s="123">
        <v>0</v>
      </c>
      <c r="AV409" s="123">
        <v>0</v>
      </c>
      <c r="AW409" s="123">
        <v>0</v>
      </c>
      <c r="AX409" s="123">
        <v>0</v>
      </c>
      <c r="AY409" s="123">
        <v>0</v>
      </c>
      <c r="AZ409" s="123">
        <v>0</v>
      </c>
      <c r="BA409" s="123">
        <v>0</v>
      </c>
      <c r="BB409" s="123">
        <v>0</v>
      </c>
      <c r="BC409" s="123">
        <v>0</v>
      </c>
      <c r="BD409" s="123">
        <v>0</v>
      </c>
      <c r="BE409" s="123">
        <v>0</v>
      </c>
      <c r="BF409" s="123">
        <v>0</v>
      </c>
      <c r="BG409" s="123">
        <v>0</v>
      </c>
      <c r="BH409" s="123">
        <v>0</v>
      </c>
      <c r="BI409" s="123">
        <v>0</v>
      </c>
      <c r="BJ409" s="124">
        <v>0</v>
      </c>
      <c r="BO409" s="126"/>
    </row>
    <row r="410" spans="1:67" s="125" customFormat="1" ht="12.75">
      <c r="A410" s="120" t="s">
        <v>121</v>
      </c>
      <c r="B410" s="121">
        <f t="shared" si="230"/>
        <v>34745940.975873083</v>
      </c>
      <c r="C410" s="224">
        <v>0</v>
      </c>
      <c r="D410" s="123">
        <v>0</v>
      </c>
      <c r="E410" s="123">
        <v>0</v>
      </c>
      <c r="F410" s="123">
        <v>0</v>
      </c>
      <c r="G410" s="123">
        <v>0</v>
      </c>
      <c r="H410" s="123">
        <v>451262.90842415171</v>
      </c>
      <c r="I410" s="123">
        <v>902525.81684830342</v>
      </c>
      <c r="J410" s="123">
        <v>1353788.725272455</v>
      </c>
      <c r="K410" s="123">
        <v>1805051.6336966068</v>
      </c>
      <c r="L410" s="123">
        <v>2857853.6452655606</v>
      </c>
      <c r="M410" s="123">
        <v>2857853.6452655606</v>
      </c>
      <c r="N410" s="123">
        <v>2857853.6452655606</v>
      </c>
      <c r="O410" s="123">
        <v>2857853.6452655606</v>
      </c>
      <c r="P410" s="123">
        <v>2857853.6452655606</v>
      </c>
      <c r="Q410" s="123">
        <v>2857853.6452655606</v>
      </c>
      <c r="R410" s="123">
        <v>2857853.6452655606</v>
      </c>
      <c r="S410" s="123">
        <v>2857853.6452655606</v>
      </c>
      <c r="T410" s="123">
        <v>2857853.6452655606</v>
      </c>
      <c r="U410" s="123">
        <v>1805051.6336966068</v>
      </c>
      <c r="V410" s="123">
        <v>1353788.725272455</v>
      </c>
      <c r="W410" s="123">
        <v>902525.81684830342</v>
      </c>
      <c r="X410" s="123">
        <v>451262.90842415171</v>
      </c>
      <c r="Y410" s="123">
        <v>0</v>
      </c>
      <c r="Z410" s="123">
        <v>0</v>
      </c>
      <c r="AA410" s="123">
        <v>0</v>
      </c>
      <c r="AB410" s="123">
        <v>0</v>
      </c>
      <c r="AC410" s="123">
        <v>0</v>
      </c>
      <c r="AD410" s="123">
        <v>0</v>
      </c>
      <c r="AE410" s="123">
        <v>0</v>
      </c>
      <c r="AF410" s="123">
        <v>0</v>
      </c>
      <c r="AG410" s="123">
        <v>0</v>
      </c>
      <c r="AH410" s="123">
        <v>0</v>
      </c>
      <c r="AI410" s="123">
        <v>0</v>
      </c>
      <c r="AJ410" s="123">
        <v>0</v>
      </c>
      <c r="AK410" s="123">
        <v>0</v>
      </c>
      <c r="AL410" s="123">
        <v>0</v>
      </c>
      <c r="AM410" s="123">
        <v>0</v>
      </c>
      <c r="AN410" s="123">
        <v>0</v>
      </c>
      <c r="AO410" s="123">
        <v>0</v>
      </c>
      <c r="AP410" s="123">
        <v>0</v>
      </c>
      <c r="AQ410" s="123">
        <v>0</v>
      </c>
      <c r="AR410" s="123">
        <v>0</v>
      </c>
      <c r="AS410" s="123">
        <v>0</v>
      </c>
      <c r="AT410" s="123">
        <v>0</v>
      </c>
      <c r="AU410" s="123">
        <v>0</v>
      </c>
      <c r="AV410" s="123">
        <v>0</v>
      </c>
      <c r="AW410" s="123">
        <v>0</v>
      </c>
      <c r="AX410" s="123">
        <v>0</v>
      </c>
      <c r="AY410" s="123">
        <v>0</v>
      </c>
      <c r="AZ410" s="123">
        <v>0</v>
      </c>
      <c r="BA410" s="123">
        <v>0</v>
      </c>
      <c r="BB410" s="123">
        <v>0</v>
      </c>
      <c r="BC410" s="123">
        <v>0</v>
      </c>
      <c r="BD410" s="123">
        <v>0</v>
      </c>
      <c r="BE410" s="123">
        <v>0</v>
      </c>
      <c r="BF410" s="123">
        <v>0</v>
      </c>
      <c r="BG410" s="123">
        <v>0</v>
      </c>
      <c r="BH410" s="123">
        <v>0</v>
      </c>
      <c r="BI410" s="123">
        <v>0</v>
      </c>
      <c r="BJ410" s="124">
        <v>0</v>
      </c>
    </row>
    <row r="411" spans="1:67" s="125" customFormat="1" ht="12.75">
      <c r="A411" s="120" t="s">
        <v>122</v>
      </c>
      <c r="B411" s="121">
        <f t="shared" si="230"/>
        <v>6216536.8213654226</v>
      </c>
      <c r="C411" s="224">
        <v>0</v>
      </c>
      <c r="D411" s="123">
        <v>0</v>
      </c>
      <c r="E411" s="123">
        <v>0</v>
      </c>
      <c r="F411" s="123">
        <v>0</v>
      </c>
      <c r="G411" s="123">
        <v>0</v>
      </c>
      <c r="H411" s="123">
        <v>80737.271967483437</v>
      </c>
      <c r="I411" s="123">
        <v>161474.54393496687</v>
      </c>
      <c r="J411" s="123">
        <v>242211.8159024503</v>
      </c>
      <c r="K411" s="123">
        <v>322949.08786993375</v>
      </c>
      <c r="L411" s="123">
        <v>511310.15355730598</v>
      </c>
      <c r="M411" s="123">
        <v>511310.15355730598</v>
      </c>
      <c r="N411" s="123">
        <v>511310.15355730598</v>
      </c>
      <c r="O411" s="123">
        <v>511310.15355730598</v>
      </c>
      <c r="P411" s="123">
        <v>511310.15355730598</v>
      </c>
      <c r="Q411" s="123">
        <v>511310.15355730598</v>
      </c>
      <c r="R411" s="123">
        <v>511310.15355730598</v>
      </c>
      <c r="S411" s="123">
        <v>511310.15355730598</v>
      </c>
      <c r="T411" s="123">
        <v>511310.15355730598</v>
      </c>
      <c r="U411" s="123">
        <v>322949.08786993375</v>
      </c>
      <c r="V411" s="123">
        <v>242211.8159024503</v>
      </c>
      <c r="W411" s="123">
        <v>161474.54393496687</v>
      </c>
      <c r="X411" s="123">
        <v>80737.271967483437</v>
      </c>
      <c r="Y411" s="123">
        <v>0</v>
      </c>
      <c r="Z411" s="123">
        <v>0</v>
      </c>
      <c r="AA411" s="123">
        <v>0</v>
      </c>
      <c r="AB411" s="123">
        <v>0</v>
      </c>
      <c r="AC411" s="123">
        <v>0</v>
      </c>
      <c r="AD411" s="123">
        <v>0</v>
      </c>
      <c r="AE411" s="123">
        <v>0</v>
      </c>
      <c r="AF411" s="123">
        <v>0</v>
      </c>
      <c r="AG411" s="123">
        <v>0</v>
      </c>
      <c r="AH411" s="123">
        <v>0</v>
      </c>
      <c r="AI411" s="123">
        <v>0</v>
      </c>
      <c r="AJ411" s="123">
        <v>0</v>
      </c>
      <c r="AK411" s="123">
        <v>0</v>
      </c>
      <c r="AL411" s="123">
        <v>0</v>
      </c>
      <c r="AM411" s="123">
        <v>0</v>
      </c>
      <c r="AN411" s="123">
        <v>0</v>
      </c>
      <c r="AO411" s="123">
        <v>0</v>
      </c>
      <c r="AP411" s="123">
        <v>0</v>
      </c>
      <c r="AQ411" s="123">
        <v>0</v>
      </c>
      <c r="AR411" s="123">
        <v>0</v>
      </c>
      <c r="AS411" s="123">
        <v>0</v>
      </c>
      <c r="AT411" s="123">
        <v>0</v>
      </c>
      <c r="AU411" s="123">
        <v>0</v>
      </c>
      <c r="AV411" s="123">
        <v>0</v>
      </c>
      <c r="AW411" s="123">
        <v>0</v>
      </c>
      <c r="AX411" s="123">
        <v>0</v>
      </c>
      <c r="AY411" s="123">
        <v>0</v>
      </c>
      <c r="AZ411" s="123">
        <v>0</v>
      </c>
      <c r="BA411" s="123">
        <v>0</v>
      </c>
      <c r="BB411" s="123">
        <v>0</v>
      </c>
      <c r="BC411" s="123">
        <v>0</v>
      </c>
      <c r="BD411" s="123">
        <v>0</v>
      </c>
      <c r="BE411" s="123">
        <v>0</v>
      </c>
      <c r="BF411" s="123">
        <v>0</v>
      </c>
      <c r="BG411" s="123">
        <v>0</v>
      </c>
      <c r="BH411" s="123">
        <v>0</v>
      </c>
      <c r="BI411" s="123">
        <v>0</v>
      </c>
      <c r="BJ411" s="124">
        <v>0</v>
      </c>
    </row>
    <row r="412" spans="1:67" s="116" customFormat="1">
      <c r="A412" s="127" t="s">
        <v>123</v>
      </c>
      <c r="B412" s="112">
        <f t="shared" si="230"/>
        <v>62302210.631159067</v>
      </c>
      <c r="C412" s="225">
        <v>12460442.126231814</v>
      </c>
      <c r="D412" s="129">
        <f>C412</f>
        <v>12460442.126231814</v>
      </c>
      <c r="E412" s="129">
        <f>D412</f>
        <v>12460442.126231814</v>
      </c>
      <c r="F412" s="129">
        <f>E412</f>
        <v>12460442.126231814</v>
      </c>
      <c r="G412" s="129">
        <f>F412</f>
        <v>12460442.126231814</v>
      </c>
      <c r="H412" s="129"/>
      <c r="I412" s="129"/>
      <c r="J412" s="129"/>
      <c r="K412" s="129"/>
      <c r="L412" s="129"/>
      <c r="M412" s="129"/>
      <c r="N412" s="129"/>
      <c r="O412" s="129"/>
      <c r="P412" s="129"/>
      <c r="Q412" s="129"/>
      <c r="R412" s="129"/>
      <c r="S412" s="129"/>
      <c r="T412" s="129"/>
      <c r="U412" s="129"/>
      <c r="V412" s="129"/>
      <c r="W412" s="129"/>
      <c r="X412" s="129"/>
      <c r="Y412" s="129"/>
      <c r="Z412" s="129"/>
      <c r="AA412" s="129"/>
      <c r="AB412" s="129"/>
      <c r="AC412" s="129"/>
      <c r="AD412" s="129"/>
      <c r="AE412" s="129"/>
      <c r="AF412" s="129"/>
      <c r="AG412" s="129"/>
      <c r="AH412" s="129"/>
      <c r="AI412" s="129"/>
      <c r="AJ412" s="129"/>
      <c r="AK412" s="129"/>
      <c r="AL412" s="129"/>
      <c r="AM412" s="129"/>
      <c r="AN412" s="129"/>
      <c r="AO412" s="129"/>
      <c r="AP412" s="129"/>
      <c r="AQ412" s="129"/>
      <c r="AR412" s="129"/>
      <c r="AS412" s="129"/>
      <c r="AT412" s="129"/>
      <c r="AU412" s="129"/>
      <c r="AV412" s="129"/>
      <c r="AW412" s="129"/>
      <c r="AX412" s="129"/>
      <c r="AY412" s="129"/>
      <c r="AZ412" s="129"/>
      <c r="BA412" s="129"/>
      <c r="BB412" s="129"/>
      <c r="BC412" s="129"/>
      <c r="BD412" s="129"/>
      <c r="BE412" s="129"/>
      <c r="BF412" s="129"/>
      <c r="BG412" s="129"/>
      <c r="BH412" s="129"/>
      <c r="BI412" s="129"/>
      <c r="BJ412" s="130"/>
    </row>
    <row r="413" spans="1:67" s="105" customFormat="1" ht="22.5" customHeight="1">
      <c r="A413" s="131" t="s">
        <v>124</v>
      </c>
      <c r="B413" s="132">
        <f t="shared" si="230"/>
        <v>2946974089.685493</v>
      </c>
      <c r="C413" s="102">
        <f>C404-C406-C407-C412</f>
        <v>3115110.531557953</v>
      </c>
      <c r="D413" s="103">
        <f>D404-D406-D407-D412</f>
        <v>3115110.531557953</v>
      </c>
      <c r="E413" s="103">
        <f t="shared" ref="E413:BJ413" si="231">E404-E406-E407-E412</f>
        <v>3115110.531557953</v>
      </c>
      <c r="F413" s="103">
        <f t="shared" si="231"/>
        <v>3115110.531557953</v>
      </c>
      <c r="G413" s="103">
        <f t="shared" si="231"/>
        <v>3115110.531557953</v>
      </c>
      <c r="H413" s="103">
        <f t="shared" si="231"/>
        <v>38071538.499647297</v>
      </c>
      <c r="I413" s="103">
        <f t="shared" si="231"/>
        <v>76143076.999294594</v>
      </c>
      <c r="J413" s="103">
        <f t="shared" si="231"/>
        <v>114214615.4989419</v>
      </c>
      <c r="K413" s="103">
        <f t="shared" si="231"/>
        <v>152286153.99858919</v>
      </c>
      <c r="L413" s="103">
        <f t="shared" si="231"/>
        <v>241107529.67052859</v>
      </c>
      <c r="M413" s="103">
        <f t="shared" si="231"/>
        <v>241107529.67052859</v>
      </c>
      <c r="N413" s="103">
        <f t="shared" si="231"/>
        <v>241107529.67052859</v>
      </c>
      <c r="O413" s="103">
        <f t="shared" si="231"/>
        <v>241107529.67052859</v>
      </c>
      <c r="P413" s="103">
        <f t="shared" si="231"/>
        <v>241107529.67052859</v>
      </c>
      <c r="Q413" s="103">
        <f t="shared" si="231"/>
        <v>241107529.67052859</v>
      </c>
      <c r="R413" s="103">
        <f t="shared" si="231"/>
        <v>241107529.67052859</v>
      </c>
      <c r="S413" s="103">
        <f t="shared" si="231"/>
        <v>241107529.67052859</v>
      </c>
      <c r="T413" s="103">
        <f t="shared" si="231"/>
        <v>241107529.67052859</v>
      </c>
      <c r="U413" s="103">
        <f t="shared" si="231"/>
        <v>152286153.99858919</v>
      </c>
      <c r="V413" s="103">
        <f t="shared" si="231"/>
        <v>114214615.4989419</v>
      </c>
      <c r="W413" s="103">
        <f t="shared" si="231"/>
        <v>76143076.999294594</v>
      </c>
      <c r="X413" s="103">
        <f t="shared" si="231"/>
        <v>38071538.499647297</v>
      </c>
      <c r="Y413" s="103">
        <f t="shared" si="231"/>
        <v>0</v>
      </c>
      <c r="Z413" s="103">
        <f t="shared" si="231"/>
        <v>0</v>
      </c>
      <c r="AA413" s="103">
        <f t="shared" si="231"/>
        <v>0</v>
      </c>
      <c r="AB413" s="103">
        <f t="shared" si="231"/>
        <v>0</v>
      </c>
      <c r="AC413" s="103">
        <f t="shared" si="231"/>
        <v>0</v>
      </c>
      <c r="AD413" s="103">
        <f t="shared" si="231"/>
        <v>0</v>
      </c>
      <c r="AE413" s="103">
        <f t="shared" si="231"/>
        <v>0</v>
      </c>
      <c r="AF413" s="103">
        <f t="shared" si="231"/>
        <v>0</v>
      </c>
      <c r="AG413" s="103">
        <f t="shared" si="231"/>
        <v>0</v>
      </c>
      <c r="AH413" s="103">
        <f t="shared" si="231"/>
        <v>0</v>
      </c>
      <c r="AI413" s="103">
        <f t="shared" si="231"/>
        <v>0</v>
      </c>
      <c r="AJ413" s="103">
        <f t="shared" si="231"/>
        <v>0</v>
      </c>
      <c r="AK413" s="103">
        <f t="shared" si="231"/>
        <v>0</v>
      </c>
      <c r="AL413" s="103">
        <f t="shared" si="231"/>
        <v>0</v>
      </c>
      <c r="AM413" s="103">
        <f t="shared" si="231"/>
        <v>0</v>
      </c>
      <c r="AN413" s="103">
        <f t="shared" si="231"/>
        <v>0</v>
      </c>
      <c r="AO413" s="103">
        <f t="shared" si="231"/>
        <v>0</v>
      </c>
      <c r="AP413" s="103">
        <f t="shared" si="231"/>
        <v>0</v>
      </c>
      <c r="AQ413" s="103">
        <f t="shared" si="231"/>
        <v>0</v>
      </c>
      <c r="AR413" s="103">
        <f t="shared" si="231"/>
        <v>0</v>
      </c>
      <c r="AS413" s="103">
        <f t="shared" si="231"/>
        <v>0</v>
      </c>
      <c r="AT413" s="103">
        <f t="shared" si="231"/>
        <v>0</v>
      </c>
      <c r="AU413" s="103">
        <f t="shared" si="231"/>
        <v>0</v>
      </c>
      <c r="AV413" s="103">
        <f t="shared" si="231"/>
        <v>0</v>
      </c>
      <c r="AW413" s="103">
        <f t="shared" si="231"/>
        <v>0</v>
      </c>
      <c r="AX413" s="103">
        <f t="shared" si="231"/>
        <v>0</v>
      </c>
      <c r="AY413" s="103">
        <f t="shared" si="231"/>
        <v>0</v>
      </c>
      <c r="AZ413" s="103">
        <f t="shared" si="231"/>
        <v>0</v>
      </c>
      <c r="BA413" s="103">
        <f t="shared" si="231"/>
        <v>0</v>
      </c>
      <c r="BB413" s="103">
        <f t="shared" si="231"/>
        <v>0</v>
      </c>
      <c r="BC413" s="103">
        <f t="shared" si="231"/>
        <v>0</v>
      </c>
      <c r="BD413" s="103">
        <f t="shared" si="231"/>
        <v>0</v>
      </c>
      <c r="BE413" s="103">
        <f t="shared" si="231"/>
        <v>0</v>
      </c>
      <c r="BF413" s="103">
        <f t="shared" si="231"/>
        <v>0</v>
      </c>
      <c r="BG413" s="103">
        <f t="shared" si="231"/>
        <v>0</v>
      </c>
      <c r="BH413" s="103">
        <f t="shared" si="231"/>
        <v>0</v>
      </c>
      <c r="BI413" s="103">
        <f t="shared" si="231"/>
        <v>0</v>
      </c>
      <c r="BJ413" s="104">
        <f t="shared" si="231"/>
        <v>0</v>
      </c>
      <c r="BK413" s="109"/>
      <c r="BL413" s="109"/>
    </row>
    <row r="414" spans="1:67" s="116" customFormat="1">
      <c r="A414" s="136" t="s">
        <v>125</v>
      </c>
      <c r="B414" s="137">
        <f t="shared" ref="B414:G414" si="232">SUM(B415:B418)</f>
        <v>311516686.22081649</v>
      </c>
      <c r="C414" s="113">
        <f t="shared" si="232"/>
        <v>37143872.910654917</v>
      </c>
      <c r="D414" s="114">
        <f t="shared" si="232"/>
        <v>40071899.599360682</v>
      </c>
      <c r="E414" s="114">
        <f t="shared" si="232"/>
        <v>78100304.570266962</v>
      </c>
      <c r="F414" s="114">
        <f t="shared" si="232"/>
        <v>78100304.570266962</v>
      </c>
      <c r="G414" s="114">
        <f t="shared" si="232"/>
        <v>78100304.570266962</v>
      </c>
      <c r="H414" s="114"/>
      <c r="I414" s="114"/>
      <c r="J414" s="114"/>
      <c r="K414" s="114"/>
      <c r="L414" s="114"/>
      <c r="M414" s="114"/>
      <c r="N414" s="114"/>
      <c r="O414" s="114"/>
      <c r="P414" s="114"/>
      <c r="Q414" s="114"/>
      <c r="R414" s="114"/>
      <c r="S414" s="114"/>
      <c r="T414" s="114"/>
      <c r="U414" s="114"/>
      <c r="V414" s="114"/>
      <c r="W414" s="114"/>
      <c r="X414" s="114"/>
      <c r="Y414" s="114"/>
      <c r="Z414" s="114"/>
      <c r="AA414" s="114"/>
      <c r="AB414" s="114"/>
      <c r="AC414" s="114"/>
      <c r="AD414" s="114"/>
      <c r="AE414" s="114"/>
      <c r="AF414" s="114"/>
      <c r="AG414" s="114"/>
      <c r="AH414" s="114"/>
      <c r="AI414" s="114"/>
      <c r="AJ414" s="114"/>
      <c r="AK414" s="114"/>
      <c r="AL414" s="114"/>
      <c r="AM414" s="114"/>
      <c r="AN414" s="114"/>
      <c r="AO414" s="114"/>
      <c r="AP414" s="114"/>
      <c r="AQ414" s="114"/>
      <c r="AR414" s="114"/>
      <c r="AS414" s="114"/>
      <c r="AT414" s="114"/>
      <c r="AU414" s="114"/>
      <c r="AV414" s="114"/>
      <c r="AW414" s="114"/>
      <c r="AX414" s="114"/>
      <c r="AY414" s="114"/>
      <c r="AZ414" s="114"/>
      <c r="BA414" s="114"/>
      <c r="BB414" s="114"/>
      <c r="BC414" s="114"/>
      <c r="BD414" s="114"/>
      <c r="BE414" s="114"/>
      <c r="BF414" s="114"/>
      <c r="BG414" s="114"/>
      <c r="BH414" s="114"/>
      <c r="BI414" s="114"/>
      <c r="BJ414" s="115"/>
    </row>
    <row r="415" spans="1:67" s="143" customFormat="1" ht="12.75">
      <c r="A415" s="138" t="s">
        <v>126</v>
      </c>
      <c r="B415" s="139">
        <f>SUM(C415:BJ415)</f>
        <v>15653375.044953413</v>
      </c>
      <c r="C415" s="140"/>
      <c r="D415" s="141"/>
      <c r="E415" s="226">
        <v>5217791.6816511378</v>
      </c>
      <c r="F415" s="141">
        <f t="shared" ref="F415:G417" si="233">E415</f>
        <v>5217791.6816511378</v>
      </c>
      <c r="G415" s="141">
        <f t="shared" si="233"/>
        <v>5217791.6816511378</v>
      </c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  <c r="AH415" s="141"/>
      <c r="AI415" s="141"/>
      <c r="AJ415" s="141"/>
      <c r="AK415" s="141"/>
      <c r="AL415" s="141"/>
      <c r="AM415" s="141"/>
      <c r="AN415" s="141"/>
      <c r="AO415" s="141"/>
      <c r="AP415" s="141"/>
      <c r="AQ415" s="141"/>
      <c r="AR415" s="141"/>
      <c r="AS415" s="141"/>
      <c r="AT415" s="141"/>
      <c r="AU415" s="141"/>
      <c r="AV415" s="141"/>
      <c r="AW415" s="141"/>
      <c r="AX415" s="141"/>
      <c r="AY415" s="141"/>
      <c r="AZ415" s="141"/>
      <c r="BA415" s="141"/>
      <c r="BB415" s="141"/>
      <c r="BC415" s="141"/>
      <c r="BD415" s="141"/>
      <c r="BE415" s="141"/>
      <c r="BF415" s="141"/>
      <c r="BG415" s="141"/>
      <c r="BH415" s="141"/>
      <c r="BI415" s="141"/>
      <c r="BJ415" s="142"/>
      <c r="BK415" s="141"/>
      <c r="BL415" s="141"/>
    </row>
    <row r="416" spans="1:67" s="143" customFormat="1" ht="12.75">
      <c r="A416" s="138" t="s">
        <v>127</v>
      </c>
      <c r="B416" s="139">
        <f>SUM(C416:BJ416)</f>
        <v>116000000</v>
      </c>
      <c r="C416" s="140"/>
      <c r="D416" s="141"/>
      <c r="E416" s="141">
        <v>38666666.666666664</v>
      </c>
      <c r="F416" s="141">
        <f t="shared" si="233"/>
        <v>38666666.666666664</v>
      </c>
      <c r="G416" s="141">
        <f t="shared" si="233"/>
        <v>38666666.666666664</v>
      </c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  <c r="AH416" s="141"/>
      <c r="AI416" s="141"/>
      <c r="AJ416" s="141"/>
      <c r="AK416" s="141"/>
      <c r="AL416" s="141"/>
      <c r="AM416" s="141"/>
      <c r="AN416" s="141"/>
      <c r="AO416" s="141"/>
      <c r="AP416" s="141"/>
      <c r="AQ416" s="141"/>
      <c r="AR416" s="141"/>
      <c r="AS416" s="141"/>
      <c r="AT416" s="141"/>
      <c r="AU416" s="141"/>
      <c r="AV416" s="141"/>
      <c r="AW416" s="141"/>
      <c r="AX416" s="141"/>
      <c r="AY416" s="141"/>
      <c r="AZ416" s="141"/>
      <c r="BA416" s="141"/>
      <c r="BB416" s="141"/>
      <c r="BC416" s="141"/>
      <c r="BD416" s="141"/>
      <c r="BE416" s="141"/>
      <c r="BF416" s="141"/>
      <c r="BG416" s="141"/>
      <c r="BH416" s="141"/>
      <c r="BI416" s="141"/>
      <c r="BJ416" s="142"/>
      <c r="BK416" s="141"/>
      <c r="BL416" s="141"/>
    </row>
    <row r="417" spans="1:64" s="143" customFormat="1" ht="12.75">
      <c r="A417" s="138" t="s">
        <v>128</v>
      </c>
      <c r="B417" s="139">
        <f>SUM(C417:BJ417)</f>
        <v>171079231.10974577</v>
      </c>
      <c r="C417" s="140">
        <v>34215846.221949153</v>
      </c>
      <c r="D417" s="141">
        <f>C417</f>
        <v>34215846.221949153</v>
      </c>
      <c r="E417" s="141">
        <f>D417</f>
        <v>34215846.221949153</v>
      </c>
      <c r="F417" s="141">
        <f t="shared" si="233"/>
        <v>34215846.221949153</v>
      </c>
      <c r="G417" s="141">
        <f t="shared" si="233"/>
        <v>34215846.221949153</v>
      </c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  <c r="AH417" s="141"/>
      <c r="AI417" s="141"/>
      <c r="AJ417" s="141"/>
      <c r="AK417" s="141"/>
      <c r="AL417" s="141"/>
      <c r="AM417" s="141"/>
      <c r="AN417" s="141"/>
      <c r="AO417" s="141"/>
      <c r="AP417" s="141"/>
      <c r="AQ417" s="141"/>
      <c r="AR417" s="141"/>
      <c r="AS417" s="141"/>
      <c r="AT417" s="141"/>
      <c r="AU417" s="141"/>
      <c r="AV417" s="141"/>
      <c r="AW417" s="141"/>
      <c r="AX417" s="141"/>
      <c r="AY417" s="141"/>
      <c r="AZ417" s="141"/>
      <c r="BA417" s="141"/>
      <c r="BB417" s="141"/>
      <c r="BC417" s="141"/>
      <c r="BD417" s="141"/>
      <c r="BE417" s="141"/>
      <c r="BF417" s="141"/>
      <c r="BG417" s="141"/>
      <c r="BH417" s="141"/>
      <c r="BI417" s="141"/>
      <c r="BJ417" s="142"/>
      <c r="BK417" s="141"/>
      <c r="BL417" s="141"/>
    </row>
    <row r="418" spans="1:64" s="143" customFormat="1" ht="12.75">
      <c r="A418" s="138" t="s">
        <v>129</v>
      </c>
      <c r="B418" s="139">
        <f>SUM(C418:BJ418)</f>
        <v>8784080.0661172904</v>
      </c>
      <c r="C418" s="140">
        <v>2928026.6887057633</v>
      </c>
      <c r="D418" s="141">
        <v>5856053.3774115266</v>
      </c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  <c r="AH418" s="141"/>
      <c r="AI418" s="141"/>
      <c r="AJ418" s="141"/>
      <c r="AK418" s="141"/>
      <c r="AL418" s="141"/>
      <c r="AM418" s="141"/>
      <c r="AN418" s="141"/>
      <c r="AO418" s="141"/>
      <c r="AP418" s="141"/>
      <c r="AQ418" s="141"/>
      <c r="AR418" s="141"/>
      <c r="AS418" s="141"/>
      <c r="AT418" s="141"/>
      <c r="AU418" s="141"/>
      <c r="AV418" s="141"/>
      <c r="AW418" s="141"/>
      <c r="AX418" s="141"/>
      <c r="AY418" s="141"/>
      <c r="AZ418" s="141"/>
      <c r="BA418" s="141"/>
      <c r="BB418" s="141"/>
      <c r="BC418" s="141"/>
      <c r="BD418" s="141"/>
      <c r="BE418" s="141"/>
      <c r="BF418" s="141"/>
      <c r="BG418" s="141"/>
      <c r="BH418" s="141"/>
      <c r="BI418" s="141"/>
      <c r="BJ418" s="142"/>
      <c r="BK418" s="141"/>
      <c r="BL418" s="141"/>
    </row>
    <row r="419" spans="1:64" s="116" customFormat="1">
      <c r="A419" s="111" t="s">
        <v>130</v>
      </c>
      <c r="B419" s="137">
        <f>SUM(B420:B423)</f>
        <v>311516686.22081649</v>
      </c>
      <c r="C419" s="117">
        <f>SUM(C420:C423)</f>
        <v>1238129.0970218307</v>
      </c>
      <c r="D419" s="118">
        <f>SUM(D420:D423)</f>
        <v>2573859.0836671866</v>
      </c>
      <c r="E419" s="118">
        <f t="shared" ref="E419:BJ419" si="234">SUM(E420:E423)</f>
        <v>5177202.569342752</v>
      </c>
      <c r="F419" s="118">
        <f t="shared" si="234"/>
        <v>7780546.0550183179</v>
      </c>
      <c r="G419" s="118">
        <f t="shared" si="234"/>
        <v>10383889.540693881</v>
      </c>
      <c r="H419" s="118">
        <f t="shared" si="234"/>
        <v>10383889.540693881</v>
      </c>
      <c r="I419" s="118">
        <f t="shared" si="234"/>
        <v>10383889.540693881</v>
      </c>
      <c r="J419" s="118">
        <f t="shared" si="234"/>
        <v>10383889.540693881</v>
      </c>
      <c r="K419" s="118">
        <f t="shared" si="234"/>
        <v>10383889.540693881</v>
      </c>
      <c r="L419" s="118">
        <f t="shared" si="234"/>
        <v>10383889.540693881</v>
      </c>
      <c r="M419" s="118">
        <f t="shared" si="234"/>
        <v>10383889.540693881</v>
      </c>
      <c r="N419" s="118">
        <f t="shared" si="234"/>
        <v>10383889.540693881</v>
      </c>
      <c r="O419" s="118">
        <f t="shared" si="234"/>
        <v>10383889.540693881</v>
      </c>
      <c r="P419" s="118">
        <f t="shared" si="234"/>
        <v>10383889.540693881</v>
      </c>
      <c r="Q419" s="118">
        <f t="shared" si="234"/>
        <v>10383889.540693881</v>
      </c>
      <c r="R419" s="118">
        <f t="shared" si="234"/>
        <v>10383889.540693881</v>
      </c>
      <c r="S419" s="118">
        <f t="shared" si="234"/>
        <v>10383889.540693881</v>
      </c>
      <c r="T419" s="118">
        <f t="shared" si="234"/>
        <v>10383889.540693881</v>
      </c>
      <c r="U419" s="118">
        <f t="shared" si="234"/>
        <v>10383889.540693881</v>
      </c>
      <c r="V419" s="118">
        <f t="shared" si="234"/>
        <v>10383889.540693881</v>
      </c>
      <c r="W419" s="118">
        <f t="shared" si="234"/>
        <v>10383889.540693881</v>
      </c>
      <c r="X419" s="118">
        <f t="shared" si="234"/>
        <v>10383889.540693881</v>
      </c>
      <c r="Y419" s="118">
        <f t="shared" si="234"/>
        <v>10383889.540693881</v>
      </c>
      <c r="Z419" s="118">
        <f t="shared" si="234"/>
        <v>10383889.540693881</v>
      </c>
      <c r="AA419" s="118">
        <f t="shared" si="234"/>
        <v>10383889.540693881</v>
      </c>
      <c r="AB419" s="118">
        <f t="shared" si="234"/>
        <v>10383889.540693881</v>
      </c>
      <c r="AC419" s="118">
        <f t="shared" si="234"/>
        <v>10383889.540693881</v>
      </c>
      <c r="AD419" s="118">
        <f t="shared" si="234"/>
        <v>10383889.540693881</v>
      </c>
      <c r="AE419" s="118">
        <f t="shared" si="234"/>
        <v>10383889.540693881</v>
      </c>
      <c r="AF419" s="118">
        <f t="shared" si="234"/>
        <v>10383889.540693881</v>
      </c>
      <c r="AG419" s="118">
        <f t="shared" si="234"/>
        <v>9145760.4436720517</v>
      </c>
      <c r="AH419" s="118">
        <f t="shared" si="234"/>
        <v>7810030.4570266958</v>
      </c>
      <c r="AI419" s="118">
        <f t="shared" si="234"/>
        <v>5206686.9713511299</v>
      </c>
      <c r="AJ419" s="118">
        <f t="shared" si="234"/>
        <v>2603343.485675565</v>
      </c>
      <c r="AK419" s="118">
        <f t="shared" si="234"/>
        <v>0</v>
      </c>
      <c r="AL419" s="118">
        <f t="shared" si="234"/>
        <v>0</v>
      </c>
      <c r="AM419" s="118">
        <f t="shared" si="234"/>
        <v>0</v>
      </c>
      <c r="AN419" s="118">
        <f t="shared" si="234"/>
        <v>0</v>
      </c>
      <c r="AO419" s="118">
        <f t="shared" si="234"/>
        <v>0</v>
      </c>
      <c r="AP419" s="118">
        <f t="shared" si="234"/>
        <v>0</v>
      </c>
      <c r="AQ419" s="118">
        <f t="shared" si="234"/>
        <v>0</v>
      </c>
      <c r="AR419" s="118">
        <f t="shared" si="234"/>
        <v>0</v>
      </c>
      <c r="AS419" s="118">
        <f t="shared" si="234"/>
        <v>0</v>
      </c>
      <c r="AT419" s="118">
        <f t="shared" si="234"/>
        <v>0</v>
      </c>
      <c r="AU419" s="118">
        <f t="shared" si="234"/>
        <v>0</v>
      </c>
      <c r="AV419" s="118">
        <f t="shared" si="234"/>
        <v>0</v>
      </c>
      <c r="AW419" s="118">
        <f t="shared" si="234"/>
        <v>0</v>
      </c>
      <c r="AX419" s="118">
        <f t="shared" si="234"/>
        <v>0</v>
      </c>
      <c r="AY419" s="118">
        <f t="shared" si="234"/>
        <v>0</v>
      </c>
      <c r="AZ419" s="118">
        <f t="shared" si="234"/>
        <v>0</v>
      </c>
      <c r="BA419" s="118">
        <f t="shared" si="234"/>
        <v>0</v>
      </c>
      <c r="BB419" s="118">
        <f t="shared" si="234"/>
        <v>0</v>
      </c>
      <c r="BC419" s="118">
        <f t="shared" si="234"/>
        <v>0</v>
      </c>
      <c r="BD419" s="118">
        <f t="shared" si="234"/>
        <v>0</v>
      </c>
      <c r="BE419" s="118">
        <f t="shared" si="234"/>
        <v>0</v>
      </c>
      <c r="BF419" s="118">
        <f t="shared" si="234"/>
        <v>0</v>
      </c>
      <c r="BG419" s="118">
        <f t="shared" si="234"/>
        <v>0</v>
      </c>
      <c r="BH419" s="118">
        <f t="shared" si="234"/>
        <v>0</v>
      </c>
      <c r="BI419" s="118">
        <f t="shared" si="234"/>
        <v>0</v>
      </c>
      <c r="BJ419" s="119">
        <f t="shared" si="234"/>
        <v>0</v>
      </c>
      <c r="BK419" s="118"/>
      <c r="BL419" s="118"/>
    </row>
    <row r="420" spans="1:64" s="143" customFormat="1" ht="12.75">
      <c r="A420" s="138" t="s">
        <v>126</v>
      </c>
      <c r="B420" s="139">
        <f>SUM(C420:BJ420)</f>
        <v>15653375.044953413</v>
      </c>
      <c r="C420" s="140"/>
      <c r="D420" s="141"/>
      <c r="E420" s="226">
        <f>$C415/$O401+$D415/$O401+$E415/$O401</f>
        <v>173926.38938837126</v>
      </c>
      <c r="F420" s="141">
        <f>$C415/$O401+$D415/$O401+$E415/$O401+$F415/$O401</f>
        <v>347852.77877674252</v>
      </c>
      <c r="G420" s="141">
        <f>$C415/$O401+$D415/$O401+$E415/$O401+$F415/$O401+$G415/$O401</f>
        <v>521779.16816511378</v>
      </c>
      <c r="H420" s="141">
        <f t="shared" ref="H420:AH423" si="235">G420</f>
        <v>521779.16816511378</v>
      </c>
      <c r="I420" s="141">
        <f t="shared" si="235"/>
        <v>521779.16816511378</v>
      </c>
      <c r="J420" s="141">
        <f t="shared" si="235"/>
        <v>521779.16816511378</v>
      </c>
      <c r="K420" s="141">
        <f t="shared" si="235"/>
        <v>521779.16816511378</v>
      </c>
      <c r="L420" s="141">
        <f t="shared" si="235"/>
        <v>521779.16816511378</v>
      </c>
      <c r="M420" s="141">
        <f t="shared" si="235"/>
        <v>521779.16816511378</v>
      </c>
      <c r="N420" s="141">
        <f t="shared" si="235"/>
        <v>521779.16816511378</v>
      </c>
      <c r="O420" s="141">
        <f t="shared" si="235"/>
        <v>521779.16816511378</v>
      </c>
      <c r="P420" s="141">
        <f t="shared" si="235"/>
        <v>521779.16816511378</v>
      </c>
      <c r="Q420" s="141">
        <f t="shared" si="235"/>
        <v>521779.16816511378</v>
      </c>
      <c r="R420" s="141">
        <f t="shared" si="235"/>
        <v>521779.16816511378</v>
      </c>
      <c r="S420" s="141">
        <f t="shared" si="235"/>
        <v>521779.16816511378</v>
      </c>
      <c r="T420" s="141">
        <f t="shared" si="235"/>
        <v>521779.16816511378</v>
      </c>
      <c r="U420" s="141">
        <f t="shared" si="235"/>
        <v>521779.16816511378</v>
      </c>
      <c r="V420" s="141">
        <f t="shared" si="235"/>
        <v>521779.16816511378</v>
      </c>
      <c r="W420" s="141">
        <f t="shared" si="235"/>
        <v>521779.16816511378</v>
      </c>
      <c r="X420" s="141">
        <f t="shared" si="235"/>
        <v>521779.16816511378</v>
      </c>
      <c r="Y420" s="141">
        <f t="shared" si="235"/>
        <v>521779.16816511378</v>
      </c>
      <c r="Z420" s="141">
        <f t="shared" si="235"/>
        <v>521779.16816511378</v>
      </c>
      <c r="AA420" s="141">
        <f t="shared" si="235"/>
        <v>521779.16816511378</v>
      </c>
      <c r="AB420" s="141">
        <f t="shared" si="235"/>
        <v>521779.16816511378</v>
      </c>
      <c r="AC420" s="141">
        <f t="shared" si="235"/>
        <v>521779.16816511378</v>
      </c>
      <c r="AD420" s="141">
        <f t="shared" si="235"/>
        <v>521779.16816511378</v>
      </c>
      <c r="AE420" s="141">
        <f t="shared" si="235"/>
        <v>521779.16816511378</v>
      </c>
      <c r="AF420" s="141">
        <f t="shared" si="235"/>
        <v>521779.16816511378</v>
      </c>
      <c r="AG420" s="141">
        <f t="shared" si="235"/>
        <v>521779.16816511378</v>
      </c>
      <c r="AH420" s="141">
        <f t="shared" si="235"/>
        <v>521779.16816511378</v>
      </c>
      <c r="AI420" s="141">
        <f>F420</f>
        <v>347852.77877674252</v>
      </c>
      <c r="AJ420" s="141">
        <f>E420</f>
        <v>173926.38938837126</v>
      </c>
      <c r="AK420" s="141"/>
      <c r="AL420" s="141"/>
      <c r="AM420" s="141"/>
      <c r="AN420" s="141"/>
      <c r="AO420" s="141"/>
      <c r="AP420" s="141"/>
      <c r="AQ420" s="141"/>
      <c r="AR420" s="141"/>
      <c r="AS420" s="141"/>
      <c r="AT420" s="141"/>
      <c r="AU420" s="141"/>
      <c r="AV420" s="141"/>
      <c r="AW420" s="141"/>
      <c r="AX420" s="141"/>
      <c r="AY420" s="141"/>
      <c r="AZ420" s="141"/>
      <c r="BA420" s="141"/>
      <c r="BB420" s="141"/>
      <c r="BC420" s="141"/>
      <c r="BD420" s="141"/>
      <c r="BE420" s="141"/>
      <c r="BF420" s="141"/>
      <c r="BG420" s="141"/>
      <c r="BH420" s="141"/>
      <c r="BI420" s="141"/>
      <c r="BJ420" s="142"/>
      <c r="BK420" s="141"/>
      <c r="BL420" s="141"/>
    </row>
    <row r="421" spans="1:64" s="143" customFormat="1" ht="12.75">
      <c r="A421" s="138" t="s">
        <v>127</v>
      </c>
      <c r="B421" s="139">
        <f>SUM(C421:BJ421)</f>
        <v>116000000.00000003</v>
      </c>
      <c r="C421" s="140"/>
      <c r="D421" s="141"/>
      <c r="E421" s="226">
        <f>$C416/$O401+$D416/$O401+$E416/$O401</f>
        <v>1288888.8888888888</v>
      </c>
      <c r="F421" s="141">
        <f>$C416/$O401+$D416/$O401+$E416/$O401+$F416/$O401</f>
        <v>2577777.7777777775</v>
      </c>
      <c r="G421" s="141">
        <f>$C416/$O401+$D416/$O401+$E416/$O401+$F416/$O401+$G416/$O401</f>
        <v>3866666.666666666</v>
      </c>
      <c r="H421" s="141">
        <f t="shared" si="235"/>
        <v>3866666.666666666</v>
      </c>
      <c r="I421" s="141">
        <f t="shared" si="235"/>
        <v>3866666.666666666</v>
      </c>
      <c r="J421" s="141">
        <f t="shared" si="235"/>
        <v>3866666.666666666</v>
      </c>
      <c r="K421" s="141">
        <f t="shared" si="235"/>
        <v>3866666.666666666</v>
      </c>
      <c r="L421" s="141">
        <f t="shared" si="235"/>
        <v>3866666.666666666</v>
      </c>
      <c r="M421" s="141">
        <f t="shared" si="235"/>
        <v>3866666.666666666</v>
      </c>
      <c r="N421" s="141">
        <f t="shared" si="235"/>
        <v>3866666.666666666</v>
      </c>
      <c r="O421" s="141">
        <f t="shared" si="235"/>
        <v>3866666.666666666</v>
      </c>
      <c r="P421" s="141">
        <f t="shared" si="235"/>
        <v>3866666.666666666</v>
      </c>
      <c r="Q421" s="141">
        <f t="shared" si="235"/>
        <v>3866666.666666666</v>
      </c>
      <c r="R421" s="141">
        <f t="shared" si="235"/>
        <v>3866666.666666666</v>
      </c>
      <c r="S421" s="141">
        <f t="shared" si="235"/>
        <v>3866666.666666666</v>
      </c>
      <c r="T421" s="141">
        <f t="shared" si="235"/>
        <v>3866666.666666666</v>
      </c>
      <c r="U421" s="141">
        <f t="shared" si="235"/>
        <v>3866666.666666666</v>
      </c>
      <c r="V421" s="141">
        <f t="shared" si="235"/>
        <v>3866666.666666666</v>
      </c>
      <c r="W421" s="141">
        <f t="shared" si="235"/>
        <v>3866666.666666666</v>
      </c>
      <c r="X421" s="141">
        <f t="shared" si="235"/>
        <v>3866666.666666666</v>
      </c>
      <c r="Y421" s="141">
        <f t="shared" si="235"/>
        <v>3866666.666666666</v>
      </c>
      <c r="Z421" s="141">
        <f t="shared" si="235"/>
        <v>3866666.666666666</v>
      </c>
      <c r="AA421" s="141">
        <f t="shared" si="235"/>
        <v>3866666.666666666</v>
      </c>
      <c r="AB421" s="141">
        <f t="shared" si="235"/>
        <v>3866666.666666666</v>
      </c>
      <c r="AC421" s="141">
        <f t="shared" si="235"/>
        <v>3866666.666666666</v>
      </c>
      <c r="AD421" s="141">
        <f t="shared" si="235"/>
        <v>3866666.666666666</v>
      </c>
      <c r="AE421" s="141">
        <f t="shared" si="235"/>
        <v>3866666.666666666</v>
      </c>
      <c r="AF421" s="141">
        <f t="shared" si="235"/>
        <v>3866666.666666666</v>
      </c>
      <c r="AG421" s="141">
        <f t="shared" si="235"/>
        <v>3866666.666666666</v>
      </c>
      <c r="AH421" s="141">
        <f t="shared" si="235"/>
        <v>3866666.666666666</v>
      </c>
      <c r="AI421" s="141">
        <f>F421</f>
        <v>2577777.7777777775</v>
      </c>
      <c r="AJ421" s="141">
        <f>E421</f>
        <v>1288888.8888888888</v>
      </c>
      <c r="AK421" s="141"/>
      <c r="AL421" s="141"/>
      <c r="AM421" s="141"/>
      <c r="AN421" s="141"/>
      <c r="AO421" s="141"/>
      <c r="AP421" s="141"/>
      <c r="AQ421" s="141"/>
      <c r="AR421" s="141"/>
      <c r="AS421" s="141"/>
      <c r="AT421" s="141"/>
      <c r="AU421" s="141"/>
      <c r="AV421" s="141"/>
      <c r="AW421" s="141"/>
      <c r="AX421" s="141"/>
      <c r="AY421" s="141"/>
      <c r="AZ421" s="141"/>
      <c r="BA421" s="141"/>
      <c r="BB421" s="141"/>
      <c r="BC421" s="141"/>
      <c r="BD421" s="141"/>
      <c r="BE421" s="141"/>
      <c r="BF421" s="141"/>
      <c r="BG421" s="141"/>
      <c r="BH421" s="141"/>
      <c r="BI421" s="141"/>
      <c r="BJ421" s="142"/>
      <c r="BK421" s="141"/>
      <c r="BL421" s="141"/>
    </row>
    <row r="422" spans="1:64" s="143" customFormat="1" ht="12.75">
      <c r="A422" s="138" t="s">
        <v>128</v>
      </c>
      <c r="B422" s="139">
        <f>SUM(C422:BJ422)</f>
        <v>171079231.10974574</v>
      </c>
      <c r="C422" s="227">
        <f>$C417/$O401</f>
        <v>1140528.2073983052</v>
      </c>
      <c r="D422" s="141">
        <f>$C417/$O401+$D417/$O401</f>
        <v>2281056.4147966104</v>
      </c>
      <c r="E422" s="141">
        <f>$C417/$O401+$D417/$O401+$E417/$O401</f>
        <v>3421584.6221949155</v>
      </c>
      <c r="F422" s="141">
        <f>$C417/$O401+$D417/$O401+$E417/$O401+$F417/$O401</f>
        <v>4562112.8295932207</v>
      </c>
      <c r="G422" s="141">
        <f>$C417/$O401+$D417/$O401+$E417/$O401+$F417/$O401+$G417/$O401</f>
        <v>5702641.0369915254</v>
      </c>
      <c r="H422" s="141">
        <f t="shared" si="235"/>
        <v>5702641.0369915254</v>
      </c>
      <c r="I422" s="141">
        <f t="shared" si="235"/>
        <v>5702641.0369915254</v>
      </c>
      <c r="J422" s="141">
        <f t="shared" si="235"/>
        <v>5702641.0369915254</v>
      </c>
      <c r="K422" s="141">
        <f t="shared" si="235"/>
        <v>5702641.0369915254</v>
      </c>
      <c r="L422" s="141">
        <f t="shared" si="235"/>
        <v>5702641.0369915254</v>
      </c>
      <c r="M422" s="141">
        <f t="shared" si="235"/>
        <v>5702641.0369915254</v>
      </c>
      <c r="N422" s="141">
        <f t="shared" si="235"/>
        <v>5702641.0369915254</v>
      </c>
      <c r="O422" s="141">
        <f t="shared" si="235"/>
        <v>5702641.0369915254</v>
      </c>
      <c r="P422" s="141">
        <f t="shared" si="235"/>
        <v>5702641.0369915254</v>
      </c>
      <c r="Q422" s="141">
        <f t="shared" si="235"/>
        <v>5702641.0369915254</v>
      </c>
      <c r="R422" s="141">
        <f t="shared" si="235"/>
        <v>5702641.0369915254</v>
      </c>
      <c r="S422" s="141">
        <f t="shared" si="235"/>
        <v>5702641.0369915254</v>
      </c>
      <c r="T422" s="141">
        <f t="shared" si="235"/>
        <v>5702641.0369915254</v>
      </c>
      <c r="U422" s="141">
        <f t="shared" si="235"/>
        <v>5702641.0369915254</v>
      </c>
      <c r="V422" s="141">
        <f t="shared" si="235"/>
        <v>5702641.0369915254</v>
      </c>
      <c r="W422" s="141">
        <f t="shared" si="235"/>
        <v>5702641.0369915254</v>
      </c>
      <c r="X422" s="141">
        <f t="shared" si="235"/>
        <v>5702641.0369915254</v>
      </c>
      <c r="Y422" s="141">
        <f t="shared" si="235"/>
        <v>5702641.0369915254</v>
      </c>
      <c r="Z422" s="141">
        <f t="shared" si="235"/>
        <v>5702641.0369915254</v>
      </c>
      <c r="AA422" s="141">
        <f t="shared" si="235"/>
        <v>5702641.0369915254</v>
      </c>
      <c r="AB422" s="141">
        <f t="shared" si="235"/>
        <v>5702641.0369915254</v>
      </c>
      <c r="AC422" s="141">
        <f t="shared" si="235"/>
        <v>5702641.0369915254</v>
      </c>
      <c r="AD422" s="141">
        <f t="shared" si="235"/>
        <v>5702641.0369915254</v>
      </c>
      <c r="AE422" s="141">
        <f t="shared" si="235"/>
        <v>5702641.0369915254</v>
      </c>
      <c r="AF422" s="141">
        <f t="shared" si="235"/>
        <v>5702641.0369915254</v>
      </c>
      <c r="AG422" s="141">
        <f>F422</f>
        <v>4562112.8295932207</v>
      </c>
      <c r="AH422" s="141">
        <f>E422</f>
        <v>3421584.6221949155</v>
      </c>
      <c r="AI422" s="141">
        <f>D422</f>
        <v>2281056.4147966104</v>
      </c>
      <c r="AJ422" s="141">
        <f>C422</f>
        <v>1140528.2073983052</v>
      </c>
      <c r="AK422" s="141"/>
      <c r="AL422" s="141"/>
      <c r="AM422" s="141"/>
      <c r="AN422" s="141"/>
      <c r="AO422" s="141"/>
      <c r="AP422" s="141"/>
      <c r="AQ422" s="141"/>
      <c r="AR422" s="141"/>
      <c r="AS422" s="141"/>
      <c r="AT422" s="141"/>
      <c r="AU422" s="141"/>
      <c r="AV422" s="141"/>
      <c r="AW422" s="141"/>
      <c r="AX422" s="141"/>
      <c r="AY422" s="141"/>
      <c r="AZ422" s="141"/>
      <c r="BA422" s="141"/>
      <c r="BB422" s="141"/>
      <c r="BC422" s="141"/>
      <c r="BD422" s="141"/>
      <c r="BE422" s="141"/>
      <c r="BF422" s="141"/>
      <c r="BG422" s="141"/>
      <c r="BH422" s="141"/>
      <c r="BI422" s="141"/>
      <c r="BJ422" s="142"/>
      <c r="BK422" s="141"/>
      <c r="BL422" s="141"/>
    </row>
    <row r="423" spans="1:64" s="143" customFormat="1" ht="12.75">
      <c r="A423" s="138" t="s">
        <v>129</v>
      </c>
      <c r="B423" s="139">
        <f>SUM(C423:BJ423)</f>
        <v>8784080.0661172941</v>
      </c>
      <c r="C423" s="227">
        <f>$C418/$O401</f>
        <v>97600.889623525451</v>
      </c>
      <c r="D423" s="141">
        <f>$C418/$O401+$D418/$O401</f>
        <v>292802.66887057637</v>
      </c>
      <c r="E423" s="141">
        <f>$C418/$O401+$D418/$O401+$E418/$O401</f>
        <v>292802.66887057637</v>
      </c>
      <c r="F423" s="141">
        <f>$C418/$O401+$D418/$O401+$E418/$O401+$F418/$O401</f>
        <v>292802.66887057637</v>
      </c>
      <c r="G423" s="141">
        <f>$C418/$O401+$D418/$O401+$E418/$O401+$F418/$O401+$G418/$O401</f>
        <v>292802.66887057637</v>
      </c>
      <c r="H423" s="141">
        <f t="shared" si="235"/>
        <v>292802.66887057637</v>
      </c>
      <c r="I423" s="141">
        <f t="shared" si="235"/>
        <v>292802.66887057637</v>
      </c>
      <c r="J423" s="141">
        <f t="shared" si="235"/>
        <v>292802.66887057637</v>
      </c>
      <c r="K423" s="141">
        <f t="shared" si="235"/>
        <v>292802.66887057637</v>
      </c>
      <c r="L423" s="141">
        <f t="shared" si="235"/>
        <v>292802.66887057637</v>
      </c>
      <c r="M423" s="141">
        <f t="shared" si="235"/>
        <v>292802.66887057637</v>
      </c>
      <c r="N423" s="141">
        <f t="shared" si="235"/>
        <v>292802.66887057637</v>
      </c>
      <c r="O423" s="141">
        <f t="shared" si="235"/>
        <v>292802.66887057637</v>
      </c>
      <c r="P423" s="141">
        <f t="shared" si="235"/>
        <v>292802.66887057637</v>
      </c>
      <c r="Q423" s="141">
        <f t="shared" si="235"/>
        <v>292802.66887057637</v>
      </c>
      <c r="R423" s="141">
        <f t="shared" si="235"/>
        <v>292802.66887057637</v>
      </c>
      <c r="S423" s="141">
        <f t="shared" si="235"/>
        <v>292802.66887057637</v>
      </c>
      <c r="T423" s="141">
        <f t="shared" si="235"/>
        <v>292802.66887057637</v>
      </c>
      <c r="U423" s="141">
        <f t="shared" si="235"/>
        <v>292802.66887057637</v>
      </c>
      <c r="V423" s="141">
        <f t="shared" si="235"/>
        <v>292802.66887057637</v>
      </c>
      <c r="W423" s="141">
        <f t="shared" si="235"/>
        <v>292802.66887057637</v>
      </c>
      <c r="X423" s="141">
        <f t="shared" si="235"/>
        <v>292802.66887057637</v>
      </c>
      <c r="Y423" s="141">
        <f t="shared" si="235"/>
        <v>292802.66887057637</v>
      </c>
      <c r="Z423" s="141">
        <f t="shared" si="235"/>
        <v>292802.66887057637</v>
      </c>
      <c r="AA423" s="141">
        <f t="shared" si="235"/>
        <v>292802.66887057637</v>
      </c>
      <c r="AB423" s="141">
        <f t="shared" si="235"/>
        <v>292802.66887057637</v>
      </c>
      <c r="AC423" s="141">
        <f t="shared" si="235"/>
        <v>292802.66887057637</v>
      </c>
      <c r="AD423" s="141">
        <f t="shared" si="235"/>
        <v>292802.66887057637</v>
      </c>
      <c r="AE423" s="141">
        <f t="shared" si="235"/>
        <v>292802.66887057637</v>
      </c>
      <c r="AF423" s="141">
        <f t="shared" si="235"/>
        <v>292802.66887057637</v>
      </c>
      <c r="AG423" s="141">
        <f>AF423-C423</f>
        <v>195201.77924705093</v>
      </c>
      <c r="AH423" s="141"/>
      <c r="AI423" s="141"/>
      <c r="AJ423" s="141"/>
      <c r="AK423" s="141"/>
      <c r="AL423" s="141"/>
      <c r="AM423" s="141"/>
      <c r="AN423" s="141"/>
      <c r="AO423" s="141"/>
      <c r="AP423" s="141"/>
      <c r="AQ423" s="141"/>
      <c r="AR423" s="141"/>
      <c r="AS423" s="141"/>
      <c r="AT423" s="141"/>
      <c r="AU423" s="141"/>
      <c r="AV423" s="141"/>
      <c r="AW423" s="141"/>
      <c r="AX423" s="141"/>
      <c r="AY423" s="141"/>
      <c r="AZ423" s="141"/>
      <c r="BA423" s="141"/>
      <c r="BB423" s="141"/>
      <c r="BC423" s="141"/>
      <c r="BD423" s="141"/>
      <c r="BE423" s="141"/>
      <c r="BF423" s="141"/>
      <c r="BG423" s="141"/>
      <c r="BH423" s="141"/>
      <c r="BI423" s="141"/>
      <c r="BJ423" s="142"/>
      <c r="BK423" s="141"/>
      <c r="BL423" s="141"/>
    </row>
    <row r="424" spans="1:64" s="148" customFormat="1">
      <c r="A424" s="111" t="s">
        <v>131</v>
      </c>
      <c r="B424" s="144"/>
      <c r="C424" s="145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  <c r="AH424" s="146"/>
      <c r="AI424" s="146"/>
      <c r="AJ424" s="146"/>
      <c r="AK424" s="146"/>
      <c r="AL424" s="146"/>
      <c r="AM424" s="146"/>
      <c r="AN424" s="146"/>
      <c r="AO424" s="146"/>
      <c r="AP424" s="146"/>
      <c r="AQ424" s="146"/>
      <c r="AR424" s="146"/>
      <c r="AS424" s="146"/>
      <c r="AT424" s="146"/>
      <c r="AU424" s="146"/>
      <c r="AV424" s="146"/>
      <c r="AW424" s="146"/>
      <c r="AX424" s="146"/>
      <c r="AY424" s="146"/>
      <c r="AZ424" s="146"/>
      <c r="BA424" s="146"/>
      <c r="BB424" s="146"/>
      <c r="BC424" s="146"/>
      <c r="BD424" s="146"/>
      <c r="BE424" s="146"/>
      <c r="BF424" s="146"/>
      <c r="BG424" s="146"/>
      <c r="BH424" s="146"/>
      <c r="BI424" s="146"/>
      <c r="BJ424" s="147"/>
      <c r="BK424" s="146"/>
      <c r="BL424" s="146"/>
    </row>
    <row r="425" spans="1:64" s="153" customFormat="1" ht="12.75">
      <c r="A425" s="138" t="s">
        <v>126</v>
      </c>
      <c r="B425" s="144"/>
      <c r="C425" s="149"/>
      <c r="D425" s="150"/>
      <c r="E425" s="151">
        <f>$B415-E420</f>
        <v>15479448.655565042</v>
      </c>
      <c r="F425" s="151">
        <f t="shared" ref="F425:AJ428" si="236">E425-F420</f>
        <v>15131595.8767883</v>
      </c>
      <c r="G425" s="151">
        <f t="shared" si="236"/>
        <v>14609816.708623186</v>
      </c>
      <c r="H425" s="151">
        <f t="shared" si="236"/>
        <v>14088037.540458072</v>
      </c>
      <c r="I425" s="151">
        <f t="shared" si="236"/>
        <v>13566258.372292958</v>
      </c>
      <c r="J425" s="151">
        <f t="shared" si="236"/>
        <v>13044479.204127844</v>
      </c>
      <c r="K425" s="151">
        <f t="shared" si="236"/>
        <v>12522700.035962731</v>
      </c>
      <c r="L425" s="151">
        <f t="shared" si="236"/>
        <v>12000920.867797617</v>
      </c>
      <c r="M425" s="151">
        <f t="shared" si="236"/>
        <v>11479141.699632503</v>
      </c>
      <c r="N425" s="151">
        <f t="shared" si="236"/>
        <v>10957362.531467389</v>
      </c>
      <c r="O425" s="151">
        <f t="shared" si="236"/>
        <v>10435583.363302276</v>
      </c>
      <c r="P425" s="151">
        <f t="shared" si="236"/>
        <v>9913804.1951371618</v>
      </c>
      <c r="Q425" s="151">
        <f t="shared" si="236"/>
        <v>9392025.026972048</v>
      </c>
      <c r="R425" s="151">
        <f t="shared" si="236"/>
        <v>8870245.8588069342</v>
      </c>
      <c r="S425" s="151">
        <f t="shared" si="236"/>
        <v>8348466.6906418204</v>
      </c>
      <c r="T425" s="151">
        <f t="shared" si="236"/>
        <v>7826687.5224767067</v>
      </c>
      <c r="U425" s="151">
        <f t="shared" si="236"/>
        <v>7304908.3543115929</v>
      </c>
      <c r="V425" s="151">
        <f t="shared" si="236"/>
        <v>6783129.1861464791</v>
      </c>
      <c r="W425" s="151">
        <f t="shared" si="236"/>
        <v>6261350.0179813653</v>
      </c>
      <c r="X425" s="151">
        <f t="shared" si="236"/>
        <v>5739570.8498162515</v>
      </c>
      <c r="Y425" s="151">
        <f t="shared" si="236"/>
        <v>5217791.6816511378</v>
      </c>
      <c r="Z425" s="151">
        <f t="shared" si="236"/>
        <v>4696012.513486024</v>
      </c>
      <c r="AA425" s="151">
        <f t="shared" si="236"/>
        <v>4174233.3453209102</v>
      </c>
      <c r="AB425" s="151">
        <f t="shared" si="236"/>
        <v>3652454.1771557964</v>
      </c>
      <c r="AC425" s="151">
        <f t="shared" si="236"/>
        <v>3130675.0089906827</v>
      </c>
      <c r="AD425" s="151">
        <f t="shared" si="236"/>
        <v>2608895.8408255689</v>
      </c>
      <c r="AE425" s="151">
        <f t="shared" si="236"/>
        <v>2087116.6726604551</v>
      </c>
      <c r="AF425" s="151">
        <f t="shared" si="236"/>
        <v>1565337.5044953413</v>
      </c>
      <c r="AG425" s="151">
        <f t="shared" si="236"/>
        <v>1043558.3363302276</v>
      </c>
      <c r="AH425" s="151">
        <f t="shared" si="236"/>
        <v>521779.16816511378</v>
      </c>
      <c r="AI425" s="151">
        <f t="shared" si="236"/>
        <v>173926.38938837126</v>
      </c>
      <c r="AJ425" s="151">
        <f t="shared" si="236"/>
        <v>0</v>
      </c>
      <c r="AK425" s="151"/>
      <c r="AL425" s="151"/>
      <c r="AM425" s="151"/>
      <c r="AN425" s="151"/>
      <c r="AO425" s="151"/>
      <c r="AP425" s="151"/>
      <c r="AQ425" s="151"/>
      <c r="AR425" s="151"/>
      <c r="AS425" s="151"/>
      <c r="AT425" s="151"/>
      <c r="AU425" s="151"/>
      <c r="AV425" s="151"/>
      <c r="AW425" s="151"/>
      <c r="AX425" s="151"/>
      <c r="AY425" s="151"/>
      <c r="AZ425" s="151"/>
      <c r="BA425" s="151"/>
      <c r="BB425" s="151"/>
      <c r="BC425" s="151"/>
      <c r="BD425" s="151"/>
      <c r="BE425" s="151"/>
      <c r="BF425" s="151"/>
      <c r="BG425" s="151"/>
      <c r="BH425" s="151"/>
      <c r="BI425" s="151"/>
      <c r="BJ425" s="152"/>
      <c r="BK425" s="151"/>
      <c r="BL425" s="151"/>
    </row>
    <row r="426" spans="1:64" s="153" customFormat="1" ht="12.75">
      <c r="A426" s="138" t="s">
        <v>127</v>
      </c>
      <c r="B426" s="144"/>
      <c r="C426" s="149"/>
      <c r="D426" s="150"/>
      <c r="E426" s="151">
        <f>$B416-E421</f>
        <v>114711111.1111111</v>
      </c>
      <c r="F426" s="151">
        <f t="shared" si="236"/>
        <v>112133333.33333333</v>
      </c>
      <c r="G426" s="151">
        <f t="shared" si="236"/>
        <v>108266666.66666666</v>
      </c>
      <c r="H426" s="151">
        <f t="shared" si="236"/>
        <v>104399999.99999999</v>
      </c>
      <c r="I426" s="151">
        <f t="shared" si="236"/>
        <v>100533333.33333331</v>
      </c>
      <c r="J426" s="151">
        <f t="shared" si="236"/>
        <v>96666666.666666642</v>
      </c>
      <c r="K426" s="151">
        <f t="shared" si="236"/>
        <v>92799999.99999997</v>
      </c>
      <c r="L426" s="151">
        <f t="shared" si="236"/>
        <v>88933333.333333299</v>
      </c>
      <c r="M426" s="151">
        <f t="shared" si="236"/>
        <v>85066666.666666627</v>
      </c>
      <c r="N426" s="151">
        <f t="shared" si="236"/>
        <v>81199999.999999955</v>
      </c>
      <c r="O426" s="151">
        <f t="shared" si="236"/>
        <v>77333333.333333284</v>
      </c>
      <c r="P426" s="151">
        <f t="shared" si="236"/>
        <v>73466666.666666612</v>
      </c>
      <c r="Q426" s="151">
        <f t="shared" si="236"/>
        <v>69599999.99999994</v>
      </c>
      <c r="R426" s="151">
        <f t="shared" si="236"/>
        <v>65733333.333333276</v>
      </c>
      <c r="S426" s="151">
        <f t="shared" si="236"/>
        <v>61866666.666666612</v>
      </c>
      <c r="T426" s="151">
        <f t="shared" si="236"/>
        <v>57999999.999999948</v>
      </c>
      <c r="U426" s="151">
        <f t="shared" si="236"/>
        <v>54133333.333333284</v>
      </c>
      <c r="V426" s="151">
        <f t="shared" si="236"/>
        <v>50266666.666666619</v>
      </c>
      <c r="W426" s="151">
        <f t="shared" si="236"/>
        <v>46399999.999999955</v>
      </c>
      <c r="X426" s="151">
        <f t="shared" si="236"/>
        <v>42533333.333333291</v>
      </c>
      <c r="Y426" s="151">
        <f t="shared" si="236"/>
        <v>38666666.666666627</v>
      </c>
      <c r="Z426" s="151">
        <f t="shared" si="236"/>
        <v>34799999.999999963</v>
      </c>
      <c r="AA426" s="151">
        <f t="shared" si="236"/>
        <v>30933333.333333299</v>
      </c>
      <c r="AB426" s="151">
        <f t="shared" si="236"/>
        <v>27066666.666666634</v>
      </c>
      <c r="AC426" s="151">
        <f t="shared" si="236"/>
        <v>23199999.99999997</v>
      </c>
      <c r="AD426" s="151">
        <f t="shared" si="236"/>
        <v>19333333.333333306</v>
      </c>
      <c r="AE426" s="151">
        <f t="shared" si="236"/>
        <v>15466666.66666664</v>
      </c>
      <c r="AF426" s="151">
        <f t="shared" si="236"/>
        <v>11599999.999999974</v>
      </c>
      <c r="AG426" s="151">
        <f t="shared" si="236"/>
        <v>7733333.3333333079</v>
      </c>
      <c r="AH426" s="151">
        <f t="shared" si="236"/>
        <v>3866666.6666666418</v>
      </c>
      <c r="AI426" s="151">
        <f t="shared" si="236"/>
        <v>1288888.8888888643</v>
      </c>
      <c r="AJ426" s="151">
        <f t="shared" si="236"/>
        <v>-2.4447217583656311E-8</v>
      </c>
      <c r="AK426" s="151"/>
      <c r="AL426" s="151"/>
      <c r="AM426" s="151"/>
      <c r="AN426" s="151"/>
      <c r="AO426" s="151"/>
      <c r="AP426" s="151"/>
      <c r="AQ426" s="151"/>
      <c r="AR426" s="151"/>
      <c r="AS426" s="151"/>
      <c r="AT426" s="151"/>
      <c r="AU426" s="151"/>
      <c r="AV426" s="151"/>
      <c r="AW426" s="151"/>
      <c r="AX426" s="151"/>
      <c r="AY426" s="151"/>
      <c r="AZ426" s="151"/>
      <c r="BA426" s="151"/>
      <c r="BB426" s="151"/>
      <c r="BC426" s="151"/>
      <c r="BD426" s="151"/>
      <c r="BE426" s="151"/>
      <c r="BF426" s="151"/>
      <c r="BG426" s="151"/>
      <c r="BH426" s="151"/>
      <c r="BI426" s="151"/>
      <c r="BJ426" s="152"/>
      <c r="BK426" s="151"/>
      <c r="BL426" s="151"/>
    </row>
    <row r="427" spans="1:64" s="153" customFormat="1" ht="12.75">
      <c r="A427" s="138" t="s">
        <v>128</v>
      </c>
      <c r="B427" s="144"/>
      <c r="C427" s="154">
        <f>$B417-C422</f>
        <v>169938702.90234748</v>
      </c>
      <c r="D427" s="151">
        <f>C427-D422</f>
        <v>167657646.48755085</v>
      </c>
      <c r="E427" s="151">
        <f>D427-E422</f>
        <v>164236061.86535594</v>
      </c>
      <c r="F427" s="151">
        <f t="shared" si="236"/>
        <v>159673949.03576273</v>
      </c>
      <c r="G427" s="151">
        <f t="shared" si="236"/>
        <v>153971307.99877119</v>
      </c>
      <c r="H427" s="151">
        <f t="shared" si="236"/>
        <v>148268666.96177965</v>
      </c>
      <c r="I427" s="151">
        <f t="shared" si="236"/>
        <v>142566025.92478812</v>
      </c>
      <c r="J427" s="151">
        <f t="shared" si="236"/>
        <v>136863384.88779658</v>
      </c>
      <c r="K427" s="151">
        <f t="shared" si="236"/>
        <v>131160743.85080506</v>
      </c>
      <c r="L427" s="151">
        <f t="shared" si="236"/>
        <v>125458102.81381354</v>
      </c>
      <c r="M427" s="151">
        <f t="shared" si="236"/>
        <v>119755461.77682202</v>
      </c>
      <c r="N427" s="151">
        <f t="shared" si="236"/>
        <v>114052820.73983049</v>
      </c>
      <c r="O427" s="151">
        <f t="shared" si="236"/>
        <v>108350179.70283897</v>
      </c>
      <c r="P427" s="151">
        <f t="shared" si="236"/>
        <v>102647538.66584745</v>
      </c>
      <c r="Q427" s="151">
        <f t="shared" si="236"/>
        <v>96944897.628855929</v>
      </c>
      <c r="R427" s="151">
        <f t="shared" si="236"/>
        <v>91242256.591864407</v>
      </c>
      <c r="S427" s="151">
        <f t="shared" si="236"/>
        <v>85539615.554872885</v>
      </c>
      <c r="T427" s="151">
        <f t="shared" si="236"/>
        <v>79836974.517881364</v>
      </c>
      <c r="U427" s="151">
        <f t="shared" si="236"/>
        <v>74134333.480889842</v>
      </c>
      <c r="V427" s="151">
        <f t="shared" si="236"/>
        <v>68431692.44389832</v>
      </c>
      <c r="W427" s="151">
        <f t="shared" si="236"/>
        <v>62729051.406906798</v>
      </c>
      <c r="X427" s="151">
        <f t="shared" si="236"/>
        <v>57026410.369915277</v>
      </c>
      <c r="Y427" s="151">
        <f t="shared" si="236"/>
        <v>51323769.332923755</v>
      </c>
      <c r="Z427" s="151">
        <f t="shared" si="236"/>
        <v>45621128.295932233</v>
      </c>
      <c r="AA427" s="151">
        <f t="shared" si="236"/>
        <v>39918487.258940712</v>
      </c>
      <c r="AB427" s="151">
        <f t="shared" si="236"/>
        <v>34215846.22194919</v>
      </c>
      <c r="AC427" s="151">
        <f t="shared" si="236"/>
        <v>28513205.184957664</v>
      </c>
      <c r="AD427" s="151">
        <f t="shared" si="236"/>
        <v>22810564.147966139</v>
      </c>
      <c r="AE427" s="151">
        <f t="shared" si="236"/>
        <v>17107923.110974614</v>
      </c>
      <c r="AF427" s="151">
        <f t="shared" si="236"/>
        <v>11405282.073983088</v>
      </c>
      <c r="AG427" s="151">
        <f t="shared" si="236"/>
        <v>6843169.2443898674</v>
      </c>
      <c r="AH427" s="151">
        <f t="shared" si="236"/>
        <v>3421584.6221949519</v>
      </c>
      <c r="AI427" s="151">
        <f t="shared" si="236"/>
        <v>1140528.2073983415</v>
      </c>
      <c r="AJ427" s="151">
        <f t="shared" si="236"/>
        <v>3.6321580410003662E-8</v>
      </c>
      <c r="AK427" s="151"/>
      <c r="AL427" s="151"/>
      <c r="AM427" s="151"/>
      <c r="AN427" s="151"/>
      <c r="AO427" s="151"/>
      <c r="AP427" s="151"/>
      <c r="AQ427" s="151"/>
      <c r="AR427" s="151"/>
      <c r="AS427" s="151"/>
      <c r="AT427" s="151"/>
      <c r="AU427" s="151"/>
      <c r="AV427" s="151"/>
      <c r="AW427" s="151"/>
      <c r="AX427" s="151"/>
      <c r="AY427" s="151"/>
      <c r="AZ427" s="151"/>
      <c r="BA427" s="151"/>
      <c r="BB427" s="151"/>
      <c r="BC427" s="151"/>
      <c r="BD427" s="151"/>
      <c r="BE427" s="151"/>
      <c r="BF427" s="151"/>
      <c r="BG427" s="151"/>
      <c r="BH427" s="151"/>
      <c r="BI427" s="151"/>
      <c r="BJ427" s="152"/>
      <c r="BK427" s="151"/>
      <c r="BL427" s="151"/>
    </row>
    <row r="428" spans="1:64" s="153" customFormat="1" ht="12.75">
      <c r="A428" s="138" t="s">
        <v>129</v>
      </c>
      <c r="B428" s="144"/>
      <c r="C428" s="154">
        <f>$B418-C423</f>
        <v>8686479.1764937658</v>
      </c>
      <c r="D428" s="151">
        <f>C428-D423</f>
        <v>8393676.5076231901</v>
      </c>
      <c r="E428" s="151">
        <f>D428-E423</f>
        <v>8100873.8387526134</v>
      </c>
      <c r="F428" s="151">
        <f t="shared" si="236"/>
        <v>7808071.1698820367</v>
      </c>
      <c r="G428" s="151">
        <f t="shared" si="236"/>
        <v>7515268.5010114601</v>
      </c>
      <c r="H428" s="151">
        <f t="shared" si="236"/>
        <v>7222465.8321408834</v>
      </c>
      <c r="I428" s="151">
        <f t="shared" si="236"/>
        <v>6929663.1632703068</v>
      </c>
      <c r="J428" s="151">
        <f t="shared" si="236"/>
        <v>6636860.4943997301</v>
      </c>
      <c r="K428" s="151">
        <f t="shared" si="236"/>
        <v>6344057.8255291535</v>
      </c>
      <c r="L428" s="151">
        <f t="shared" si="236"/>
        <v>6051255.1566585768</v>
      </c>
      <c r="M428" s="151">
        <f t="shared" si="236"/>
        <v>5758452.4877880001</v>
      </c>
      <c r="N428" s="151">
        <f t="shared" si="236"/>
        <v>5465649.8189174235</v>
      </c>
      <c r="O428" s="151">
        <f t="shared" si="236"/>
        <v>5172847.1500468468</v>
      </c>
      <c r="P428" s="151">
        <f t="shared" si="236"/>
        <v>4880044.4811762702</v>
      </c>
      <c r="Q428" s="151">
        <f t="shared" si="236"/>
        <v>4587241.8123056935</v>
      </c>
      <c r="R428" s="151">
        <f t="shared" si="236"/>
        <v>4294439.1434351169</v>
      </c>
      <c r="S428" s="151">
        <f t="shared" si="236"/>
        <v>4001636.4745645407</v>
      </c>
      <c r="T428" s="151">
        <f t="shared" si="236"/>
        <v>3708833.8056939645</v>
      </c>
      <c r="U428" s="151">
        <f t="shared" si="236"/>
        <v>3416031.1368233883</v>
      </c>
      <c r="V428" s="151">
        <f t="shared" si="236"/>
        <v>3123228.4679528121</v>
      </c>
      <c r="W428" s="151">
        <f t="shared" si="236"/>
        <v>2830425.7990822359</v>
      </c>
      <c r="X428" s="151">
        <f t="shared" si="236"/>
        <v>2537623.1302116597</v>
      </c>
      <c r="Y428" s="151">
        <f t="shared" si="236"/>
        <v>2244820.4613410835</v>
      </c>
      <c r="Z428" s="151">
        <f t="shared" si="236"/>
        <v>1952017.7924705071</v>
      </c>
      <c r="AA428" s="151">
        <f t="shared" si="236"/>
        <v>1659215.1235999307</v>
      </c>
      <c r="AB428" s="151">
        <f t="shared" si="236"/>
        <v>1366412.4547293542</v>
      </c>
      <c r="AC428" s="151">
        <f t="shared" si="236"/>
        <v>1073609.7858587778</v>
      </c>
      <c r="AD428" s="151">
        <f t="shared" si="236"/>
        <v>780807.11698820139</v>
      </c>
      <c r="AE428" s="151">
        <f t="shared" si="236"/>
        <v>488004.44811762503</v>
      </c>
      <c r="AF428" s="151">
        <f t="shared" si="236"/>
        <v>195201.77924704866</v>
      </c>
      <c r="AG428" s="151">
        <f t="shared" si="236"/>
        <v>-2.2700987756252289E-9</v>
      </c>
      <c r="AH428" s="151">
        <f t="shared" si="236"/>
        <v>-2.2700987756252289E-9</v>
      </c>
      <c r="AI428" s="151">
        <f t="shared" si="236"/>
        <v>-2.2700987756252289E-9</v>
      </c>
      <c r="AJ428" s="151">
        <f t="shared" si="236"/>
        <v>-2.2700987756252289E-9</v>
      </c>
      <c r="AK428" s="151"/>
      <c r="AL428" s="151"/>
      <c r="AM428" s="151"/>
      <c r="AN428" s="151"/>
      <c r="AO428" s="151"/>
      <c r="AP428" s="151"/>
      <c r="AQ428" s="151"/>
      <c r="AR428" s="151"/>
      <c r="AS428" s="151"/>
      <c r="AT428" s="151"/>
      <c r="AU428" s="151"/>
      <c r="AV428" s="151"/>
      <c r="AW428" s="151"/>
      <c r="AX428" s="151"/>
      <c r="AY428" s="151"/>
      <c r="AZ428" s="151"/>
      <c r="BA428" s="151"/>
      <c r="BB428" s="151"/>
      <c r="BC428" s="151"/>
      <c r="BD428" s="151"/>
      <c r="BE428" s="151"/>
      <c r="BF428" s="151"/>
      <c r="BG428" s="151"/>
      <c r="BH428" s="151"/>
      <c r="BI428" s="151"/>
      <c r="BJ428" s="152"/>
      <c r="BK428" s="151"/>
      <c r="BL428" s="151"/>
    </row>
    <row r="429" spans="1:64" s="116" customFormat="1">
      <c r="A429" s="111" t="s">
        <v>132</v>
      </c>
      <c r="B429" s="155">
        <f>SUM(B430:B433)</f>
        <v>468543067.65232468</v>
      </c>
      <c r="C429" s="117">
        <f>SUM(C430:C433)</f>
        <v>17986331.117586307</v>
      </c>
      <c r="D429" s="118">
        <f t="shared" ref="D429:AJ429" si="237">SUM(D430:D433)</f>
        <v>17862518.207884125</v>
      </c>
      <c r="E429" s="118">
        <f t="shared" si="237"/>
        <v>30770469.804012746</v>
      </c>
      <c r="F429" s="118">
        <f t="shared" si="237"/>
        <v>30252749.547078472</v>
      </c>
      <c r="G429" s="118">
        <f t="shared" si="237"/>
        <v>29474694.941576641</v>
      </c>
      <c r="H429" s="118">
        <f t="shared" si="237"/>
        <v>28436305.98750725</v>
      </c>
      <c r="I429" s="118">
        <f t="shared" si="237"/>
        <v>27397917.033437863</v>
      </c>
      <c r="J429" s="118">
        <f t="shared" si="237"/>
        <v>26359528.079368472</v>
      </c>
      <c r="K429" s="118">
        <f t="shared" si="237"/>
        <v>25321139.125299081</v>
      </c>
      <c r="L429" s="118">
        <f t="shared" si="237"/>
        <v>24282750.171229694</v>
      </c>
      <c r="M429" s="118">
        <f t="shared" si="237"/>
        <v>23244361.217160307</v>
      </c>
      <c r="N429" s="118">
        <f t="shared" si="237"/>
        <v>22205972.263090916</v>
      </c>
      <c r="O429" s="118">
        <f t="shared" si="237"/>
        <v>21167583.309021533</v>
      </c>
      <c r="P429" s="118">
        <f t="shared" si="237"/>
        <v>20129194.354952138</v>
      </c>
      <c r="Q429" s="118">
        <f t="shared" si="237"/>
        <v>19090805.400882751</v>
      </c>
      <c r="R429" s="118">
        <f t="shared" si="237"/>
        <v>18052416.446813364</v>
      </c>
      <c r="S429" s="118">
        <f t="shared" si="237"/>
        <v>17014027.492743976</v>
      </c>
      <c r="T429" s="118">
        <f t="shared" si="237"/>
        <v>15975638.538674586</v>
      </c>
      <c r="U429" s="118">
        <f t="shared" si="237"/>
        <v>14937249.5846052</v>
      </c>
      <c r="V429" s="118">
        <f t="shared" si="237"/>
        <v>13898860.630535811</v>
      </c>
      <c r="W429" s="118">
        <f t="shared" si="237"/>
        <v>12860471.676466424</v>
      </c>
      <c r="X429" s="118">
        <f t="shared" si="237"/>
        <v>11822082.722397035</v>
      </c>
      <c r="Y429" s="118">
        <f t="shared" si="237"/>
        <v>0</v>
      </c>
      <c r="Z429" s="118">
        <f t="shared" si="237"/>
        <v>0</v>
      </c>
      <c r="AA429" s="118">
        <f t="shared" si="237"/>
        <v>0</v>
      </c>
      <c r="AB429" s="118">
        <f t="shared" si="237"/>
        <v>0</v>
      </c>
      <c r="AC429" s="118">
        <f t="shared" si="237"/>
        <v>0</v>
      </c>
      <c r="AD429" s="118">
        <f t="shared" si="237"/>
        <v>0</v>
      </c>
      <c r="AE429" s="118">
        <f t="shared" si="237"/>
        <v>0</v>
      </c>
      <c r="AF429" s="118">
        <f t="shared" si="237"/>
        <v>0</v>
      </c>
      <c r="AG429" s="118">
        <f t="shared" si="237"/>
        <v>0</v>
      </c>
      <c r="AH429" s="118">
        <f t="shared" si="237"/>
        <v>0</v>
      </c>
      <c r="AI429" s="118">
        <f t="shared" si="237"/>
        <v>0</v>
      </c>
      <c r="AJ429" s="118">
        <f t="shared" si="237"/>
        <v>0</v>
      </c>
      <c r="AK429" s="118"/>
      <c r="AL429" s="118"/>
      <c r="AM429" s="118"/>
      <c r="AN429" s="118"/>
      <c r="AO429" s="118"/>
      <c r="AP429" s="118"/>
      <c r="AQ429" s="118"/>
      <c r="AR429" s="118"/>
      <c r="AS429" s="118"/>
      <c r="AT429" s="118"/>
      <c r="AU429" s="118"/>
      <c r="AV429" s="118"/>
      <c r="AW429" s="118"/>
      <c r="AX429" s="118"/>
      <c r="AY429" s="118"/>
      <c r="AZ429" s="118"/>
      <c r="BA429" s="118"/>
      <c r="BB429" s="118"/>
      <c r="BC429" s="118"/>
      <c r="BD429" s="118"/>
      <c r="BE429" s="118"/>
      <c r="BF429" s="118"/>
      <c r="BG429" s="118"/>
      <c r="BH429" s="118"/>
      <c r="BI429" s="118"/>
      <c r="BJ429" s="119"/>
      <c r="BK429" s="118"/>
      <c r="BL429" s="118"/>
    </row>
    <row r="430" spans="1:64" s="143" customFormat="1" ht="12.75">
      <c r="A430" s="138" t="s">
        <v>126</v>
      </c>
      <c r="B430" s="139">
        <f>SUM(C430:BJ430)</f>
        <v>22366933.675344549</v>
      </c>
      <c r="C430" s="140"/>
      <c r="D430" s="141"/>
      <c r="E430" s="226">
        <f>IF(AND(E402&gt;5,E403=0),0,(E425+E420)*$I401)</f>
        <v>1565337.5044953413</v>
      </c>
      <c r="F430" s="141">
        <f>IF(AND(F402&gt;5,F403=0),0,(F425+F420)*$I401)</f>
        <v>1547944.8655565043</v>
      </c>
      <c r="G430" s="141">
        <f t="shared" ref="G430:BJ430" si="238">IF(AND(G402&gt;5,G403=0),0,(G425+G420)*$I401)</f>
        <v>1513159.5876788301</v>
      </c>
      <c r="H430" s="141">
        <f t="shared" si="238"/>
        <v>1460981.6708623187</v>
      </c>
      <c r="I430" s="141">
        <f t="shared" si="238"/>
        <v>1408803.7540458073</v>
      </c>
      <c r="J430" s="141">
        <f t="shared" si="238"/>
        <v>1356625.8372292959</v>
      </c>
      <c r="K430" s="141">
        <f t="shared" si="238"/>
        <v>1304447.9204127844</v>
      </c>
      <c r="L430" s="141">
        <f t="shared" si="238"/>
        <v>1252270.003596273</v>
      </c>
      <c r="M430" s="141">
        <f t="shared" si="238"/>
        <v>1200092.0867797618</v>
      </c>
      <c r="N430" s="141">
        <f t="shared" si="238"/>
        <v>1147914.1699632504</v>
      </c>
      <c r="O430" s="141">
        <f t="shared" si="238"/>
        <v>1095736.253146739</v>
      </c>
      <c r="P430" s="141">
        <f t="shared" si="238"/>
        <v>1043558.3363302276</v>
      </c>
      <c r="Q430" s="141">
        <f t="shared" si="238"/>
        <v>991380.41951371625</v>
      </c>
      <c r="R430" s="141">
        <f t="shared" si="238"/>
        <v>939202.50269720482</v>
      </c>
      <c r="S430" s="141">
        <f t="shared" si="238"/>
        <v>887024.58588069351</v>
      </c>
      <c r="T430" s="141">
        <f t="shared" si="238"/>
        <v>834846.66906418209</v>
      </c>
      <c r="U430" s="141">
        <f t="shared" si="238"/>
        <v>782668.75224767067</v>
      </c>
      <c r="V430" s="141">
        <f t="shared" si="238"/>
        <v>730490.83543115936</v>
      </c>
      <c r="W430" s="141">
        <f t="shared" si="238"/>
        <v>678312.91861464793</v>
      </c>
      <c r="X430" s="141">
        <f t="shared" si="238"/>
        <v>626135.00179813651</v>
      </c>
      <c r="Y430" s="141">
        <f t="shared" si="238"/>
        <v>0</v>
      </c>
      <c r="Z430" s="141">
        <f t="shared" si="238"/>
        <v>0</v>
      </c>
      <c r="AA430" s="141">
        <f t="shared" si="238"/>
        <v>0</v>
      </c>
      <c r="AB430" s="141">
        <f t="shared" si="238"/>
        <v>0</v>
      </c>
      <c r="AC430" s="141">
        <f t="shared" si="238"/>
        <v>0</v>
      </c>
      <c r="AD430" s="141">
        <f t="shared" si="238"/>
        <v>0</v>
      </c>
      <c r="AE430" s="141">
        <f t="shared" si="238"/>
        <v>0</v>
      </c>
      <c r="AF430" s="141">
        <f t="shared" si="238"/>
        <v>0</v>
      </c>
      <c r="AG430" s="141">
        <f t="shared" si="238"/>
        <v>0</v>
      </c>
      <c r="AH430" s="141">
        <f t="shared" si="238"/>
        <v>0</v>
      </c>
      <c r="AI430" s="141">
        <f t="shared" si="238"/>
        <v>0</v>
      </c>
      <c r="AJ430" s="141">
        <f t="shared" si="238"/>
        <v>0</v>
      </c>
      <c r="AK430" s="141">
        <f t="shared" si="238"/>
        <v>0</v>
      </c>
      <c r="AL430" s="141">
        <f t="shared" si="238"/>
        <v>0</v>
      </c>
      <c r="AM430" s="141">
        <f t="shared" si="238"/>
        <v>0</v>
      </c>
      <c r="AN430" s="141">
        <f t="shared" si="238"/>
        <v>0</v>
      </c>
      <c r="AO430" s="141">
        <f t="shared" si="238"/>
        <v>0</v>
      </c>
      <c r="AP430" s="141">
        <f t="shared" si="238"/>
        <v>0</v>
      </c>
      <c r="AQ430" s="141">
        <f t="shared" si="238"/>
        <v>0</v>
      </c>
      <c r="AR430" s="141">
        <f t="shared" si="238"/>
        <v>0</v>
      </c>
      <c r="AS430" s="141">
        <f t="shared" si="238"/>
        <v>0</v>
      </c>
      <c r="AT430" s="141">
        <f t="shared" si="238"/>
        <v>0</v>
      </c>
      <c r="AU430" s="141">
        <f t="shared" si="238"/>
        <v>0</v>
      </c>
      <c r="AV430" s="141">
        <f t="shared" si="238"/>
        <v>0</v>
      </c>
      <c r="AW430" s="141">
        <f t="shared" si="238"/>
        <v>0</v>
      </c>
      <c r="AX430" s="141">
        <f t="shared" si="238"/>
        <v>0</v>
      </c>
      <c r="AY430" s="141">
        <f t="shared" si="238"/>
        <v>0</v>
      </c>
      <c r="AZ430" s="141">
        <f t="shared" si="238"/>
        <v>0</v>
      </c>
      <c r="BA430" s="141">
        <f t="shared" si="238"/>
        <v>0</v>
      </c>
      <c r="BB430" s="141">
        <f t="shared" si="238"/>
        <v>0</v>
      </c>
      <c r="BC430" s="141">
        <f t="shared" si="238"/>
        <v>0</v>
      </c>
      <c r="BD430" s="141">
        <f t="shared" si="238"/>
        <v>0</v>
      </c>
      <c r="BE430" s="141">
        <f t="shared" si="238"/>
        <v>0</v>
      </c>
      <c r="BF430" s="141">
        <f t="shared" si="238"/>
        <v>0</v>
      </c>
      <c r="BG430" s="141">
        <f t="shared" si="238"/>
        <v>0</v>
      </c>
      <c r="BH430" s="141">
        <f t="shared" si="238"/>
        <v>0</v>
      </c>
      <c r="BI430" s="141">
        <f t="shared" si="238"/>
        <v>0</v>
      </c>
      <c r="BJ430" s="142">
        <f t="shared" si="238"/>
        <v>0</v>
      </c>
      <c r="BK430" s="141"/>
      <c r="BL430" s="141"/>
    </row>
    <row r="431" spans="1:64" s="143" customFormat="1" ht="12.75">
      <c r="A431" s="138" t="s">
        <v>127</v>
      </c>
      <c r="B431" s="139">
        <f>SUM(C431:BJ431)</f>
        <v>165751111.11111107</v>
      </c>
      <c r="C431" s="140"/>
      <c r="D431" s="141"/>
      <c r="E431" s="226">
        <f>IF(AND(E402&gt;5,E403=0),0,(E426+E421)*$I401)</f>
        <v>11600000</v>
      </c>
      <c r="F431" s="141">
        <f t="shared" ref="F431:BJ431" si="239">IF(AND(F402&gt;5,F403=0),0,(F426+F421)*$I401)</f>
        <v>11471111.111111112</v>
      </c>
      <c r="G431" s="141">
        <f t="shared" si="239"/>
        <v>11213333.333333334</v>
      </c>
      <c r="H431" s="141">
        <f t="shared" si="239"/>
        <v>10826666.666666666</v>
      </c>
      <c r="I431" s="141">
        <f t="shared" si="239"/>
        <v>10440000</v>
      </c>
      <c r="J431" s="141">
        <f t="shared" si="239"/>
        <v>10053333.333333332</v>
      </c>
      <c r="K431" s="141">
        <f t="shared" si="239"/>
        <v>9666666.6666666642</v>
      </c>
      <c r="L431" s="141">
        <f t="shared" si="239"/>
        <v>9279999.9999999981</v>
      </c>
      <c r="M431" s="141">
        <f t="shared" si="239"/>
        <v>8893333.3333333302</v>
      </c>
      <c r="N431" s="141">
        <f t="shared" si="239"/>
        <v>8506666.6666666623</v>
      </c>
      <c r="O431" s="141">
        <f t="shared" si="239"/>
        <v>8119999.9999999963</v>
      </c>
      <c r="P431" s="141">
        <f t="shared" si="239"/>
        <v>7733333.3333333284</v>
      </c>
      <c r="Q431" s="141">
        <f t="shared" si="239"/>
        <v>7346666.6666666614</v>
      </c>
      <c r="R431" s="141">
        <f t="shared" si="239"/>
        <v>6959999.9999999944</v>
      </c>
      <c r="S431" s="141">
        <f t="shared" si="239"/>
        <v>6573333.3333333284</v>
      </c>
      <c r="T431" s="141">
        <f t="shared" si="239"/>
        <v>6186666.6666666614</v>
      </c>
      <c r="U431" s="141">
        <f t="shared" si="239"/>
        <v>5799999.9999999953</v>
      </c>
      <c r="V431" s="141">
        <f t="shared" si="239"/>
        <v>5413333.3333333284</v>
      </c>
      <c r="W431" s="141">
        <f t="shared" si="239"/>
        <v>5026666.6666666623</v>
      </c>
      <c r="X431" s="141">
        <f t="shared" si="239"/>
        <v>4639999.9999999953</v>
      </c>
      <c r="Y431" s="141">
        <f t="shared" si="239"/>
        <v>0</v>
      </c>
      <c r="Z431" s="141">
        <f t="shared" si="239"/>
        <v>0</v>
      </c>
      <c r="AA431" s="141">
        <f t="shared" si="239"/>
        <v>0</v>
      </c>
      <c r="AB431" s="141">
        <f t="shared" si="239"/>
        <v>0</v>
      </c>
      <c r="AC431" s="141">
        <f t="shared" si="239"/>
        <v>0</v>
      </c>
      <c r="AD431" s="141">
        <f t="shared" si="239"/>
        <v>0</v>
      </c>
      <c r="AE431" s="141">
        <f t="shared" si="239"/>
        <v>0</v>
      </c>
      <c r="AF431" s="141">
        <f t="shared" si="239"/>
        <v>0</v>
      </c>
      <c r="AG431" s="141">
        <f t="shared" si="239"/>
        <v>0</v>
      </c>
      <c r="AH431" s="141">
        <f t="shared" si="239"/>
        <v>0</v>
      </c>
      <c r="AI431" s="141">
        <f t="shared" si="239"/>
        <v>0</v>
      </c>
      <c r="AJ431" s="141">
        <f t="shared" si="239"/>
        <v>0</v>
      </c>
      <c r="AK431" s="141">
        <f t="shared" si="239"/>
        <v>0</v>
      </c>
      <c r="AL431" s="141">
        <f t="shared" si="239"/>
        <v>0</v>
      </c>
      <c r="AM431" s="141">
        <f t="shared" si="239"/>
        <v>0</v>
      </c>
      <c r="AN431" s="141">
        <f t="shared" si="239"/>
        <v>0</v>
      </c>
      <c r="AO431" s="141">
        <f t="shared" si="239"/>
        <v>0</v>
      </c>
      <c r="AP431" s="141">
        <f t="shared" si="239"/>
        <v>0</v>
      </c>
      <c r="AQ431" s="141">
        <f t="shared" si="239"/>
        <v>0</v>
      </c>
      <c r="AR431" s="141">
        <f t="shared" si="239"/>
        <v>0</v>
      </c>
      <c r="AS431" s="141">
        <f t="shared" si="239"/>
        <v>0</v>
      </c>
      <c r="AT431" s="141">
        <f t="shared" si="239"/>
        <v>0</v>
      </c>
      <c r="AU431" s="141">
        <f t="shared" si="239"/>
        <v>0</v>
      </c>
      <c r="AV431" s="141">
        <f t="shared" si="239"/>
        <v>0</v>
      </c>
      <c r="AW431" s="141">
        <f t="shared" si="239"/>
        <v>0</v>
      </c>
      <c r="AX431" s="141">
        <f t="shared" si="239"/>
        <v>0</v>
      </c>
      <c r="AY431" s="141">
        <f t="shared" si="239"/>
        <v>0</v>
      </c>
      <c r="AZ431" s="141">
        <f t="shared" si="239"/>
        <v>0</v>
      </c>
      <c r="BA431" s="141">
        <f t="shared" si="239"/>
        <v>0</v>
      </c>
      <c r="BB431" s="141">
        <f t="shared" si="239"/>
        <v>0</v>
      </c>
      <c r="BC431" s="141">
        <f t="shared" si="239"/>
        <v>0</v>
      </c>
      <c r="BD431" s="141">
        <f t="shared" si="239"/>
        <v>0</v>
      </c>
      <c r="BE431" s="141">
        <f t="shared" si="239"/>
        <v>0</v>
      </c>
      <c r="BF431" s="141">
        <f t="shared" si="239"/>
        <v>0</v>
      </c>
      <c r="BG431" s="141">
        <f t="shared" si="239"/>
        <v>0</v>
      </c>
      <c r="BH431" s="141">
        <f t="shared" si="239"/>
        <v>0</v>
      </c>
      <c r="BI431" s="141">
        <f t="shared" si="239"/>
        <v>0</v>
      </c>
      <c r="BJ431" s="142">
        <f t="shared" si="239"/>
        <v>0</v>
      </c>
      <c r="BK431" s="141"/>
      <c r="BL431" s="141"/>
    </row>
    <row r="432" spans="1:64" s="143" customFormat="1" ht="12.75">
      <c r="A432" s="138" t="s">
        <v>128</v>
      </c>
      <c r="B432" s="139">
        <f>SUM(C432:BJ432)</f>
        <v>267453864.63490254</v>
      </c>
      <c r="C432" s="227">
        <f>IF(AND(C402&gt;5,C403=0),0,(C427+C422)*$I401)</f>
        <v>17107923.110974576</v>
      </c>
      <c r="D432" s="141">
        <f>IF(AND(D402&gt;5,D403=0),0,(D427+D422)*$I401)</f>
        <v>16993870.290234748</v>
      </c>
      <c r="E432" s="141">
        <f t="shared" ref="E432:BJ432" si="240">IF(AND(E402&gt;5,E403=0),0,(E427+E422)*$I401)</f>
        <v>16765764.648755087</v>
      </c>
      <c r="F432" s="141">
        <f t="shared" si="240"/>
        <v>16423606.186535595</v>
      </c>
      <c r="G432" s="141">
        <f t="shared" si="240"/>
        <v>15967394.903576273</v>
      </c>
      <c r="H432" s="141">
        <f t="shared" si="240"/>
        <v>15397130.79987712</v>
      </c>
      <c r="I432" s="141">
        <f t="shared" si="240"/>
        <v>14826866.696177967</v>
      </c>
      <c r="J432" s="141">
        <f t="shared" si="240"/>
        <v>14256602.592478812</v>
      </c>
      <c r="K432" s="141">
        <f t="shared" si="240"/>
        <v>13686338.488779658</v>
      </c>
      <c r="L432" s="141">
        <f t="shared" si="240"/>
        <v>13116074.385080507</v>
      </c>
      <c r="M432" s="141">
        <f t="shared" si="240"/>
        <v>12545810.281381354</v>
      </c>
      <c r="N432" s="141">
        <f t="shared" si="240"/>
        <v>11975546.177682202</v>
      </c>
      <c r="O432" s="141">
        <f t="shared" si="240"/>
        <v>11405282.073983051</v>
      </c>
      <c r="P432" s="141">
        <f t="shared" si="240"/>
        <v>10835017.970283898</v>
      </c>
      <c r="Q432" s="141">
        <f t="shared" si="240"/>
        <v>10264753.866584746</v>
      </c>
      <c r="R432" s="141">
        <f t="shared" si="240"/>
        <v>9694489.7628855929</v>
      </c>
      <c r="S432" s="141">
        <f t="shared" si="240"/>
        <v>9124225.6591864415</v>
      </c>
      <c r="T432" s="141">
        <f t="shared" si="240"/>
        <v>8553961.5554872882</v>
      </c>
      <c r="U432" s="141">
        <f t="shared" si="240"/>
        <v>7983697.4517881367</v>
      </c>
      <c r="V432" s="141">
        <f t="shared" si="240"/>
        <v>7413433.3480889844</v>
      </c>
      <c r="W432" s="141">
        <f t="shared" si="240"/>
        <v>6843169.244389832</v>
      </c>
      <c r="X432" s="141">
        <f t="shared" si="240"/>
        <v>6272905.1406906806</v>
      </c>
      <c r="Y432" s="141">
        <f t="shared" si="240"/>
        <v>0</v>
      </c>
      <c r="Z432" s="141">
        <f t="shared" si="240"/>
        <v>0</v>
      </c>
      <c r="AA432" s="141">
        <f t="shared" si="240"/>
        <v>0</v>
      </c>
      <c r="AB432" s="141">
        <f t="shared" si="240"/>
        <v>0</v>
      </c>
      <c r="AC432" s="141">
        <f t="shared" si="240"/>
        <v>0</v>
      </c>
      <c r="AD432" s="141">
        <f t="shared" si="240"/>
        <v>0</v>
      </c>
      <c r="AE432" s="141">
        <f t="shared" si="240"/>
        <v>0</v>
      </c>
      <c r="AF432" s="141">
        <f t="shared" si="240"/>
        <v>0</v>
      </c>
      <c r="AG432" s="141">
        <f t="shared" si="240"/>
        <v>0</v>
      </c>
      <c r="AH432" s="141">
        <f t="shared" si="240"/>
        <v>0</v>
      </c>
      <c r="AI432" s="141">
        <f t="shared" si="240"/>
        <v>0</v>
      </c>
      <c r="AJ432" s="141">
        <f t="shared" si="240"/>
        <v>0</v>
      </c>
      <c r="AK432" s="141">
        <f t="shared" si="240"/>
        <v>0</v>
      </c>
      <c r="AL432" s="141">
        <f t="shared" si="240"/>
        <v>0</v>
      </c>
      <c r="AM432" s="141">
        <f t="shared" si="240"/>
        <v>0</v>
      </c>
      <c r="AN432" s="141">
        <f t="shared" si="240"/>
        <v>0</v>
      </c>
      <c r="AO432" s="141">
        <f t="shared" si="240"/>
        <v>0</v>
      </c>
      <c r="AP432" s="141">
        <f t="shared" si="240"/>
        <v>0</v>
      </c>
      <c r="AQ432" s="141">
        <f t="shared" si="240"/>
        <v>0</v>
      </c>
      <c r="AR432" s="141">
        <f t="shared" si="240"/>
        <v>0</v>
      </c>
      <c r="AS432" s="141">
        <f t="shared" si="240"/>
        <v>0</v>
      </c>
      <c r="AT432" s="141">
        <f t="shared" si="240"/>
        <v>0</v>
      </c>
      <c r="AU432" s="141">
        <f t="shared" si="240"/>
        <v>0</v>
      </c>
      <c r="AV432" s="141">
        <f t="shared" si="240"/>
        <v>0</v>
      </c>
      <c r="AW432" s="141">
        <f t="shared" si="240"/>
        <v>0</v>
      </c>
      <c r="AX432" s="141">
        <f t="shared" si="240"/>
        <v>0</v>
      </c>
      <c r="AY432" s="141">
        <f t="shared" si="240"/>
        <v>0</v>
      </c>
      <c r="AZ432" s="141">
        <f t="shared" si="240"/>
        <v>0</v>
      </c>
      <c r="BA432" s="141">
        <f t="shared" si="240"/>
        <v>0</v>
      </c>
      <c r="BB432" s="141">
        <f t="shared" si="240"/>
        <v>0</v>
      </c>
      <c r="BC432" s="141">
        <f t="shared" si="240"/>
        <v>0</v>
      </c>
      <c r="BD432" s="141">
        <f t="shared" si="240"/>
        <v>0</v>
      </c>
      <c r="BE432" s="141">
        <f t="shared" si="240"/>
        <v>0</v>
      </c>
      <c r="BF432" s="141">
        <f t="shared" si="240"/>
        <v>0</v>
      </c>
      <c r="BG432" s="141">
        <f t="shared" si="240"/>
        <v>0</v>
      </c>
      <c r="BH432" s="141">
        <f t="shared" si="240"/>
        <v>0</v>
      </c>
      <c r="BI432" s="141">
        <f t="shared" si="240"/>
        <v>0</v>
      </c>
      <c r="BJ432" s="142">
        <f t="shared" si="240"/>
        <v>0</v>
      </c>
      <c r="BK432" s="141"/>
      <c r="BL432" s="141"/>
    </row>
    <row r="433" spans="1:64" s="143" customFormat="1" ht="12.75">
      <c r="A433" s="138" t="s">
        <v>129</v>
      </c>
      <c r="B433" s="139">
        <f>SUM(C433:BJ433)</f>
        <v>12971158.230966531</v>
      </c>
      <c r="C433" s="227">
        <f>IF(AND(C402&gt;5,C403=0),0,(C428+C423)*$I401)</f>
        <v>878408.00661172904</v>
      </c>
      <c r="D433" s="141">
        <f>IF(AND(D402&gt;5,D403=0),0,(D428+D423)*$I401)</f>
        <v>868647.91764937667</v>
      </c>
      <c r="E433" s="141">
        <f t="shared" ref="E433:BJ433" si="241">IF(AND(E402&gt;5,E403=0),0,(E428+E423)*$I401)</f>
        <v>839367.6507623191</v>
      </c>
      <c r="F433" s="141">
        <f t="shared" si="241"/>
        <v>810087.38387526141</v>
      </c>
      <c r="G433" s="141">
        <f t="shared" si="241"/>
        <v>780807.11698820372</v>
      </c>
      <c r="H433" s="141">
        <f t="shared" si="241"/>
        <v>751526.85010114603</v>
      </c>
      <c r="I433" s="141">
        <f t="shared" si="241"/>
        <v>722246.58321408834</v>
      </c>
      <c r="J433" s="141">
        <f t="shared" si="241"/>
        <v>692966.31632703077</v>
      </c>
      <c r="K433" s="141">
        <f t="shared" si="241"/>
        <v>663686.04943997308</v>
      </c>
      <c r="L433" s="141">
        <f t="shared" si="241"/>
        <v>634405.78255291539</v>
      </c>
      <c r="M433" s="141">
        <f t="shared" si="241"/>
        <v>605125.5156658577</v>
      </c>
      <c r="N433" s="141">
        <f t="shared" si="241"/>
        <v>575845.24877880001</v>
      </c>
      <c r="O433" s="141">
        <f t="shared" si="241"/>
        <v>546564.98189174233</v>
      </c>
      <c r="P433" s="141">
        <f t="shared" si="241"/>
        <v>517284.71500468469</v>
      </c>
      <c r="Q433" s="141">
        <f t="shared" si="241"/>
        <v>488004.44811762706</v>
      </c>
      <c r="R433" s="141">
        <f t="shared" si="241"/>
        <v>458724.18123056937</v>
      </c>
      <c r="S433" s="141">
        <f t="shared" si="241"/>
        <v>429443.91434351169</v>
      </c>
      <c r="T433" s="141">
        <f t="shared" si="241"/>
        <v>400163.64745645411</v>
      </c>
      <c r="U433" s="141">
        <f t="shared" si="241"/>
        <v>370883.38056939648</v>
      </c>
      <c r="V433" s="141">
        <f t="shared" si="241"/>
        <v>341603.11368233885</v>
      </c>
      <c r="W433" s="141">
        <f t="shared" si="241"/>
        <v>312322.84679528122</v>
      </c>
      <c r="X433" s="141">
        <f t="shared" si="241"/>
        <v>283042.57990822359</v>
      </c>
      <c r="Y433" s="141">
        <f t="shared" si="241"/>
        <v>0</v>
      </c>
      <c r="Z433" s="141">
        <f t="shared" si="241"/>
        <v>0</v>
      </c>
      <c r="AA433" s="141">
        <f t="shared" si="241"/>
        <v>0</v>
      </c>
      <c r="AB433" s="141">
        <f t="shared" si="241"/>
        <v>0</v>
      </c>
      <c r="AC433" s="141">
        <f t="shared" si="241"/>
        <v>0</v>
      </c>
      <c r="AD433" s="141">
        <f t="shared" si="241"/>
        <v>0</v>
      </c>
      <c r="AE433" s="141">
        <f t="shared" si="241"/>
        <v>0</v>
      </c>
      <c r="AF433" s="141">
        <f t="shared" si="241"/>
        <v>0</v>
      </c>
      <c r="AG433" s="141">
        <f t="shared" si="241"/>
        <v>0</v>
      </c>
      <c r="AH433" s="141">
        <f t="shared" si="241"/>
        <v>0</v>
      </c>
      <c r="AI433" s="141">
        <f t="shared" si="241"/>
        <v>0</v>
      </c>
      <c r="AJ433" s="141">
        <f t="shared" si="241"/>
        <v>0</v>
      </c>
      <c r="AK433" s="141">
        <f t="shared" si="241"/>
        <v>0</v>
      </c>
      <c r="AL433" s="141">
        <f t="shared" si="241"/>
        <v>0</v>
      </c>
      <c r="AM433" s="141">
        <f t="shared" si="241"/>
        <v>0</v>
      </c>
      <c r="AN433" s="141">
        <f t="shared" si="241"/>
        <v>0</v>
      </c>
      <c r="AO433" s="141">
        <f t="shared" si="241"/>
        <v>0</v>
      </c>
      <c r="AP433" s="141">
        <f t="shared" si="241"/>
        <v>0</v>
      </c>
      <c r="AQ433" s="141">
        <f t="shared" si="241"/>
        <v>0</v>
      </c>
      <c r="AR433" s="141">
        <f t="shared" si="241"/>
        <v>0</v>
      </c>
      <c r="AS433" s="141">
        <f t="shared" si="241"/>
        <v>0</v>
      </c>
      <c r="AT433" s="141">
        <f t="shared" si="241"/>
        <v>0</v>
      </c>
      <c r="AU433" s="141">
        <f t="shared" si="241"/>
        <v>0</v>
      </c>
      <c r="AV433" s="141">
        <f t="shared" si="241"/>
        <v>0</v>
      </c>
      <c r="AW433" s="141">
        <f t="shared" si="241"/>
        <v>0</v>
      </c>
      <c r="AX433" s="141">
        <f t="shared" si="241"/>
        <v>0</v>
      </c>
      <c r="AY433" s="141">
        <f t="shared" si="241"/>
        <v>0</v>
      </c>
      <c r="AZ433" s="141">
        <f t="shared" si="241"/>
        <v>0</v>
      </c>
      <c r="BA433" s="141">
        <f t="shared" si="241"/>
        <v>0</v>
      </c>
      <c r="BB433" s="141">
        <f t="shared" si="241"/>
        <v>0</v>
      </c>
      <c r="BC433" s="141">
        <f t="shared" si="241"/>
        <v>0</v>
      </c>
      <c r="BD433" s="141">
        <f t="shared" si="241"/>
        <v>0</v>
      </c>
      <c r="BE433" s="141">
        <f t="shared" si="241"/>
        <v>0</v>
      </c>
      <c r="BF433" s="141">
        <f t="shared" si="241"/>
        <v>0</v>
      </c>
      <c r="BG433" s="141">
        <f t="shared" si="241"/>
        <v>0</v>
      </c>
      <c r="BH433" s="141">
        <f t="shared" si="241"/>
        <v>0</v>
      </c>
      <c r="BI433" s="141">
        <f t="shared" si="241"/>
        <v>0</v>
      </c>
      <c r="BJ433" s="142">
        <f t="shared" si="241"/>
        <v>0</v>
      </c>
      <c r="BK433" s="141"/>
      <c r="BL433" s="141"/>
    </row>
    <row r="434" spans="1:64" s="116" customFormat="1">
      <c r="A434" s="111" t="s">
        <v>133</v>
      </c>
      <c r="B434" s="155">
        <f>SUM(B435:B438)</f>
        <v>203679748.5375399</v>
      </c>
      <c r="C434" s="117">
        <f>SUM(C435:C438)</f>
        <v>1238129.0970218307</v>
      </c>
      <c r="D434" s="118">
        <f>SUM(D435:D438)</f>
        <v>2573859.0836671866</v>
      </c>
      <c r="E434" s="118">
        <f>SUM(E435:E438)</f>
        <v>5177202.569342752</v>
      </c>
      <c r="F434" s="118">
        <f t="shared" ref="F434:AJ434" si="242">SUM(F435:F438)</f>
        <v>7780546.0550183179</v>
      </c>
      <c r="G434" s="118">
        <f t="shared" si="242"/>
        <v>10383889.540693881</v>
      </c>
      <c r="H434" s="118">
        <f t="shared" si="242"/>
        <v>10383889.540693881</v>
      </c>
      <c r="I434" s="118">
        <f t="shared" si="242"/>
        <v>10383889.540693881</v>
      </c>
      <c r="J434" s="118">
        <f t="shared" si="242"/>
        <v>10383889.540693881</v>
      </c>
      <c r="K434" s="118">
        <f t="shared" si="242"/>
        <v>10383889.540693881</v>
      </c>
      <c r="L434" s="118">
        <f t="shared" si="242"/>
        <v>10383889.540693881</v>
      </c>
      <c r="M434" s="118">
        <f t="shared" si="242"/>
        <v>10383889.540693881</v>
      </c>
      <c r="N434" s="118">
        <f t="shared" si="242"/>
        <v>10383889.540693881</v>
      </c>
      <c r="O434" s="118">
        <f t="shared" si="242"/>
        <v>10383889.540693881</v>
      </c>
      <c r="P434" s="118">
        <f t="shared" si="242"/>
        <v>10383889.540693881</v>
      </c>
      <c r="Q434" s="118">
        <f t="shared" si="242"/>
        <v>10383889.540693881</v>
      </c>
      <c r="R434" s="118">
        <f t="shared" si="242"/>
        <v>10383889.540693881</v>
      </c>
      <c r="S434" s="118">
        <f t="shared" si="242"/>
        <v>10383889.540693881</v>
      </c>
      <c r="T434" s="118">
        <f t="shared" si="242"/>
        <v>10383889.540693881</v>
      </c>
      <c r="U434" s="118">
        <f t="shared" si="242"/>
        <v>10383889.540693881</v>
      </c>
      <c r="V434" s="118">
        <f t="shared" si="242"/>
        <v>10383889.540693881</v>
      </c>
      <c r="W434" s="118">
        <f t="shared" si="242"/>
        <v>10383889.540693881</v>
      </c>
      <c r="X434" s="118">
        <f t="shared" si="242"/>
        <v>10383889.540693881</v>
      </c>
      <c r="Y434" s="118">
        <f t="shared" si="242"/>
        <v>0</v>
      </c>
      <c r="Z434" s="118">
        <f t="shared" si="242"/>
        <v>0</v>
      </c>
      <c r="AA434" s="118">
        <f t="shared" si="242"/>
        <v>0</v>
      </c>
      <c r="AB434" s="118">
        <f t="shared" si="242"/>
        <v>0</v>
      </c>
      <c r="AC434" s="118">
        <f t="shared" si="242"/>
        <v>0</v>
      </c>
      <c r="AD434" s="118">
        <f t="shared" si="242"/>
        <v>0</v>
      </c>
      <c r="AE434" s="118">
        <f t="shared" si="242"/>
        <v>0</v>
      </c>
      <c r="AF434" s="118">
        <f t="shared" si="242"/>
        <v>0</v>
      </c>
      <c r="AG434" s="118">
        <f t="shared" si="242"/>
        <v>0</v>
      </c>
      <c r="AH434" s="118">
        <f t="shared" si="242"/>
        <v>0</v>
      </c>
      <c r="AI434" s="118">
        <f t="shared" si="242"/>
        <v>0</v>
      </c>
      <c r="AJ434" s="118">
        <f t="shared" si="242"/>
        <v>0</v>
      </c>
      <c r="AK434" s="118"/>
      <c r="AL434" s="118"/>
      <c r="AM434" s="118"/>
      <c r="AN434" s="118"/>
      <c r="AO434" s="118"/>
      <c r="AP434" s="118"/>
      <c r="AQ434" s="118"/>
      <c r="AR434" s="118"/>
      <c r="AS434" s="118"/>
      <c r="AT434" s="118"/>
      <c r="AU434" s="118"/>
      <c r="AV434" s="118"/>
      <c r="AW434" s="118"/>
      <c r="AX434" s="118"/>
      <c r="AY434" s="118"/>
      <c r="AZ434" s="118"/>
      <c r="BA434" s="118"/>
      <c r="BB434" s="118"/>
      <c r="BC434" s="118"/>
      <c r="BD434" s="118"/>
      <c r="BE434" s="118"/>
      <c r="BF434" s="118"/>
      <c r="BG434" s="118"/>
      <c r="BH434" s="118"/>
      <c r="BI434" s="118"/>
      <c r="BJ434" s="119"/>
      <c r="BK434" s="118"/>
      <c r="BL434" s="118"/>
    </row>
    <row r="435" spans="1:64" s="143" customFormat="1" ht="12.75">
      <c r="A435" s="138" t="s">
        <v>126</v>
      </c>
      <c r="B435" s="139">
        <f t="shared" ref="B435:B441" si="243">SUM(C435:BJ435)</f>
        <v>9913804.1951371618</v>
      </c>
      <c r="C435" s="227">
        <f>IF(AND(C402&gt;5,C403=0),0,C420)</f>
        <v>0</v>
      </c>
      <c r="D435" s="141">
        <f>IF(AND(D402&gt;5,D403=0),0,D420)</f>
        <v>0</v>
      </c>
      <c r="E435" s="141">
        <f t="shared" ref="E435:BJ435" si="244">IF(AND(E402&gt;5,E403=0),0,E420)</f>
        <v>173926.38938837126</v>
      </c>
      <c r="F435" s="141">
        <f t="shared" si="244"/>
        <v>347852.77877674252</v>
      </c>
      <c r="G435" s="141">
        <f t="shared" si="244"/>
        <v>521779.16816511378</v>
      </c>
      <c r="H435" s="141">
        <f t="shared" si="244"/>
        <v>521779.16816511378</v>
      </c>
      <c r="I435" s="141">
        <f t="shared" si="244"/>
        <v>521779.16816511378</v>
      </c>
      <c r="J435" s="141">
        <f t="shared" si="244"/>
        <v>521779.16816511378</v>
      </c>
      <c r="K435" s="141">
        <f t="shared" si="244"/>
        <v>521779.16816511378</v>
      </c>
      <c r="L435" s="141">
        <f t="shared" si="244"/>
        <v>521779.16816511378</v>
      </c>
      <c r="M435" s="141">
        <f t="shared" si="244"/>
        <v>521779.16816511378</v>
      </c>
      <c r="N435" s="141">
        <f t="shared" si="244"/>
        <v>521779.16816511378</v>
      </c>
      <c r="O435" s="141">
        <f t="shared" si="244"/>
        <v>521779.16816511378</v>
      </c>
      <c r="P435" s="141">
        <f t="shared" si="244"/>
        <v>521779.16816511378</v>
      </c>
      <c r="Q435" s="141">
        <f t="shared" si="244"/>
        <v>521779.16816511378</v>
      </c>
      <c r="R435" s="141">
        <f t="shared" si="244"/>
        <v>521779.16816511378</v>
      </c>
      <c r="S435" s="141">
        <f t="shared" si="244"/>
        <v>521779.16816511378</v>
      </c>
      <c r="T435" s="141">
        <f t="shared" si="244"/>
        <v>521779.16816511378</v>
      </c>
      <c r="U435" s="141">
        <f t="shared" si="244"/>
        <v>521779.16816511378</v>
      </c>
      <c r="V435" s="141">
        <f t="shared" si="244"/>
        <v>521779.16816511378</v>
      </c>
      <c r="W435" s="141">
        <f t="shared" si="244"/>
        <v>521779.16816511378</v>
      </c>
      <c r="X435" s="141">
        <f t="shared" si="244"/>
        <v>521779.16816511378</v>
      </c>
      <c r="Y435" s="141">
        <f t="shared" si="244"/>
        <v>0</v>
      </c>
      <c r="Z435" s="141">
        <f t="shared" si="244"/>
        <v>0</v>
      </c>
      <c r="AA435" s="141">
        <f t="shared" si="244"/>
        <v>0</v>
      </c>
      <c r="AB435" s="141">
        <f t="shared" si="244"/>
        <v>0</v>
      </c>
      <c r="AC435" s="141">
        <f t="shared" si="244"/>
        <v>0</v>
      </c>
      <c r="AD435" s="141">
        <f t="shared" si="244"/>
        <v>0</v>
      </c>
      <c r="AE435" s="141">
        <f t="shared" si="244"/>
        <v>0</v>
      </c>
      <c r="AF435" s="141">
        <f t="shared" si="244"/>
        <v>0</v>
      </c>
      <c r="AG435" s="141">
        <f t="shared" si="244"/>
        <v>0</v>
      </c>
      <c r="AH435" s="141">
        <f t="shared" si="244"/>
        <v>0</v>
      </c>
      <c r="AI435" s="141">
        <f t="shared" si="244"/>
        <v>0</v>
      </c>
      <c r="AJ435" s="141">
        <f t="shared" si="244"/>
        <v>0</v>
      </c>
      <c r="AK435" s="141">
        <f t="shared" si="244"/>
        <v>0</v>
      </c>
      <c r="AL435" s="141">
        <f t="shared" si="244"/>
        <v>0</v>
      </c>
      <c r="AM435" s="141">
        <f t="shared" si="244"/>
        <v>0</v>
      </c>
      <c r="AN435" s="141">
        <f t="shared" si="244"/>
        <v>0</v>
      </c>
      <c r="AO435" s="141">
        <f t="shared" si="244"/>
        <v>0</v>
      </c>
      <c r="AP435" s="141">
        <f t="shared" si="244"/>
        <v>0</v>
      </c>
      <c r="AQ435" s="141">
        <f t="shared" si="244"/>
        <v>0</v>
      </c>
      <c r="AR435" s="141">
        <f t="shared" si="244"/>
        <v>0</v>
      </c>
      <c r="AS435" s="141">
        <f t="shared" si="244"/>
        <v>0</v>
      </c>
      <c r="AT435" s="141">
        <f t="shared" si="244"/>
        <v>0</v>
      </c>
      <c r="AU435" s="141">
        <f t="shared" si="244"/>
        <v>0</v>
      </c>
      <c r="AV435" s="141">
        <f t="shared" si="244"/>
        <v>0</v>
      </c>
      <c r="AW435" s="141">
        <f t="shared" si="244"/>
        <v>0</v>
      </c>
      <c r="AX435" s="141">
        <f t="shared" si="244"/>
        <v>0</v>
      </c>
      <c r="AY435" s="141">
        <f t="shared" si="244"/>
        <v>0</v>
      </c>
      <c r="AZ435" s="141">
        <f t="shared" si="244"/>
        <v>0</v>
      </c>
      <c r="BA435" s="141">
        <f t="shared" si="244"/>
        <v>0</v>
      </c>
      <c r="BB435" s="141">
        <f t="shared" si="244"/>
        <v>0</v>
      </c>
      <c r="BC435" s="141">
        <f t="shared" si="244"/>
        <v>0</v>
      </c>
      <c r="BD435" s="141">
        <f t="shared" si="244"/>
        <v>0</v>
      </c>
      <c r="BE435" s="141">
        <f t="shared" si="244"/>
        <v>0</v>
      </c>
      <c r="BF435" s="141">
        <f t="shared" si="244"/>
        <v>0</v>
      </c>
      <c r="BG435" s="141">
        <f t="shared" si="244"/>
        <v>0</v>
      </c>
      <c r="BH435" s="141">
        <f t="shared" si="244"/>
        <v>0</v>
      </c>
      <c r="BI435" s="141">
        <f t="shared" si="244"/>
        <v>0</v>
      </c>
      <c r="BJ435" s="142">
        <f t="shared" si="244"/>
        <v>0</v>
      </c>
      <c r="BK435" s="141"/>
      <c r="BL435" s="141"/>
    </row>
    <row r="436" spans="1:64" s="143" customFormat="1" ht="12.75">
      <c r="A436" s="138" t="s">
        <v>127</v>
      </c>
      <c r="B436" s="139">
        <f t="shared" si="243"/>
        <v>73466666.666666642</v>
      </c>
      <c r="C436" s="227">
        <f>IF(AND(C402&gt;5,C403=0),0,C421)</f>
        <v>0</v>
      </c>
      <c r="D436" s="141">
        <f>IF(AND(D402&gt;5,D403=0),0,D421)</f>
        <v>0</v>
      </c>
      <c r="E436" s="141">
        <f t="shared" ref="E436:BJ436" si="245">IF(AND(E402&gt;5,E403=0),0,E421)</f>
        <v>1288888.8888888888</v>
      </c>
      <c r="F436" s="141">
        <f t="shared" si="245"/>
        <v>2577777.7777777775</v>
      </c>
      <c r="G436" s="141">
        <f t="shared" si="245"/>
        <v>3866666.666666666</v>
      </c>
      <c r="H436" s="141">
        <f t="shared" si="245"/>
        <v>3866666.666666666</v>
      </c>
      <c r="I436" s="141">
        <f t="shared" si="245"/>
        <v>3866666.666666666</v>
      </c>
      <c r="J436" s="141">
        <f t="shared" si="245"/>
        <v>3866666.666666666</v>
      </c>
      <c r="K436" s="141">
        <f t="shared" si="245"/>
        <v>3866666.666666666</v>
      </c>
      <c r="L436" s="141">
        <f t="shared" si="245"/>
        <v>3866666.666666666</v>
      </c>
      <c r="M436" s="141">
        <f t="shared" si="245"/>
        <v>3866666.666666666</v>
      </c>
      <c r="N436" s="141">
        <f t="shared" si="245"/>
        <v>3866666.666666666</v>
      </c>
      <c r="O436" s="141">
        <f t="shared" si="245"/>
        <v>3866666.666666666</v>
      </c>
      <c r="P436" s="141">
        <f t="shared" si="245"/>
        <v>3866666.666666666</v>
      </c>
      <c r="Q436" s="141">
        <f t="shared" si="245"/>
        <v>3866666.666666666</v>
      </c>
      <c r="R436" s="141">
        <f t="shared" si="245"/>
        <v>3866666.666666666</v>
      </c>
      <c r="S436" s="141">
        <f t="shared" si="245"/>
        <v>3866666.666666666</v>
      </c>
      <c r="T436" s="141">
        <f t="shared" si="245"/>
        <v>3866666.666666666</v>
      </c>
      <c r="U436" s="141">
        <f t="shared" si="245"/>
        <v>3866666.666666666</v>
      </c>
      <c r="V436" s="141">
        <f t="shared" si="245"/>
        <v>3866666.666666666</v>
      </c>
      <c r="W436" s="141">
        <f t="shared" si="245"/>
        <v>3866666.666666666</v>
      </c>
      <c r="X436" s="141">
        <f t="shared" si="245"/>
        <v>3866666.666666666</v>
      </c>
      <c r="Y436" s="141">
        <f t="shared" si="245"/>
        <v>0</v>
      </c>
      <c r="Z436" s="141">
        <f t="shared" si="245"/>
        <v>0</v>
      </c>
      <c r="AA436" s="141">
        <f t="shared" si="245"/>
        <v>0</v>
      </c>
      <c r="AB436" s="141">
        <f t="shared" si="245"/>
        <v>0</v>
      </c>
      <c r="AC436" s="141">
        <f t="shared" si="245"/>
        <v>0</v>
      </c>
      <c r="AD436" s="141">
        <f t="shared" si="245"/>
        <v>0</v>
      </c>
      <c r="AE436" s="141">
        <f t="shared" si="245"/>
        <v>0</v>
      </c>
      <c r="AF436" s="141">
        <f t="shared" si="245"/>
        <v>0</v>
      </c>
      <c r="AG436" s="141">
        <f t="shared" si="245"/>
        <v>0</v>
      </c>
      <c r="AH436" s="141">
        <f t="shared" si="245"/>
        <v>0</v>
      </c>
      <c r="AI436" s="141">
        <f t="shared" si="245"/>
        <v>0</v>
      </c>
      <c r="AJ436" s="141">
        <f t="shared" si="245"/>
        <v>0</v>
      </c>
      <c r="AK436" s="141">
        <f t="shared" si="245"/>
        <v>0</v>
      </c>
      <c r="AL436" s="141">
        <f t="shared" si="245"/>
        <v>0</v>
      </c>
      <c r="AM436" s="141">
        <f t="shared" si="245"/>
        <v>0</v>
      </c>
      <c r="AN436" s="141">
        <f t="shared" si="245"/>
        <v>0</v>
      </c>
      <c r="AO436" s="141">
        <f t="shared" si="245"/>
        <v>0</v>
      </c>
      <c r="AP436" s="141">
        <f t="shared" si="245"/>
        <v>0</v>
      </c>
      <c r="AQ436" s="141">
        <f t="shared" si="245"/>
        <v>0</v>
      </c>
      <c r="AR436" s="141">
        <f t="shared" si="245"/>
        <v>0</v>
      </c>
      <c r="AS436" s="141">
        <f t="shared" si="245"/>
        <v>0</v>
      </c>
      <c r="AT436" s="141">
        <f t="shared" si="245"/>
        <v>0</v>
      </c>
      <c r="AU436" s="141">
        <f t="shared" si="245"/>
        <v>0</v>
      </c>
      <c r="AV436" s="141">
        <f t="shared" si="245"/>
        <v>0</v>
      </c>
      <c r="AW436" s="141">
        <f t="shared" si="245"/>
        <v>0</v>
      </c>
      <c r="AX436" s="141">
        <f t="shared" si="245"/>
        <v>0</v>
      </c>
      <c r="AY436" s="141">
        <f t="shared" si="245"/>
        <v>0</v>
      </c>
      <c r="AZ436" s="141">
        <f t="shared" si="245"/>
        <v>0</v>
      </c>
      <c r="BA436" s="141">
        <f t="shared" si="245"/>
        <v>0</v>
      </c>
      <c r="BB436" s="141">
        <f t="shared" si="245"/>
        <v>0</v>
      </c>
      <c r="BC436" s="141">
        <f t="shared" si="245"/>
        <v>0</v>
      </c>
      <c r="BD436" s="141">
        <f t="shared" si="245"/>
        <v>0</v>
      </c>
      <c r="BE436" s="141">
        <f t="shared" si="245"/>
        <v>0</v>
      </c>
      <c r="BF436" s="141">
        <f t="shared" si="245"/>
        <v>0</v>
      </c>
      <c r="BG436" s="141">
        <f t="shared" si="245"/>
        <v>0</v>
      </c>
      <c r="BH436" s="141">
        <f t="shared" si="245"/>
        <v>0</v>
      </c>
      <c r="BI436" s="141">
        <f t="shared" si="245"/>
        <v>0</v>
      </c>
      <c r="BJ436" s="142">
        <f t="shared" si="245"/>
        <v>0</v>
      </c>
      <c r="BK436" s="141"/>
      <c r="BL436" s="141"/>
    </row>
    <row r="437" spans="1:64" s="143" customFormat="1" ht="12.75">
      <c r="A437" s="138" t="s">
        <v>128</v>
      </c>
      <c r="B437" s="139">
        <f t="shared" si="243"/>
        <v>114052820.73983046</v>
      </c>
      <c r="C437" s="227">
        <f>IF(AND(C402&gt;5,C403=0),0,C422)</f>
        <v>1140528.2073983052</v>
      </c>
      <c r="D437" s="141">
        <f>IF(AND(D402&gt;5,D403=0),0,D422)</f>
        <v>2281056.4147966104</v>
      </c>
      <c r="E437" s="141">
        <f t="shared" ref="E437:BJ437" si="246">IF(AND(E402&gt;5,E403=0),0,E422)</f>
        <v>3421584.6221949155</v>
      </c>
      <c r="F437" s="141">
        <f t="shared" si="246"/>
        <v>4562112.8295932207</v>
      </c>
      <c r="G437" s="141">
        <f t="shared" si="246"/>
        <v>5702641.0369915254</v>
      </c>
      <c r="H437" s="141">
        <f t="shared" si="246"/>
        <v>5702641.0369915254</v>
      </c>
      <c r="I437" s="141">
        <f t="shared" si="246"/>
        <v>5702641.0369915254</v>
      </c>
      <c r="J437" s="141">
        <f t="shared" si="246"/>
        <v>5702641.0369915254</v>
      </c>
      <c r="K437" s="141">
        <f t="shared" si="246"/>
        <v>5702641.0369915254</v>
      </c>
      <c r="L437" s="141">
        <f t="shared" si="246"/>
        <v>5702641.0369915254</v>
      </c>
      <c r="M437" s="141">
        <f t="shared" si="246"/>
        <v>5702641.0369915254</v>
      </c>
      <c r="N437" s="141">
        <f t="shared" si="246"/>
        <v>5702641.0369915254</v>
      </c>
      <c r="O437" s="141">
        <f t="shared" si="246"/>
        <v>5702641.0369915254</v>
      </c>
      <c r="P437" s="141">
        <f t="shared" si="246"/>
        <v>5702641.0369915254</v>
      </c>
      <c r="Q437" s="141">
        <f t="shared" si="246"/>
        <v>5702641.0369915254</v>
      </c>
      <c r="R437" s="141">
        <f t="shared" si="246"/>
        <v>5702641.0369915254</v>
      </c>
      <c r="S437" s="141">
        <f t="shared" si="246"/>
        <v>5702641.0369915254</v>
      </c>
      <c r="T437" s="141">
        <f t="shared" si="246"/>
        <v>5702641.0369915254</v>
      </c>
      <c r="U437" s="141">
        <f t="shared" si="246"/>
        <v>5702641.0369915254</v>
      </c>
      <c r="V437" s="141">
        <f t="shared" si="246"/>
        <v>5702641.0369915254</v>
      </c>
      <c r="W437" s="141">
        <f t="shared" si="246"/>
        <v>5702641.0369915254</v>
      </c>
      <c r="X437" s="141">
        <f t="shared" si="246"/>
        <v>5702641.0369915254</v>
      </c>
      <c r="Y437" s="141">
        <f t="shared" si="246"/>
        <v>0</v>
      </c>
      <c r="Z437" s="141">
        <f t="shared" si="246"/>
        <v>0</v>
      </c>
      <c r="AA437" s="141">
        <f t="shared" si="246"/>
        <v>0</v>
      </c>
      <c r="AB437" s="141">
        <f t="shared" si="246"/>
        <v>0</v>
      </c>
      <c r="AC437" s="141">
        <f t="shared" si="246"/>
        <v>0</v>
      </c>
      <c r="AD437" s="141">
        <f t="shared" si="246"/>
        <v>0</v>
      </c>
      <c r="AE437" s="141">
        <f t="shared" si="246"/>
        <v>0</v>
      </c>
      <c r="AF437" s="141">
        <f t="shared" si="246"/>
        <v>0</v>
      </c>
      <c r="AG437" s="141">
        <f t="shared" si="246"/>
        <v>0</v>
      </c>
      <c r="AH437" s="141">
        <f t="shared" si="246"/>
        <v>0</v>
      </c>
      <c r="AI437" s="141">
        <f t="shared" si="246"/>
        <v>0</v>
      </c>
      <c r="AJ437" s="141">
        <f t="shared" si="246"/>
        <v>0</v>
      </c>
      <c r="AK437" s="141">
        <f t="shared" si="246"/>
        <v>0</v>
      </c>
      <c r="AL437" s="141">
        <f t="shared" si="246"/>
        <v>0</v>
      </c>
      <c r="AM437" s="141">
        <f t="shared" si="246"/>
        <v>0</v>
      </c>
      <c r="AN437" s="141">
        <f t="shared" si="246"/>
        <v>0</v>
      </c>
      <c r="AO437" s="141">
        <f t="shared" si="246"/>
        <v>0</v>
      </c>
      <c r="AP437" s="141">
        <f t="shared" si="246"/>
        <v>0</v>
      </c>
      <c r="AQ437" s="141">
        <f t="shared" si="246"/>
        <v>0</v>
      </c>
      <c r="AR437" s="141">
        <f t="shared" si="246"/>
        <v>0</v>
      </c>
      <c r="AS437" s="141">
        <f t="shared" si="246"/>
        <v>0</v>
      </c>
      <c r="AT437" s="141">
        <f t="shared" si="246"/>
        <v>0</v>
      </c>
      <c r="AU437" s="141">
        <f t="shared" si="246"/>
        <v>0</v>
      </c>
      <c r="AV437" s="141">
        <f t="shared" si="246"/>
        <v>0</v>
      </c>
      <c r="AW437" s="141">
        <f t="shared" si="246"/>
        <v>0</v>
      </c>
      <c r="AX437" s="141">
        <f t="shared" si="246"/>
        <v>0</v>
      </c>
      <c r="AY437" s="141">
        <f t="shared" si="246"/>
        <v>0</v>
      </c>
      <c r="AZ437" s="141">
        <f t="shared" si="246"/>
        <v>0</v>
      </c>
      <c r="BA437" s="141">
        <f t="shared" si="246"/>
        <v>0</v>
      </c>
      <c r="BB437" s="141">
        <f t="shared" si="246"/>
        <v>0</v>
      </c>
      <c r="BC437" s="141">
        <f t="shared" si="246"/>
        <v>0</v>
      </c>
      <c r="BD437" s="141">
        <f t="shared" si="246"/>
        <v>0</v>
      </c>
      <c r="BE437" s="141">
        <f t="shared" si="246"/>
        <v>0</v>
      </c>
      <c r="BF437" s="141">
        <f t="shared" si="246"/>
        <v>0</v>
      </c>
      <c r="BG437" s="141">
        <f t="shared" si="246"/>
        <v>0</v>
      </c>
      <c r="BH437" s="141">
        <f t="shared" si="246"/>
        <v>0</v>
      </c>
      <c r="BI437" s="141">
        <f t="shared" si="246"/>
        <v>0</v>
      </c>
      <c r="BJ437" s="142">
        <f t="shared" si="246"/>
        <v>0</v>
      </c>
      <c r="BK437" s="141"/>
      <c r="BL437" s="141"/>
    </row>
    <row r="438" spans="1:64" s="143" customFormat="1" ht="12.75">
      <c r="A438" s="228" t="s">
        <v>129</v>
      </c>
      <c r="B438" s="229">
        <f t="shared" si="243"/>
        <v>6246456.9359056307</v>
      </c>
      <c r="C438" s="230">
        <f>IF(AND(C402&gt;5,C403=0),0,C423)</f>
        <v>97600.889623525451</v>
      </c>
      <c r="D438" s="214">
        <f>IF(AND(D402&gt;5,D403=0),0,D423)</f>
        <v>292802.66887057637</v>
      </c>
      <c r="E438" s="214">
        <f t="shared" ref="E438:BJ438" si="247">IF(AND(E402&gt;5,E403=0),0,E423)</f>
        <v>292802.66887057637</v>
      </c>
      <c r="F438" s="214">
        <f t="shared" si="247"/>
        <v>292802.66887057637</v>
      </c>
      <c r="G438" s="214">
        <f t="shared" si="247"/>
        <v>292802.66887057637</v>
      </c>
      <c r="H438" s="214">
        <f t="shared" si="247"/>
        <v>292802.66887057637</v>
      </c>
      <c r="I438" s="214">
        <f t="shared" si="247"/>
        <v>292802.66887057637</v>
      </c>
      <c r="J438" s="214">
        <f t="shared" si="247"/>
        <v>292802.66887057637</v>
      </c>
      <c r="K438" s="214">
        <f t="shared" si="247"/>
        <v>292802.66887057637</v>
      </c>
      <c r="L438" s="214">
        <f t="shared" si="247"/>
        <v>292802.66887057637</v>
      </c>
      <c r="M438" s="214">
        <f t="shared" si="247"/>
        <v>292802.66887057637</v>
      </c>
      <c r="N438" s="214">
        <f t="shared" si="247"/>
        <v>292802.66887057637</v>
      </c>
      <c r="O438" s="214">
        <f t="shared" si="247"/>
        <v>292802.66887057637</v>
      </c>
      <c r="P438" s="214">
        <f t="shared" si="247"/>
        <v>292802.66887057637</v>
      </c>
      <c r="Q438" s="214">
        <f t="shared" si="247"/>
        <v>292802.66887057637</v>
      </c>
      <c r="R438" s="214">
        <f t="shared" si="247"/>
        <v>292802.66887057637</v>
      </c>
      <c r="S438" s="214">
        <f t="shared" si="247"/>
        <v>292802.66887057637</v>
      </c>
      <c r="T438" s="214">
        <f t="shared" si="247"/>
        <v>292802.66887057637</v>
      </c>
      <c r="U438" s="214">
        <f t="shared" si="247"/>
        <v>292802.66887057637</v>
      </c>
      <c r="V438" s="214">
        <f t="shared" si="247"/>
        <v>292802.66887057637</v>
      </c>
      <c r="W438" s="214">
        <f t="shared" si="247"/>
        <v>292802.66887057637</v>
      </c>
      <c r="X438" s="214">
        <f t="shared" si="247"/>
        <v>292802.66887057637</v>
      </c>
      <c r="Y438" s="214">
        <f t="shared" si="247"/>
        <v>0</v>
      </c>
      <c r="Z438" s="214">
        <f t="shared" si="247"/>
        <v>0</v>
      </c>
      <c r="AA438" s="214">
        <f t="shared" si="247"/>
        <v>0</v>
      </c>
      <c r="AB438" s="214">
        <f t="shared" si="247"/>
        <v>0</v>
      </c>
      <c r="AC438" s="214">
        <f t="shared" si="247"/>
        <v>0</v>
      </c>
      <c r="AD438" s="214">
        <f t="shared" si="247"/>
        <v>0</v>
      </c>
      <c r="AE438" s="214">
        <f t="shared" si="247"/>
        <v>0</v>
      </c>
      <c r="AF438" s="214">
        <f t="shared" si="247"/>
        <v>0</v>
      </c>
      <c r="AG438" s="214">
        <f t="shared" si="247"/>
        <v>0</v>
      </c>
      <c r="AH438" s="214">
        <f t="shared" si="247"/>
        <v>0</v>
      </c>
      <c r="AI438" s="214">
        <f t="shared" si="247"/>
        <v>0</v>
      </c>
      <c r="AJ438" s="214">
        <f t="shared" si="247"/>
        <v>0</v>
      </c>
      <c r="AK438" s="214">
        <f t="shared" si="247"/>
        <v>0</v>
      </c>
      <c r="AL438" s="214">
        <f t="shared" si="247"/>
        <v>0</v>
      </c>
      <c r="AM438" s="214">
        <f t="shared" si="247"/>
        <v>0</v>
      </c>
      <c r="AN438" s="214">
        <f t="shared" si="247"/>
        <v>0</v>
      </c>
      <c r="AO438" s="214">
        <f t="shared" si="247"/>
        <v>0</v>
      </c>
      <c r="AP438" s="214">
        <f t="shared" si="247"/>
        <v>0</v>
      </c>
      <c r="AQ438" s="214">
        <f t="shared" si="247"/>
        <v>0</v>
      </c>
      <c r="AR438" s="214">
        <f t="shared" si="247"/>
        <v>0</v>
      </c>
      <c r="AS438" s="214">
        <f t="shared" si="247"/>
        <v>0</v>
      </c>
      <c r="AT438" s="214">
        <f t="shared" si="247"/>
        <v>0</v>
      </c>
      <c r="AU438" s="214">
        <f t="shared" si="247"/>
        <v>0</v>
      </c>
      <c r="AV438" s="214">
        <f t="shared" si="247"/>
        <v>0</v>
      </c>
      <c r="AW438" s="214">
        <f t="shared" si="247"/>
        <v>0</v>
      </c>
      <c r="AX438" s="214">
        <f t="shared" si="247"/>
        <v>0</v>
      </c>
      <c r="AY438" s="214">
        <f t="shared" si="247"/>
        <v>0</v>
      </c>
      <c r="AZ438" s="214">
        <f t="shared" si="247"/>
        <v>0</v>
      </c>
      <c r="BA438" s="214">
        <f t="shared" si="247"/>
        <v>0</v>
      </c>
      <c r="BB438" s="214">
        <f t="shared" si="247"/>
        <v>0</v>
      </c>
      <c r="BC438" s="214">
        <f t="shared" si="247"/>
        <v>0</v>
      </c>
      <c r="BD438" s="214">
        <f t="shared" si="247"/>
        <v>0</v>
      </c>
      <c r="BE438" s="214">
        <f t="shared" si="247"/>
        <v>0</v>
      </c>
      <c r="BF438" s="214">
        <f t="shared" si="247"/>
        <v>0</v>
      </c>
      <c r="BG438" s="214">
        <f t="shared" si="247"/>
        <v>0</v>
      </c>
      <c r="BH438" s="214">
        <f t="shared" si="247"/>
        <v>0</v>
      </c>
      <c r="BI438" s="214">
        <f t="shared" si="247"/>
        <v>0</v>
      </c>
      <c r="BJ438" s="215">
        <f t="shared" si="247"/>
        <v>0</v>
      </c>
      <c r="BK438" s="141"/>
      <c r="BL438" s="141"/>
    </row>
    <row r="439" spans="1:64" s="160" customFormat="1">
      <c r="A439" s="131" t="s">
        <v>134</v>
      </c>
      <c r="B439" s="156">
        <f t="shared" si="243"/>
        <v>2431777654.9271364</v>
      </c>
      <c r="C439" s="156">
        <f>C413-C414-C434</f>
        <v>-35266891.476118796</v>
      </c>
      <c r="D439" s="157">
        <f t="shared" ref="D439:BJ439" si="248">D413-D414-D434</f>
        <v>-39530648.151469916</v>
      </c>
      <c r="E439" s="157">
        <f t="shared" si="248"/>
        <v>-80162396.608051762</v>
      </c>
      <c r="F439" s="157">
        <f t="shared" si="248"/>
        <v>-82765740.093727335</v>
      </c>
      <c r="G439" s="157">
        <f t="shared" si="248"/>
        <v>-85369083.579402894</v>
      </c>
      <c r="H439" s="157">
        <f t="shared" si="248"/>
        <v>27687648.958953418</v>
      </c>
      <c r="I439" s="157">
        <f t="shared" si="248"/>
        <v>65759187.458600715</v>
      </c>
      <c r="J439" s="157">
        <f t="shared" si="248"/>
        <v>103830725.95824802</v>
      </c>
      <c r="K439" s="157">
        <f t="shared" si="248"/>
        <v>141902264.45789531</v>
      </c>
      <c r="L439" s="157">
        <f t="shared" si="248"/>
        <v>230723640.12983471</v>
      </c>
      <c r="M439" s="157">
        <f t="shared" si="248"/>
        <v>230723640.12983471</v>
      </c>
      <c r="N439" s="157">
        <f t="shared" si="248"/>
        <v>230723640.12983471</v>
      </c>
      <c r="O439" s="157">
        <f t="shared" si="248"/>
        <v>230723640.12983471</v>
      </c>
      <c r="P439" s="157">
        <f t="shared" si="248"/>
        <v>230723640.12983471</v>
      </c>
      <c r="Q439" s="157">
        <f t="shared" si="248"/>
        <v>230723640.12983471</v>
      </c>
      <c r="R439" s="157">
        <f t="shared" si="248"/>
        <v>230723640.12983471</v>
      </c>
      <c r="S439" s="157">
        <f t="shared" si="248"/>
        <v>230723640.12983471</v>
      </c>
      <c r="T439" s="157">
        <f t="shared" si="248"/>
        <v>230723640.12983471</v>
      </c>
      <c r="U439" s="157">
        <f t="shared" si="248"/>
        <v>141902264.45789531</v>
      </c>
      <c r="V439" s="157">
        <f t="shared" si="248"/>
        <v>103830725.95824802</v>
      </c>
      <c r="W439" s="157">
        <f t="shared" si="248"/>
        <v>65759187.458600715</v>
      </c>
      <c r="X439" s="157">
        <f t="shared" si="248"/>
        <v>27687648.958953418</v>
      </c>
      <c r="Y439" s="157">
        <f t="shared" si="248"/>
        <v>0</v>
      </c>
      <c r="Z439" s="157">
        <f t="shared" si="248"/>
        <v>0</v>
      </c>
      <c r="AA439" s="157">
        <f t="shared" si="248"/>
        <v>0</v>
      </c>
      <c r="AB439" s="157">
        <f t="shared" si="248"/>
        <v>0</v>
      </c>
      <c r="AC439" s="157">
        <f t="shared" si="248"/>
        <v>0</v>
      </c>
      <c r="AD439" s="157">
        <f t="shared" si="248"/>
        <v>0</v>
      </c>
      <c r="AE439" s="157">
        <f t="shared" si="248"/>
        <v>0</v>
      </c>
      <c r="AF439" s="157">
        <f t="shared" si="248"/>
        <v>0</v>
      </c>
      <c r="AG439" s="157">
        <f t="shared" si="248"/>
        <v>0</v>
      </c>
      <c r="AH439" s="157">
        <f t="shared" si="248"/>
        <v>0</v>
      </c>
      <c r="AI439" s="157">
        <f t="shared" si="248"/>
        <v>0</v>
      </c>
      <c r="AJ439" s="157">
        <f t="shared" si="248"/>
        <v>0</v>
      </c>
      <c r="AK439" s="157">
        <f t="shared" si="248"/>
        <v>0</v>
      </c>
      <c r="AL439" s="157">
        <f t="shared" si="248"/>
        <v>0</v>
      </c>
      <c r="AM439" s="157">
        <f t="shared" si="248"/>
        <v>0</v>
      </c>
      <c r="AN439" s="157">
        <f t="shared" si="248"/>
        <v>0</v>
      </c>
      <c r="AO439" s="157">
        <f t="shared" si="248"/>
        <v>0</v>
      </c>
      <c r="AP439" s="157">
        <f t="shared" si="248"/>
        <v>0</v>
      </c>
      <c r="AQ439" s="157">
        <f t="shared" si="248"/>
        <v>0</v>
      </c>
      <c r="AR439" s="157">
        <f t="shared" si="248"/>
        <v>0</v>
      </c>
      <c r="AS439" s="157">
        <f t="shared" si="248"/>
        <v>0</v>
      </c>
      <c r="AT439" s="157">
        <f t="shared" si="248"/>
        <v>0</v>
      </c>
      <c r="AU439" s="157">
        <f t="shared" si="248"/>
        <v>0</v>
      </c>
      <c r="AV439" s="157">
        <f t="shared" si="248"/>
        <v>0</v>
      </c>
      <c r="AW439" s="157">
        <f t="shared" si="248"/>
        <v>0</v>
      </c>
      <c r="AX439" s="157">
        <f t="shared" si="248"/>
        <v>0</v>
      </c>
      <c r="AY439" s="157">
        <f t="shared" si="248"/>
        <v>0</v>
      </c>
      <c r="AZ439" s="157">
        <f t="shared" si="248"/>
        <v>0</v>
      </c>
      <c r="BA439" s="157">
        <f t="shared" si="248"/>
        <v>0</v>
      </c>
      <c r="BB439" s="157">
        <f t="shared" si="248"/>
        <v>0</v>
      </c>
      <c r="BC439" s="157">
        <f t="shared" si="248"/>
        <v>0</v>
      </c>
      <c r="BD439" s="157">
        <f t="shared" si="248"/>
        <v>0</v>
      </c>
      <c r="BE439" s="157">
        <f t="shared" si="248"/>
        <v>0</v>
      </c>
      <c r="BF439" s="157">
        <f t="shared" si="248"/>
        <v>0</v>
      </c>
      <c r="BG439" s="157">
        <f t="shared" si="248"/>
        <v>0</v>
      </c>
      <c r="BH439" s="157">
        <f t="shared" si="248"/>
        <v>0</v>
      </c>
      <c r="BI439" s="157">
        <f t="shared" si="248"/>
        <v>0</v>
      </c>
      <c r="BJ439" s="158">
        <f t="shared" si="248"/>
        <v>0</v>
      </c>
      <c r="BK439" s="159"/>
      <c r="BL439" s="159"/>
    </row>
    <row r="440" spans="1:64" s="160" customFormat="1">
      <c r="A440" s="131" t="s">
        <v>135</v>
      </c>
      <c r="B440" s="156">
        <f t="shared" si="243"/>
        <v>826461724.45077229</v>
      </c>
      <c r="C440" s="231">
        <f>IF(C439&lt;=0,0,C439*$K401)</f>
        <v>0</v>
      </c>
      <c r="D440" s="157">
        <f>IF(D439&lt;=0,0,D439*$K401)</f>
        <v>0</v>
      </c>
      <c r="E440" s="157">
        <f t="shared" ref="E440:BJ440" si="249">IF(E439&lt;=0,0,E439*$K401)</f>
        <v>0</v>
      </c>
      <c r="F440" s="157">
        <f t="shared" si="249"/>
        <v>0</v>
      </c>
      <c r="G440" s="157">
        <f t="shared" si="249"/>
        <v>0</v>
      </c>
      <c r="H440" s="157">
        <f t="shared" si="249"/>
        <v>8306294.6876860252</v>
      </c>
      <c r="I440" s="157">
        <f t="shared" si="249"/>
        <v>19727756.237580214</v>
      </c>
      <c r="J440" s="157">
        <f t="shared" si="249"/>
        <v>31149217.787474405</v>
      </c>
      <c r="K440" s="157">
        <f t="shared" si="249"/>
        <v>42570679.337368593</v>
      </c>
      <c r="L440" s="157">
        <f t="shared" si="249"/>
        <v>69217092.038950413</v>
      </c>
      <c r="M440" s="157">
        <f t="shared" si="249"/>
        <v>69217092.038950413</v>
      </c>
      <c r="N440" s="157">
        <f t="shared" si="249"/>
        <v>69217092.038950413</v>
      </c>
      <c r="O440" s="157">
        <f t="shared" si="249"/>
        <v>69217092.038950413</v>
      </c>
      <c r="P440" s="157">
        <f t="shared" si="249"/>
        <v>69217092.038950413</v>
      </c>
      <c r="Q440" s="157">
        <f t="shared" si="249"/>
        <v>69217092.038950413</v>
      </c>
      <c r="R440" s="157">
        <f t="shared" si="249"/>
        <v>69217092.038950413</v>
      </c>
      <c r="S440" s="157">
        <f t="shared" si="249"/>
        <v>69217092.038950413</v>
      </c>
      <c r="T440" s="157">
        <f t="shared" si="249"/>
        <v>69217092.038950413</v>
      </c>
      <c r="U440" s="157">
        <f t="shared" si="249"/>
        <v>42570679.337368593</v>
      </c>
      <c r="V440" s="157">
        <f t="shared" si="249"/>
        <v>31149217.787474405</v>
      </c>
      <c r="W440" s="157">
        <f t="shared" si="249"/>
        <v>19727756.237580214</v>
      </c>
      <c r="X440" s="157">
        <f t="shared" si="249"/>
        <v>8306294.6876860252</v>
      </c>
      <c r="Y440" s="157">
        <f t="shared" si="249"/>
        <v>0</v>
      </c>
      <c r="Z440" s="157">
        <f t="shared" si="249"/>
        <v>0</v>
      </c>
      <c r="AA440" s="157">
        <f t="shared" si="249"/>
        <v>0</v>
      </c>
      <c r="AB440" s="157">
        <f t="shared" si="249"/>
        <v>0</v>
      </c>
      <c r="AC440" s="157">
        <f t="shared" si="249"/>
        <v>0</v>
      </c>
      <c r="AD440" s="157">
        <f t="shared" si="249"/>
        <v>0</v>
      </c>
      <c r="AE440" s="157">
        <f t="shared" si="249"/>
        <v>0</v>
      </c>
      <c r="AF440" s="157">
        <f t="shared" si="249"/>
        <v>0</v>
      </c>
      <c r="AG440" s="157">
        <f t="shared" si="249"/>
        <v>0</v>
      </c>
      <c r="AH440" s="157">
        <f t="shared" si="249"/>
        <v>0</v>
      </c>
      <c r="AI440" s="157">
        <f t="shared" si="249"/>
        <v>0</v>
      </c>
      <c r="AJ440" s="157">
        <f t="shared" si="249"/>
        <v>0</v>
      </c>
      <c r="AK440" s="157">
        <f t="shared" si="249"/>
        <v>0</v>
      </c>
      <c r="AL440" s="157">
        <f t="shared" si="249"/>
        <v>0</v>
      </c>
      <c r="AM440" s="157">
        <f t="shared" si="249"/>
        <v>0</v>
      </c>
      <c r="AN440" s="157">
        <f t="shared" si="249"/>
        <v>0</v>
      </c>
      <c r="AO440" s="157">
        <f t="shared" si="249"/>
        <v>0</v>
      </c>
      <c r="AP440" s="157">
        <f t="shared" si="249"/>
        <v>0</v>
      </c>
      <c r="AQ440" s="157">
        <f t="shared" si="249"/>
        <v>0</v>
      </c>
      <c r="AR440" s="157">
        <f t="shared" si="249"/>
        <v>0</v>
      </c>
      <c r="AS440" s="157">
        <f t="shared" si="249"/>
        <v>0</v>
      </c>
      <c r="AT440" s="157">
        <f t="shared" si="249"/>
        <v>0</v>
      </c>
      <c r="AU440" s="157">
        <f t="shared" si="249"/>
        <v>0</v>
      </c>
      <c r="AV440" s="157">
        <f t="shared" si="249"/>
        <v>0</v>
      </c>
      <c r="AW440" s="157">
        <f t="shared" si="249"/>
        <v>0</v>
      </c>
      <c r="AX440" s="157">
        <f t="shared" si="249"/>
        <v>0</v>
      </c>
      <c r="AY440" s="157">
        <f t="shared" si="249"/>
        <v>0</v>
      </c>
      <c r="AZ440" s="157">
        <f t="shared" si="249"/>
        <v>0</v>
      </c>
      <c r="BA440" s="157">
        <f t="shared" si="249"/>
        <v>0</v>
      </c>
      <c r="BB440" s="157">
        <f t="shared" si="249"/>
        <v>0</v>
      </c>
      <c r="BC440" s="157">
        <f t="shared" si="249"/>
        <v>0</v>
      </c>
      <c r="BD440" s="157">
        <f t="shared" si="249"/>
        <v>0</v>
      </c>
      <c r="BE440" s="157">
        <f t="shared" si="249"/>
        <v>0</v>
      </c>
      <c r="BF440" s="157">
        <f t="shared" si="249"/>
        <v>0</v>
      </c>
      <c r="BG440" s="157">
        <f t="shared" si="249"/>
        <v>0</v>
      </c>
      <c r="BH440" s="157">
        <f t="shared" si="249"/>
        <v>0</v>
      </c>
      <c r="BI440" s="157">
        <f t="shared" si="249"/>
        <v>0</v>
      </c>
      <c r="BJ440" s="158">
        <f t="shared" si="249"/>
        <v>0</v>
      </c>
      <c r="BK440" s="159"/>
      <c r="BL440" s="159"/>
    </row>
    <row r="441" spans="1:64" s="105" customFormat="1">
      <c r="A441" s="164" t="s">
        <v>136</v>
      </c>
      <c r="B441" s="161">
        <f t="shared" si="243"/>
        <v>1605315930.4763644</v>
      </c>
      <c r="C441" s="133">
        <f>C439-C440</f>
        <v>-35266891.476118796</v>
      </c>
      <c r="D441" s="134">
        <f>D439-D440</f>
        <v>-39530648.151469916</v>
      </c>
      <c r="E441" s="134">
        <f>E439-E440</f>
        <v>-80162396.608051762</v>
      </c>
      <c r="F441" s="134">
        <f>F439-F440</f>
        <v>-82765740.093727335</v>
      </c>
      <c r="G441" s="134">
        <f t="shared" ref="G441:BJ441" si="250">G439-G440</f>
        <v>-85369083.579402894</v>
      </c>
      <c r="H441" s="134">
        <f t="shared" si="250"/>
        <v>19381354.271267392</v>
      </c>
      <c r="I441" s="134">
        <f t="shared" si="250"/>
        <v>46031431.221020505</v>
      </c>
      <c r="J441" s="134">
        <f t="shared" si="250"/>
        <v>72681508.17077361</v>
      </c>
      <c r="K441" s="134">
        <f t="shared" si="250"/>
        <v>99331585.120526716</v>
      </c>
      <c r="L441" s="134">
        <f t="shared" si="250"/>
        <v>161506548.0908843</v>
      </c>
      <c r="M441" s="134">
        <f t="shared" si="250"/>
        <v>161506548.0908843</v>
      </c>
      <c r="N441" s="134">
        <f t="shared" si="250"/>
        <v>161506548.0908843</v>
      </c>
      <c r="O441" s="134">
        <f t="shared" si="250"/>
        <v>161506548.0908843</v>
      </c>
      <c r="P441" s="134">
        <f t="shared" si="250"/>
        <v>161506548.0908843</v>
      </c>
      <c r="Q441" s="134">
        <f t="shared" si="250"/>
        <v>161506548.0908843</v>
      </c>
      <c r="R441" s="134">
        <f t="shared" si="250"/>
        <v>161506548.0908843</v>
      </c>
      <c r="S441" s="134">
        <f t="shared" si="250"/>
        <v>161506548.0908843</v>
      </c>
      <c r="T441" s="134">
        <f t="shared" si="250"/>
        <v>161506548.0908843</v>
      </c>
      <c r="U441" s="134">
        <f t="shared" si="250"/>
        <v>99331585.120526716</v>
      </c>
      <c r="V441" s="134">
        <f t="shared" si="250"/>
        <v>72681508.17077361</v>
      </c>
      <c r="W441" s="134">
        <f t="shared" si="250"/>
        <v>46031431.221020505</v>
      </c>
      <c r="X441" s="134">
        <f t="shared" si="250"/>
        <v>19381354.271267392</v>
      </c>
      <c r="Y441" s="134">
        <f t="shared" si="250"/>
        <v>0</v>
      </c>
      <c r="Z441" s="134">
        <f t="shared" si="250"/>
        <v>0</v>
      </c>
      <c r="AA441" s="134">
        <f t="shared" si="250"/>
        <v>0</v>
      </c>
      <c r="AB441" s="134">
        <f t="shared" si="250"/>
        <v>0</v>
      </c>
      <c r="AC441" s="134">
        <f t="shared" si="250"/>
        <v>0</v>
      </c>
      <c r="AD441" s="134">
        <f t="shared" si="250"/>
        <v>0</v>
      </c>
      <c r="AE441" s="134">
        <f t="shared" si="250"/>
        <v>0</v>
      </c>
      <c r="AF441" s="134">
        <f t="shared" si="250"/>
        <v>0</v>
      </c>
      <c r="AG441" s="134">
        <f t="shared" si="250"/>
        <v>0</v>
      </c>
      <c r="AH441" s="134">
        <f t="shared" si="250"/>
        <v>0</v>
      </c>
      <c r="AI441" s="134">
        <f t="shared" si="250"/>
        <v>0</v>
      </c>
      <c r="AJ441" s="134">
        <f t="shared" si="250"/>
        <v>0</v>
      </c>
      <c r="AK441" s="134">
        <f t="shared" si="250"/>
        <v>0</v>
      </c>
      <c r="AL441" s="134">
        <f t="shared" si="250"/>
        <v>0</v>
      </c>
      <c r="AM441" s="134">
        <f t="shared" si="250"/>
        <v>0</v>
      </c>
      <c r="AN441" s="134">
        <f t="shared" si="250"/>
        <v>0</v>
      </c>
      <c r="AO441" s="134">
        <f t="shared" si="250"/>
        <v>0</v>
      </c>
      <c r="AP441" s="134">
        <f t="shared" si="250"/>
        <v>0</v>
      </c>
      <c r="AQ441" s="134">
        <f t="shared" si="250"/>
        <v>0</v>
      </c>
      <c r="AR441" s="134">
        <f t="shared" si="250"/>
        <v>0</v>
      </c>
      <c r="AS441" s="134">
        <f t="shared" si="250"/>
        <v>0</v>
      </c>
      <c r="AT441" s="134">
        <f t="shared" si="250"/>
        <v>0</v>
      </c>
      <c r="AU441" s="134">
        <f t="shared" si="250"/>
        <v>0</v>
      </c>
      <c r="AV441" s="134">
        <f t="shared" si="250"/>
        <v>0</v>
      </c>
      <c r="AW441" s="134">
        <f t="shared" si="250"/>
        <v>0</v>
      </c>
      <c r="AX441" s="134">
        <f t="shared" si="250"/>
        <v>0</v>
      </c>
      <c r="AY441" s="134">
        <f t="shared" si="250"/>
        <v>0</v>
      </c>
      <c r="AZ441" s="134">
        <f t="shared" si="250"/>
        <v>0</v>
      </c>
      <c r="BA441" s="134">
        <f t="shared" si="250"/>
        <v>0</v>
      </c>
      <c r="BB441" s="134">
        <f t="shared" si="250"/>
        <v>0</v>
      </c>
      <c r="BC441" s="134">
        <f t="shared" si="250"/>
        <v>0</v>
      </c>
      <c r="BD441" s="134">
        <f t="shared" si="250"/>
        <v>0</v>
      </c>
      <c r="BE441" s="134">
        <f t="shared" si="250"/>
        <v>0</v>
      </c>
      <c r="BF441" s="134">
        <f t="shared" si="250"/>
        <v>0</v>
      </c>
      <c r="BG441" s="134">
        <f t="shared" si="250"/>
        <v>0</v>
      </c>
      <c r="BH441" s="134">
        <f t="shared" si="250"/>
        <v>0</v>
      </c>
      <c r="BI441" s="134">
        <f t="shared" si="250"/>
        <v>0</v>
      </c>
      <c r="BJ441" s="135">
        <f t="shared" si="250"/>
        <v>0</v>
      </c>
      <c r="BK441" s="109"/>
      <c r="BL441" s="109"/>
    </row>
    <row r="442" spans="1:64">
      <c r="A442" s="165" t="s">
        <v>137</v>
      </c>
      <c r="B442" s="161" t="e">
        <f>SUM(B443:B445)</f>
        <v>#REF!</v>
      </c>
      <c r="C442" s="166"/>
      <c r="D442" s="167"/>
      <c r="E442" s="168"/>
      <c r="F442" s="168"/>
      <c r="G442" s="168"/>
      <c r="H442" s="168"/>
      <c r="I442" s="168"/>
      <c r="J442" s="168"/>
      <c r="K442" s="168"/>
      <c r="L442" s="168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  <c r="X442" s="168"/>
      <c r="Y442" s="168"/>
      <c r="Z442" s="168"/>
      <c r="AA442" s="168"/>
      <c r="AB442" s="168"/>
      <c r="AC442" s="168"/>
      <c r="AD442" s="168"/>
      <c r="AE442" s="168"/>
      <c r="AF442" s="168"/>
      <c r="AG442" s="168"/>
      <c r="AH442" s="168"/>
      <c r="AI442" s="168"/>
      <c r="AJ442" s="168"/>
      <c r="AK442" s="168"/>
      <c r="AL442" s="168"/>
      <c r="AM442" s="168"/>
      <c r="AN442" s="168"/>
      <c r="AO442" s="168"/>
      <c r="AP442" s="168"/>
      <c r="AQ442" s="168"/>
      <c r="AR442" s="168"/>
      <c r="AS442" s="168"/>
      <c r="AT442" s="168"/>
      <c r="AU442" s="168"/>
      <c r="AV442" s="168"/>
      <c r="AW442" s="168"/>
      <c r="AX442" s="168"/>
      <c r="AY442" s="168"/>
      <c r="AZ442" s="168"/>
      <c r="BA442" s="168"/>
      <c r="BB442" s="168"/>
      <c r="BC442" s="168"/>
      <c r="BD442" s="168"/>
      <c r="BE442" s="168"/>
      <c r="BF442" s="168"/>
      <c r="BG442" s="168"/>
      <c r="BH442" s="168"/>
      <c r="BI442" s="168"/>
      <c r="BJ442" s="169"/>
    </row>
    <row r="443" spans="1:64" s="174" customFormat="1" ht="12.75">
      <c r="A443" s="120" t="s">
        <v>138</v>
      </c>
      <c r="B443" s="170">
        <f>SUM(C443:BJ443)</f>
        <v>107836937.68327659</v>
      </c>
      <c r="C443" s="171">
        <f>C414-C419</f>
        <v>35905743.813633084</v>
      </c>
      <c r="D443" s="172">
        <f>IF(AND(D402&gt;5,D403=0),0,D414-D419)</f>
        <v>37498040.515693493</v>
      </c>
      <c r="E443" s="172">
        <f t="shared" ref="E443:BJ443" si="251">IF(AND(E402&gt;5,E403=0),0,E414-E419)</f>
        <v>72923102.000924215</v>
      </c>
      <c r="F443" s="172">
        <f t="shared" si="251"/>
        <v>70319758.515248641</v>
      </c>
      <c r="G443" s="172">
        <f t="shared" si="251"/>
        <v>67716415.029573083</v>
      </c>
      <c r="H443" s="172">
        <f t="shared" si="251"/>
        <v>-10383889.540693881</v>
      </c>
      <c r="I443" s="172">
        <f t="shared" si="251"/>
        <v>-10383889.540693881</v>
      </c>
      <c r="J443" s="172">
        <f t="shared" si="251"/>
        <v>-10383889.540693881</v>
      </c>
      <c r="K443" s="172">
        <f t="shared" si="251"/>
        <v>-10383889.540693881</v>
      </c>
      <c r="L443" s="172">
        <f t="shared" si="251"/>
        <v>-10383889.540693881</v>
      </c>
      <c r="M443" s="172">
        <f t="shared" si="251"/>
        <v>-10383889.540693881</v>
      </c>
      <c r="N443" s="172">
        <f t="shared" si="251"/>
        <v>-10383889.540693881</v>
      </c>
      <c r="O443" s="172">
        <f t="shared" si="251"/>
        <v>-10383889.540693881</v>
      </c>
      <c r="P443" s="172">
        <f t="shared" si="251"/>
        <v>-10383889.540693881</v>
      </c>
      <c r="Q443" s="172">
        <f t="shared" si="251"/>
        <v>-10383889.540693881</v>
      </c>
      <c r="R443" s="172">
        <f t="shared" si="251"/>
        <v>-10383889.540693881</v>
      </c>
      <c r="S443" s="172">
        <f t="shared" si="251"/>
        <v>-10383889.540693881</v>
      </c>
      <c r="T443" s="172">
        <f t="shared" si="251"/>
        <v>-10383889.540693881</v>
      </c>
      <c r="U443" s="172">
        <f t="shared" si="251"/>
        <v>-10383889.540693881</v>
      </c>
      <c r="V443" s="172">
        <f t="shared" si="251"/>
        <v>-10383889.540693881</v>
      </c>
      <c r="W443" s="172">
        <f t="shared" si="251"/>
        <v>-10383889.540693881</v>
      </c>
      <c r="X443" s="172">
        <f t="shared" si="251"/>
        <v>-10383889.540693881</v>
      </c>
      <c r="Y443" s="172">
        <f t="shared" si="251"/>
        <v>0</v>
      </c>
      <c r="Z443" s="172">
        <f t="shared" si="251"/>
        <v>0</v>
      </c>
      <c r="AA443" s="172">
        <f t="shared" si="251"/>
        <v>0</v>
      </c>
      <c r="AB443" s="172">
        <f t="shared" si="251"/>
        <v>0</v>
      </c>
      <c r="AC443" s="172">
        <f t="shared" si="251"/>
        <v>0</v>
      </c>
      <c r="AD443" s="172">
        <f t="shared" si="251"/>
        <v>0</v>
      </c>
      <c r="AE443" s="172">
        <f t="shared" si="251"/>
        <v>0</v>
      </c>
      <c r="AF443" s="172">
        <f t="shared" si="251"/>
        <v>0</v>
      </c>
      <c r="AG443" s="172">
        <f t="shared" si="251"/>
        <v>0</v>
      </c>
      <c r="AH443" s="172">
        <f t="shared" si="251"/>
        <v>0</v>
      </c>
      <c r="AI443" s="172">
        <f t="shared" si="251"/>
        <v>0</v>
      </c>
      <c r="AJ443" s="172">
        <f t="shared" si="251"/>
        <v>0</v>
      </c>
      <c r="AK443" s="172">
        <f t="shared" si="251"/>
        <v>0</v>
      </c>
      <c r="AL443" s="172">
        <f t="shared" si="251"/>
        <v>0</v>
      </c>
      <c r="AM443" s="172">
        <f t="shared" si="251"/>
        <v>0</v>
      </c>
      <c r="AN443" s="172">
        <f t="shared" si="251"/>
        <v>0</v>
      </c>
      <c r="AO443" s="172">
        <f t="shared" si="251"/>
        <v>0</v>
      </c>
      <c r="AP443" s="172">
        <f t="shared" si="251"/>
        <v>0</v>
      </c>
      <c r="AQ443" s="172">
        <f t="shared" si="251"/>
        <v>0</v>
      </c>
      <c r="AR443" s="172">
        <f t="shared" si="251"/>
        <v>0</v>
      </c>
      <c r="AS443" s="172">
        <f t="shared" si="251"/>
        <v>0</v>
      </c>
      <c r="AT443" s="172">
        <f t="shared" si="251"/>
        <v>0</v>
      </c>
      <c r="AU443" s="172">
        <f t="shared" si="251"/>
        <v>0</v>
      </c>
      <c r="AV443" s="172">
        <f t="shared" si="251"/>
        <v>0</v>
      </c>
      <c r="AW443" s="172">
        <f t="shared" si="251"/>
        <v>0</v>
      </c>
      <c r="AX443" s="172">
        <f t="shared" si="251"/>
        <v>0</v>
      </c>
      <c r="AY443" s="172">
        <f t="shared" si="251"/>
        <v>0</v>
      </c>
      <c r="AZ443" s="172">
        <f t="shared" si="251"/>
        <v>0</v>
      </c>
      <c r="BA443" s="172">
        <f t="shared" si="251"/>
        <v>0</v>
      </c>
      <c r="BB443" s="172">
        <f t="shared" si="251"/>
        <v>0</v>
      </c>
      <c r="BC443" s="172">
        <f t="shared" si="251"/>
        <v>0</v>
      </c>
      <c r="BD443" s="172">
        <f t="shared" si="251"/>
        <v>0</v>
      </c>
      <c r="BE443" s="172">
        <f t="shared" si="251"/>
        <v>0</v>
      </c>
      <c r="BF443" s="172">
        <f t="shared" si="251"/>
        <v>0</v>
      </c>
      <c r="BG443" s="172">
        <f t="shared" si="251"/>
        <v>0</v>
      </c>
      <c r="BH443" s="172">
        <f t="shared" si="251"/>
        <v>0</v>
      </c>
      <c r="BI443" s="172">
        <f t="shared" si="251"/>
        <v>0</v>
      </c>
      <c r="BJ443" s="173">
        <f t="shared" si="251"/>
        <v>0</v>
      </c>
      <c r="BK443" s="172"/>
      <c r="BL443" s="172"/>
    </row>
    <row r="444" spans="1:64" s="174" customFormat="1" ht="12.75">
      <c r="A444" s="120" t="s">
        <v>139</v>
      </c>
      <c r="B444" s="170">
        <f>SUM(C444:BJ444)</f>
        <v>203679748.53753993</v>
      </c>
      <c r="C444" s="171">
        <f>C434</f>
        <v>1238129.0970218307</v>
      </c>
      <c r="D444" s="172">
        <f>D434</f>
        <v>2573859.0836671866</v>
      </c>
      <c r="E444" s="172">
        <f t="shared" ref="E444:BJ444" si="252">E434</f>
        <v>5177202.569342752</v>
      </c>
      <c r="F444" s="172">
        <f t="shared" si="252"/>
        <v>7780546.0550183179</v>
      </c>
      <c r="G444" s="172">
        <f t="shared" si="252"/>
        <v>10383889.540693881</v>
      </c>
      <c r="H444" s="172">
        <f t="shared" si="252"/>
        <v>10383889.540693881</v>
      </c>
      <c r="I444" s="172">
        <f t="shared" si="252"/>
        <v>10383889.540693881</v>
      </c>
      <c r="J444" s="172">
        <f t="shared" si="252"/>
        <v>10383889.540693881</v>
      </c>
      <c r="K444" s="172">
        <f t="shared" si="252"/>
        <v>10383889.540693881</v>
      </c>
      <c r="L444" s="172">
        <f t="shared" si="252"/>
        <v>10383889.540693881</v>
      </c>
      <c r="M444" s="172">
        <f t="shared" si="252"/>
        <v>10383889.540693881</v>
      </c>
      <c r="N444" s="172">
        <f t="shared" si="252"/>
        <v>10383889.540693881</v>
      </c>
      <c r="O444" s="172">
        <f t="shared" si="252"/>
        <v>10383889.540693881</v>
      </c>
      <c r="P444" s="172">
        <f t="shared" si="252"/>
        <v>10383889.540693881</v>
      </c>
      <c r="Q444" s="172">
        <f t="shared" si="252"/>
        <v>10383889.540693881</v>
      </c>
      <c r="R444" s="172">
        <f t="shared" si="252"/>
        <v>10383889.540693881</v>
      </c>
      <c r="S444" s="172">
        <f t="shared" si="252"/>
        <v>10383889.540693881</v>
      </c>
      <c r="T444" s="172">
        <f t="shared" si="252"/>
        <v>10383889.540693881</v>
      </c>
      <c r="U444" s="172">
        <f t="shared" si="252"/>
        <v>10383889.540693881</v>
      </c>
      <c r="V444" s="172">
        <f t="shared" si="252"/>
        <v>10383889.540693881</v>
      </c>
      <c r="W444" s="172">
        <f t="shared" si="252"/>
        <v>10383889.540693881</v>
      </c>
      <c r="X444" s="172">
        <f t="shared" si="252"/>
        <v>10383889.540693881</v>
      </c>
      <c r="Y444" s="172">
        <f t="shared" si="252"/>
        <v>0</v>
      </c>
      <c r="Z444" s="172">
        <f t="shared" si="252"/>
        <v>0</v>
      </c>
      <c r="AA444" s="172">
        <f t="shared" si="252"/>
        <v>0</v>
      </c>
      <c r="AB444" s="172">
        <f t="shared" si="252"/>
        <v>0</v>
      </c>
      <c r="AC444" s="172">
        <f t="shared" si="252"/>
        <v>0</v>
      </c>
      <c r="AD444" s="172">
        <f t="shared" si="252"/>
        <v>0</v>
      </c>
      <c r="AE444" s="172">
        <f t="shared" si="252"/>
        <v>0</v>
      </c>
      <c r="AF444" s="172">
        <f t="shared" si="252"/>
        <v>0</v>
      </c>
      <c r="AG444" s="172">
        <f t="shared" si="252"/>
        <v>0</v>
      </c>
      <c r="AH444" s="172">
        <f t="shared" si="252"/>
        <v>0</v>
      </c>
      <c r="AI444" s="172">
        <f t="shared" si="252"/>
        <v>0</v>
      </c>
      <c r="AJ444" s="172">
        <f t="shared" si="252"/>
        <v>0</v>
      </c>
      <c r="AK444" s="172">
        <f t="shared" si="252"/>
        <v>0</v>
      </c>
      <c r="AL444" s="172">
        <f t="shared" si="252"/>
        <v>0</v>
      </c>
      <c r="AM444" s="172">
        <f t="shared" si="252"/>
        <v>0</v>
      </c>
      <c r="AN444" s="172">
        <f t="shared" si="252"/>
        <v>0</v>
      </c>
      <c r="AO444" s="172">
        <f t="shared" si="252"/>
        <v>0</v>
      </c>
      <c r="AP444" s="172">
        <f t="shared" si="252"/>
        <v>0</v>
      </c>
      <c r="AQ444" s="172">
        <f t="shared" si="252"/>
        <v>0</v>
      </c>
      <c r="AR444" s="172">
        <f t="shared" si="252"/>
        <v>0</v>
      </c>
      <c r="AS444" s="172">
        <f t="shared" si="252"/>
        <v>0</v>
      </c>
      <c r="AT444" s="172">
        <f t="shared" si="252"/>
        <v>0</v>
      </c>
      <c r="AU444" s="172">
        <f t="shared" si="252"/>
        <v>0</v>
      </c>
      <c r="AV444" s="172">
        <f t="shared" si="252"/>
        <v>0</v>
      </c>
      <c r="AW444" s="172">
        <f t="shared" si="252"/>
        <v>0</v>
      </c>
      <c r="AX444" s="172">
        <f t="shared" si="252"/>
        <v>0</v>
      </c>
      <c r="AY444" s="172">
        <f t="shared" si="252"/>
        <v>0</v>
      </c>
      <c r="AZ444" s="172">
        <f t="shared" si="252"/>
        <v>0</v>
      </c>
      <c r="BA444" s="172">
        <f t="shared" si="252"/>
        <v>0</v>
      </c>
      <c r="BB444" s="172">
        <f t="shared" si="252"/>
        <v>0</v>
      </c>
      <c r="BC444" s="172">
        <f t="shared" si="252"/>
        <v>0</v>
      </c>
      <c r="BD444" s="172">
        <f t="shared" si="252"/>
        <v>0</v>
      </c>
      <c r="BE444" s="172">
        <f t="shared" si="252"/>
        <v>0</v>
      </c>
      <c r="BF444" s="172">
        <f t="shared" si="252"/>
        <v>0</v>
      </c>
      <c r="BG444" s="172">
        <f t="shared" si="252"/>
        <v>0</v>
      </c>
      <c r="BH444" s="172">
        <f t="shared" si="252"/>
        <v>0</v>
      </c>
      <c r="BI444" s="172">
        <f t="shared" si="252"/>
        <v>0</v>
      </c>
      <c r="BJ444" s="173">
        <f t="shared" si="252"/>
        <v>0</v>
      </c>
      <c r="BK444" s="172"/>
      <c r="BL444" s="172"/>
    </row>
    <row r="445" spans="1:64" s="174" customFormat="1" ht="12.75">
      <c r="A445" s="120" t="s">
        <v>140</v>
      </c>
      <c r="B445" s="170" t="e">
        <f>SUM(C445:BJ445)</f>
        <v>#REF!</v>
      </c>
      <c r="C445" s="171">
        <f>-C414</f>
        <v>-37143872.910654917</v>
      </c>
      <c r="D445" s="172">
        <f>IF(AND(D402&gt;5,E403=0,D403&lt;&gt;0),SUM(D$71:$BJ419)-D414,-D414)</f>
        <v>-40071899.599360682</v>
      </c>
      <c r="E445" s="172">
        <f>IF(AND(E402&gt;5,F403=0,E403&lt;&gt;0),SUM(E$71:$BJ419)-E414,-E414)</f>
        <v>-78100304.570266962</v>
      </c>
      <c r="F445" s="172">
        <f>IF(AND(F402&gt;5,G403=0,F403&lt;&gt;0),SUM(F$71:$BJ419)-F414,-F414)</f>
        <v>-78100304.570266962</v>
      </c>
      <c r="G445" s="172">
        <f>IF(AND(G402&gt;5,H403=0,G403&lt;&gt;0),SUM(G$71:$BJ419)-G414,-G414)</f>
        <v>-78100304.570266962</v>
      </c>
      <c r="H445" s="172">
        <f>IF(AND(H402&gt;5,I403=0,H403&lt;&gt;0),SUM(H$71:$BJ419)-H414,-H414)</f>
        <v>0</v>
      </c>
      <c r="I445" s="172">
        <f>IF(AND(I402&gt;5,J403=0,I403&lt;&gt;0),SUM(I$71:$BJ419)-I414,-I414)</f>
        <v>0</v>
      </c>
      <c r="J445" s="172">
        <f>IF(AND(J402&gt;5,K403=0,J403&lt;&gt;0),SUM(J$71:$BJ419)-J414,-J414)</f>
        <v>0</v>
      </c>
      <c r="K445" s="172">
        <f>IF(AND(K402&gt;5,L403=0,K403&lt;&gt;0),SUM(K$71:$BJ419)-K414,-K414)</f>
        <v>0</v>
      </c>
      <c r="L445" s="172">
        <f>IF(AND(L402&gt;5,M403=0,L403&lt;&gt;0),SUM(L$71:$BJ419)-L414,-L414)</f>
        <v>0</v>
      </c>
      <c r="M445" s="172">
        <f>IF(AND(M402&gt;5,N403=0,M403&lt;&gt;0),SUM(M$71:$BJ419)-M414,-M414)</f>
        <v>0</v>
      </c>
      <c r="N445" s="172">
        <f>IF(AND(N402&gt;5,O403=0,N403&lt;&gt;0),SUM(N$71:$BJ419)-N414,-N414)</f>
        <v>0</v>
      </c>
      <c r="O445" s="172">
        <f>IF(AND(O402&gt;5,P403=0,O403&lt;&gt;0),SUM(O$71:$BJ419)-O414,-O414)</f>
        <v>0</v>
      </c>
      <c r="P445" s="172">
        <f>IF(AND(P402&gt;5,Q403=0,P403&lt;&gt;0),SUM(P$71:$BJ419)-P414,-P414)</f>
        <v>0</v>
      </c>
      <c r="Q445" s="172">
        <f>IF(AND(Q402&gt;5,R403=0,Q403&lt;&gt;0),SUM(Q$71:$BJ419)-Q414,-Q414)</f>
        <v>0</v>
      </c>
      <c r="R445" s="172">
        <f>IF(AND(R402&gt;5,S403=0,R403&lt;&gt;0),SUM(R$71:$BJ419)-R414,-R414)</f>
        <v>0</v>
      </c>
      <c r="S445" s="172">
        <f>IF(AND(S402&gt;5,T403=0,S403&lt;&gt;0),SUM(S$71:$BJ419)-S414,-S414)</f>
        <v>0</v>
      </c>
      <c r="T445" s="172">
        <f>IF(AND(T402&gt;5,U403=0,T403&lt;&gt;0),SUM(T$71:$BJ419)-T414,-T414)</f>
        <v>0</v>
      </c>
      <c r="U445" s="172">
        <f>IF(AND(U402&gt;5,V403=0,U403&lt;&gt;0),SUM(U$71:$BJ419)-U414,-U414)</f>
        <v>0</v>
      </c>
      <c r="V445" s="172">
        <f>IF(AND(V402&gt;5,W403=0,V403&lt;&gt;0),SUM(V$71:$BJ419)-V414,-V414)</f>
        <v>0</v>
      </c>
      <c r="W445" s="172">
        <f>IF(AND(W402&gt;5,X403=0,W403&lt;&gt;0),SUM(W$71:$BJ419)-W414,-W414)</f>
        <v>0</v>
      </c>
      <c r="X445" s="172" t="e">
        <f>IF(AND(X402&gt;5,Y403=0,X403&lt;&gt;0),SUM(X$71:$BJ419)-X414,-X414)</f>
        <v>#REF!</v>
      </c>
      <c r="Y445" s="172">
        <f>IF(AND(Y402&gt;5,Z403=0,Y403&lt;&gt;0),SUM(Y$71:$BJ419)-Y414,-Y414)</f>
        <v>0</v>
      </c>
      <c r="Z445" s="175">
        <f>IF(AND(Z402&gt;5,AA403=0,Z403&lt;&gt;0),SUM(Z$71:$BJ419)-Z414,-Z414)</f>
        <v>0</v>
      </c>
      <c r="AA445" s="172">
        <f>IF(AND(AA402&gt;5,AB403=0,AA403&lt;&gt;0),SUM(AA$71:$BJ419)-AA414,-AA414)</f>
        <v>0</v>
      </c>
      <c r="AB445" s="172">
        <f>IF(AND(AB402&gt;5,AC403=0,AB403&lt;&gt;0),SUM(AB$71:$BJ419)-AB414,-AB414)</f>
        <v>0</v>
      </c>
      <c r="AC445" s="172">
        <f>IF(AND(AC402&gt;5,AD403=0,AC403&lt;&gt;0),SUM(AC$71:$BJ419)-AC414,-AC414)</f>
        <v>0</v>
      </c>
      <c r="AD445" s="172">
        <f>IF(AND(AD402&gt;5,AE403=0,AD403&lt;&gt;0),SUM(AD$71:$BJ419)-AD414,-AD414)</f>
        <v>0</v>
      </c>
      <c r="AE445" s="172">
        <f>IF(AND(AE402&gt;5,AF403=0,AE403&lt;&gt;0),SUM(AE$71:$BJ419)-AE414,-AE414)</f>
        <v>0</v>
      </c>
      <c r="AF445" s="172">
        <f>IF(AND(AF402&gt;5,AG403=0,AF403&lt;&gt;0),SUM(AF$71:$BJ419)-AF414,-AF414)</f>
        <v>0</v>
      </c>
      <c r="AG445" s="172">
        <f>IF(AND(AG402&gt;5,AH403=0,AG403&lt;&gt;0),SUM(AG$71:$BJ419)-AG414,-AG414)</f>
        <v>0</v>
      </c>
      <c r="AH445" s="172">
        <f>IF(AND(AH402&gt;5,AI403=0,AH403&lt;&gt;0),SUM(AH$71:$BJ419)-AH414,-AH414)</f>
        <v>0</v>
      </c>
      <c r="AI445" s="172">
        <f>IF(AND(AI402&gt;5,AJ403=0,AI403&lt;&gt;0),SUM(AI$71:$BJ419)-AI414,-AI414)</f>
        <v>0</v>
      </c>
      <c r="AJ445" s="172">
        <f>IF(AND(AJ402&gt;5,AK403=0,AJ403&lt;&gt;0),SUM(AJ$71:$BJ419)-AJ414,-AJ414)</f>
        <v>0</v>
      </c>
      <c r="AK445" s="172">
        <f>IF(AND(AK402&gt;5,AL403=0,AK403&lt;&gt;0),SUM(AK$71:$BJ419)-AK414,-AK414)</f>
        <v>0</v>
      </c>
      <c r="AL445" s="172">
        <f>IF(AND(AL402&gt;5,AM403=0,AL403&lt;&gt;0),SUM(AL$71:$BJ419)-AL414,-AL414)</f>
        <v>0</v>
      </c>
      <c r="AM445" s="172">
        <f>IF(AND(AM402&gt;5,AN403=0,AM403&lt;&gt;0),SUM(AM$71:$BJ419)-AM414,-AM414)</f>
        <v>0</v>
      </c>
      <c r="AN445" s="172">
        <f>IF(AND(AN402&gt;5,AO403=0,AN403&lt;&gt;0),SUM(AN$71:$BJ419)-AN414,-AN414)</f>
        <v>0</v>
      </c>
      <c r="AO445" s="172">
        <f>IF(AND(AO402&gt;5,AP403=0,AO403&lt;&gt;0),SUM(AO$71:$BJ419)-AO414,-AO414)</f>
        <v>0</v>
      </c>
      <c r="AP445" s="172">
        <f>IF(AND(AP402&gt;5,AQ403=0,AP403&lt;&gt;0),SUM(AP$71:$BJ419)-AP414,-AP414)</f>
        <v>0</v>
      </c>
      <c r="AQ445" s="172">
        <f>IF(AND(AQ402&gt;5,AR403=0,AQ403&lt;&gt;0),SUM(AQ$71:$BJ419)-AQ414,-AQ414)</f>
        <v>0</v>
      </c>
      <c r="AR445" s="172">
        <f>IF(AND(AR402&gt;5,AS403=0,AR403&lt;&gt;0),SUM(AR$71:$BJ419)-AR414,-AR414)</f>
        <v>0</v>
      </c>
      <c r="AS445" s="172">
        <f>IF(AND(AS402&gt;5,AT403=0,AS403&lt;&gt;0),SUM(AS$71:$BJ419)-AS414,-AS414)</f>
        <v>0</v>
      </c>
      <c r="AT445" s="172">
        <f>IF(AND(AT402&gt;5,AU403=0,AT403&lt;&gt;0),SUM(AT$71:$BJ419)-AT414,-AT414)</f>
        <v>0</v>
      </c>
      <c r="AU445" s="172">
        <f>IF(AND(AU402&gt;5,AV403=0,AU403&lt;&gt;0),SUM(AU$71:$BJ419)-AU414,-AU414)</f>
        <v>0</v>
      </c>
      <c r="AV445" s="172">
        <f>IF(AND(AV402&gt;5,AW403=0,AV403&lt;&gt;0),SUM(AV$71:$BJ419)-AV414,-AV414)</f>
        <v>0</v>
      </c>
      <c r="AW445" s="172">
        <f>IF(AND(AW402&gt;5,AX403=0,AW403&lt;&gt;0),SUM(AW$71:$BJ419)-AW414,-AW414)</f>
        <v>0</v>
      </c>
      <c r="AX445" s="172">
        <f>IF(AND(AX402&gt;5,AY403=0,AX403&lt;&gt;0),SUM(AX$71:$BJ419)-AX414,-AX414)</f>
        <v>0</v>
      </c>
      <c r="AY445" s="172">
        <f>IF(AND(AY402&gt;5,AZ403=0,AY403&lt;&gt;0),SUM(AY$71:$BJ419)-AY414,-AY414)</f>
        <v>0</v>
      </c>
      <c r="AZ445" s="172">
        <f>IF(AND(AZ402&gt;5,BA403=0,AZ403&lt;&gt;0),SUM(AZ$71:$BJ419)-AZ414,-AZ414)</f>
        <v>0</v>
      </c>
      <c r="BA445" s="172">
        <f>IF(AND(BA402&gt;5,BB403=0,BA403&lt;&gt;0),SUM(BA$71:$BJ419)-BA414,-BA414)</f>
        <v>0</v>
      </c>
      <c r="BB445" s="172">
        <f>IF(AND(BB402&gt;5,BC403=0,BB403&lt;&gt;0),SUM(BB$71:$BJ419)-BB414,-BB414)</f>
        <v>0</v>
      </c>
      <c r="BC445" s="172">
        <f>IF(AND(BC402&gt;5,BD403=0,BC403&lt;&gt;0),SUM(BC$71:$BJ419)-BC414,-BC414)</f>
        <v>0</v>
      </c>
      <c r="BD445" s="172">
        <f>IF(AND(BD402&gt;5,BE403=0,BD403&lt;&gt;0),SUM(BD$71:$BJ419)-BD414,-BD414)</f>
        <v>0</v>
      </c>
      <c r="BE445" s="172">
        <f>IF(AND(BE402&gt;5,BF403=0,BE403&lt;&gt;0),SUM(BE$71:$BJ419)-BE414,-BE414)</f>
        <v>0</v>
      </c>
      <c r="BF445" s="172">
        <f>IF(AND(BF402&gt;5,BG403=0,BF403&lt;&gt;0),SUM(BF$71:$BJ419)-BF414,-BF414)</f>
        <v>0</v>
      </c>
      <c r="BG445" s="172">
        <f>IF(AND(BG402&gt;5,BH403=0,BG403&lt;&gt;0),SUM(BG$71:$BJ419)-BG414,-BG414)</f>
        <v>0</v>
      </c>
      <c r="BH445" s="172">
        <f>IF(AND(BH402&gt;5,BI403=0,BH403&lt;&gt;0),SUM(BH$71:$BJ419)-BH414,-BH414)</f>
        <v>0</v>
      </c>
      <c r="BI445" s="172">
        <f>IF(AND(BI402&gt;5,BJ403=0,BI403&lt;&gt;0),SUM(BI$71:$BJ419)-BI414,-BI414)</f>
        <v>0</v>
      </c>
      <c r="BJ445" s="173">
        <f>IF(AND(BJ402&gt;5,BK403=0,BJ403&lt;&gt;0),SUM(BJ$71:$BJ419)-BJ414,-BJ414)</f>
        <v>0</v>
      </c>
      <c r="BK445" s="172"/>
      <c r="BL445" s="172"/>
    </row>
    <row r="446" spans="1:64" s="160" customFormat="1">
      <c r="A446" s="176" t="s">
        <v>141</v>
      </c>
      <c r="B446" s="177">
        <f>SUM(C446:BJ446)</f>
        <v>1808995679.0139043</v>
      </c>
      <c r="C446" s="178">
        <f>C441+C444</f>
        <v>-34028762.379096963</v>
      </c>
      <c r="D446" s="179">
        <f t="shared" ref="D446:BJ446" si="253">D441+D444</f>
        <v>-36956789.067802727</v>
      </c>
      <c r="E446" s="179">
        <f t="shared" si="253"/>
        <v>-74985194.038709015</v>
      </c>
      <c r="F446" s="179">
        <f t="shared" si="253"/>
        <v>-74985194.038709015</v>
      </c>
      <c r="G446" s="179">
        <f t="shared" si="253"/>
        <v>-74985194.038709015</v>
      </c>
      <c r="H446" s="179">
        <f t="shared" si="253"/>
        <v>29765243.811961271</v>
      </c>
      <c r="I446" s="179">
        <f t="shared" si="253"/>
        <v>56415320.761714384</v>
      </c>
      <c r="J446" s="179">
        <f t="shared" si="253"/>
        <v>83065397.71146749</v>
      </c>
      <c r="K446" s="179">
        <f t="shared" si="253"/>
        <v>109715474.6612206</v>
      </c>
      <c r="L446" s="179">
        <f t="shared" si="253"/>
        <v>171890437.63157818</v>
      </c>
      <c r="M446" s="179">
        <f t="shared" si="253"/>
        <v>171890437.63157818</v>
      </c>
      <c r="N446" s="179">
        <f t="shared" si="253"/>
        <v>171890437.63157818</v>
      </c>
      <c r="O446" s="179">
        <f t="shared" si="253"/>
        <v>171890437.63157818</v>
      </c>
      <c r="P446" s="179">
        <f t="shared" si="253"/>
        <v>171890437.63157818</v>
      </c>
      <c r="Q446" s="179">
        <f t="shared" si="253"/>
        <v>171890437.63157818</v>
      </c>
      <c r="R446" s="179">
        <f t="shared" si="253"/>
        <v>171890437.63157818</v>
      </c>
      <c r="S446" s="179">
        <f t="shared" si="253"/>
        <v>171890437.63157818</v>
      </c>
      <c r="T446" s="179">
        <f t="shared" si="253"/>
        <v>171890437.63157818</v>
      </c>
      <c r="U446" s="179">
        <f t="shared" si="253"/>
        <v>109715474.6612206</v>
      </c>
      <c r="V446" s="179">
        <f t="shared" si="253"/>
        <v>83065397.71146749</v>
      </c>
      <c r="W446" s="179">
        <f t="shared" si="253"/>
        <v>56415320.761714384</v>
      </c>
      <c r="X446" s="179">
        <f t="shared" si="253"/>
        <v>29765243.811961271</v>
      </c>
      <c r="Y446" s="179">
        <f t="shared" si="253"/>
        <v>0</v>
      </c>
      <c r="Z446" s="179">
        <f t="shared" si="253"/>
        <v>0</v>
      </c>
      <c r="AA446" s="179">
        <f t="shared" si="253"/>
        <v>0</v>
      </c>
      <c r="AB446" s="179">
        <f t="shared" si="253"/>
        <v>0</v>
      </c>
      <c r="AC446" s="179">
        <f t="shared" si="253"/>
        <v>0</v>
      </c>
      <c r="AD446" s="179">
        <f t="shared" si="253"/>
        <v>0</v>
      </c>
      <c r="AE446" s="179">
        <f t="shared" si="253"/>
        <v>0</v>
      </c>
      <c r="AF446" s="179">
        <f t="shared" si="253"/>
        <v>0</v>
      </c>
      <c r="AG446" s="179">
        <f t="shared" si="253"/>
        <v>0</v>
      </c>
      <c r="AH446" s="179">
        <f t="shared" si="253"/>
        <v>0</v>
      </c>
      <c r="AI446" s="179">
        <f t="shared" si="253"/>
        <v>0</v>
      </c>
      <c r="AJ446" s="179">
        <f t="shared" si="253"/>
        <v>0</v>
      </c>
      <c r="AK446" s="179">
        <f t="shared" si="253"/>
        <v>0</v>
      </c>
      <c r="AL446" s="179">
        <f t="shared" si="253"/>
        <v>0</v>
      </c>
      <c r="AM446" s="179">
        <f t="shared" si="253"/>
        <v>0</v>
      </c>
      <c r="AN446" s="179">
        <f t="shared" si="253"/>
        <v>0</v>
      </c>
      <c r="AO446" s="179">
        <f t="shared" si="253"/>
        <v>0</v>
      </c>
      <c r="AP446" s="179">
        <f t="shared" si="253"/>
        <v>0</v>
      </c>
      <c r="AQ446" s="179">
        <f t="shared" si="253"/>
        <v>0</v>
      </c>
      <c r="AR446" s="179">
        <f t="shared" si="253"/>
        <v>0</v>
      </c>
      <c r="AS446" s="179">
        <f t="shared" si="253"/>
        <v>0</v>
      </c>
      <c r="AT446" s="179">
        <f t="shared" si="253"/>
        <v>0</v>
      </c>
      <c r="AU446" s="179">
        <f t="shared" si="253"/>
        <v>0</v>
      </c>
      <c r="AV446" s="179">
        <f t="shared" si="253"/>
        <v>0</v>
      </c>
      <c r="AW446" s="179">
        <f t="shared" si="253"/>
        <v>0</v>
      </c>
      <c r="AX446" s="179">
        <f t="shared" si="253"/>
        <v>0</v>
      </c>
      <c r="AY446" s="179">
        <f t="shared" si="253"/>
        <v>0</v>
      </c>
      <c r="AZ446" s="179">
        <f t="shared" si="253"/>
        <v>0</v>
      </c>
      <c r="BA446" s="179">
        <f t="shared" si="253"/>
        <v>0</v>
      </c>
      <c r="BB446" s="179">
        <f t="shared" si="253"/>
        <v>0</v>
      </c>
      <c r="BC446" s="179">
        <f t="shared" si="253"/>
        <v>0</v>
      </c>
      <c r="BD446" s="179">
        <f t="shared" si="253"/>
        <v>0</v>
      </c>
      <c r="BE446" s="179">
        <f t="shared" si="253"/>
        <v>0</v>
      </c>
      <c r="BF446" s="179">
        <f t="shared" si="253"/>
        <v>0</v>
      </c>
      <c r="BG446" s="179">
        <f t="shared" si="253"/>
        <v>0</v>
      </c>
      <c r="BH446" s="179">
        <f t="shared" si="253"/>
        <v>0</v>
      </c>
      <c r="BI446" s="179">
        <f t="shared" si="253"/>
        <v>0</v>
      </c>
      <c r="BJ446" s="180">
        <f t="shared" si="253"/>
        <v>0</v>
      </c>
    </row>
    <row r="447" spans="1:64" s="80" customFormat="1">
      <c r="A447" s="176" t="s">
        <v>142</v>
      </c>
      <c r="B447" s="177">
        <f>SUM(C447:BJ447)</f>
        <v>301948995.70262253</v>
      </c>
      <c r="C447" s="232">
        <f>C446*(1+$C401)^-(C402-1)</f>
        <v>-34028762.379096963</v>
      </c>
      <c r="D447" s="182">
        <f>D446*(1+$C401)^-(D402-1)</f>
        <v>-32997133.096252434</v>
      </c>
      <c r="E447" s="182">
        <f t="shared" ref="E447:BJ447" si="254">E446*(1+$C401)^-(E402-1)</f>
        <v>-59777737.594634093</v>
      </c>
      <c r="F447" s="182">
        <f t="shared" si="254"/>
        <v>-53372979.995209001</v>
      </c>
      <c r="G447" s="182">
        <f t="shared" si="254"/>
        <v>-47654446.424293756</v>
      </c>
      <c r="H447" s="182">
        <f t="shared" si="254"/>
        <v>16889598.705918677</v>
      </c>
      <c r="I447" s="182">
        <f t="shared" si="254"/>
        <v>28581757.209085535</v>
      </c>
      <c r="J447" s="182">
        <f t="shared" si="254"/>
        <v>37574567.476429299</v>
      </c>
      <c r="K447" s="182">
        <f t="shared" si="254"/>
        <v>44312240.065462448</v>
      </c>
      <c r="L447" s="182">
        <f t="shared" si="254"/>
        <v>61985415.008418053</v>
      </c>
      <c r="M447" s="182">
        <f t="shared" si="254"/>
        <v>55344120.543230392</v>
      </c>
      <c r="N447" s="182">
        <f t="shared" si="254"/>
        <v>49414393.342169985</v>
      </c>
      <c r="O447" s="182">
        <f t="shared" si="254"/>
        <v>44119994.055508927</v>
      </c>
      <c r="P447" s="182">
        <f t="shared" si="254"/>
        <v>39392851.835275814</v>
      </c>
      <c r="Q447" s="182">
        <f t="shared" si="254"/>
        <v>35172189.138639115</v>
      </c>
      <c r="R447" s="182">
        <f t="shared" si="254"/>
        <v>31403740.302356359</v>
      </c>
      <c r="S447" s="182">
        <f t="shared" si="254"/>
        <v>28039053.8413896</v>
      </c>
      <c r="T447" s="182">
        <f t="shared" si="254"/>
        <v>25034869.501240715</v>
      </c>
      <c r="U447" s="182">
        <f t="shared" si="254"/>
        <v>14267355.35446086</v>
      </c>
      <c r="V447" s="182">
        <f t="shared" si="254"/>
        <v>9644455.5993952807</v>
      </c>
      <c r="W447" s="182">
        <f t="shared" si="254"/>
        <v>5848393.8043563226</v>
      </c>
      <c r="X447" s="182">
        <f t="shared" si="254"/>
        <v>2755059.4087714283</v>
      </c>
      <c r="Y447" s="182">
        <f t="shared" si="254"/>
        <v>0</v>
      </c>
      <c r="Z447" s="182">
        <f t="shared" si="254"/>
        <v>0</v>
      </c>
      <c r="AA447" s="182">
        <f t="shared" si="254"/>
        <v>0</v>
      </c>
      <c r="AB447" s="182">
        <f t="shared" si="254"/>
        <v>0</v>
      </c>
      <c r="AC447" s="182">
        <f t="shared" si="254"/>
        <v>0</v>
      </c>
      <c r="AD447" s="182">
        <f t="shared" si="254"/>
        <v>0</v>
      </c>
      <c r="AE447" s="182">
        <f t="shared" si="254"/>
        <v>0</v>
      </c>
      <c r="AF447" s="182">
        <f t="shared" si="254"/>
        <v>0</v>
      </c>
      <c r="AG447" s="182">
        <f t="shared" si="254"/>
        <v>0</v>
      </c>
      <c r="AH447" s="182">
        <f t="shared" si="254"/>
        <v>0</v>
      </c>
      <c r="AI447" s="182">
        <f t="shared" si="254"/>
        <v>0</v>
      </c>
      <c r="AJ447" s="182">
        <f t="shared" si="254"/>
        <v>0</v>
      </c>
      <c r="AK447" s="182">
        <f t="shared" si="254"/>
        <v>0</v>
      </c>
      <c r="AL447" s="182">
        <f t="shared" si="254"/>
        <v>0</v>
      </c>
      <c r="AM447" s="182">
        <f t="shared" si="254"/>
        <v>0</v>
      </c>
      <c r="AN447" s="182">
        <f t="shared" si="254"/>
        <v>0</v>
      </c>
      <c r="AO447" s="182">
        <f t="shared" si="254"/>
        <v>0</v>
      </c>
      <c r="AP447" s="182">
        <f t="shared" si="254"/>
        <v>0</v>
      </c>
      <c r="AQ447" s="182">
        <f t="shared" si="254"/>
        <v>0</v>
      </c>
      <c r="AR447" s="182">
        <f t="shared" si="254"/>
        <v>0</v>
      </c>
      <c r="AS447" s="182">
        <f t="shared" si="254"/>
        <v>0</v>
      </c>
      <c r="AT447" s="182">
        <f t="shared" si="254"/>
        <v>0</v>
      </c>
      <c r="AU447" s="182">
        <f t="shared" si="254"/>
        <v>0</v>
      </c>
      <c r="AV447" s="182">
        <f t="shared" si="254"/>
        <v>0</v>
      </c>
      <c r="AW447" s="182">
        <f t="shared" si="254"/>
        <v>0</v>
      </c>
      <c r="AX447" s="182">
        <f t="shared" si="254"/>
        <v>0</v>
      </c>
      <c r="AY447" s="182">
        <f t="shared" si="254"/>
        <v>0</v>
      </c>
      <c r="AZ447" s="182">
        <f t="shared" si="254"/>
        <v>0</v>
      </c>
      <c r="BA447" s="182">
        <f t="shared" si="254"/>
        <v>0</v>
      </c>
      <c r="BB447" s="182">
        <f t="shared" si="254"/>
        <v>0</v>
      </c>
      <c r="BC447" s="182">
        <f t="shared" si="254"/>
        <v>0</v>
      </c>
      <c r="BD447" s="182">
        <f t="shared" si="254"/>
        <v>0</v>
      </c>
      <c r="BE447" s="182">
        <f t="shared" si="254"/>
        <v>0</v>
      </c>
      <c r="BF447" s="182">
        <f t="shared" si="254"/>
        <v>0</v>
      </c>
      <c r="BG447" s="182">
        <f t="shared" si="254"/>
        <v>0</v>
      </c>
      <c r="BH447" s="182">
        <f t="shared" si="254"/>
        <v>0</v>
      </c>
      <c r="BI447" s="182">
        <f t="shared" si="254"/>
        <v>0</v>
      </c>
      <c r="BJ447" s="183">
        <f t="shared" si="254"/>
        <v>0</v>
      </c>
    </row>
    <row r="448" spans="1:64" s="80" customFormat="1">
      <c r="A448" s="184" t="s">
        <v>143</v>
      </c>
      <c r="B448" s="177"/>
      <c r="C448" s="181">
        <f>C447</f>
        <v>-34028762.379096963</v>
      </c>
      <c r="D448" s="182">
        <f t="shared" ref="D448:BJ448" si="255">IF(D447=0, 0, C448+D447)</f>
        <v>-67025895.475349396</v>
      </c>
      <c r="E448" s="182">
        <f t="shared" si="255"/>
        <v>-126803633.06998348</v>
      </c>
      <c r="F448" s="182">
        <f t="shared" si="255"/>
        <v>-180176613.06519249</v>
      </c>
      <c r="G448" s="182">
        <f t="shared" si="255"/>
        <v>-227831059.48948625</v>
      </c>
      <c r="H448" s="182">
        <f t="shared" si="255"/>
        <v>-210941460.78356758</v>
      </c>
      <c r="I448" s="182">
        <f t="shared" si="255"/>
        <v>-182359703.57448205</v>
      </c>
      <c r="J448" s="182">
        <f t="shared" si="255"/>
        <v>-144785136.09805274</v>
      </c>
      <c r="K448" s="182">
        <f t="shared" si="255"/>
        <v>-100472896.0325903</v>
      </c>
      <c r="L448" s="182">
        <f t="shared" si="255"/>
        <v>-38487481.024172246</v>
      </c>
      <c r="M448" s="182">
        <f t="shared" si="255"/>
        <v>16856639.519058146</v>
      </c>
      <c r="N448" s="182">
        <f t="shared" si="255"/>
        <v>66271032.861228131</v>
      </c>
      <c r="O448" s="182">
        <f t="shared" si="255"/>
        <v>110391026.91673705</v>
      </c>
      <c r="P448" s="182">
        <f t="shared" si="255"/>
        <v>149783878.75201285</v>
      </c>
      <c r="Q448" s="182">
        <f t="shared" si="255"/>
        <v>184956067.89065197</v>
      </c>
      <c r="R448" s="182">
        <f t="shared" si="255"/>
        <v>216359808.19300833</v>
      </c>
      <c r="S448" s="182">
        <f t="shared" si="255"/>
        <v>244398862.03439793</v>
      </c>
      <c r="T448" s="182">
        <f t="shared" si="255"/>
        <v>269433731.53563863</v>
      </c>
      <c r="U448" s="182">
        <f t="shared" si="255"/>
        <v>283701086.89009947</v>
      </c>
      <c r="V448" s="182">
        <f t="shared" si="255"/>
        <v>293345542.48949474</v>
      </c>
      <c r="W448" s="182">
        <f t="shared" si="255"/>
        <v>299193936.29385108</v>
      </c>
      <c r="X448" s="182">
        <f t="shared" si="255"/>
        <v>301948995.70262253</v>
      </c>
      <c r="Y448" s="182">
        <f t="shared" si="255"/>
        <v>0</v>
      </c>
      <c r="Z448" s="182">
        <f t="shared" si="255"/>
        <v>0</v>
      </c>
      <c r="AA448" s="182">
        <f t="shared" si="255"/>
        <v>0</v>
      </c>
      <c r="AB448" s="182">
        <f t="shared" si="255"/>
        <v>0</v>
      </c>
      <c r="AC448" s="182">
        <f t="shared" si="255"/>
        <v>0</v>
      </c>
      <c r="AD448" s="182">
        <f t="shared" si="255"/>
        <v>0</v>
      </c>
      <c r="AE448" s="182">
        <f t="shared" si="255"/>
        <v>0</v>
      </c>
      <c r="AF448" s="182">
        <f t="shared" si="255"/>
        <v>0</v>
      </c>
      <c r="AG448" s="182">
        <f t="shared" si="255"/>
        <v>0</v>
      </c>
      <c r="AH448" s="182">
        <f t="shared" si="255"/>
        <v>0</v>
      </c>
      <c r="AI448" s="182">
        <f t="shared" si="255"/>
        <v>0</v>
      </c>
      <c r="AJ448" s="182">
        <f t="shared" si="255"/>
        <v>0</v>
      </c>
      <c r="AK448" s="182">
        <f t="shared" si="255"/>
        <v>0</v>
      </c>
      <c r="AL448" s="182">
        <f t="shared" si="255"/>
        <v>0</v>
      </c>
      <c r="AM448" s="182">
        <f t="shared" si="255"/>
        <v>0</v>
      </c>
      <c r="AN448" s="182">
        <f t="shared" si="255"/>
        <v>0</v>
      </c>
      <c r="AO448" s="182">
        <f t="shared" si="255"/>
        <v>0</v>
      </c>
      <c r="AP448" s="182">
        <f t="shared" si="255"/>
        <v>0</v>
      </c>
      <c r="AQ448" s="182">
        <f t="shared" si="255"/>
        <v>0</v>
      </c>
      <c r="AR448" s="182">
        <f t="shared" si="255"/>
        <v>0</v>
      </c>
      <c r="AS448" s="182">
        <f t="shared" si="255"/>
        <v>0</v>
      </c>
      <c r="AT448" s="182">
        <f t="shared" si="255"/>
        <v>0</v>
      </c>
      <c r="AU448" s="182">
        <f t="shared" si="255"/>
        <v>0</v>
      </c>
      <c r="AV448" s="182">
        <f t="shared" si="255"/>
        <v>0</v>
      </c>
      <c r="AW448" s="182">
        <f t="shared" si="255"/>
        <v>0</v>
      </c>
      <c r="AX448" s="182">
        <f t="shared" si="255"/>
        <v>0</v>
      </c>
      <c r="AY448" s="182">
        <f t="shared" si="255"/>
        <v>0</v>
      </c>
      <c r="AZ448" s="182">
        <f t="shared" si="255"/>
        <v>0</v>
      </c>
      <c r="BA448" s="182">
        <f t="shared" si="255"/>
        <v>0</v>
      </c>
      <c r="BB448" s="182">
        <f t="shared" si="255"/>
        <v>0</v>
      </c>
      <c r="BC448" s="182">
        <f t="shared" si="255"/>
        <v>0</v>
      </c>
      <c r="BD448" s="182">
        <f t="shared" si="255"/>
        <v>0</v>
      </c>
      <c r="BE448" s="182">
        <f t="shared" si="255"/>
        <v>0</v>
      </c>
      <c r="BF448" s="182">
        <f t="shared" si="255"/>
        <v>0</v>
      </c>
      <c r="BG448" s="182">
        <f t="shared" si="255"/>
        <v>0</v>
      </c>
      <c r="BH448" s="182">
        <f t="shared" si="255"/>
        <v>0</v>
      </c>
      <c r="BI448" s="182">
        <f t="shared" si="255"/>
        <v>0</v>
      </c>
      <c r="BJ448" s="183">
        <f t="shared" si="255"/>
        <v>0</v>
      </c>
    </row>
    <row r="449" spans="1:63" s="83" customFormat="1">
      <c r="A449" s="78"/>
      <c r="B449" s="81"/>
      <c r="C449" s="82"/>
      <c r="D449" s="82"/>
      <c r="E449" s="82"/>
      <c r="F449" s="82"/>
      <c r="G449" s="82"/>
      <c r="H449" s="82"/>
      <c r="I449" s="82"/>
      <c r="J449" s="82"/>
      <c r="K449" s="82"/>
      <c r="L449" s="82"/>
      <c r="M449" s="82"/>
      <c r="N449" s="82"/>
      <c r="O449" s="82"/>
      <c r="P449" s="82"/>
      <c r="Q449" s="82"/>
      <c r="R449" s="82"/>
      <c r="S449" s="82"/>
      <c r="T449" s="82"/>
      <c r="U449" s="82"/>
      <c r="V449" s="82"/>
      <c r="W449" s="82"/>
      <c r="X449" s="82"/>
      <c r="Y449" s="82"/>
      <c r="Z449" s="82"/>
      <c r="AA449" s="82"/>
      <c r="AB449" s="82"/>
      <c r="AC449" s="82"/>
      <c r="AD449" s="82"/>
      <c r="AE449" s="82"/>
      <c r="AF449" s="82"/>
      <c r="AG449" s="82"/>
      <c r="AH449" s="82"/>
      <c r="AI449" s="82"/>
      <c r="AJ449" s="82"/>
      <c r="AK449" s="82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2"/>
      <c r="AW449" s="82"/>
      <c r="AX449" s="82"/>
      <c r="AY449" s="82"/>
      <c r="AZ449" s="82"/>
      <c r="BA449" s="82"/>
      <c r="BB449" s="82"/>
      <c r="BC449" s="82"/>
      <c r="BD449" s="82"/>
      <c r="BE449" s="82"/>
      <c r="BF449" s="82"/>
      <c r="BG449" s="82"/>
      <c r="BH449" s="82"/>
      <c r="BI449" s="82"/>
      <c r="BJ449" s="82"/>
    </row>
    <row r="450" spans="1:63" ht="21">
      <c r="A450" s="185" t="s">
        <v>157</v>
      </c>
      <c r="B450" s="93"/>
      <c r="C450" s="186"/>
      <c r="D450" s="186"/>
      <c r="E450" s="186"/>
      <c r="F450" s="186"/>
      <c r="G450" s="186"/>
      <c r="H450" s="186"/>
      <c r="I450" s="186"/>
      <c r="J450" s="186"/>
      <c r="K450" s="186"/>
      <c r="L450" s="186"/>
      <c r="M450" s="186"/>
      <c r="N450" s="186"/>
      <c r="O450" s="186"/>
      <c r="P450" s="186"/>
      <c r="Q450" s="186"/>
      <c r="R450" s="186"/>
      <c r="S450" s="186"/>
      <c r="T450" s="186"/>
      <c r="U450" s="186"/>
      <c r="V450" s="186"/>
      <c r="W450" s="186"/>
      <c r="X450" s="186"/>
      <c r="Y450" s="186"/>
      <c r="Z450" s="186"/>
      <c r="AA450" s="186"/>
      <c r="AB450" s="186"/>
      <c r="AC450" s="186"/>
      <c r="AD450" s="186"/>
      <c r="AE450" s="186"/>
      <c r="AF450" s="186"/>
      <c r="AG450" s="186"/>
      <c r="AH450" s="186"/>
      <c r="AI450" s="186"/>
      <c r="AJ450" s="186"/>
      <c r="AK450" s="186"/>
      <c r="AL450" s="186"/>
      <c r="AM450" s="186"/>
      <c r="AN450" s="186"/>
      <c r="AO450" s="186"/>
      <c r="AP450" s="186"/>
      <c r="AQ450" s="186"/>
      <c r="AR450" s="186"/>
      <c r="AS450" s="186"/>
      <c r="AT450" s="186"/>
      <c r="AU450" s="186"/>
      <c r="AV450" s="186"/>
      <c r="AW450" s="186"/>
      <c r="AX450" s="186"/>
      <c r="AY450" s="186"/>
      <c r="AZ450" s="186"/>
      <c r="BA450" s="186"/>
      <c r="BB450" s="186"/>
      <c r="BC450" s="186"/>
      <c r="BD450" s="186"/>
      <c r="BE450" s="186"/>
      <c r="BF450" s="186"/>
      <c r="BG450" s="186"/>
      <c r="BH450" s="186"/>
      <c r="BI450" s="186"/>
      <c r="BJ450" s="186"/>
    </row>
    <row r="451" spans="1:63">
      <c r="A451" s="187" t="s">
        <v>158</v>
      </c>
      <c r="B451" s="188">
        <f>SUM(C451:BJ451)</f>
        <v>703.67095680661635</v>
      </c>
      <c r="C451" s="233">
        <f>(C403*(1-$K401))/(1+$C401)^(C402-1)</f>
        <v>0</v>
      </c>
      <c r="D451" s="190">
        <f>(D403*(1-$K401))/(1+$C401)^(D402-1)</f>
        <v>0</v>
      </c>
      <c r="E451" s="190">
        <f t="shared" ref="E451:BJ451" si="256">(E403*(1-$K401))/(1+$C401)^(E402-1)</f>
        <v>0</v>
      </c>
      <c r="F451" s="190">
        <f t="shared" si="256"/>
        <v>0</v>
      </c>
      <c r="G451" s="190">
        <f t="shared" si="256"/>
        <v>0</v>
      </c>
      <c r="H451" s="190">
        <f t="shared" si="256"/>
        <v>20.634477608206865</v>
      </c>
      <c r="I451" s="190">
        <f t="shared" si="256"/>
        <v>36.847281443226542</v>
      </c>
      <c r="J451" s="190">
        <f t="shared" si="256"/>
        <v>49.349037647178399</v>
      </c>
      <c r="K451" s="190">
        <f t="shared" si="256"/>
        <v>58.748854341879046</v>
      </c>
      <c r="L451" s="190">
        <f t="shared" si="256"/>
        <v>83.048488753257772</v>
      </c>
      <c r="M451" s="190">
        <f t="shared" si="256"/>
        <v>74.150436386837285</v>
      </c>
      <c r="N451" s="190">
        <f t="shared" si="256"/>
        <v>66.205746773961849</v>
      </c>
      <c r="O451" s="190">
        <f t="shared" si="256"/>
        <v>59.112273905323086</v>
      </c>
      <c r="P451" s="190">
        <f t="shared" si="256"/>
        <v>52.778815986895601</v>
      </c>
      <c r="Q451" s="190">
        <f t="shared" si="256"/>
        <v>47.1239428454425</v>
      </c>
      <c r="R451" s="190">
        <f t="shared" si="256"/>
        <v>42.07494896914509</v>
      </c>
      <c r="S451" s="190">
        <f t="shared" si="256"/>
        <v>37.566918722450964</v>
      </c>
      <c r="T451" s="190">
        <f t="shared" si="256"/>
        <v>33.541891716474076</v>
      </c>
      <c r="U451" s="190">
        <f t="shared" si="256"/>
        <v>18.915558778450158</v>
      </c>
      <c r="V451" s="190">
        <f t="shared" si="256"/>
        <v>12.666668824855014</v>
      </c>
      <c r="W451" s="190">
        <f t="shared" si="256"/>
        <v>7.5396838243184616</v>
      </c>
      <c r="X451" s="190">
        <f t="shared" si="256"/>
        <v>3.365930278713599</v>
      </c>
      <c r="Y451" s="190">
        <f t="shared" si="256"/>
        <v>0</v>
      </c>
      <c r="Z451" s="190">
        <f t="shared" si="256"/>
        <v>0</v>
      </c>
      <c r="AA451" s="190">
        <f t="shared" si="256"/>
        <v>0</v>
      </c>
      <c r="AB451" s="190">
        <f t="shared" si="256"/>
        <v>0</v>
      </c>
      <c r="AC451" s="190">
        <f t="shared" si="256"/>
        <v>0</v>
      </c>
      <c r="AD451" s="190">
        <f t="shared" si="256"/>
        <v>0</v>
      </c>
      <c r="AE451" s="190">
        <f t="shared" si="256"/>
        <v>0</v>
      </c>
      <c r="AF451" s="190">
        <f t="shared" si="256"/>
        <v>0</v>
      </c>
      <c r="AG451" s="190">
        <f t="shared" si="256"/>
        <v>0</v>
      </c>
      <c r="AH451" s="190">
        <f t="shared" si="256"/>
        <v>0</v>
      </c>
      <c r="AI451" s="190">
        <f t="shared" si="256"/>
        <v>0</v>
      </c>
      <c r="AJ451" s="190">
        <f t="shared" si="256"/>
        <v>0</v>
      </c>
      <c r="AK451" s="190">
        <f t="shared" si="256"/>
        <v>0</v>
      </c>
      <c r="AL451" s="190">
        <f t="shared" si="256"/>
        <v>0</v>
      </c>
      <c r="AM451" s="190">
        <f t="shared" si="256"/>
        <v>0</v>
      </c>
      <c r="AN451" s="190">
        <f t="shared" si="256"/>
        <v>0</v>
      </c>
      <c r="AO451" s="190">
        <f t="shared" si="256"/>
        <v>0</v>
      </c>
      <c r="AP451" s="190">
        <f t="shared" si="256"/>
        <v>0</v>
      </c>
      <c r="AQ451" s="190">
        <f t="shared" si="256"/>
        <v>0</v>
      </c>
      <c r="AR451" s="190">
        <f t="shared" si="256"/>
        <v>0</v>
      </c>
      <c r="AS451" s="190">
        <f t="shared" si="256"/>
        <v>0</v>
      </c>
      <c r="AT451" s="190">
        <f t="shared" si="256"/>
        <v>0</v>
      </c>
      <c r="AU451" s="190">
        <f t="shared" si="256"/>
        <v>0</v>
      </c>
      <c r="AV451" s="190">
        <f t="shared" si="256"/>
        <v>0</v>
      </c>
      <c r="AW451" s="190">
        <f t="shared" si="256"/>
        <v>0</v>
      </c>
      <c r="AX451" s="190">
        <f t="shared" si="256"/>
        <v>0</v>
      </c>
      <c r="AY451" s="190">
        <f t="shared" si="256"/>
        <v>0</v>
      </c>
      <c r="AZ451" s="190">
        <f t="shared" si="256"/>
        <v>0</v>
      </c>
      <c r="BA451" s="190">
        <f t="shared" si="256"/>
        <v>0</v>
      </c>
      <c r="BB451" s="190">
        <f t="shared" si="256"/>
        <v>0</v>
      </c>
      <c r="BC451" s="190">
        <f t="shared" si="256"/>
        <v>0</v>
      </c>
      <c r="BD451" s="190">
        <f t="shared" si="256"/>
        <v>0</v>
      </c>
      <c r="BE451" s="190">
        <f t="shared" si="256"/>
        <v>0</v>
      </c>
      <c r="BF451" s="190">
        <f t="shared" si="256"/>
        <v>0</v>
      </c>
      <c r="BG451" s="190">
        <f t="shared" si="256"/>
        <v>0</v>
      </c>
      <c r="BH451" s="190">
        <f t="shared" si="256"/>
        <v>0</v>
      </c>
      <c r="BI451" s="190">
        <f t="shared" si="256"/>
        <v>0</v>
      </c>
      <c r="BJ451" s="191">
        <f t="shared" si="256"/>
        <v>0</v>
      </c>
    </row>
    <row r="452" spans="1:63">
      <c r="A452" s="192" t="s">
        <v>159</v>
      </c>
      <c r="B452" s="193">
        <f>SUM(C452:BJ452)</f>
        <v>430272213.30259013</v>
      </c>
      <c r="C452" s="234">
        <f>(((C405+C434)*(1-$K401))-(C444-C414))/(1+$C401)^(C402-1)</f>
        <v>45494743.66991064</v>
      </c>
      <c r="D452" s="186">
        <f>(((D405+D434)*(1-$K401))-(D444-D414))/(1+$C401)^(D402-1)</f>
        <v>42876831.573770352</v>
      </c>
      <c r="E452" s="186">
        <f>(((E405+E434)*(1-$K401))-(E444-E414))/(1+$C401)^(E402-1)</f>
        <v>67976286.103177935</v>
      </c>
      <c r="F452" s="186">
        <f t="shared" ref="F452:BJ452" si="257">(((F405+F434)*(1-$K401))-(F444-F414))/(1+$C401)^(F402-1)</f>
        <v>60137210.050709866</v>
      </c>
      <c r="G452" s="186">
        <f t="shared" si="257"/>
        <v>53197595.990443394</v>
      </c>
      <c r="H452" s="186">
        <f t="shared" si="257"/>
        <v>3354829.3717596442</v>
      </c>
      <c r="I452" s="186">
        <f t="shared" si="257"/>
        <v>7569007.215340036</v>
      </c>
      <c r="J452" s="186">
        <f t="shared" si="257"/>
        <v>10841634.877712084</v>
      </c>
      <c r="K452" s="186">
        <f t="shared" si="257"/>
        <v>13326096.070420146</v>
      </c>
      <c r="L452" s="186">
        <f t="shared" si="257"/>
        <v>19493224.259702798</v>
      </c>
      <c r="M452" s="186">
        <f t="shared" si="257"/>
        <v>17404664.517591782</v>
      </c>
      <c r="N452" s="186">
        <f t="shared" si="257"/>
        <v>15539879.033564089</v>
      </c>
      <c r="O452" s="186">
        <f t="shared" si="257"/>
        <v>13874891.994253652</v>
      </c>
      <c r="P452" s="186">
        <f t="shared" si="257"/>
        <v>12388296.423440758</v>
      </c>
      <c r="Q452" s="186">
        <f t="shared" si="257"/>
        <v>11060978.949500676</v>
      </c>
      <c r="R452" s="186">
        <f t="shared" si="257"/>
        <v>9875874.0620541759</v>
      </c>
      <c r="S452" s="186">
        <f t="shared" si="257"/>
        <v>8817744.6982626561</v>
      </c>
      <c r="T452" s="186">
        <f t="shared" si="257"/>
        <v>7872986.3377345139</v>
      </c>
      <c r="U452" s="186">
        <f t="shared" si="257"/>
        <v>4290646.28291173</v>
      </c>
      <c r="V452" s="186">
        <f t="shared" si="257"/>
        <v>2782777.6399167199</v>
      </c>
      <c r="W452" s="186">
        <f t="shared" si="257"/>
        <v>1548768.8380912973</v>
      </c>
      <c r="X452" s="186">
        <f t="shared" si="257"/>
        <v>547245.34232125839</v>
      </c>
      <c r="Y452" s="186">
        <f t="shared" si="257"/>
        <v>0</v>
      </c>
      <c r="Z452" s="186">
        <f t="shared" si="257"/>
        <v>0</v>
      </c>
      <c r="AA452" s="186">
        <f t="shared" si="257"/>
        <v>0</v>
      </c>
      <c r="AB452" s="186">
        <f t="shared" si="257"/>
        <v>0</v>
      </c>
      <c r="AC452" s="186">
        <f t="shared" si="257"/>
        <v>0</v>
      </c>
      <c r="AD452" s="186">
        <f t="shared" si="257"/>
        <v>0</v>
      </c>
      <c r="AE452" s="186">
        <f t="shared" si="257"/>
        <v>0</v>
      </c>
      <c r="AF452" s="186">
        <f t="shared" si="257"/>
        <v>0</v>
      </c>
      <c r="AG452" s="186">
        <f t="shared" si="257"/>
        <v>0</v>
      </c>
      <c r="AH452" s="186">
        <f t="shared" si="257"/>
        <v>0</v>
      </c>
      <c r="AI452" s="186">
        <f t="shared" si="257"/>
        <v>0</v>
      </c>
      <c r="AJ452" s="186">
        <f t="shared" si="257"/>
        <v>0</v>
      </c>
      <c r="AK452" s="186">
        <f t="shared" si="257"/>
        <v>0</v>
      </c>
      <c r="AL452" s="186">
        <f t="shared" si="257"/>
        <v>0</v>
      </c>
      <c r="AM452" s="186">
        <f t="shared" si="257"/>
        <v>0</v>
      </c>
      <c r="AN452" s="186">
        <f t="shared" si="257"/>
        <v>0</v>
      </c>
      <c r="AO452" s="186">
        <f t="shared" si="257"/>
        <v>0</v>
      </c>
      <c r="AP452" s="186">
        <f t="shared" si="257"/>
        <v>0</v>
      </c>
      <c r="AQ452" s="186">
        <f t="shared" si="257"/>
        <v>0</v>
      </c>
      <c r="AR452" s="186">
        <f t="shared" si="257"/>
        <v>0</v>
      </c>
      <c r="AS452" s="186">
        <f t="shared" si="257"/>
        <v>0</v>
      </c>
      <c r="AT452" s="186">
        <f t="shared" si="257"/>
        <v>0</v>
      </c>
      <c r="AU452" s="186">
        <f t="shared" si="257"/>
        <v>0</v>
      </c>
      <c r="AV452" s="186">
        <f t="shared" si="257"/>
        <v>0</v>
      </c>
      <c r="AW452" s="186">
        <f t="shared" si="257"/>
        <v>0</v>
      </c>
      <c r="AX452" s="186">
        <f t="shared" si="257"/>
        <v>0</v>
      </c>
      <c r="AY452" s="186">
        <f t="shared" si="257"/>
        <v>0</v>
      </c>
      <c r="AZ452" s="186">
        <f t="shared" si="257"/>
        <v>0</v>
      </c>
      <c r="BA452" s="186">
        <f t="shared" si="257"/>
        <v>0</v>
      </c>
      <c r="BB452" s="186">
        <f t="shared" si="257"/>
        <v>0</v>
      </c>
      <c r="BC452" s="186">
        <f t="shared" si="257"/>
        <v>0</v>
      </c>
      <c r="BD452" s="186">
        <f t="shared" si="257"/>
        <v>0</v>
      </c>
      <c r="BE452" s="186">
        <f t="shared" si="257"/>
        <v>0</v>
      </c>
      <c r="BF452" s="186">
        <f t="shared" si="257"/>
        <v>0</v>
      </c>
      <c r="BG452" s="186">
        <f t="shared" si="257"/>
        <v>0</v>
      </c>
      <c r="BH452" s="186">
        <f t="shared" si="257"/>
        <v>0</v>
      </c>
      <c r="BI452" s="186">
        <f t="shared" si="257"/>
        <v>0</v>
      </c>
      <c r="BJ452" s="195">
        <f t="shared" si="257"/>
        <v>0</v>
      </c>
    </row>
    <row r="453" spans="1:63">
      <c r="A453" s="196" t="s">
        <v>160</v>
      </c>
      <c r="B453" s="197">
        <f>B452/B451</f>
        <v>611467.91570770775</v>
      </c>
      <c r="C453" s="166"/>
      <c r="D453" s="167"/>
      <c r="E453" s="167"/>
      <c r="F453" s="167"/>
      <c r="G453" s="167"/>
      <c r="H453" s="167"/>
      <c r="I453" s="167"/>
      <c r="J453" s="167"/>
      <c r="K453" s="167"/>
      <c r="L453" s="167"/>
      <c r="M453" s="167"/>
      <c r="N453" s="167"/>
      <c r="O453" s="167"/>
      <c r="P453" s="167"/>
      <c r="Q453" s="167"/>
      <c r="R453" s="167"/>
      <c r="S453" s="167"/>
      <c r="T453" s="167"/>
      <c r="U453" s="167"/>
      <c r="V453" s="167"/>
      <c r="W453" s="167"/>
      <c r="X453" s="167"/>
      <c r="Y453" s="167"/>
      <c r="Z453" s="167"/>
      <c r="AA453" s="167"/>
      <c r="AB453" s="167"/>
      <c r="AC453" s="167"/>
      <c r="AD453" s="167"/>
      <c r="AE453" s="167"/>
      <c r="AF453" s="167"/>
      <c r="AG453" s="167"/>
      <c r="AH453" s="167"/>
      <c r="AI453" s="167"/>
      <c r="AJ453" s="167"/>
      <c r="AK453" s="167"/>
      <c r="AL453" s="167"/>
      <c r="AM453" s="167"/>
      <c r="AN453" s="167"/>
      <c r="AO453" s="167"/>
      <c r="AP453" s="167"/>
      <c r="AQ453" s="167"/>
      <c r="AR453" s="167"/>
      <c r="AS453" s="167"/>
      <c r="AT453" s="167"/>
      <c r="AU453" s="167"/>
      <c r="AV453" s="167"/>
      <c r="AW453" s="167"/>
      <c r="AX453" s="167"/>
      <c r="AY453" s="167"/>
      <c r="AZ453" s="167"/>
      <c r="BA453" s="167"/>
      <c r="BB453" s="167"/>
      <c r="BC453" s="167"/>
      <c r="BD453" s="167"/>
      <c r="BE453" s="167"/>
      <c r="BF453" s="167"/>
      <c r="BG453" s="167"/>
      <c r="BH453" s="167"/>
      <c r="BI453" s="167"/>
      <c r="BJ453" s="198"/>
    </row>
    <row r="454" spans="1:63">
      <c r="A454" s="187" t="s">
        <v>158</v>
      </c>
      <c r="B454" s="188">
        <f>SUM(C454:BJ454)</f>
        <v>2800</v>
      </c>
      <c r="C454" s="234">
        <f>(C403*(1-$K401))/(1)^(C402-1)</f>
        <v>0</v>
      </c>
      <c r="D454" s="186">
        <f>(D403*(1-$K401))/(1)^(D402-1)</f>
        <v>0</v>
      </c>
      <c r="E454" s="186">
        <f t="shared" ref="E454:BJ454" si="258">(E403*(1-$K401))/(1)^(E402-1)</f>
        <v>0</v>
      </c>
      <c r="F454" s="186">
        <f t="shared" si="258"/>
        <v>0</v>
      </c>
      <c r="G454" s="186">
        <f t="shared" si="258"/>
        <v>0</v>
      </c>
      <c r="H454" s="186">
        <f t="shared" si="258"/>
        <v>36.365000000000009</v>
      </c>
      <c r="I454" s="186">
        <f t="shared" si="258"/>
        <v>72.730000000000018</v>
      </c>
      <c r="J454" s="186">
        <f t="shared" si="258"/>
        <v>109.09500000000001</v>
      </c>
      <c r="K454" s="186">
        <f t="shared" si="258"/>
        <v>145.46000000000004</v>
      </c>
      <c r="L454" s="186">
        <f t="shared" si="258"/>
        <v>230.29999999999998</v>
      </c>
      <c r="M454" s="186">
        <f t="shared" si="258"/>
        <v>230.29999999999998</v>
      </c>
      <c r="N454" s="186">
        <f t="shared" si="258"/>
        <v>230.29999999999998</v>
      </c>
      <c r="O454" s="186">
        <f t="shared" si="258"/>
        <v>230.29999999999998</v>
      </c>
      <c r="P454" s="186">
        <f t="shared" si="258"/>
        <v>230.29999999999998</v>
      </c>
      <c r="Q454" s="186">
        <f t="shared" si="258"/>
        <v>230.29999999999998</v>
      </c>
      <c r="R454" s="186">
        <f t="shared" si="258"/>
        <v>230.29999999999998</v>
      </c>
      <c r="S454" s="186">
        <f t="shared" si="258"/>
        <v>230.29999999999998</v>
      </c>
      <c r="T454" s="186">
        <f t="shared" si="258"/>
        <v>230.29999999999998</v>
      </c>
      <c r="U454" s="186">
        <f t="shared" si="258"/>
        <v>145.46000000000004</v>
      </c>
      <c r="V454" s="186">
        <f t="shared" si="258"/>
        <v>109.09500000000001</v>
      </c>
      <c r="W454" s="186">
        <f t="shared" si="258"/>
        <v>72.730000000000018</v>
      </c>
      <c r="X454" s="186">
        <f t="shared" si="258"/>
        <v>36.365000000000009</v>
      </c>
      <c r="Y454" s="186">
        <f t="shared" si="258"/>
        <v>0</v>
      </c>
      <c r="Z454" s="186">
        <f t="shared" si="258"/>
        <v>0</v>
      </c>
      <c r="AA454" s="186">
        <f t="shared" si="258"/>
        <v>0</v>
      </c>
      <c r="AB454" s="186">
        <f t="shared" si="258"/>
        <v>0</v>
      </c>
      <c r="AC454" s="186">
        <f t="shared" si="258"/>
        <v>0</v>
      </c>
      <c r="AD454" s="186">
        <f t="shared" si="258"/>
        <v>0</v>
      </c>
      <c r="AE454" s="186">
        <f t="shared" si="258"/>
        <v>0</v>
      </c>
      <c r="AF454" s="186">
        <f t="shared" si="258"/>
        <v>0</v>
      </c>
      <c r="AG454" s="186">
        <f t="shared" si="258"/>
        <v>0</v>
      </c>
      <c r="AH454" s="186">
        <f t="shared" si="258"/>
        <v>0</v>
      </c>
      <c r="AI454" s="186">
        <f t="shared" si="258"/>
        <v>0</v>
      </c>
      <c r="AJ454" s="186">
        <f t="shared" si="258"/>
        <v>0</v>
      </c>
      <c r="AK454" s="186">
        <f t="shared" si="258"/>
        <v>0</v>
      </c>
      <c r="AL454" s="186">
        <f t="shared" si="258"/>
        <v>0</v>
      </c>
      <c r="AM454" s="186">
        <f t="shared" si="258"/>
        <v>0</v>
      </c>
      <c r="AN454" s="186">
        <f t="shared" si="258"/>
        <v>0</v>
      </c>
      <c r="AO454" s="186">
        <f t="shared" si="258"/>
        <v>0</v>
      </c>
      <c r="AP454" s="186">
        <f t="shared" si="258"/>
        <v>0</v>
      </c>
      <c r="AQ454" s="186">
        <f t="shared" si="258"/>
        <v>0</v>
      </c>
      <c r="AR454" s="186">
        <f t="shared" si="258"/>
        <v>0</v>
      </c>
      <c r="AS454" s="186">
        <f t="shared" si="258"/>
        <v>0</v>
      </c>
      <c r="AT454" s="186">
        <f t="shared" si="258"/>
        <v>0</v>
      </c>
      <c r="AU454" s="186">
        <f t="shared" si="258"/>
        <v>0</v>
      </c>
      <c r="AV454" s="186">
        <f t="shared" si="258"/>
        <v>0</v>
      </c>
      <c r="AW454" s="186">
        <f t="shared" si="258"/>
        <v>0</v>
      </c>
      <c r="AX454" s="186">
        <f t="shared" si="258"/>
        <v>0</v>
      </c>
      <c r="AY454" s="186">
        <f t="shared" si="258"/>
        <v>0</v>
      </c>
      <c r="AZ454" s="186">
        <f t="shared" si="258"/>
        <v>0</v>
      </c>
      <c r="BA454" s="186">
        <f t="shared" si="258"/>
        <v>0</v>
      </c>
      <c r="BB454" s="186">
        <f t="shared" si="258"/>
        <v>0</v>
      </c>
      <c r="BC454" s="186">
        <f t="shared" si="258"/>
        <v>0</v>
      </c>
      <c r="BD454" s="186">
        <f t="shared" si="258"/>
        <v>0</v>
      </c>
      <c r="BE454" s="186">
        <f t="shared" si="258"/>
        <v>0</v>
      </c>
      <c r="BF454" s="186">
        <f t="shared" si="258"/>
        <v>0</v>
      </c>
      <c r="BG454" s="186">
        <f t="shared" si="258"/>
        <v>0</v>
      </c>
      <c r="BH454" s="186">
        <f t="shared" si="258"/>
        <v>0</v>
      </c>
      <c r="BI454" s="186">
        <f t="shared" si="258"/>
        <v>0</v>
      </c>
      <c r="BJ454" s="195">
        <f t="shared" si="258"/>
        <v>0</v>
      </c>
    </row>
    <row r="455" spans="1:63">
      <c r="A455" s="192" t="s">
        <v>159</v>
      </c>
      <c r="B455" s="193">
        <f>SUM(C455:BJ455)</f>
        <v>989117475.92206669</v>
      </c>
      <c r="C455" s="234">
        <f>(((C405+C434)*(1-$K401))-(C444-C414))/(1)^(C402-1)</f>
        <v>45494743.66991064</v>
      </c>
      <c r="D455" s="186">
        <f>(((D405+D434)*(1-$K401))-(D444-D414))/(1)^(D402-1)</f>
        <v>48022051.362622797</v>
      </c>
      <c r="E455" s="186">
        <f t="shared" ref="E455:BJ455" si="259">(((E405+E434)*(1-$K401))-(E444-E414))/(1)^(E402-1)</f>
        <v>85269453.287826419</v>
      </c>
      <c r="F455" s="186">
        <f t="shared" si="259"/>
        <v>84488450.242123738</v>
      </c>
      <c r="G455" s="186">
        <f t="shared" si="259"/>
        <v>83707447.196421072</v>
      </c>
      <c r="H455" s="186">
        <f t="shared" si="259"/>
        <v>5912355.6418756917</v>
      </c>
      <c r="I455" s="186">
        <f t="shared" si="259"/>
        <v>14939878.145959547</v>
      </c>
      <c r="J455" s="186">
        <f t="shared" si="259"/>
        <v>23967400.650043406</v>
      </c>
      <c r="K455" s="186">
        <f t="shared" si="259"/>
        <v>32994923.154127263</v>
      </c>
      <c r="L455" s="186">
        <f t="shared" si="259"/>
        <v>54056246.108794503</v>
      </c>
      <c r="M455" s="186">
        <f t="shared" si="259"/>
        <v>54056246.108794503</v>
      </c>
      <c r="N455" s="186">
        <f t="shared" si="259"/>
        <v>54056246.108794503</v>
      </c>
      <c r="O455" s="186">
        <f t="shared" si="259"/>
        <v>54056246.108794503</v>
      </c>
      <c r="P455" s="186">
        <f t="shared" si="259"/>
        <v>54056246.108794503</v>
      </c>
      <c r="Q455" s="186">
        <f t="shared" si="259"/>
        <v>54056246.108794503</v>
      </c>
      <c r="R455" s="186">
        <f t="shared" si="259"/>
        <v>54056246.108794503</v>
      </c>
      <c r="S455" s="186">
        <f t="shared" si="259"/>
        <v>54056246.108794503</v>
      </c>
      <c r="T455" s="186">
        <f t="shared" si="259"/>
        <v>54056246.108794503</v>
      </c>
      <c r="U455" s="186">
        <f t="shared" si="259"/>
        <v>32994923.154127263</v>
      </c>
      <c r="V455" s="186">
        <f t="shared" si="259"/>
        <v>23967400.650043406</v>
      </c>
      <c r="W455" s="186">
        <f t="shared" si="259"/>
        <v>14939878.145959547</v>
      </c>
      <c r="X455" s="186">
        <f t="shared" si="259"/>
        <v>5912355.6418756917</v>
      </c>
      <c r="Y455" s="186">
        <f t="shared" si="259"/>
        <v>0</v>
      </c>
      <c r="Z455" s="186">
        <f t="shared" si="259"/>
        <v>0</v>
      </c>
      <c r="AA455" s="186">
        <f t="shared" si="259"/>
        <v>0</v>
      </c>
      <c r="AB455" s="186">
        <f t="shared" si="259"/>
        <v>0</v>
      </c>
      <c r="AC455" s="186">
        <f t="shared" si="259"/>
        <v>0</v>
      </c>
      <c r="AD455" s="186">
        <f t="shared" si="259"/>
        <v>0</v>
      </c>
      <c r="AE455" s="186">
        <f t="shared" si="259"/>
        <v>0</v>
      </c>
      <c r="AF455" s="186">
        <f t="shared" si="259"/>
        <v>0</v>
      </c>
      <c r="AG455" s="186">
        <f t="shared" si="259"/>
        <v>0</v>
      </c>
      <c r="AH455" s="186">
        <f t="shared" si="259"/>
        <v>0</v>
      </c>
      <c r="AI455" s="186">
        <f t="shared" si="259"/>
        <v>0</v>
      </c>
      <c r="AJ455" s="186">
        <f t="shared" si="259"/>
        <v>0</v>
      </c>
      <c r="AK455" s="186">
        <f t="shared" si="259"/>
        <v>0</v>
      </c>
      <c r="AL455" s="186">
        <f t="shared" si="259"/>
        <v>0</v>
      </c>
      <c r="AM455" s="186">
        <f t="shared" si="259"/>
        <v>0</v>
      </c>
      <c r="AN455" s="186">
        <f t="shared" si="259"/>
        <v>0</v>
      </c>
      <c r="AO455" s="186">
        <f t="shared" si="259"/>
        <v>0</v>
      </c>
      <c r="AP455" s="186">
        <f t="shared" si="259"/>
        <v>0</v>
      </c>
      <c r="AQ455" s="186">
        <f t="shared" si="259"/>
        <v>0</v>
      </c>
      <c r="AR455" s="186">
        <f t="shared" si="259"/>
        <v>0</v>
      </c>
      <c r="AS455" s="186">
        <f t="shared" si="259"/>
        <v>0</v>
      </c>
      <c r="AT455" s="186">
        <f t="shared" si="259"/>
        <v>0</v>
      </c>
      <c r="AU455" s="186">
        <f t="shared" si="259"/>
        <v>0</v>
      </c>
      <c r="AV455" s="186">
        <f t="shared" si="259"/>
        <v>0</v>
      </c>
      <c r="AW455" s="186">
        <f t="shared" si="259"/>
        <v>0</v>
      </c>
      <c r="AX455" s="186">
        <f t="shared" si="259"/>
        <v>0</v>
      </c>
      <c r="AY455" s="186">
        <f t="shared" si="259"/>
        <v>0</v>
      </c>
      <c r="AZ455" s="186">
        <f t="shared" si="259"/>
        <v>0</v>
      </c>
      <c r="BA455" s="186">
        <f t="shared" si="259"/>
        <v>0</v>
      </c>
      <c r="BB455" s="186">
        <f t="shared" si="259"/>
        <v>0</v>
      </c>
      <c r="BC455" s="186">
        <f t="shared" si="259"/>
        <v>0</v>
      </c>
      <c r="BD455" s="186">
        <f t="shared" si="259"/>
        <v>0</v>
      </c>
      <c r="BE455" s="186">
        <f t="shared" si="259"/>
        <v>0</v>
      </c>
      <c r="BF455" s="186">
        <f t="shared" si="259"/>
        <v>0</v>
      </c>
      <c r="BG455" s="186">
        <f t="shared" si="259"/>
        <v>0</v>
      </c>
      <c r="BH455" s="186">
        <f t="shared" si="259"/>
        <v>0</v>
      </c>
      <c r="BI455" s="186">
        <f t="shared" si="259"/>
        <v>0</v>
      </c>
      <c r="BJ455" s="195">
        <f t="shared" si="259"/>
        <v>0</v>
      </c>
      <c r="BK455" s="186"/>
    </row>
    <row r="456" spans="1:63">
      <c r="A456" s="196" t="s">
        <v>161</v>
      </c>
      <c r="B456" s="197">
        <f>B455/B454</f>
        <v>353256.24140073813</v>
      </c>
      <c r="C456" s="166"/>
      <c r="D456" s="167"/>
      <c r="E456" s="167"/>
      <c r="F456" s="167"/>
      <c r="G456" s="167"/>
      <c r="H456" s="167"/>
      <c r="I456" s="167"/>
      <c r="J456" s="167"/>
      <c r="K456" s="167"/>
      <c r="L456" s="167"/>
      <c r="M456" s="167"/>
      <c r="N456" s="167"/>
      <c r="O456" s="167"/>
      <c r="P456" s="167"/>
      <c r="Q456" s="167"/>
      <c r="R456" s="167"/>
      <c r="S456" s="167"/>
      <c r="T456" s="167"/>
      <c r="U456" s="167"/>
      <c r="V456" s="167"/>
      <c r="W456" s="167"/>
      <c r="X456" s="167"/>
      <c r="Y456" s="167"/>
      <c r="Z456" s="167"/>
      <c r="AA456" s="167"/>
      <c r="AB456" s="167"/>
      <c r="AC456" s="167"/>
      <c r="AD456" s="167"/>
      <c r="AE456" s="167"/>
      <c r="AF456" s="167"/>
      <c r="AG456" s="167"/>
      <c r="AH456" s="167"/>
      <c r="AI456" s="167"/>
      <c r="AJ456" s="167"/>
      <c r="AK456" s="167"/>
      <c r="AL456" s="167"/>
      <c r="AM456" s="167"/>
      <c r="AN456" s="167"/>
      <c r="AO456" s="167"/>
      <c r="AP456" s="167"/>
      <c r="AQ456" s="167"/>
      <c r="AR456" s="167"/>
      <c r="AS456" s="167"/>
      <c r="AT456" s="167"/>
      <c r="AU456" s="167"/>
      <c r="AV456" s="167"/>
      <c r="AW456" s="167"/>
      <c r="AX456" s="167"/>
      <c r="AY456" s="167"/>
      <c r="AZ456" s="167"/>
      <c r="BA456" s="167"/>
      <c r="BB456" s="167"/>
      <c r="BC456" s="167"/>
      <c r="BD456" s="167"/>
      <c r="BE456" s="167"/>
      <c r="BF456" s="167"/>
      <c r="BG456" s="167"/>
      <c r="BH456" s="167"/>
      <c r="BI456" s="167"/>
      <c r="BJ456" s="198"/>
    </row>
    <row r="457" spans="1:63">
      <c r="A457" s="199"/>
      <c r="B457" s="200"/>
      <c r="C457" s="201"/>
      <c r="D457" s="201"/>
      <c r="E457" s="201"/>
      <c r="F457" s="201"/>
      <c r="G457" s="201"/>
      <c r="H457" s="201"/>
      <c r="I457" s="202"/>
      <c r="J457" s="201"/>
      <c r="K457" s="201"/>
      <c r="L457" s="201"/>
      <c r="M457" s="201"/>
      <c r="N457" s="201"/>
      <c r="O457" s="201"/>
      <c r="P457" s="201"/>
      <c r="Q457" s="201"/>
      <c r="R457" s="201"/>
      <c r="S457" s="201"/>
      <c r="T457" s="201"/>
      <c r="U457" s="201"/>
      <c r="V457" s="201"/>
      <c r="W457" s="201"/>
      <c r="X457" s="201"/>
      <c r="Y457" s="201"/>
      <c r="Z457" s="201"/>
      <c r="AA457" s="201"/>
      <c r="AB457" s="201"/>
      <c r="AC457" s="201"/>
      <c r="AD457" s="201"/>
      <c r="AE457" s="201"/>
      <c r="AF457" s="201"/>
      <c r="AG457" s="201"/>
      <c r="AH457" s="201"/>
      <c r="AI457" s="201"/>
      <c r="AJ457" s="201"/>
      <c r="AK457" s="201"/>
      <c r="AL457" s="201"/>
      <c r="AM457" s="201"/>
      <c r="AN457" s="201"/>
      <c r="AO457" s="201"/>
      <c r="AP457" s="201"/>
      <c r="AQ457" s="201"/>
      <c r="AR457" s="201"/>
      <c r="AS457" s="201"/>
      <c r="AT457" s="201"/>
      <c r="AU457" s="201"/>
      <c r="AV457" s="201"/>
      <c r="AW457" s="201"/>
      <c r="AX457" s="201"/>
      <c r="AY457" s="201"/>
      <c r="AZ457" s="201"/>
      <c r="BA457" s="201"/>
      <c r="BB457" s="201"/>
      <c r="BC457" s="201"/>
      <c r="BD457" s="201"/>
      <c r="BE457" s="201"/>
      <c r="BF457" s="201"/>
      <c r="BG457" s="201"/>
      <c r="BH457" s="201"/>
      <c r="BI457" s="201"/>
      <c r="BJ457" s="201"/>
    </row>
    <row r="458" spans="1:63" ht="21">
      <c r="A458" s="203" t="s">
        <v>162</v>
      </c>
      <c r="B458" s="89"/>
      <c r="D458" s="204"/>
      <c r="E458" s="204"/>
    </row>
    <row r="459" spans="1:63" s="94" customFormat="1">
      <c r="A459" s="90" t="s">
        <v>154</v>
      </c>
      <c r="B459" s="91" t="s">
        <v>155</v>
      </c>
      <c r="C459" s="91">
        <v>1</v>
      </c>
      <c r="D459" s="92">
        <v>2</v>
      </c>
      <c r="E459" s="92">
        <v>3</v>
      </c>
      <c r="F459" s="92">
        <v>4</v>
      </c>
      <c r="G459" s="92">
        <v>5</v>
      </c>
      <c r="H459" s="92">
        <v>6</v>
      </c>
      <c r="I459" s="92">
        <v>7</v>
      </c>
      <c r="J459" s="92">
        <v>8</v>
      </c>
      <c r="K459" s="92">
        <v>9</v>
      </c>
      <c r="L459" s="92">
        <v>10</v>
      </c>
      <c r="M459" s="92">
        <v>11</v>
      </c>
      <c r="N459" s="92">
        <v>12</v>
      </c>
      <c r="O459" s="92">
        <v>13</v>
      </c>
      <c r="P459" s="92">
        <v>14</v>
      </c>
      <c r="Q459" s="92">
        <v>15</v>
      </c>
      <c r="R459" s="92">
        <v>16</v>
      </c>
      <c r="S459" s="92">
        <v>17</v>
      </c>
      <c r="T459" s="92">
        <v>18</v>
      </c>
      <c r="U459" s="92">
        <v>19</v>
      </c>
      <c r="V459" s="92">
        <v>20</v>
      </c>
      <c r="W459" s="92">
        <v>21</v>
      </c>
      <c r="X459" s="92">
        <v>22</v>
      </c>
      <c r="Y459" s="92">
        <v>23</v>
      </c>
      <c r="Z459" s="92">
        <v>24</v>
      </c>
      <c r="AA459" s="92">
        <v>25</v>
      </c>
      <c r="AB459" s="92">
        <v>26</v>
      </c>
      <c r="AC459" s="92">
        <v>27</v>
      </c>
      <c r="AD459" s="92">
        <v>28</v>
      </c>
      <c r="AE459" s="92">
        <v>29</v>
      </c>
      <c r="AF459" s="92">
        <v>30</v>
      </c>
      <c r="AG459" s="92">
        <v>31</v>
      </c>
      <c r="AH459" s="92">
        <v>32</v>
      </c>
      <c r="AI459" s="92">
        <v>33</v>
      </c>
      <c r="AJ459" s="92">
        <v>34</v>
      </c>
      <c r="AK459" s="92">
        <v>35</v>
      </c>
      <c r="AL459" s="92">
        <v>36</v>
      </c>
      <c r="AM459" s="92">
        <v>37</v>
      </c>
      <c r="AN459" s="92">
        <v>38</v>
      </c>
      <c r="AO459" s="92">
        <v>39</v>
      </c>
      <c r="AP459" s="92">
        <v>40</v>
      </c>
      <c r="AQ459" s="92">
        <v>41</v>
      </c>
      <c r="AR459" s="92">
        <v>42</v>
      </c>
      <c r="AS459" s="92">
        <v>43</v>
      </c>
      <c r="AT459" s="92">
        <v>44</v>
      </c>
      <c r="AU459" s="92">
        <v>45</v>
      </c>
      <c r="AV459" s="92">
        <v>46</v>
      </c>
      <c r="AW459" s="92">
        <v>47</v>
      </c>
      <c r="AX459" s="92">
        <v>48</v>
      </c>
      <c r="AY459" s="92">
        <v>49</v>
      </c>
      <c r="AZ459" s="92">
        <v>50</v>
      </c>
      <c r="BA459" s="92">
        <v>51</v>
      </c>
      <c r="BB459" s="92">
        <v>52</v>
      </c>
      <c r="BC459" s="92">
        <v>53</v>
      </c>
      <c r="BD459" s="92">
        <v>54</v>
      </c>
      <c r="BE459" s="92">
        <v>55</v>
      </c>
      <c r="BF459" s="92">
        <v>56</v>
      </c>
      <c r="BG459" s="92">
        <v>57</v>
      </c>
      <c r="BH459" s="92">
        <v>58</v>
      </c>
      <c r="BI459" s="92">
        <v>59</v>
      </c>
      <c r="BJ459" s="93">
        <v>60</v>
      </c>
    </row>
    <row r="460" spans="1:63" s="100" customFormat="1">
      <c r="A460" s="95" t="s">
        <v>156</v>
      </c>
      <c r="B460" s="96">
        <f>SUM(C460:BJ460)</f>
        <v>4000</v>
      </c>
      <c r="C460" s="96">
        <f t="shared" ref="C460:BJ460" si="260">C403</f>
        <v>0</v>
      </c>
      <c r="D460" s="205">
        <f t="shared" si="260"/>
        <v>0</v>
      </c>
      <c r="E460" s="205">
        <f t="shared" si="260"/>
        <v>0</v>
      </c>
      <c r="F460" s="205">
        <f t="shared" si="260"/>
        <v>0</v>
      </c>
      <c r="G460" s="205">
        <f t="shared" si="260"/>
        <v>0</v>
      </c>
      <c r="H460" s="205">
        <f t="shared" si="260"/>
        <v>51.950000000000017</v>
      </c>
      <c r="I460" s="205">
        <f t="shared" si="260"/>
        <v>103.90000000000003</v>
      </c>
      <c r="J460" s="205">
        <f t="shared" si="260"/>
        <v>155.85000000000002</v>
      </c>
      <c r="K460" s="205">
        <f t="shared" si="260"/>
        <v>207.80000000000007</v>
      </c>
      <c r="L460" s="205">
        <f t="shared" si="260"/>
        <v>329</v>
      </c>
      <c r="M460" s="205">
        <f t="shared" si="260"/>
        <v>329</v>
      </c>
      <c r="N460" s="205">
        <f t="shared" si="260"/>
        <v>329</v>
      </c>
      <c r="O460" s="205">
        <f t="shared" si="260"/>
        <v>329</v>
      </c>
      <c r="P460" s="205">
        <f t="shared" si="260"/>
        <v>329</v>
      </c>
      <c r="Q460" s="205">
        <f t="shared" si="260"/>
        <v>329</v>
      </c>
      <c r="R460" s="205">
        <f t="shared" si="260"/>
        <v>329</v>
      </c>
      <c r="S460" s="205">
        <f t="shared" si="260"/>
        <v>329</v>
      </c>
      <c r="T460" s="205">
        <f t="shared" si="260"/>
        <v>329</v>
      </c>
      <c r="U460" s="205">
        <f t="shared" si="260"/>
        <v>207.80000000000007</v>
      </c>
      <c r="V460" s="205">
        <f t="shared" si="260"/>
        <v>155.85000000000002</v>
      </c>
      <c r="W460" s="205">
        <f t="shared" si="260"/>
        <v>103.90000000000003</v>
      </c>
      <c r="X460" s="205">
        <f t="shared" si="260"/>
        <v>51.950000000000017</v>
      </c>
      <c r="Y460" s="205">
        <f t="shared" si="260"/>
        <v>0</v>
      </c>
      <c r="Z460" s="205">
        <f t="shared" si="260"/>
        <v>0</v>
      </c>
      <c r="AA460" s="205">
        <f t="shared" si="260"/>
        <v>0</v>
      </c>
      <c r="AB460" s="205">
        <f t="shared" si="260"/>
        <v>0</v>
      </c>
      <c r="AC460" s="205">
        <f t="shared" si="260"/>
        <v>0</v>
      </c>
      <c r="AD460" s="205">
        <f t="shared" si="260"/>
        <v>0</v>
      </c>
      <c r="AE460" s="205">
        <f t="shared" si="260"/>
        <v>0</v>
      </c>
      <c r="AF460" s="205">
        <f t="shared" si="260"/>
        <v>0</v>
      </c>
      <c r="AG460" s="205">
        <f t="shared" si="260"/>
        <v>0</v>
      </c>
      <c r="AH460" s="205">
        <f t="shared" si="260"/>
        <v>0</v>
      </c>
      <c r="AI460" s="205">
        <f t="shared" si="260"/>
        <v>0</v>
      </c>
      <c r="AJ460" s="205">
        <f t="shared" si="260"/>
        <v>0</v>
      </c>
      <c r="AK460" s="205">
        <f t="shared" si="260"/>
        <v>0</v>
      </c>
      <c r="AL460" s="205">
        <f t="shared" si="260"/>
        <v>0</v>
      </c>
      <c r="AM460" s="205">
        <f t="shared" si="260"/>
        <v>0</v>
      </c>
      <c r="AN460" s="205">
        <f t="shared" si="260"/>
        <v>0</v>
      </c>
      <c r="AO460" s="205">
        <f t="shared" si="260"/>
        <v>0</v>
      </c>
      <c r="AP460" s="205">
        <f t="shared" si="260"/>
        <v>0</v>
      </c>
      <c r="AQ460" s="205">
        <f t="shared" si="260"/>
        <v>0</v>
      </c>
      <c r="AR460" s="205">
        <f t="shared" si="260"/>
        <v>0</v>
      </c>
      <c r="AS460" s="205">
        <f t="shared" si="260"/>
        <v>0</v>
      </c>
      <c r="AT460" s="205">
        <f t="shared" si="260"/>
        <v>0</v>
      </c>
      <c r="AU460" s="205">
        <f t="shared" si="260"/>
        <v>0</v>
      </c>
      <c r="AV460" s="205">
        <f t="shared" si="260"/>
        <v>0</v>
      </c>
      <c r="AW460" s="205">
        <f t="shared" si="260"/>
        <v>0</v>
      </c>
      <c r="AX460" s="205">
        <f t="shared" si="260"/>
        <v>0</v>
      </c>
      <c r="AY460" s="205">
        <f t="shared" si="260"/>
        <v>0</v>
      </c>
      <c r="AZ460" s="205">
        <f t="shared" si="260"/>
        <v>0</v>
      </c>
      <c r="BA460" s="205">
        <f t="shared" si="260"/>
        <v>0</v>
      </c>
      <c r="BB460" s="205">
        <f t="shared" si="260"/>
        <v>0</v>
      </c>
      <c r="BC460" s="205">
        <f t="shared" si="260"/>
        <v>0</v>
      </c>
      <c r="BD460" s="205">
        <f t="shared" si="260"/>
        <v>0</v>
      </c>
      <c r="BE460" s="205">
        <f t="shared" si="260"/>
        <v>0</v>
      </c>
      <c r="BF460" s="205">
        <f t="shared" si="260"/>
        <v>0</v>
      </c>
      <c r="BG460" s="205">
        <f t="shared" si="260"/>
        <v>0</v>
      </c>
      <c r="BH460" s="205">
        <f t="shared" si="260"/>
        <v>0</v>
      </c>
      <c r="BI460" s="205">
        <f t="shared" si="260"/>
        <v>0</v>
      </c>
      <c r="BJ460" s="206">
        <f t="shared" si="260"/>
        <v>0</v>
      </c>
    </row>
    <row r="461" spans="1:63" s="105" customFormat="1">
      <c r="A461" s="101" t="s">
        <v>115</v>
      </c>
      <c r="B461" s="102">
        <f>SUM(C461:BJ461)</f>
        <v>6691557121.5367661</v>
      </c>
      <c r="C461" s="207">
        <f>C404*(1+$G401)^(C287-1)</f>
        <v>14976492.940182466</v>
      </c>
      <c r="D461" s="208">
        <f>D404*(1+$G401)^(D402-1)</f>
        <v>16198574.764101358</v>
      </c>
      <c r="E461" s="208">
        <f t="shared" ref="E461:BJ461" si="261">E404*(1+$G401)^(E402-1)</f>
        <v>16846517.754665412</v>
      </c>
      <c r="F461" s="208">
        <f t="shared" si="261"/>
        <v>17520378.464852031</v>
      </c>
      <c r="G461" s="208">
        <f t="shared" si="261"/>
        <v>18221193.603446111</v>
      </c>
      <c r="H461" s="208">
        <f t="shared" si="261"/>
        <v>62010364.180250585</v>
      </c>
      <c r="I461" s="208">
        <f t="shared" si="261"/>
        <v>128981557.49492122</v>
      </c>
      <c r="J461" s="208">
        <f t="shared" si="261"/>
        <v>201211229.6920771</v>
      </c>
      <c r="K461" s="208">
        <f t="shared" si="261"/>
        <v>279012905.17301363</v>
      </c>
      <c r="L461" s="208">
        <f t="shared" si="261"/>
        <v>459417977.06447709</v>
      </c>
      <c r="M461" s="208">
        <f t="shared" si="261"/>
        <v>477794696.14705616</v>
      </c>
      <c r="N461" s="208">
        <f t="shared" si="261"/>
        <v>496906483.9929384</v>
      </c>
      <c r="O461" s="208">
        <f t="shared" si="261"/>
        <v>516782743.35265601</v>
      </c>
      <c r="P461" s="208">
        <f t="shared" si="261"/>
        <v>537454053.08676231</v>
      </c>
      <c r="Q461" s="208">
        <f t="shared" si="261"/>
        <v>558952215.21023273</v>
      </c>
      <c r="R461" s="208">
        <f t="shared" si="261"/>
        <v>581310303.81864202</v>
      </c>
      <c r="S461" s="208">
        <f t="shared" si="261"/>
        <v>604562715.97138786</v>
      </c>
      <c r="T461" s="208">
        <f t="shared" si="261"/>
        <v>628745224.61024332</v>
      </c>
      <c r="U461" s="208">
        <f t="shared" si="261"/>
        <v>413007258.30081743</v>
      </c>
      <c r="V461" s="208">
        <f t="shared" si="261"/>
        <v>322145661.47463763</v>
      </c>
      <c r="W461" s="208">
        <f t="shared" si="261"/>
        <v>223354325.28908208</v>
      </c>
      <c r="X461" s="208">
        <f t="shared" si="261"/>
        <v>116144249.15032271</v>
      </c>
      <c r="Y461" s="208">
        <f t="shared" si="261"/>
        <v>0</v>
      </c>
      <c r="Z461" s="208">
        <f t="shared" si="261"/>
        <v>0</v>
      </c>
      <c r="AA461" s="208">
        <f t="shared" si="261"/>
        <v>0</v>
      </c>
      <c r="AB461" s="208">
        <f t="shared" si="261"/>
        <v>0</v>
      </c>
      <c r="AC461" s="208">
        <f t="shared" si="261"/>
        <v>0</v>
      </c>
      <c r="AD461" s="208">
        <f t="shared" si="261"/>
        <v>0</v>
      </c>
      <c r="AE461" s="208">
        <f t="shared" si="261"/>
        <v>0</v>
      </c>
      <c r="AF461" s="208">
        <f t="shared" si="261"/>
        <v>0</v>
      </c>
      <c r="AG461" s="208">
        <f t="shared" si="261"/>
        <v>0</v>
      </c>
      <c r="AH461" s="208">
        <f t="shared" si="261"/>
        <v>0</v>
      </c>
      <c r="AI461" s="208">
        <f t="shared" si="261"/>
        <v>0</v>
      </c>
      <c r="AJ461" s="208">
        <f t="shared" si="261"/>
        <v>0</v>
      </c>
      <c r="AK461" s="208">
        <f t="shared" si="261"/>
        <v>0</v>
      </c>
      <c r="AL461" s="208">
        <f t="shared" si="261"/>
        <v>0</v>
      </c>
      <c r="AM461" s="208">
        <f t="shared" si="261"/>
        <v>0</v>
      </c>
      <c r="AN461" s="208">
        <f t="shared" si="261"/>
        <v>0</v>
      </c>
      <c r="AO461" s="208">
        <f t="shared" si="261"/>
        <v>0</v>
      </c>
      <c r="AP461" s="208">
        <f t="shared" si="261"/>
        <v>0</v>
      </c>
      <c r="AQ461" s="208">
        <f t="shared" si="261"/>
        <v>0</v>
      </c>
      <c r="AR461" s="208">
        <f t="shared" si="261"/>
        <v>0</v>
      </c>
      <c r="AS461" s="208">
        <f t="shared" si="261"/>
        <v>0</v>
      </c>
      <c r="AT461" s="208">
        <f t="shared" si="261"/>
        <v>0</v>
      </c>
      <c r="AU461" s="208">
        <f t="shared" si="261"/>
        <v>0</v>
      </c>
      <c r="AV461" s="208">
        <f t="shared" si="261"/>
        <v>0</v>
      </c>
      <c r="AW461" s="208">
        <f t="shared" si="261"/>
        <v>0</v>
      </c>
      <c r="AX461" s="208">
        <f t="shared" si="261"/>
        <v>0</v>
      </c>
      <c r="AY461" s="208">
        <f t="shared" si="261"/>
        <v>0</v>
      </c>
      <c r="AZ461" s="208">
        <f t="shared" si="261"/>
        <v>0</v>
      </c>
      <c r="BA461" s="208">
        <f t="shared" si="261"/>
        <v>0</v>
      </c>
      <c r="BB461" s="208">
        <f t="shared" si="261"/>
        <v>0</v>
      </c>
      <c r="BC461" s="208">
        <f t="shared" si="261"/>
        <v>0</v>
      </c>
      <c r="BD461" s="208">
        <f t="shared" si="261"/>
        <v>0</v>
      </c>
      <c r="BE461" s="208">
        <f t="shared" si="261"/>
        <v>0</v>
      </c>
      <c r="BF461" s="208">
        <f t="shared" si="261"/>
        <v>0</v>
      </c>
      <c r="BG461" s="208">
        <f t="shared" si="261"/>
        <v>0</v>
      </c>
      <c r="BH461" s="208">
        <f t="shared" si="261"/>
        <v>0</v>
      </c>
      <c r="BI461" s="208">
        <f t="shared" si="261"/>
        <v>0</v>
      </c>
      <c r="BJ461" s="209">
        <f t="shared" si="261"/>
        <v>0</v>
      </c>
    </row>
    <row r="462" spans="1:63" s="105" customFormat="1">
      <c r="A462" s="106" t="s">
        <v>116</v>
      </c>
      <c r="B462" s="210">
        <f>SUM(B469,B463:B464)</f>
        <v>1739463494.7192543</v>
      </c>
      <c r="C462" s="102">
        <f>SUM(C463:C464,C469)</f>
        <v>12460442.126231814</v>
      </c>
      <c r="D462" s="103">
        <f t="shared" ref="D462:BJ462" si="262">SUM(D463:D464,D469)</f>
        <v>12958859.811281087</v>
      </c>
      <c r="E462" s="103">
        <f t="shared" si="262"/>
        <v>13477214.20373233</v>
      </c>
      <c r="F462" s="103">
        <f t="shared" si="262"/>
        <v>14016302.771881623</v>
      </c>
      <c r="G462" s="103">
        <f t="shared" si="262"/>
        <v>14576954.882756891</v>
      </c>
      <c r="H462" s="103">
        <f t="shared" si="262"/>
        <v>15690516.36582135</v>
      </c>
      <c r="I462" s="103">
        <f t="shared" si="262"/>
        <v>32636274.040908404</v>
      </c>
      <c r="J462" s="103">
        <f t="shared" si="262"/>
        <v>50912587.503817096</v>
      </c>
      <c r="K462" s="103">
        <f t="shared" si="262"/>
        <v>70598788.005293071</v>
      </c>
      <c r="L462" s="103">
        <f t="shared" si="262"/>
        <v>116246782.02065001</v>
      </c>
      <c r="M462" s="103">
        <f t="shared" si="262"/>
        <v>120896653.301476</v>
      </c>
      <c r="N462" s="103">
        <f t="shared" si="262"/>
        <v>125732519.43353504</v>
      </c>
      <c r="O462" s="103">
        <f t="shared" si="262"/>
        <v>130761820.21087646</v>
      </c>
      <c r="P462" s="103">
        <f t="shared" si="262"/>
        <v>135992293.01931155</v>
      </c>
      <c r="Q462" s="103">
        <f t="shared" si="262"/>
        <v>141431984.74008399</v>
      </c>
      <c r="R462" s="103">
        <f t="shared" si="262"/>
        <v>147089264.12968737</v>
      </c>
      <c r="S462" s="103">
        <f t="shared" si="262"/>
        <v>152972834.69487488</v>
      </c>
      <c r="T462" s="103">
        <f t="shared" si="262"/>
        <v>159091748.08266988</v>
      </c>
      <c r="U462" s="103">
        <f t="shared" si="262"/>
        <v>104503452.46699685</v>
      </c>
      <c r="V462" s="103">
        <f t="shared" si="262"/>
        <v>81512692.924257532</v>
      </c>
      <c r="W462" s="103">
        <f t="shared" si="262"/>
        <v>56515467.094151899</v>
      </c>
      <c r="X462" s="103">
        <f t="shared" si="262"/>
        <v>29388042.888958991</v>
      </c>
      <c r="Y462" s="103">
        <f t="shared" si="262"/>
        <v>0</v>
      </c>
      <c r="Z462" s="103">
        <f t="shared" si="262"/>
        <v>0</v>
      </c>
      <c r="AA462" s="103">
        <f t="shared" si="262"/>
        <v>0</v>
      </c>
      <c r="AB462" s="103">
        <f t="shared" si="262"/>
        <v>0</v>
      </c>
      <c r="AC462" s="103">
        <f t="shared" si="262"/>
        <v>0</v>
      </c>
      <c r="AD462" s="103">
        <f t="shared" si="262"/>
        <v>0</v>
      </c>
      <c r="AE462" s="103">
        <f t="shared" si="262"/>
        <v>0</v>
      </c>
      <c r="AF462" s="103">
        <f t="shared" si="262"/>
        <v>0</v>
      </c>
      <c r="AG462" s="103">
        <f t="shared" si="262"/>
        <v>0</v>
      </c>
      <c r="AH462" s="103">
        <f t="shared" si="262"/>
        <v>0</v>
      </c>
      <c r="AI462" s="103">
        <f t="shared" si="262"/>
        <v>0</v>
      </c>
      <c r="AJ462" s="103">
        <f t="shared" si="262"/>
        <v>0</v>
      </c>
      <c r="AK462" s="103">
        <f t="shared" si="262"/>
        <v>0</v>
      </c>
      <c r="AL462" s="103">
        <f t="shared" si="262"/>
        <v>0</v>
      </c>
      <c r="AM462" s="103">
        <f t="shared" si="262"/>
        <v>0</v>
      </c>
      <c r="AN462" s="103">
        <f t="shared" si="262"/>
        <v>0</v>
      </c>
      <c r="AO462" s="103">
        <f t="shared" si="262"/>
        <v>0</v>
      </c>
      <c r="AP462" s="103">
        <f t="shared" si="262"/>
        <v>0</v>
      </c>
      <c r="AQ462" s="103">
        <f t="shared" si="262"/>
        <v>0</v>
      </c>
      <c r="AR462" s="103">
        <f t="shared" si="262"/>
        <v>0</v>
      </c>
      <c r="AS462" s="103">
        <f t="shared" si="262"/>
        <v>0</v>
      </c>
      <c r="AT462" s="103">
        <f t="shared" si="262"/>
        <v>0</v>
      </c>
      <c r="AU462" s="103">
        <f t="shared" si="262"/>
        <v>0</v>
      </c>
      <c r="AV462" s="103">
        <f t="shared" si="262"/>
        <v>0</v>
      </c>
      <c r="AW462" s="103">
        <f t="shared" si="262"/>
        <v>0</v>
      </c>
      <c r="AX462" s="103">
        <f t="shared" si="262"/>
        <v>0</v>
      </c>
      <c r="AY462" s="103">
        <f t="shared" si="262"/>
        <v>0</v>
      </c>
      <c r="AZ462" s="103">
        <f t="shared" si="262"/>
        <v>0</v>
      </c>
      <c r="BA462" s="103">
        <f t="shared" si="262"/>
        <v>0</v>
      </c>
      <c r="BB462" s="103">
        <f t="shared" si="262"/>
        <v>0</v>
      </c>
      <c r="BC462" s="103">
        <f t="shared" si="262"/>
        <v>0</v>
      </c>
      <c r="BD462" s="103">
        <f t="shared" si="262"/>
        <v>0</v>
      </c>
      <c r="BE462" s="103">
        <f t="shared" si="262"/>
        <v>0</v>
      </c>
      <c r="BF462" s="103">
        <f t="shared" si="262"/>
        <v>0</v>
      </c>
      <c r="BG462" s="103">
        <f t="shared" si="262"/>
        <v>0</v>
      </c>
      <c r="BH462" s="103">
        <f t="shared" si="262"/>
        <v>0</v>
      </c>
      <c r="BI462" s="103">
        <f t="shared" si="262"/>
        <v>0</v>
      </c>
      <c r="BJ462" s="104">
        <f t="shared" si="262"/>
        <v>0</v>
      </c>
    </row>
    <row r="463" spans="1:63" s="116" customFormat="1">
      <c r="A463" s="111" t="s">
        <v>117</v>
      </c>
      <c r="B463" s="155">
        <f>SUM(C463:BJ463)</f>
        <v>1182441262.9281545</v>
      </c>
      <c r="C463" s="108">
        <f>C406*(1+$G401)^(C287-1)</f>
        <v>0</v>
      </c>
      <c r="D463" s="109">
        <f>D406*(1+$G401)^(D402-1)</f>
        <v>0</v>
      </c>
      <c r="E463" s="109">
        <f t="shared" ref="E463:BJ463" si="263">E406*(1+$G401)^(E402-1)</f>
        <v>0</v>
      </c>
      <c r="F463" s="109">
        <f t="shared" si="263"/>
        <v>0</v>
      </c>
      <c r="G463" s="109">
        <f t="shared" si="263"/>
        <v>0</v>
      </c>
      <c r="H463" s="109">
        <f t="shared" si="263"/>
        <v>11096534.446337147</v>
      </c>
      <c r="I463" s="109">
        <f t="shared" si="263"/>
        <v>23080791.648381263</v>
      </c>
      <c r="J463" s="109">
        <f t="shared" si="263"/>
        <v>36006034.971474759</v>
      </c>
      <c r="K463" s="109">
        <f t="shared" si="263"/>
        <v>49928368.493778355</v>
      </c>
      <c r="L463" s="109">
        <f t="shared" si="263"/>
        <v>82211215.41785948</v>
      </c>
      <c r="M463" s="109">
        <f t="shared" si="263"/>
        <v>85499664.034573853</v>
      </c>
      <c r="N463" s="109">
        <f t="shared" si="263"/>
        <v>88919650.595956802</v>
      </c>
      <c r="O463" s="109">
        <f t="shared" si="263"/>
        <v>92476436.619795099</v>
      </c>
      <c r="P463" s="109">
        <f t="shared" si="263"/>
        <v>96175494.084586903</v>
      </c>
      <c r="Q463" s="109">
        <f t="shared" si="263"/>
        <v>100022513.84797038</v>
      </c>
      <c r="R463" s="109">
        <f t="shared" si="263"/>
        <v>104023414.40188919</v>
      </c>
      <c r="S463" s="109">
        <f t="shared" si="263"/>
        <v>108184350.97796477</v>
      </c>
      <c r="T463" s="109">
        <f t="shared" si="263"/>
        <v>112511725.01708338</v>
      </c>
      <c r="U463" s="109">
        <f t="shared" si="263"/>
        <v>73906182.118212551</v>
      </c>
      <c r="V463" s="109">
        <f t="shared" si="263"/>
        <v>57646822.052205779</v>
      </c>
      <c r="W463" s="109">
        <f t="shared" si="263"/>
        <v>39968463.289529346</v>
      </c>
      <c r="X463" s="109">
        <f t="shared" si="263"/>
        <v>20783600.910555266</v>
      </c>
      <c r="Y463" s="109">
        <f t="shared" si="263"/>
        <v>0</v>
      </c>
      <c r="Z463" s="109">
        <f t="shared" si="263"/>
        <v>0</v>
      </c>
      <c r="AA463" s="109">
        <f t="shared" si="263"/>
        <v>0</v>
      </c>
      <c r="AB463" s="109">
        <f t="shared" si="263"/>
        <v>0</v>
      </c>
      <c r="AC463" s="109">
        <f t="shared" si="263"/>
        <v>0</v>
      </c>
      <c r="AD463" s="109">
        <f t="shared" si="263"/>
        <v>0</v>
      </c>
      <c r="AE463" s="109">
        <f t="shared" si="263"/>
        <v>0</v>
      </c>
      <c r="AF463" s="109">
        <f t="shared" si="263"/>
        <v>0</v>
      </c>
      <c r="AG463" s="109">
        <f t="shared" si="263"/>
        <v>0</v>
      </c>
      <c r="AH463" s="109">
        <f t="shared" si="263"/>
        <v>0</v>
      </c>
      <c r="AI463" s="109">
        <f t="shared" si="263"/>
        <v>0</v>
      </c>
      <c r="AJ463" s="109">
        <f t="shared" si="263"/>
        <v>0</v>
      </c>
      <c r="AK463" s="109">
        <f t="shared" si="263"/>
        <v>0</v>
      </c>
      <c r="AL463" s="109">
        <f t="shared" si="263"/>
        <v>0</v>
      </c>
      <c r="AM463" s="109">
        <f t="shared" si="263"/>
        <v>0</v>
      </c>
      <c r="AN463" s="109">
        <f t="shared" si="263"/>
        <v>0</v>
      </c>
      <c r="AO463" s="109">
        <f t="shared" si="263"/>
        <v>0</v>
      </c>
      <c r="AP463" s="109">
        <f t="shared" si="263"/>
        <v>0</v>
      </c>
      <c r="AQ463" s="109">
        <f t="shared" si="263"/>
        <v>0</v>
      </c>
      <c r="AR463" s="109">
        <f t="shared" si="263"/>
        <v>0</v>
      </c>
      <c r="AS463" s="109">
        <f t="shared" si="263"/>
        <v>0</v>
      </c>
      <c r="AT463" s="109">
        <f t="shared" si="263"/>
        <v>0</v>
      </c>
      <c r="AU463" s="109">
        <f t="shared" si="263"/>
        <v>0</v>
      </c>
      <c r="AV463" s="109">
        <f t="shared" si="263"/>
        <v>0</v>
      </c>
      <c r="AW463" s="109">
        <f t="shared" si="263"/>
        <v>0</v>
      </c>
      <c r="AX463" s="109">
        <f t="shared" si="263"/>
        <v>0</v>
      </c>
      <c r="AY463" s="109">
        <f t="shared" si="263"/>
        <v>0</v>
      </c>
      <c r="AZ463" s="109">
        <f t="shared" si="263"/>
        <v>0</v>
      </c>
      <c r="BA463" s="109">
        <f t="shared" si="263"/>
        <v>0</v>
      </c>
      <c r="BB463" s="109">
        <f t="shared" si="263"/>
        <v>0</v>
      </c>
      <c r="BC463" s="109">
        <f t="shared" si="263"/>
        <v>0</v>
      </c>
      <c r="BD463" s="109">
        <f t="shared" si="263"/>
        <v>0</v>
      </c>
      <c r="BE463" s="109">
        <f t="shared" si="263"/>
        <v>0</v>
      </c>
      <c r="BF463" s="109">
        <f t="shared" si="263"/>
        <v>0</v>
      </c>
      <c r="BG463" s="109">
        <f t="shared" si="263"/>
        <v>0</v>
      </c>
      <c r="BH463" s="109">
        <f t="shared" si="263"/>
        <v>0</v>
      </c>
      <c r="BI463" s="109">
        <f t="shared" si="263"/>
        <v>0</v>
      </c>
      <c r="BJ463" s="110">
        <f t="shared" si="263"/>
        <v>0</v>
      </c>
    </row>
    <row r="464" spans="1:63" s="116" customFormat="1">
      <c r="A464" s="111" t="s">
        <v>118</v>
      </c>
      <c r="B464" s="155">
        <f>SUM(B465:B468)</f>
        <v>489532457.99521613</v>
      </c>
      <c r="C464" s="108">
        <f>C407*(1+$G401)^(C402-1)</f>
        <v>0</v>
      </c>
      <c r="D464" s="109">
        <f>D407*(1+$G401)^(D402-1)</f>
        <v>0</v>
      </c>
      <c r="E464" s="109">
        <f t="shared" ref="E464:BJ464" si="264">E407*(1+$G401)^(E402-1)</f>
        <v>0</v>
      </c>
      <c r="F464" s="109">
        <f t="shared" si="264"/>
        <v>0</v>
      </c>
      <c r="G464" s="109">
        <f t="shared" si="264"/>
        <v>0</v>
      </c>
      <c r="H464" s="109">
        <f t="shared" si="264"/>
        <v>4593981.9194842028</v>
      </c>
      <c r="I464" s="109">
        <f t="shared" si="264"/>
        <v>9555482.3925271425</v>
      </c>
      <c r="J464" s="109">
        <f t="shared" si="264"/>
        <v>14906552.532342337</v>
      </c>
      <c r="K464" s="109">
        <f t="shared" si="264"/>
        <v>20670419.511514716</v>
      </c>
      <c r="L464" s="109">
        <f t="shared" si="264"/>
        <v>34035566.602790534</v>
      </c>
      <c r="M464" s="109">
        <f t="shared" si="264"/>
        <v>35396989.266902156</v>
      </c>
      <c r="N464" s="109">
        <f t="shared" si="264"/>
        <v>36812868.837578237</v>
      </c>
      <c r="O464" s="109">
        <f t="shared" si="264"/>
        <v>38285383.591081373</v>
      </c>
      <c r="P464" s="109">
        <f t="shared" si="264"/>
        <v>39816798.934724629</v>
      </c>
      <c r="Q464" s="109">
        <f t="shared" si="264"/>
        <v>41409470.892113619</v>
      </c>
      <c r="R464" s="109">
        <f t="shared" si="264"/>
        <v>43065849.727798164</v>
      </c>
      <c r="S464" s="109">
        <f t="shared" si="264"/>
        <v>44788483.716910094</v>
      </c>
      <c r="T464" s="109">
        <f t="shared" si="264"/>
        <v>46580023.0655865</v>
      </c>
      <c r="U464" s="109">
        <f t="shared" si="264"/>
        <v>30597270.348784298</v>
      </c>
      <c r="V464" s="109">
        <f t="shared" si="264"/>
        <v>23865870.872051749</v>
      </c>
      <c r="W464" s="109">
        <f t="shared" si="264"/>
        <v>16547003.80462255</v>
      </c>
      <c r="X464" s="109">
        <f t="shared" si="264"/>
        <v>8604441.9784037266</v>
      </c>
      <c r="Y464" s="109">
        <f t="shared" si="264"/>
        <v>0</v>
      </c>
      <c r="Z464" s="109">
        <f t="shared" si="264"/>
        <v>0</v>
      </c>
      <c r="AA464" s="109">
        <f t="shared" si="264"/>
        <v>0</v>
      </c>
      <c r="AB464" s="109">
        <f t="shared" si="264"/>
        <v>0</v>
      </c>
      <c r="AC464" s="109">
        <f t="shared" si="264"/>
        <v>0</v>
      </c>
      <c r="AD464" s="109">
        <f t="shared" si="264"/>
        <v>0</v>
      </c>
      <c r="AE464" s="109">
        <f t="shared" si="264"/>
        <v>0</v>
      </c>
      <c r="AF464" s="109">
        <f t="shared" si="264"/>
        <v>0</v>
      </c>
      <c r="AG464" s="109">
        <f t="shared" si="264"/>
        <v>0</v>
      </c>
      <c r="AH464" s="109">
        <f t="shared" si="264"/>
        <v>0</v>
      </c>
      <c r="AI464" s="109">
        <f t="shared" si="264"/>
        <v>0</v>
      </c>
      <c r="AJ464" s="109">
        <f t="shared" si="264"/>
        <v>0</v>
      </c>
      <c r="AK464" s="109">
        <f t="shared" si="264"/>
        <v>0</v>
      </c>
      <c r="AL464" s="109">
        <f t="shared" si="264"/>
        <v>0</v>
      </c>
      <c r="AM464" s="109">
        <f t="shared" si="264"/>
        <v>0</v>
      </c>
      <c r="AN464" s="109">
        <f t="shared" si="264"/>
        <v>0</v>
      </c>
      <c r="AO464" s="109">
        <f t="shared" si="264"/>
        <v>0</v>
      </c>
      <c r="AP464" s="109">
        <f t="shared" si="264"/>
        <v>0</v>
      </c>
      <c r="AQ464" s="109">
        <f t="shared" si="264"/>
        <v>0</v>
      </c>
      <c r="AR464" s="109">
        <f t="shared" si="264"/>
        <v>0</v>
      </c>
      <c r="AS464" s="109">
        <f t="shared" si="264"/>
        <v>0</v>
      </c>
      <c r="AT464" s="109">
        <f t="shared" si="264"/>
        <v>0</v>
      </c>
      <c r="AU464" s="109">
        <f t="shared" si="264"/>
        <v>0</v>
      </c>
      <c r="AV464" s="109">
        <f t="shared" si="264"/>
        <v>0</v>
      </c>
      <c r="AW464" s="109">
        <f t="shared" si="264"/>
        <v>0</v>
      </c>
      <c r="AX464" s="109">
        <f t="shared" si="264"/>
        <v>0</v>
      </c>
      <c r="AY464" s="109">
        <f t="shared" si="264"/>
        <v>0</v>
      </c>
      <c r="AZ464" s="109">
        <f t="shared" si="264"/>
        <v>0</v>
      </c>
      <c r="BA464" s="109">
        <f t="shared" si="264"/>
        <v>0</v>
      </c>
      <c r="BB464" s="109">
        <f t="shared" si="264"/>
        <v>0</v>
      </c>
      <c r="BC464" s="109">
        <f t="shared" si="264"/>
        <v>0</v>
      </c>
      <c r="BD464" s="109">
        <f t="shared" si="264"/>
        <v>0</v>
      </c>
      <c r="BE464" s="109">
        <f t="shared" si="264"/>
        <v>0</v>
      </c>
      <c r="BF464" s="109">
        <f t="shared" si="264"/>
        <v>0</v>
      </c>
      <c r="BG464" s="109">
        <f t="shared" si="264"/>
        <v>0</v>
      </c>
      <c r="BH464" s="109">
        <f t="shared" si="264"/>
        <v>0</v>
      </c>
      <c r="BI464" s="109">
        <f t="shared" si="264"/>
        <v>0</v>
      </c>
      <c r="BJ464" s="110">
        <f t="shared" si="264"/>
        <v>0</v>
      </c>
    </row>
    <row r="465" spans="1:64" s="125" customFormat="1" ht="12.75">
      <c r="A465" s="120" t="s">
        <v>119</v>
      </c>
      <c r="B465" s="211">
        <f t="shared" ref="B465:B470" si="265">SUM(C465:BJ465)</f>
        <v>172772075.55647919</v>
      </c>
      <c r="C465" s="122">
        <f>C408*(1+$G401)^(C402-1)</f>
        <v>0</v>
      </c>
      <c r="D465" s="123">
        <f>D408*(1+$G401)^(D402-1)</f>
        <v>0</v>
      </c>
      <c r="E465" s="123">
        <f t="shared" ref="E465:BJ465" si="266">E408*(1+$G401)^(E402-1)</f>
        <v>0</v>
      </c>
      <c r="F465" s="123">
        <f t="shared" si="266"/>
        <v>0</v>
      </c>
      <c r="G465" s="123">
        <f t="shared" si="266"/>
        <v>0</v>
      </c>
      <c r="H465" s="123">
        <f t="shared" si="266"/>
        <v>1621367.037741919</v>
      </c>
      <c r="I465" s="123">
        <f t="shared" si="266"/>
        <v>3372443.4385031918</v>
      </c>
      <c r="J465" s="123">
        <f t="shared" si="266"/>
        <v>5261011.7640649779</v>
      </c>
      <c r="K465" s="123">
        <f t="shared" si="266"/>
        <v>7295269.6461701049</v>
      </c>
      <c r="L465" s="123">
        <f t="shared" si="266"/>
        <v>12012268.826436779</v>
      </c>
      <c r="M465" s="123">
        <f t="shared" si="266"/>
        <v>12492759.579494249</v>
      </c>
      <c r="N465" s="123">
        <f t="shared" si="266"/>
        <v>12992469.962674018</v>
      </c>
      <c r="O465" s="123">
        <f t="shared" si="266"/>
        <v>13512168.761180982</v>
      </c>
      <c r="P465" s="123">
        <f t="shared" si="266"/>
        <v>14052655.511628222</v>
      </c>
      <c r="Q465" s="123">
        <f t="shared" si="266"/>
        <v>14614761.732093351</v>
      </c>
      <c r="R465" s="123">
        <f t="shared" si="266"/>
        <v>15199352.201377084</v>
      </c>
      <c r="S465" s="123">
        <f t="shared" si="266"/>
        <v>15807326.28943217</v>
      </c>
      <c r="T465" s="123">
        <f t="shared" si="266"/>
        <v>16439619.341009459</v>
      </c>
      <c r="U465" s="123">
        <f t="shared" si="266"/>
        <v>10798781.200681573</v>
      </c>
      <c r="V465" s="123">
        <f t="shared" si="266"/>
        <v>8423049.3365316261</v>
      </c>
      <c r="W465" s="123">
        <f t="shared" si="266"/>
        <v>5839980.8733285945</v>
      </c>
      <c r="X465" s="123">
        <f t="shared" si="266"/>
        <v>3036790.0541308699</v>
      </c>
      <c r="Y465" s="123">
        <f t="shared" si="266"/>
        <v>0</v>
      </c>
      <c r="Z465" s="123">
        <f t="shared" si="266"/>
        <v>0</v>
      </c>
      <c r="AA465" s="123">
        <f t="shared" si="266"/>
        <v>0</v>
      </c>
      <c r="AB465" s="123">
        <f t="shared" si="266"/>
        <v>0</v>
      </c>
      <c r="AC465" s="123">
        <f t="shared" si="266"/>
        <v>0</v>
      </c>
      <c r="AD465" s="123">
        <f t="shared" si="266"/>
        <v>0</v>
      </c>
      <c r="AE465" s="123">
        <f t="shared" si="266"/>
        <v>0</v>
      </c>
      <c r="AF465" s="123">
        <f t="shared" si="266"/>
        <v>0</v>
      </c>
      <c r="AG465" s="123">
        <f t="shared" si="266"/>
        <v>0</v>
      </c>
      <c r="AH465" s="123">
        <f t="shared" si="266"/>
        <v>0</v>
      </c>
      <c r="AI465" s="123">
        <f t="shared" si="266"/>
        <v>0</v>
      </c>
      <c r="AJ465" s="123">
        <f t="shared" si="266"/>
        <v>0</v>
      </c>
      <c r="AK465" s="123">
        <f t="shared" si="266"/>
        <v>0</v>
      </c>
      <c r="AL465" s="123">
        <f t="shared" si="266"/>
        <v>0</v>
      </c>
      <c r="AM465" s="123">
        <f t="shared" si="266"/>
        <v>0</v>
      </c>
      <c r="AN465" s="123">
        <f t="shared" si="266"/>
        <v>0</v>
      </c>
      <c r="AO465" s="123">
        <f t="shared" si="266"/>
        <v>0</v>
      </c>
      <c r="AP465" s="123">
        <f t="shared" si="266"/>
        <v>0</v>
      </c>
      <c r="AQ465" s="123">
        <f t="shared" si="266"/>
        <v>0</v>
      </c>
      <c r="AR465" s="123">
        <f t="shared" si="266"/>
        <v>0</v>
      </c>
      <c r="AS465" s="123">
        <f t="shared" si="266"/>
        <v>0</v>
      </c>
      <c r="AT465" s="123">
        <f t="shared" si="266"/>
        <v>0</v>
      </c>
      <c r="AU465" s="123">
        <f t="shared" si="266"/>
        <v>0</v>
      </c>
      <c r="AV465" s="123">
        <f t="shared" si="266"/>
        <v>0</v>
      </c>
      <c r="AW465" s="123">
        <f t="shared" si="266"/>
        <v>0</v>
      </c>
      <c r="AX465" s="123">
        <f t="shared" si="266"/>
        <v>0</v>
      </c>
      <c r="AY465" s="123">
        <f t="shared" si="266"/>
        <v>0</v>
      </c>
      <c r="AZ465" s="123">
        <f t="shared" si="266"/>
        <v>0</v>
      </c>
      <c r="BA465" s="123">
        <f t="shared" si="266"/>
        <v>0</v>
      </c>
      <c r="BB465" s="123">
        <f t="shared" si="266"/>
        <v>0</v>
      </c>
      <c r="BC465" s="123">
        <f t="shared" si="266"/>
        <v>0</v>
      </c>
      <c r="BD465" s="123">
        <f t="shared" si="266"/>
        <v>0</v>
      </c>
      <c r="BE465" s="123">
        <f t="shared" si="266"/>
        <v>0</v>
      </c>
      <c r="BF465" s="123">
        <f t="shared" si="266"/>
        <v>0</v>
      </c>
      <c r="BG465" s="123">
        <f t="shared" si="266"/>
        <v>0</v>
      </c>
      <c r="BH465" s="123">
        <f t="shared" si="266"/>
        <v>0</v>
      </c>
      <c r="BI465" s="123">
        <f t="shared" si="266"/>
        <v>0</v>
      </c>
      <c r="BJ465" s="124">
        <f t="shared" si="266"/>
        <v>0</v>
      </c>
    </row>
    <row r="466" spans="1:64" s="125" customFormat="1" ht="12.75">
      <c r="A466" s="120" t="s">
        <v>120</v>
      </c>
      <c r="B466" s="211">
        <f t="shared" si="265"/>
        <v>247788721.10892642</v>
      </c>
      <c r="C466" s="122">
        <f>C409*(1+$G401)^(C402-1)</f>
        <v>0</v>
      </c>
      <c r="D466" s="123">
        <f>D409*(1+$G401)^(D402-1)</f>
        <v>0</v>
      </c>
      <c r="E466" s="123">
        <f t="shared" ref="E466:BJ466" si="267">E409*(1+$G401)^(E402-1)</f>
        <v>0</v>
      </c>
      <c r="F466" s="123">
        <f t="shared" si="267"/>
        <v>0</v>
      </c>
      <c r="G466" s="123">
        <f t="shared" si="267"/>
        <v>0</v>
      </c>
      <c r="H466" s="123">
        <f t="shared" si="267"/>
        <v>2325355.3181914771</v>
      </c>
      <c r="I466" s="123">
        <f t="shared" si="267"/>
        <v>4836739.061838273</v>
      </c>
      <c r="J466" s="123">
        <f t="shared" si="267"/>
        <v>7545312.9364677034</v>
      </c>
      <c r="K466" s="123">
        <f t="shared" si="267"/>
        <v>10462833.938568551</v>
      </c>
      <c r="L466" s="123">
        <f t="shared" si="267"/>
        <v>17227927.143506326</v>
      </c>
      <c r="M466" s="123">
        <f t="shared" si="267"/>
        <v>17917044.229246579</v>
      </c>
      <c r="N466" s="123">
        <f t="shared" si="267"/>
        <v>18633725.998416442</v>
      </c>
      <c r="O466" s="123">
        <f t="shared" si="267"/>
        <v>19379075.038353104</v>
      </c>
      <c r="P466" s="123">
        <f t="shared" si="267"/>
        <v>20154238.039887227</v>
      </c>
      <c r="Q466" s="123">
        <f t="shared" si="267"/>
        <v>20960407.561482716</v>
      </c>
      <c r="R466" s="123">
        <f t="shared" si="267"/>
        <v>21798823.863942027</v>
      </c>
      <c r="S466" s="123">
        <f t="shared" si="267"/>
        <v>22670776.81849971</v>
      </c>
      <c r="T466" s="123">
        <f t="shared" si="267"/>
        <v>23577607.891239699</v>
      </c>
      <c r="U466" s="123">
        <f t="shared" si="267"/>
        <v>15487550.141615795</v>
      </c>
      <c r="V466" s="123">
        <f t="shared" si="267"/>
        <v>12080289.110460317</v>
      </c>
      <c r="W466" s="123">
        <f t="shared" si="267"/>
        <v>8375667.1165858218</v>
      </c>
      <c r="X466" s="123">
        <f t="shared" si="267"/>
        <v>4355346.9006246282</v>
      </c>
      <c r="Y466" s="123">
        <f t="shared" si="267"/>
        <v>0</v>
      </c>
      <c r="Z466" s="123">
        <f t="shared" si="267"/>
        <v>0</v>
      </c>
      <c r="AA466" s="123">
        <f t="shared" si="267"/>
        <v>0</v>
      </c>
      <c r="AB466" s="123">
        <f t="shared" si="267"/>
        <v>0</v>
      </c>
      <c r="AC466" s="123">
        <f t="shared" si="267"/>
        <v>0</v>
      </c>
      <c r="AD466" s="123">
        <f t="shared" si="267"/>
        <v>0</v>
      </c>
      <c r="AE466" s="123">
        <f t="shared" si="267"/>
        <v>0</v>
      </c>
      <c r="AF466" s="123">
        <f t="shared" si="267"/>
        <v>0</v>
      </c>
      <c r="AG466" s="123">
        <f t="shared" si="267"/>
        <v>0</v>
      </c>
      <c r="AH466" s="123">
        <f t="shared" si="267"/>
        <v>0</v>
      </c>
      <c r="AI466" s="123">
        <f t="shared" si="267"/>
        <v>0</v>
      </c>
      <c r="AJ466" s="123">
        <f t="shared" si="267"/>
        <v>0</v>
      </c>
      <c r="AK466" s="123">
        <f t="shared" si="267"/>
        <v>0</v>
      </c>
      <c r="AL466" s="123">
        <f t="shared" si="267"/>
        <v>0</v>
      </c>
      <c r="AM466" s="123">
        <f t="shared" si="267"/>
        <v>0</v>
      </c>
      <c r="AN466" s="123">
        <f t="shared" si="267"/>
        <v>0</v>
      </c>
      <c r="AO466" s="123">
        <f t="shared" si="267"/>
        <v>0</v>
      </c>
      <c r="AP466" s="123">
        <f t="shared" si="267"/>
        <v>0</v>
      </c>
      <c r="AQ466" s="123">
        <f t="shared" si="267"/>
        <v>0</v>
      </c>
      <c r="AR466" s="123">
        <f t="shared" si="267"/>
        <v>0</v>
      </c>
      <c r="AS466" s="123">
        <f t="shared" si="267"/>
        <v>0</v>
      </c>
      <c r="AT466" s="123">
        <f t="shared" si="267"/>
        <v>0</v>
      </c>
      <c r="AU466" s="123">
        <f t="shared" si="267"/>
        <v>0</v>
      </c>
      <c r="AV466" s="123">
        <f t="shared" si="267"/>
        <v>0</v>
      </c>
      <c r="AW466" s="123">
        <f t="shared" si="267"/>
        <v>0</v>
      </c>
      <c r="AX466" s="123">
        <f t="shared" si="267"/>
        <v>0</v>
      </c>
      <c r="AY466" s="123">
        <f t="shared" si="267"/>
        <v>0</v>
      </c>
      <c r="AZ466" s="123">
        <f t="shared" si="267"/>
        <v>0</v>
      </c>
      <c r="BA466" s="123">
        <f t="shared" si="267"/>
        <v>0</v>
      </c>
      <c r="BB466" s="123">
        <f t="shared" si="267"/>
        <v>0</v>
      </c>
      <c r="BC466" s="123">
        <f t="shared" si="267"/>
        <v>0</v>
      </c>
      <c r="BD466" s="123">
        <f t="shared" si="267"/>
        <v>0</v>
      </c>
      <c r="BE466" s="123">
        <f t="shared" si="267"/>
        <v>0</v>
      </c>
      <c r="BF466" s="123">
        <f t="shared" si="267"/>
        <v>0</v>
      </c>
      <c r="BG466" s="123">
        <f t="shared" si="267"/>
        <v>0</v>
      </c>
      <c r="BH466" s="123">
        <f t="shared" si="267"/>
        <v>0</v>
      </c>
      <c r="BI466" s="123">
        <f t="shared" si="267"/>
        <v>0</v>
      </c>
      <c r="BJ466" s="124">
        <f t="shared" si="267"/>
        <v>0</v>
      </c>
    </row>
    <row r="467" spans="1:64" s="125" customFormat="1" ht="12.75">
      <c r="A467" s="120" t="s">
        <v>121</v>
      </c>
      <c r="B467" s="211">
        <f t="shared" si="265"/>
        <v>58504402.136900589</v>
      </c>
      <c r="C467" s="122">
        <f>C410*(1+$G401)^(C402-1)</f>
        <v>0</v>
      </c>
      <c r="D467" s="123">
        <f>D410*(1+$G401)^(D402-1)</f>
        <v>0</v>
      </c>
      <c r="E467" s="123">
        <f t="shared" ref="E467:BJ467" si="268">E410*(1+$G401)^(E402-1)</f>
        <v>0</v>
      </c>
      <c r="F467" s="123">
        <f t="shared" si="268"/>
        <v>0</v>
      </c>
      <c r="G467" s="123">
        <f t="shared" si="268"/>
        <v>0</v>
      </c>
      <c r="H467" s="123">
        <f t="shared" si="268"/>
        <v>549030.32727970975</v>
      </c>
      <c r="I467" s="123">
        <f t="shared" si="268"/>
        <v>1141983.0807417962</v>
      </c>
      <c r="J467" s="123">
        <f t="shared" si="268"/>
        <v>1781493.6059572019</v>
      </c>
      <c r="K467" s="123">
        <f t="shared" si="268"/>
        <v>2470337.8002606537</v>
      </c>
      <c r="L467" s="123">
        <f t="shared" si="268"/>
        <v>4067616.851478273</v>
      </c>
      <c r="M467" s="123">
        <f t="shared" si="268"/>
        <v>4230321.5255374042</v>
      </c>
      <c r="N467" s="123">
        <f t="shared" si="268"/>
        <v>4399534.3865588997</v>
      </c>
      <c r="O467" s="123">
        <f t="shared" si="268"/>
        <v>4575515.7620212566</v>
      </c>
      <c r="P467" s="123">
        <f t="shared" si="268"/>
        <v>4758536.3925021077</v>
      </c>
      <c r="Q467" s="123">
        <f t="shared" si="268"/>
        <v>4948877.8482021913</v>
      </c>
      <c r="R467" s="123">
        <f t="shared" si="268"/>
        <v>5146832.9621302793</v>
      </c>
      <c r="S467" s="123">
        <f t="shared" si="268"/>
        <v>5352706.2806154909</v>
      </c>
      <c r="T467" s="123">
        <f t="shared" si="268"/>
        <v>5566814.5318401111</v>
      </c>
      <c r="U467" s="123">
        <f t="shared" si="268"/>
        <v>3656703.4106535884</v>
      </c>
      <c r="V467" s="123">
        <f t="shared" si="268"/>
        <v>2852228.6603097985</v>
      </c>
      <c r="W467" s="123">
        <f t="shared" si="268"/>
        <v>1977545.2044814606</v>
      </c>
      <c r="X467" s="123">
        <f t="shared" si="268"/>
        <v>1028323.5063303597</v>
      </c>
      <c r="Y467" s="123">
        <f t="shared" si="268"/>
        <v>0</v>
      </c>
      <c r="Z467" s="123">
        <f t="shared" si="268"/>
        <v>0</v>
      </c>
      <c r="AA467" s="123">
        <f t="shared" si="268"/>
        <v>0</v>
      </c>
      <c r="AB467" s="123">
        <f t="shared" si="268"/>
        <v>0</v>
      </c>
      <c r="AC467" s="123">
        <f t="shared" si="268"/>
        <v>0</v>
      </c>
      <c r="AD467" s="123">
        <f t="shared" si="268"/>
        <v>0</v>
      </c>
      <c r="AE467" s="123">
        <f t="shared" si="268"/>
        <v>0</v>
      </c>
      <c r="AF467" s="123">
        <f t="shared" si="268"/>
        <v>0</v>
      </c>
      <c r="AG467" s="123">
        <f t="shared" si="268"/>
        <v>0</v>
      </c>
      <c r="AH467" s="123">
        <f t="shared" si="268"/>
        <v>0</v>
      </c>
      <c r="AI467" s="123">
        <f t="shared" si="268"/>
        <v>0</v>
      </c>
      <c r="AJ467" s="123">
        <f t="shared" si="268"/>
        <v>0</v>
      </c>
      <c r="AK467" s="123">
        <f t="shared" si="268"/>
        <v>0</v>
      </c>
      <c r="AL467" s="123">
        <f t="shared" si="268"/>
        <v>0</v>
      </c>
      <c r="AM467" s="123">
        <f t="shared" si="268"/>
        <v>0</v>
      </c>
      <c r="AN467" s="123">
        <f t="shared" si="268"/>
        <v>0</v>
      </c>
      <c r="AO467" s="123">
        <f t="shared" si="268"/>
        <v>0</v>
      </c>
      <c r="AP467" s="123">
        <f t="shared" si="268"/>
        <v>0</v>
      </c>
      <c r="AQ467" s="123">
        <f t="shared" si="268"/>
        <v>0</v>
      </c>
      <c r="AR467" s="123">
        <f t="shared" si="268"/>
        <v>0</v>
      </c>
      <c r="AS467" s="123">
        <f t="shared" si="268"/>
        <v>0</v>
      </c>
      <c r="AT467" s="123">
        <f t="shared" si="268"/>
        <v>0</v>
      </c>
      <c r="AU467" s="123">
        <f t="shared" si="268"/>
        <v>0</v>
      </c>
      <c r="AV467" s="123">
        <f t="shared" si="268"/>
        <v>0</v>
      </c>
      <c r="AW467" s="123">
        <f t="shared" si="268"/>
        <v>0</v>
      </c>
      <c r="AX467" s="123">
        <f t="shared" si="268"/>
        <v>0</v>
      </c>
      <c r="AY467" s="123">
        <f t="shared" si="268"/>
        <v>0</v>
      </c>
      <c r="AZ467" s="123">
        <f t="shared" si="268"/>
        <v>0</v>
      </c>
      <c r="BA467" s="123">
        <f t="shared" si="268"/>
        <v>0</v>
      </c>
      <c r="BB467" s="123">
        <f t="shared" si="268"/>
        <v>0</v>
      </c>
      <c r="BC467" s="123">
        <f t="shared" si="268"/>
        <v>0</v>
      </c>
      <c r="BD467" s="123">
        <f t="shared" si="268"/>
        <v>0</v>
      </c>
      <c r="BE467" s="123">
        <f t="shared" si="268"/>
        <v>0</v>
      </c>
      <c r="BF467" s="123">
        <f t="shared" si="268"/>
        <v>0</v>
      </c>
      <c r="BG467" s="123">
        <f t="shared" si="268"/>
        <v>0</v>
      </c>
      <c r="BH467" s="123">
        <f t="shared" si="268"/>
        <v>0</v>
      </c>
      <c r="BI467" s="123">
        <f t="shared" si="268"/>
        <v>0</v>
      </c>
      <c r="BJ467" s="124">
        <f t="shared" si="268"/>
        <v>0</v>
      </c>
    </row>
    <row r="468" spans="1:64" s="125" customFormat="1" ht="12.75">
      <c r="A468" s="120" t="s">
        <v>122</v>
      </c>
      <c r="B468" s="211">
        <f t="shared" si="265"/>
        <v>10467259.192909904</v>
      </c>
      <c r="C468" s="122">
        <f>C411*(1+$G401)^(C402-1)</f>
        <v>0</v>
      </c>
      <c r="D468" s="123">
        <f>D411*(1+$G401)^(D402-1)</f>
        <v>0</v>
      </c>
      <c r="E468" s="123">
        <f t="shared" ref="E468:BJ468" si="269">E411*(1+$G401)^(E402-1)</f>
        <v>0</v>
      </c>
      <c r="F468" s="123">
        <f t="shared" si="269"/>
        <v>0</v>
      </c>
      <c r="G468" s="123">
        <f t="shared" si="269"/>
        <v>0</v>
      </c>
      <c r="H468" s="123">
        <f t="shared" si="269"/>
        <v>98229.236271096917</v>
      </c>
      <c r="I468" s="123">
        <f t="shared" si="269"/>
        <v>204316.81144388157</v>
      </c>
      <c r="J468" s="123">
        <f t="shared" si="269"/>
        <v>318734.22585245519</v>
      </c>
      <c r="K468" s="123">
        <f t="shared" si="269"/>
        <v>441978.12651540467</v>
      </c>
      <c r="L468" s="123">
        <f t="shared" si="269"/>
        <v>727753.78136915714</v>
      </c>
      <c r="M468" s="123">
        <f t="shared" si="269"/>
        <v>756863.93262392341</v>
      </c>
      <c r="N468" s="123">
        <f t="shared" si="269"/>
        <v>787138.48992888024</v>
      </c>
      <c r="O468" s="123">
        <f t="shared" si="269"/>
        <v>818624.02952603565</v>
      </c>
      <c r="P468" s="123">
        <f t="shared" si="269"/>
        <v>851368.99070707709</v>
      </c>
      <c r="Q468" s="123">
        <f t="shared" si="269"/>
        <v>885423.75033536018</v>
      </c>
      <c r="R468" s="123">
        <f t="shared" si="269"/>
        <v>920840.70034877455</v>
      </c>
      <c r="S468" s="123">
        <f t="shared" si="269"/>
        <v>957674.32836272568</v>
      </c>
      <c r="T468" s="123">
        <f t="shared" si="269"/>
        <v>995981.30149723473</v>
      </c>
      <c r="U468" s="123">
        <f t="shared" si="269"/>
        <v>654235.59583334485</v>
      </c>
      <c r="V468" s="123">
        <f t="shared" si="269"/>
        <v>510303.76475000894</v>
      </c>
      <c r="W468" s="123">
        <f t="shared" si="269"/>
        <v>353810.6102266729</v>
      </c>
      <c r="X468" s="123">
        <f t="shared" si="269"/>
        <v>183981.51731786993</v>
      </c>
      <c r="Y468" s="123">
        <f t="shared" si="269"/>
        <v>0</v>
      </c>
      <c r="Z468" s="123">
        <f t="shared" si="269"/>
        <v>0</v>
      </c>
      <c r="AA468" s="123">
        <f t="shared" si="269"/>
        <v>0</v>
      </c>
      <c r="AB468" s="123">
        <f t="shared" si="269"/>
        <v>0</v>
      </c>
      <c r="AC468" s="123">
        <f t="shared" si="269"/>
        <v>0</v>
      </c>
      <c r="AD468" s="123">
        <f t="shared" si="269"/>
        <v>0</v>
      </c>
      <c r="AE468" s="123">
        <f t="shared" si="269"/>
        <v>0</v>
      </c>
      <c r="AF468" s="123">
        <f t="shared" si="269"/>
        <v>0</v>
      </c>
      <c r="AG468" s="123">
        <f t="shared" si="269"/>
        <v>0</v>
      </c>
      <c r="AH468" s="123">
        <f t="shared" si="269"/>
        <v>0</v>
      </c>
      <c r="AI468" s="123">
        <f t="shared" si="269"/>
        <v>0</v>
      </c>
      <c r="AJ468" s="123">
        <f t="shared" si="269"/>
        <v>0</v>
      </c>
      <c r="AK468" s="123">
        <f t="shared" si="269"/>
        <v>0</v>
      </c>
      <c r="AL468" s="123">
        <f t="shared" si="269"/>
        <v>0</v>
      </c>
      <c r="AM468" s="123">
        <f t="shared" si="269"/>
        <v>0</v>
      </c>
      <c r="AN468" s="123">
        <f t="shared" si="269"/>
        <v>0</v>
      </c>
      <c r="AO468" s="123">
        <f t="shared" si="269"/>
        <v>0</v>
      </c>
      <c r="AP468" s="123">
        <f t="shared" si="269"/>
        <v>0</v>
      </c>
      <c r="AQ468" s="123">
        <f t="shared" si="269"/>
        <v>0</v>
      </c>
      <c r="AR468" s="123">
        <f t="shared" si="269"/>
        <v>0</v>
      </c>
      <c r="AS468" s="123">
        <f t="shared" si="269"/>
        <v>0</v>
      </c>
      <c r="AT468" s="123">
        <f t="shared" si="269"/>
        <v>0</v>
      </c>
      <c r="AU468" s="123">
        <f t="shared" si="269"/>
        <v>0</v>
      </c>
      <c r="AV468" s="123">
        <f t="shared" si="269"/>
        <v>0</v>
      </c>
      <c r="AW468" s="123">
        <f t="shared" si="269"/>
        <v>0</v>
      </c>
      <c r="AX468" s="123">
        <f t="shared" si="269"/>
        <v>0</v>
      </c>
      <c r="AY468" s="123">
        <f t="shared" si="269"/>
        <v>0</v>
      </c>
      <c r="AZ468" s="123">
        <f t="shared" si="269"/>
        <v>0</v>
      </c>
      <c r="BA468" s="123">
        <f t="shared" si="269"/>
        <v>0</v>
      </c>
      <c r="BB468" s="123">
        <f t="shared" si="269"/>
        <v>0</v>
      </c>
      <c r="BC468" s="123">
        <f t="shared" si="269"/>
        <v>0</v>
      </c>
      <c r="BD468" s="123">
        <f t="shared" si="269"/>
        <v>0</v>
      </c>
      <c r="BE468" s="123">
        <f t="shared" si="269"/>
        <v>0</v>
      </c>
      <c r="BF468" s="123">
        <f t="shared" si="269"/>
        <v>0</v>
      </c>
      <c r="BG468" s="123">
        <f t="shared" si="269"/>
        <v>0</v>
      </c>
      <c r="BH468" s="123">
        <f t="shared" si="269"/>
        <v>0</v>
      </c>
      <c r="BI468" s="123">
        <f t="shared" si="269"/>
        <v>0</v>
      </c>
      <c r="BJ468" s="124">
        <f t="shared" si="269"/>
        <v>0</v>
      </c>
    </row>
    <row r="469" spans="1:64" s="116" customFormat="1">
      <c r="A469" s="212" t="s">
        <v>123</v>
      </c>
      <c r="B469" s="197">
        <f t="shared" si="265"/>
        <v>67489773.795883745</v>
      </c>
      <c r="C469" s="133">
        <f>C412*(1+$G401)^(C402-1)</f>
        <v>12460442.126231814</v>
      </c>
      <c r="D469" s="134">
        <f>D412*(1+$G401)^(D402-1)</f>
        <v>12958859.811281087</v>
      </c>
      <c r="E469" s="134">
        <f t="shared" ref="E469:BJ469" si="270">E412*(1+$G401)^(E402-1)</f>
        <v>13477214.20373233</v>
      </c>
      <c r="F469" s="134">
        <f t="shared" si="270"/>
        <v>14016302.771881623</v>
      </c>
      <c r="G469" s="134">
        <f t="shared" si="270"/>
        <v>14576954.882756891</v>
      </c>
      <c r="H469" s="134">
        <f t="shared" si="270"/>
        <v>0</v>
      </c>
      <c r="I469" s="134">
        <f t="shared" si="270"/>
        <v>0</v>
      </c>
      <c r="J469" s="134">
        <f t="shared" si="270"/>
        <v>0</v>
      </c>
      <c r="K469" s="134">
        <f t="shared" si="270"/>
        <v>0</v>
      </c>
      <c r="L469" s="134">
        <f t="shared" si="270"/>
        <v>0</v>
      </c>
      <c r="M469" s="134">
        <f t="shared" si="270"/>
        <v>0</v>
      </c>
      <c r="N469" s="134">
        <f t="shared" si="270"/>
        <v>0</v>
      </c>
      <c r="O469" s="134">
        <f t="shared" si="270"/>
        <v>0</v>
      </c>
      <c r="P469" s="134">
        <f t="shared" si="270"/>
        <v>0</v>
      </c>
      <c r="Q469" s="134">
        <f t="shared" si="270"/>
        <v>0</v>
      </c>
      <c r="R469" s="134">
        <f t="shared" si="270"/>
        <v>0</v>
      </c>
      <c r="S469" s="134">
        <f t="shared" si="270"/>
        <v>0</v>
      </c>
      <c r="T469" s="134">
        <f t="shared" si="270"/>
        <v>0</v>
      </c>
      <c r="U469" s="134">
        <f t="shared" si="270"/>
        <v>0</v>
      </c>
      <c r="V469" s="134">
        <f t="shared" si="270"/>
        <v>0</v>
      </c>
      <c r="W469" s="134">
        <f t="shared" si="270"/>
        <v>0</v>
      </c>
      <c r="X469" s="134">
        <f t="shared" si="270"/>
        <v>0</v>
      </c>
      <c r="Y469" s="134">
        <f t="shared" si="270"/>
        <v>0</v>
      </c>
      <c r="Z469" s="134">
        <f t="shared" si="270"/>
        <v>0</v>
      </c>
      <c r="AA469" s="134">
        <f t="shared" si="270"/>
        <v>0</v>
      </c>
      <c r="AB469" s="134">
        <f t="shared" si="270"/>
        <v>0</v>
      </c>
      <c r="AC469" s="134">
        <f t="shared" si="270"/>
        <v>0</v>
      </c>
      <c r="AD469" s="134">
        <f t="shared" si="270"/>
        <v>0</v>
      </c>
      <c r="AE469" s="134">
        <f t="shared" si="270"/>
        <v>0</v>
      </c>
      <c r="AF469" s="134">
        <f t="shared" si="270"/>
        <v>0</v>
      </c>
      <c r="AG469" s="134">
        <f t="shared" si="270"/>
        <v>0</v>
      </c>
      <c r="AH469" s="134">
        <f t="shared" si="270"/>
        <v>0</v>
      </c>
      <c r="AI469" s="134">
        <f t="shared" si="270"/>
        <v>0</v>
      </c>
      <c r="AJ469" s="134">
        <f t="shared" si="270"/>
        <v>0</v>
      </c>
      <c r="AK469" s="134">
        <f t="shared" si="270"/>
        <v>0</v>
      </c>
      <c r="AL469" s="134">
        <f t="shared" si="270"/>
        <v>0</v>
      </c>
      <c r="AM469" s="134">
        <f t="shared" si="270"/>
        <v>0</v>
      </c>
      <c r="AN469" s="134">
        <f t="shared" si="270"/>
        <v>0</v>
      </c>
      <c r="AO469" s="134">
        <f t="shared" si="270"/>
        <v>0</v>
      </c>
      <c r="AP469" s="134">
        <f t="shared" si="270"/>
        <v>0</v>
      </c>
      <c r="AQ469" s="134">
        <f t="shared" si="270"/>
        <v>0</v>
      </c>
      <c r="AR469" s="134">
        <f t="shared" si="270"/>
        <v>0</v>
      </c>
      <c r="AS469" s="134">
        <f t="shared" si="270"/>
        <v>0</v>
      </c>
      <c r="AT469" s="134">
        <f t="shared" si="270"/>
        <v>0</v>
      </c>
      <c r="AU469" s="134">
        <f t="shared" si="270"/>
        <v>0</v>
      </c>
      <c r="AV469" s="134">
        <f t="shared" si="270"/>
        <v>0</v>
      </c>
      <c r="AW469" s="134">
        <f t="shared" si="270"/>
        <v>0</v>
      </c>
      <c r="AX469" s="134">
        <f t="shared" si="270"/>
        <v>0</v>
      </c>
      <c r="AY469" s="134">
        <f t="shared" si="270"/>
        <v>0</v>
      </c>
      <c r="AZ469" s="134">
        <f t="shared" si="270"/>
        <v>0</v>
      </c>
      <c r="BA469" s="134">
        <f t="shared" si="270"/>
        <v>0</v>
      </c>
      <c r="BB469" s="134">
        <f t="shared" si="270"/>
        <v>0</v>
      </c>
      <c r="BC469" s="134">
        <f t="shared" si="270"/>
        <v>0</v>
      </c>
      <c r="BD469" s="134">
        <f t="shared" si="270"/>
        <v>0</v>
      </c>
      <c r="BE469" s="134">
        <f t="shared" si="270"/>
        <v>0</v>
      </c>
      <c r="BF469" s="134">
        <f t="shared" si="270"/>
        <v>0</v>
      </c>
      <c r="BG469" s="134">
        <f t="shared" si="270"/>
        <v>0</v>
      </c>
      <c r="BH469" s="134">
        <f t="shared" si="270"/>
        <v>0</v>
      </c>
      <c r="BI469" s="134">
        <f t="shared" si="270"/>
        <v>0</v>
      </c>
      <c r="BJ469" s="135">
        <f t="shared" si="270"/>
        <v>0</v>
      </c>
    </row>
    <row r="470" spans="1:64" s="105" customFormat="1" ht="22.5" customHeight="1">
      <c r="A470" s="131" t="s">
        <v>124</v>
      </c>
      <c r="B470" s="132">
        <f t="shared" si="265"/>
        <v>4952093626.8175116</v>
      </c>
      <c r="C470" s="133">
        <f>C461-C463-C464-C469</f>
        <v>2516050.8139506523</v>
      </c>
      <c r="D470" s="134">
        <f>D461-D463-D464-D469</f>
        <v>3239714.9528202713</v>
      </c>
      <c r="E470" s="134">
        <f t="shared" ref="E470:BJ470" si="271">E461-E463-E464-E469</f>
        <v>3369303.5509330817</v>
      </c>
      <c r="F470" s="134">
        <f t="shared" si="271"/>
        <v>3504075.6929704081</v>
      </c>
      <c r="G470" s="134">
        <f t="shared" si="271"/>
        <v>3644238.7206892204</v>
      </c>
      <c r="H470" s="134">
        <f t="shared" si="271"/>
        <v>46319847.814429231</v>
      </c>
      <c r="I470" s="134">
        <f t="shared" si="271"/>
        <v>96345283.454012811</v>
      </c>
      <c r="J470" s="134">
        <f t="shared" si="271"/>
        <v>150298642.18825999</v>
      </c>
      <c r="K470" s="134">
        <f t="shared" si="271"/>
        <v>208414117.16772056</v>
      </c>
      <c r="L470" s="134">
        <f t="shared" si="271"/>
        <v>343171195.04382706</v>
      </c>
      <c r="M470" s="134">
        <f t="shared" si="271"/>
        <v>356898042.84558016</v>
      </c>
      <c r="N470" s="134">
        <f t="shared" si="271"/>
        <v>371173964.55940336</v>
      </c>
      <c r="O470" s="134">
        <f t="shared" si="271"/>
        <v>386020923.14177954</v>
      </c>
      <c r="P470" s="134">
        <f t="shared" si="271"/>
        <v>401461760.06745076</v>
      </c>
      <c r="Q470" s="134">
        <f t="shared" si="271"/>
        <v>417520230.47014874</v>
      </c>
      <c r="R470" s="134">
        <f t="shared" si="271"/>
        <v>434221039.68895465</v>
      </c>
      <c r="S470" s="134">
        <f t="shared" si="271"/>
        <v>451589881.27651298</v>
      </c>
      <c r="T470" s="134">
        <f t="shared" si="271"/>
        <v>469653476.52757341</v>
      </c>
      <c r="U470" s="134">
        <f t="shared" si="271"/>
        <v>308503805.83382058</v>
      </c>
      <c r="V470" s="134">
        <f t="shared" si="271"/>
        <v>240632968.55038011</v>
      </c>
      <c r="W470" s="134">
        <f t="shared" si="271"/>
        <v>166838858.19493017</v>
      </c>
      <c r="X470" s="134">
        <f t="shared" si="271"/>
        <v>86756206.2613637</v>
      </c>
      <c r="Y470" s="134">
        <f t="shared" si="271"/>
        <v>0</v>
      </c>
      <c r="Z470" s="134">
        <f t="shared" si="271"/>
        <v>0</v>
      </c>
      <c r="AA470" s="134">
        <f t="shared" si="271"/>
        <v>0</v>
      </c>
      <c r="AB470" s="134">
        <f t="shared" si="271"/>
        <v>0</v>
      </c>
      <c r="AC470" s="134">
        <f t="shared" si="271"/>
        <v>0</v>
      </c>
      <c r="AD470" s="134">
        <f t="shared" si="271"/>
        <v>0</v>
      </c>
      <c r="AE470" s="134">
        <f t="shared" si="271"/>
        <v>0</v>
      </c>
      <c r="AF470" s="134">
        <f t="shared" si="271"/>
        <v>0</v>
      </c>
      <c r="AG470" s="134">
        <f t="shared" si="271"/>
        <v>0</v>
      </c>
      <c r="AH470" s="134">
        <f t="shared" si="271"/>
        <v>0</v>
      </c>
      <c r="AI470" s="134">
        <f t="shared" si="271"/>
        <v>0</v>
      </c>
      <c r="AJ470" s="134">
        <f t="shared" si="271"/>
        <v>0</v>
      </c>
      <c r="AK470" s="134">
        <f t="shared" si="271"/>
        <v>0</v>
      </c>
      <c r="AL470" s="134">
        <f t="shared" si="271"/>
        <v>0</v>
      </c>
      <c r="AM470" s="134">
        <f t="shared" si="271"/>
        <v>0</v>
      </c>
      <c r="AN470" s="134">
        <f t="shared" si="271"/>
        <v>0</v>
      </c>
      <c r="AO470" s="134">
        <f t="shared" si="271"/>
        <v>0</v>
      </c>
      <c r="AP470" s="134">
        <f t="shared" si="271"/>
        <v>0</v>
      </c>
      <c r="AQ470" s="134">
        <f t="shared" si="271"/>
        <v>0</v>
      </c>
      <c r="AR470" s="134">
        <f t="shared" si="271"/>
        <v>0</v>
      </c>
      <c r="AS470" s="134">
        <f t="shared" si="271"/>
        <v>0</v>
      </c>
      <c r="AT470" s="134">
        <f t="shared" si="271"/>
        <v>0</v>
      </c>
      <c r="AU470" s="134">
        <f t="shared" si="271"/>
        <v>0</v>
      </c>
      <c r="AV470" s="134">
        <f t="shared" si="271"/>
        <v>0</v>
      </c>
      <c r="AW470" s="134">
        <f t="shared" si="271"/>
        <v>0</v>
      </c>
      <c r="AX470" s="134">
        <f t="shared" si="271"/>
        <v>0</v>
      </c>
      <c r="AY470" s="134">
        <f t="shared" si="271"/>
        <v>0</v>
      </c>
      <c r="AZ470" s="134">
        <f t="shared" si="271"/>
        <v>0</v>
      </c>
      <c r="BA470" s="134">
        <f t="shared" si="271"/>
        <v>0</v>
      </c>
      <c r="BB470" s="134">
        <f t="shared" si="271"/>
        <v>0</v>
      </c>
      <c r="BC470" s="134">
        <f t="shared" si="271"/>
        <v>0</v>
      </c>
      <c r="BD470" s="134">
        <f t="shared" si="271"/>
        <v>0</v>
      </c>
      <c r="BE470" s="134">
        <f t="shared" si="271"/>
        <v>0</v>
      </c>
      <c r="BF470" s="134">
        <f t="shared" si="271"/>
        <v>0</v>
      </c>
      <c r="BG470" s="134">
        <f t="shared" si="271"/>
        <v>0</v>
      </c>
      <c r="BH470" s="134">
        <f t="shared" si="271"/>
        <v>0</v>
      </c>
      <c r="BI470" s="134">
        <f t="shared" si="271"/>
        <v>0</v>
      </c>
      <c r="BJ470" s="135">
        <f t="shared" si="271"/>
        <v>0</v>
      </c>
      <c r="BK470" s="109"/>
      <c r="BL470" s="109"/>
    </row>
    <row r="471" spans="1:64" s="116" customFormat="1">
      <c r="A471" s="136" t="s">
        <v>125</v>
      </c>
      <c r="B471" s="137">
        <f t="shared" ref="B471:G471" si="272">SUM(B472:B475)</f>
        <v>342510468.7574535</v>
      </c>
      <c r="C471" s="113">
        <f t="shared" si="272"/>
        <v>37143872.910654917</v>
      </c>
      <c r="D471" s="114">
        <f t="shared" si="272"/>
        <v>41674775.583335109</v>
      </c>
      <c r="E471" s="114">
        <f t="shared" si="272"/>
        <v>84473289.423200756</v>
      </c>
      <c r="F471" s="114">
        <f t="shared" si="272"/>
        <v>87852221.000128776</v>
      </c>
      <c r="G471" s="114">
        <f t="shared" si="272"/>
        <v>91366309.840133935</v>
      </c>
      <c r="H471" s="114"/>
      <c r="I471" s="114"/>
      <c r="J471" s="114"/>
      <c r="K471" s="114"/>
      <c r="L471" s="114"/>
      <c r="M471" s="114"/>
      <c r="N471" s="114"/>
      <c r="O471" s="114"/>
      <c r="P471" s="114"/>
      <c r="Q471" s="114"/>
      <c r="R471" s="114"/>
      <c r="S471" s="114"/>
      <c r="T471" s="114"/>
      <c r="U471" s="114"/>
      <c r="V471" s="114"/>
      <c r="W471" s="114"/>
      <c r="X471" s="114"/>
      <c r="Y471" s="114"/>
      <c r="Z471" s="114"/>
      <c r="AA471" s="114"/>
      <c r="AB471" s="114"/>
      <c r="AC471" s="114"/>
      <c r="AD471" s="114"/>
      <c r="AE471" s="114"/>
      <c r="AF471" s="114"/>
      <c r="AG471" s="114"/>
      <c r="AH471" s="114"/>
      <c r="AI471" s="114"/>
      <c r="AJ471" s="114"/>
      <c r="AK471" s="114"/>
      <c r="AL471" s="114"/>
      <c r="AM471" s="114"/>
      <c r="AN471" s="114"/>
      <c r="AO471" s="114"/>
      <c r="AP471" s="114"/>
      <c r="AQ471" s="114"/>
      <c r="AR471" s="114"/>
      <c r="AS471" s="114"/>
      <c r="AT471" s="114"/>
      <c r="AU471" s="114"/>
      <c r="AV471" s="114"/>
      <c r="AW471" s="114"/>
      <c r="AX471" s="114"/>
      <c r="AY471" s="114"/>
      <c r="AZ471" s="114"/>
      <c r="BA471" s="114"/>
      <c r="BB471" s="114"/>
      <c r="BC471" s="114"/>
      <c r="BD471" s="114"/>
      <c r="BE471" s="114"/>
      <c r="BF471" s="114"/>
      <c r="BG471" s="114"/>
      <c r="BH471" s="114"/>
      <c r="BI471" s="114"/>
      <c r="BJ471" s="115"/>
    </row>
    <row r="472" spans="1:64" s="143" customFormat="1" ht="12.75">
      <c r="A472" s="138" t="s">
        <v>126</v>
      </c>
      <c r="B472" s="139">
        <f>SUM(C472:BJ472)</f>
        <v>17616947.768139075</v>
      </c>
      <c r="C472" s="140">
        <f>C415*(1+$G401)^(C402-1)</f>
        <v>0</v>
      </c>
      <c r="D472" s="141">
        <f>D415*(1+$G401)^(D402-1)</f>
        <v>0</v>
      </c>
      <c r="E472" s="141">
        <f>E415*(1+$G401)^(E402-1)</f>
        <v>5643563.482873871</v>
      </c>
      <c r="F472" s="141">
        <f>F415*(1+$G401)^(F402-1)</f>
        <v>5869306.0221888255</v>
      </c>
      <c r="G472" s="141">
        <f>G415*(1+$G401)^(G402-1)</f>
        <v>6104078.2630763799</v>
      </c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  <c r="AH472" s="141"/>
      <c r="AI472" s="141"/>
      <c r="AJ472" s="141"/>
      <c r="AK472" s="141"/>
      <c r="AL472" s="141"/>
      <c r="AM472" s="141"/>
      <c r="AN472" s="141"/>
      <c r="AO472" s="141"/>
      <c r="AP472" s="141"/>
      <c r="AQ472" s="141"/>
      <c r="AR472" s="141"/>
      <c r="AS472" s="141"/>
      <c r="AT472" s="141"/>
      <c r="AU472" s="141"/>
      <c r="AV472" s="141"/>
      <c r="AW472" s="141"/>
      <c r="AX472" s="141"/>
      <c r="AY472" s="141"/>
      <c r="AZ472" s="141"/>
      <c r="BA472" s="141"/>
      <c r="BB472" s="141"/>
      <c r="BC472" s="141"/>
      <c r="BD472" s="141"/>
      <c r="BE472" s="141"/>
      <c r="BF472" s="141"/>
      <c r="BG472" s="141"/>
      <c r="BH472" s="141"/>
      <c r="BI472" s="141"/>
      <c r="BJ472" s="142"/>
      <c r="BK472" s="141"/>
      <c r="BL472" s="141"/>
    </row>
    <row r="473" spans="1:64" s="143" customFormat="1" ht="12.75">
      <c r="A473" s="138" t="s">
        <v>127</v>
      </c>
      <c r="B473" s="139">
        <f>SUM(C473:BJ473)</f>
        <v>130551138.98666668</v>
      </c>
      <c r="C473" s="140">
        <f>C416*(1+$G401)^(C402-1)</f>
        <v>0</v>
      </c>
      <c r="D473" s="141">
        <f>D416*(1+$G401)^(D402-1)</f>
        <v>0</v>
      </c>
      <c r="E473" s="141">
        <f>E416*(1+$G401)^(E402-1)</f>
        <v>41821866.666666672</v>
      </c>
      <c r="F473" s="141">
        <f>F416*(1+$G401)^(F402-1)</f>
        <v>43494741.333333336</v>
      </c>
      <c r="G473" s="141">
        <f>G416*(1+$G401)^(G402-1)</f>
        <v>45234530.986666672</v>
      </c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  <c r="AH473" s="141"/>
      <c r="AI473" s="141"/>
      <c r="AJ473" s="141"/>
      <c r="AK473" s="141"/>
      <c r="AL473" s="141"/>
      <c r="AM473" s="141"/>
      <c r="AN473" s="141"/>
      <c r="AO473" s="141"/>
      <c r="AP473" s="141"/>
      <c r="AQ473" s="141"/>
      <c r="AR473" s="141"/>
      <c r="AS473" s="141"/>
      <c r="AT473" s="141"/>
      <c r="AU473" s="141"/>
      <c r="AV473" s="141"/>
      <c r="AW473" s="141"/>
      <c r="AX473" s="141"/>
      <c r="AY473" s="141"/>
      <c r="AZ473" s="141"/>
      <c r="BA473" s="141"/>
      <c r="BB473" s="141"/>
      <c r="BC473" s="141"/>
      <c r="BD473" s="141"/>
      <c r="BE473" s="141"/>
      <c r="BF473" s="141"/>
      <c r="BG473" s="141"/>
      <c r="BH473" s="141"/>
      <c r="BI473" s="141"/>
      <c r="BJ473" s="142"/>
      <c r="BK473" s="141"/>
      <c r="BL473" s="141"/>
    </row>
    <row r="474" spans="1:64" s="143" customFormat="1" ht="12.75">
      <c r="A474" s="138" t="s">
        <v>128</v>
      </c>
      <c r="B474" s="139">
        <f>SUM(C474:BJ474)</f>
        <v>185324059.80143398</v>
      </c>
      <c r="C474" s="140">
        <f>C417*(1+$G401)^(C402-1)</f>
        <v>34215846.221949153</v>
      </c>
      <c r="D474" s="141">
        <f>D417*(1+$G401)^(D402-1)</f>
        <v>35584480.070827119</v>
      </c>
      <c r="E474" s="141">
        <f>E417*(1+$G401)^(E402-1)</f>
        <v>37007859.273660205</v>
      </c>
      <c r="F474" s="141">
        <f>F417*(1+$G401)^(F402-1)</f>
        <v>38488173.644606613</v>
      </c>
      <c r="G474" s="141">
        <f>G417*(1+$G401)^(G402-1)</f>
        <v>40027700.590390883</v>
      </c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  <c r="AH474" s="141"/>
      <c r="AI474" s="141"/>
      <c r="AJ474" s="141"/>
      <c r="AK474" s="141"/>
      <c r="AL474" s="141"/>
      <c r="AM474" s="141"/>
      <c r="AN474" s="141"/>
      <c r="AO474" s="141"/>
      <c r="AP474" s="141"/>
      <c r="AQ474" s="141"/>
      <c r="AR474" s="141"/>
      <c r="AS474" s="141"/>
      <c r="AT474" s="141"/>
      <c r="AU474" s="141"/>
      <c r="AV474" s="141"/>
      <c r="AW474" s="141"/>
      <c r="AX474" s="141"/>
      <c r="AY474" s="141"/>
      <c r="AZ474" s="141"/>
      <c r="BA474" s="141"/>
      <c r="BB474" s="141"/>
      <c r="BC474" s="141"/>
      <c r="BD474" s="141"/>
      <c r="BE474" s="141"/>
      <c r="BF474" s="141"/>
      <c r="BG474" s="141"/>
      <c r="BH474" s="141"/>
      <c r="BI474" s="141"/>
      <c r="BJ474" s="142"/>
      <c r="BK474" s="141"/>
      <c r="BL474" s="141"/>
    </row>
    <row r="475" spans="1:64" s="143" customFormat="1" ht="12.75">
      <c r="A475" s="138" t="s">
        <v>129</v>
      </c>
      <c r="B475" s="139">
        <f>SUM(C475:BJ475)</f>
        <v>9018322.201213751</v>
      </c>
      <c r="C475" s="140">
        <f>C418*(1+$G401)^(C402-1)</f>
        <v>2928026.6887057633</v>
      </c>
      <c r="D475" s="141">
        <f>D418*(1+$G401)^(D402-1)</f>
        <v>6090295.5125079881</v>
      </c>
      <c r="E475" s="141">
        <f>E418*(1+$G401)^(E402-1)</f>
        <v>0</v>
      </c>
      <c r="F475" s="141">
        <f>F418*(1+$G401)^(F402-1)</f>
        <v>0</v>
      </c>
      <c r="G475" s="141">
        <f>G418*(1+$G401)^(G402-1)</f>
        <v>0</v>
      </c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  <c r="AH475" s="141"/>
      <c r="AI475" s="141"/>
      <c r="AJ475" s="141"/>
      <c r="AK475" s="141"/>
      <c r="AL475" s="141"/>
      <c r="AM475" s="141"/>
      <c r="AN475" s="141"/>
      <c r="AO475" s="141"/>
      <c r="AP475" s="141"/>
      <c r="AQ475" s="141"/>
      <c r="AR475" s="141"/>
      <c r="AS475" s="141"/>
      <c r="AT475" s="141"/>
      <c r="AU475" s="141"/>
      <c r="AV475" s="141"/>
      <c r="AW475" s="141"/>
      <c r="AX475" s="141"/>
      <c r="AY475" s="141"/>
      <c r="AZ475" s="141"/>
      <c r="BA475" s="141"/>
      <c r="BB475" s="141"/>
      <c r="BC475" s="141"/>
      <c r="BD475" s="141"/>
      <c r="BE475" s="141"/>
      <c r="BF475" s="141"/>
      <c r="BG475" s="141"/>
      <c r="BH475" s="141"/>
      <c r="BI475" s="141"/>
      <c r="BJ475" s="142"/>
      <c r="BK475" s="141"/>
      <c r="BL475" s="141"/>
    </row>
    <row r="476" spans="1:64" s="116" customFormat="1">
      <c r="A476" s="111" t="s">
        <v>130</v>
      </c>
      <c r="B476" s="137">
        <f>SUM(B477:B480)</f>
        <v>640322610.64069712</v>
      </c>
      <c r="C476" s="117">
        <f>SUM(C477:C480)</f>
        <v>1238129.0970218307</v>
      </c>
      <c r="D476" s="118">
        <f>SUM(D477:D480)</f>
        <v>2676813.4470138741</v>
      </c>
      <c r="E476" s="118">
        <f t="shared" ref="E476:BJ476" si="273">SUM(E477:E480)</f>
        <v>5599662.299001121</v>
      </c>
      <c r="F476" s="118">
        <f t="shared" si="273"/>
        <v>8752056.1576321255</v>
      </c>
      <c r="G476" s="118">
        <f t="shared" si="273"/>
        <v>12147682.065275207</v>
      </c>
      <c r="H476" s="118">
        <f t="shared" si="273"/>
        <v>12633589.347886216</v>
      </c>
      <c r="I476" s="118">
        <f t="shared" si="273"/>
        <v>13138932.921801668</v>
      </c>
      <c r="J476" s="118">
        <f t="shared" si="273"/>
        <v>13664490.238673734</v>
      </c>
      <c r="K476" s="118">
        <f t="shared" si="273"/>
        <v>14211069.848220682</v>
      </c>
      <c r="L476" s="118">
        <f t="shared" si="273"/>
        <v>14779512.642149512</v>
      </c>
      <c r="M476" s="118">
        <f t="shared" si="273"/>
        <v>15370693.147835493</v>
      </c>
      <c r="N476" s="118">
        <f t="shared" si="273"/>
        <v>15985520.873748912</v>
      </c>
      <c r="O476" s="118">
        <f t="shared" si="273"/>
        <v>16624941.708698871</v>
      </c>
      <c r="P476" s="118">
        <f t="shared" si="273"/>
        <v>17289939.377046827</v>
      </c>
      <c r="Q476" s="118">
        <f t="shared" si="273"/>
        <v>17981536.952128697</v>
      </c>
      <c r="R476" s="118">
        <f t="shared" si="273"/>
        <v>18700798.430213846</v>
      </c>
      <c r="S476" s="118">
        <f t="shared" si="273"/>
        <v>19448830.367422406</v>
      </c>
      <c r="T476" s="118">
        <f t="shared" si="273"/>
        <v>20226783.582119301</v>
      </c>
      <c r="U476" s="118">
        <f t="shared" si="273"/>
        <v>21035854.925404072</v>
      </c>
      <c r="V476" s="118">
        <f t="shared" si="273"/>
        <v>21877289.12242024</v>
      </c>
      <c r="W476" s="118">
        <f t="shared" si="273"/>
        <v>22752380.687317047</v>
      </c>
      <c r="X476" s="118">
        <f t="shared" si="273"/>
        <v>23662475.914809734</v>
      </c>
      <c r="Y476" s="118">
        <f t="shared" si="273"/>
        <v>24608974.951402124</v>
      </c>
      <c r="Z476" s="118">
        <f t="shared" si="273"/>
        <v>25593333.949458204</v>
      </c>
      <c r="AA476" s="118">
        <f t="shared" si="273"/>
        <v>26617067.307436533</v>
      </c>
      <c r="AB476" s="118">
        <f t="shared" si="273"/>
        <v>27681749.999734003</v>
      </c>
      <c r="AC476" s="118">
        <f t="shared" si="273"/>
        <v>28789019.99972336</v>
      </c>
      <c r="AD476" s="118">
        <f t="shared" si="273"/>
        <v>29940580.799712297</v>
      </c>
      <c r="AE476" s="118">
        <f t="shared" si="273"/>
        <v>31138204.03170079</v>
      </c>
      <c r="AF476" s="118">
        <f t="shared" si="273"/>
        <v>32383732.192968823</v>
      </c>
      <c r="AG476" s="118">
        <f t="shared" si="273"/>
        <v>29663336.650314324</v>
      </c>
      <c r="AH476" s="118">
        <f t="shared" si="273"/>
        <v>26344274.671062037</v>
      </c>
      <c r="AI476" s="118">
        <f t="shared" si="273"/>
        <v>18265363.77193635</v>
      </c>
      <c r="AJ476" s="118">
        <f t="shared" si="273"/>
        <v>9497989.1614069007</v>
      </c>
      <c r="AK476" s="118">
        <f t="shared" si="273"/>
        <v>0</v>
      </c>
      <c r="AL476" s="118">
        <f t="shared" si="273"/>
        <v>0</v>
      </c>
      <c r="AM476" s="118">
        <f t="shared" si="273"/>
        <v>0</v>
      </c>
      <c r="AN476" s="118">
        <f t="shared" si="273"/>
        <v>0</v>
      </c>
      <c r="AO476" s="118">
        <f t="shared" si="273"/>
        <v>0</v>
      </c>
      <c r="AP476" s="118">
        <f t="shared" si="273"/>
        <v>0</v>
      </c>
      <c r="AQ476" s="118">
        <f t="shared" si="273"/>
        <v>0</v>
      </c>
      <c r="AR476" s="118">
        <f t="shared" si="273"/>
        <v>0</v>
      </c>
      <c r="AS476" s="118">
        <f t="shared" si="273"/>
        <v>0</v>
      </c>
      <c r="AT476" s="118">
        <f t="shared" si="273"/>
        <v>0</v>
      </c>
      <c r="AU476" s="118">
        <f t="shared" si="273"/>
        <v>0</v>
      </c>
      <c r="AV476" s="118">
        <f t="shared" si="273"/>
        <v>0</v>
      </c>
      <c r="AW476" s="118">
        <f t="shared" si="273"/>
        <v>0</v>
      </c>
      <c r="AX476" s="118">
        <f t="shared" si="273"/>
        <v>0</v>
      </c>
      <c r="AY476" s="118">
        <f t="shared" si="273"/>
        <v>0</v>
      </c>
      <c r="AZ476" s="118">
        <f t="shared" si="273"/>
        <v>0</v>
      </c>
      <c r="BA476" s="118">
        <f t="shared" si="273"/>
        <v>0</v>
      </c>
      <c r="BB476" s="118">
        <f t="shared" si="273"/>
        <v>0</v>
      </c>
      <c r="BC476" s="118">
        <f t="shared" si="273"/>
        <v>0</v>
      </c>
      <c r="BD476" s="118">
        <f t="shared" si="273"/>
        <v>0</v>
      </c>
      <c r="BE476" s="118">
        <f t="shared" si="273"/>
        <v>0</v>
      </c>
      <c r="BF476" s="118">
        <f t="shared" si="273"/>
        <v>0</v>
      </c>
      <c r="BG476" s="118">
        <f t="shared" si="273"/>
        <v>0</v>
      </c>
      <c r="BH476" s="118">
        <f t="shared" si="273"/>
        <v>0</v>
      </c>
      <c r="BI476" s="118">
        <f t="shared" si="273"/>
        <v>0</v>
      </c>
      <c r="BJ476" s="119">
        <f t="shared" si="273"/>
        <v>0</v>
      </c>
      <c r="BK476" s="118"/>
      <c r="BL476" s="118"/>
    </row>
    <row r="477" spans="1:64" s="143" customFormat="1" ht="12.75">
      <c r="A477" s="138" t="s">
        <v>126</v>
      </c>
      <c r="B477" s="139">
        <f>SUM(C477:BJ477)</f>
        <v>32934847.297773689</v>
      </c>
      <c r="C477" s="140">
        <f>C420*(1+$G401)^(C402-1)</f>
        <v>0</v>
      </c>
      <c r="D477" s="141">
        <f t="shared" ref="D477:AJ477" si="274">D420*(1+$G401)^(D402-1)</f>
        <v>0</v>
      </c>
      <c r="E477" s="141">
        <f t="shared" si="274"/>
        <v>188118.78276246236</v>
      </c>
      <c r="F477" s="141">
        <f t="shared" si="274"/>
        <v>391287.06814592174</v>
      </c>
      <c r="G477" s="141">
        <f t="shared" si="274"/>
        <v>610407.82630763797</v>
      </c>
      <c r="H477" s="141">
        <f t="shared" si="274"/>
        <v>634824.13935994357</v>
      </c>
      <c r="I477" s="141">
        <f t="shared" si="274"/>
        <v>660217.10493434127</v>
      </c>
      <c r="J477" s="141">
        <f t="shared" si="274"/>
        <v>686625.78913171485</v>
      </c>
      <c r="K477" s="141">
        <f t="shared" si="274"/>
        <v>714090.8206969836</v>
      </c>
      <c r="L477" s="141">
        <f t="shared" si="274"/>
        <v>742654.453524863</v>
      </c>
      <c r="M477" s="141">
        <f t="shared" si="274"/>
        <v>772360.63166585751</v>
      </c>
      <c r="N477" s="141">
        <f t="shared" si="274"/>
        <v>803255.05693249172</v>
      </c>
      <c r="O477" s="141">
        <f t="shared" si="274"/>
        <v>835385.25920979166</v>
      </c>
      <c r="P477" s="141">
        <f t="shared" si="274"/>
        <v>868800.66957818333</v>
      </c>
      <c r="Q477" s="141">
        <f t="shared" si="274"/>
        <v>903552.69636131066</v>
      </c>
      <c r="R477" s="141">
        <f t="shared" si="274"/>
        <v>939694.804215763</v>
      </c>
      <c r="S477" s="141">
        <f t="shared" si="274"/>
        <v>977282.59638439375</v>
      </c>
      <c r="T477" s="141">
        <f t="shared" si="274"/>
        <v>1016373.9002397695</v>
      </c>
      <c r="U477" s="141">
        <f t="shared" si="274"/>
        <v>1057028.8562493604</v>
      </c>
      <c r="V477" s="141">
        <f t="shared" si="274"/>
        <v>1099310.0104993347</v>
      </c>
      <c r="W477" s="141">
        <f t="shared" si="274"/>
        <v>1143282.4109193082</v>
      </c>
      <c r="X477" s="141">
        <f t="shared" si="274"/>
        <v>1189013.7073560809</v>
      </c>
      <c r="Y477" s="141">
        <f t="shared" si="274"/>
        <v>1236574.255650324</v>
      </c>
      <c r="Z477" s="141">
        <f t="shared" si="274"/>
        <v>1286037.2258763367</v>
      </c>
      <c r="AA477" s="141">
        <f t="shared" si="274"/>
        <v>1337478.7149113903</v>
      </c>
      <c r="AB477" s="141">
        <f t="shared" si="274"/>
        <v>1390977.8635078464</v>
      </c>
      <c r="AC477" s="141">
        <f t="shared" si="274"/>
        <v>1446616.97804816</v>
      </c>
      <c r="AD477" s="141">
        <f t="shared" si="274"/>
        <v>1504481.6571700864</v>
      </c>
      <c r="AE477" s="141">
        <f t="shared" si="274"/>
        <v>1564660.9234568903</v>
      </c>
      <c r="AF477" s="141">
        <f t="shared" si="274"/>
        <v>1627247.3603951659</v>
      </c>
      <c r="AG477" s="141">
        <f t="shared" si="274"/>
        <v>1692337.2548109724</v>
      </c>
      <c r="AH477" s="141">
        <f t="shared" si="274"/>
        <v>1760030.7450034113</v>
      </c>
      <c r="AI477" s="141">
        <f t="shared" si="274"/>
        <v>1220287.9832023652</v>
      </c>
      <c r="AJ477" s="141">
        <f t="shared" si="274"/>
        <v>634549.75126522989</v>
      </c>
      <c r="AK477" s="141"/>
      <c r="AL477" s="141"/>
      <c r="AM477" s="141"/>
      <c r="AN477" s="141"/>
      <c r="AO477" s="141"/>
      <c r="AP477" s="141"/>
      <c r="AQ477" s="141"/>
      <c r="AR477" s="141"/>
      <c r="AS477" s="141"/>
      <c r="AT477" s="141"/>
      <c r="AU477" s="141"/>
      <c r="AV477" s="141"/>
      <c r="AW477" s="141"/>
      <c r="AX477" s="141"/>
      <c r="AY477" s="141"/>
      <c r="AZ477" s="141"/>
      <c r="BA477" s="141"/>
      <c r="BB477" s="141"/>
      <c r="BC477" s="141"/>
      <c r="BD477" s="141"/>
      <c r="BE477" s="141"/>
      <c r="BF477" s="141"/>
      <c r="BG477" s="141"/>
      <c r="BH477" s="141"/>
      <c r="BI477" s="141"/>
      <c r="BJ477" s="142"/>
      <c r="BK477" s="141"/>
      <c r="BL477" s="141"/>
    </row>
    <row r="478" spans="1:64" s="143" customFormat="1" ht="12.75">
      <c r="A478" s="138" t="s">
        <v>127</v>
      </c>
      <c r="B478" s="139">
        <f>SUM(C478:BJ478)</f>
        <v>244065083.444956</v>
      </c>
      <c r="C478" s="140">
        <f>C421*(1+$G401)^(C402-1)</f>
        <v>0</v>
      </c>
      <c r="D478" s="141">
        <f t="shared" ref="D478:AJ478" si="275">D421*(1+$G401)^(D402-1)</f>
        <v>0</v>
      </c>
      <c r="E478" s="141">
        <f t="shared" si="275"/>
        <v>1394062.2222222222</v>
      </c>
      <c r="F478" s="141">
        <f t="shared" si="275"/>
        <v>2899649.4222222222</v>
      </c>
      <c r="G478" s="141">
        <f t="shared" si="275"/>
        <v>4523453.098666667</v>
      </c>
      <c r="H478" s="141">
        <f t="shared" si="275"/>
        <v>4704391.2226133337</v>
      </c>
      <c r="I478" s="141">
        <f t="shared" si="275"/>
        <v>4892566.8715178668</v>
      </c>
      <c r="J478" s="141">
        <f t="shared" si="275"/>
        <v>5088269.5463785818</v>
      </c>
      <c r="K478" s="141">
        <f t="shared" si="275"/>
        <v>5291800.3282337254</v>
      </c>
      <c r="L478" s="141">
        <f t="shared" si="275"/>
        <v>5503472.3413630752</v>
      </c>
      <c r="M478" s="141">
        <f t="shared" si="275"/>
        <v>5723611.2350175986</v>
      </c>
      <c r="N478" s="141">
        <f t="shared" si="275"/>
        <v>5952555.684418302</v>
      </c>
      <c r="O478" s="141">
        <f t="shared" si="275"/>
        <v>6190657.911795035</v>
      </c>
      <c r="P478" s="141">
        <f t="shared" si="275"/>
        <v>6438284.2282668371</v>
      </c>
      <c r="Q478" s="141">
        <f t="shared" si="275"/>
        <v>6695815.59739751</v>
      </c>
      <c r="R478" s="141">
        <f t="shared" si="275"/>
        <v>6963648.2212934103</v>
      </c>
      <c r="S478" s="141">
        <f t="shared" si="275"/>
        <v>7242194.1501451479</v>
      </c>
      <c r="T478" s="141">
        <f t="shared" si="275"/>
        <v>7531881.9161509536</v>
      </c>
      <c r="U478" s="141">
        <f t="shared" si="275"/>
        <v>7833157.1927969931</v>
      </c>
      <c r="V478" s="141">
        <f t="shared" si="275"/>
        <v>8146483.4805088723</v>
      </c>
      <c r="W478" s="141">
        <f t="shared" si="275"/>
        <v>8472342.8197292276</v>
      </c>
      <c r="X478" s="141">
        <f t="shared" si="275"/>
        <v>8811236.532518398</v>
      </c>
      <c r="Y478" s="141">
        <f t="shared" si="275"/>
        <v>9163685.9938191343</v>
      </c>
      <c r="Z478" s="141">
        <f t="shared" si="275"/>
        <v>9530233.4335718993</v>
      </c>
      <c r="AA478" s="141">
        <f t="shared" si="275"/>
        <v>9911442.7709147763</v>
      </c>
      <c r="AB478" s="141">
        <f t="shared" si="275"/>
        <v>10307900.481751369</v>
      </c>
      <c r="AC478" s="141">
        <f t="shared" si="275"/>
        <v>10720216.501021422</v>
      </c>
      <c r="AD478" s="141">
        <f t="shared" si="275"/>
        <v>11149025.16106228</v>
      </c>
      <c r="AE478" s="141">
        <f t="shared" si="275"/>
        <v>11594986.167504773</v>
      </c>
      <c r="AF478" s="141">
        <f t="shared" si="275"/>
        <v>12058785.614204964</v>
      </c>
      <c r="AG478" s="141">
        <f t="shared" si="275"/>
        <v>12541137.038773162</v>
      </c>
      <c r="AH478" s="141">
        <f t="shared" si="275"/>
        <v>13042782.520324089</v>
      </c>
      <c r="AI478" s="141">
        <f t="shared" si="275"/>
        <v>9042995.8807580359</v>
      </c>
      <c r="AJ478" s="141">
        <f t="shared" si="275"/>
        <v>4702357.8579941783</v>
      </c>
      <c r="AK478" s="141"/>
      <c r="AL478" s="141"/>
      <c r="AM478" s="141"/>
      <c r="AN478" s="141"/>
      <c r="AO478" s="141"/>
      <c r="AP478" s="141"/>
      <c r="AQ478" s="141"/>
      <c r="AR478" s="141"/>
      <c r="AS478" s="141"/>
      <c r="AT478" s="141"/>
      <c r="AU478" s="141"/>
      <c r="AV478" s="141"/>
      <c r="AW478" s="141"/>
      <c r="AX478" s="141"/>
      <c r="AY478" s="141"/>
      <c r="AZ478" s="141"/>
      <c r="BA478" s="141"/>
      <c r="BB478" s="141"/>
      <c r="BC478" s="141"/>
      <c r="BD478" s="141"/>
      <c r="BE478" s="141"/>
      <c r="BF478" s="141"/>
      <c r="BG478" s="141"/>
      <c r="BH478" s="141"/>
      <c r="BI478" s="141"/>
      <c r="BJ478" s="142"/>
      <c r="BK478" s="141"/>
      <c r="BL478" s="141"/>
    </row>
    <row r="479" spans="1:64" s="143" customFormat="1" ht="12.75">
      <c r="A479" s="138" t="s">
        <v>128</v>
      </c>
      <c r="B479" s="139">
        <f>SUM(C479:BJ479)</f>
        <v>346462945.25560999</v>
      </c>
      <c r="C479" s="140">
        <f>C422*(1+$G401)^(C402-1)</f>
        <v>1140528.2073983052</v>
      </c>
      <c r="D479" s="141">
        <f t="shared" ref="D479:AJ479" si="276">D422*(1+$G401)^(D402-1)</f>
        <v>2372298.6713884748</v>
      </c>
      <c r="E479" s="141">
        <f t="shared" si="276"/>
        <v>3700785.9273660211</v>
      </c>
      <c r="F479" s="141">
        <f t="shared" si="276"/>
        <v>5131756.4859475493</v>
      </c>
      <c r="G479" s="141">
        <f t="shared" si="276"/>
        <v>6671283.4317318136</v>
      </c>
      <c r="H479" s="141">
        <f t="shared" si="276"/>
        <v>6938134.7690010872</v>
      </c>
      <c r="I479" s="141">
        <f t="shared" si="276"/>
        <v>7215660.1597611308</v>
      </c>
      <c r="J479" s="141">
        <f t="shared" si="276"/>
        <v>7504286.5661515752</v>
      </c>
      <c r="K479" s="141">
        <f t="shared" si="276"/>
        <v>7804458.0287976395</v>
      </c>
      <c r="L479" s="141">
        <f t="shared" si="276"/>
        <v>8116636.3499495462</v>
      </c>
      <c r="M479" s="141">
        <f t="shared" si="276"/>
        <v>8441301.803947527</v>
      </c>
      <c r="N479" s="141">
        <f t="shared" si="276"/>
        <v>8778953.8761054277</v>
      </c>
      <c r="O479" s="141">
        <f t="shared" si="276"/>
        <v>9130112.0311496481</v>
      </c>
      <c r="P479" s="141">
        <f t="shared" si="276"/>
        <v>9495316.5123956334</v>
      </c>
      <c r="Q479" s="141">
        <f t="shared" si="276"/>
        <v>9875129.1728914585</v>
      </c>
      <c r="R479" s="141">
        <f t="shared" si="276"/>
        <v>10270134.339807117</v>
      </c>
      <c r="S479" s="141">
        <f t="shared" si="276"/>
        <v>10680939.713399403</v>
      </c>
      <c r="T479" s="141">
        <f t="shared" si="276"/>
        <v>11108177.30193538</v>
      </c>
      <c r="U479" s="141">
        <f t="shared" si="276"/>
        <v>11552504.394012796</v>
      </c>
      <c r="V479" s="141">
        <f t="shared" si="276"/>
        <v>12014604.569773307</v>
      </c>
      <c r="W479" s="141">
        <f t="shared" si="276"/>
        <v>12495188.75256424</v>
      </c>
      <c r="X479" s="141">
        <f t="shared" si="276"/>
        <v>12994996.302666813</v>
      </c>
      <c r="Y479" s="141">
        <f t="shared" si="276"/>
        <v>13514796.154773485</v>
      </c>
      <c r="Z479" s="141">
        <f t="shared" si="276"/>
        <v>14055388.000964422</v>
      </c>
      <c r="AA479" s="141">
        <f t="shared" si="276"/>
        <v>14617603.521003</v>
      </c>
      <c r="AB479" s="141">
        <f t="shared" si="276"/>
        <v>15202307.661843125</v>
      </c>
      <c r="AC479" s="141">
        <f t="shared" si="276"/>
        <v>15810399.968316847</v>
      </c>
      <c r="AD479" s="141">
        <f t="shared" si="276"/>
        <v>16442815.967049522</v>
      </c>
      <c r="AE479" s="141">
        <f t="shared" si="276"/>
        <v>17100528.605731506</v>
      </c>
      <c r="AF479" s="141">
        <f t="shared" si="276"/>
        <v>17784549.749960765</v>
      </c>
      <c r="AG479" s="141">
        <f t="shared" si="276"/>
        <v>14796745.391967358</v>
      </c>
      <c r="AH479" s="141">
        <f t="shared" si="276"/>
        <v>11541461.405734539</v>
      </c>
      <c r="AI479" s="141">
        <f t="shared" si="276"/>
        <v>8002079.9079759484</v>
      </c>
      <c r="AJ479" s="141">
        <f t="shared" si="276"/>
        <v>4161081.5521474928</v>
      </c>
      <c r="AK479" s="141"/>
      <c r="AL479" s="141"/>
      <c r="AM479" s="141"/>
      <c r="AN479" s="141"/>
      <c r="AO479" s="141"/>
      <c r="AP479" s="141"/>
      <c r="AQ479" s="141"/>
      <c r="AR479" s="141"/>
      <c r="AS479" s="141"/>
      <c r="AT479" s="141"/>
      <c r="AU479" s="141"/>
      <c r="AV479" s="141"/>
      <c r="AW479" s="141"/>
      <c r="AX479" s="141"/>
      <c r="AY479" s="141"/>
      <c r="AZ479" s="141"/>
      <c r="BA479" s="141"/>
      <c r="BB479" s="141"/>
      <c r="BC479" s="141"/>
      <c r="BD479" s="141"/>
      <c r="BE479" s="141"/>
      <c r="BF479" s="141"/>
      <c r="BG479" s="141"/>
      <c r="BH479" s="141"/>
      <c r="BI479" s="141"/>
      <c r="BJ479" s="142"/>
      <c r="BK479" s="141"/>
      <c r="BL479" s="141"/>
    </row>
    <row r="480" spans="1:64" s="143" customFormat="1" ht="12.75">
      <c r="A480" s="138" t="s">
        <v>129</v>
      </c>
      <c r="B480" s="139">
        <f>SUM(C480:BJ480)</f>
        <v>16859734.642357513</v>
      </c>
      <c r="C480" s="140">
        <f>C423*(1+$G401)^(C402-1)</f>
        <v>97600.889623525451</v>
      </c>
      <c r="D480" s="141">
        <f t="shared" ref="D480:AJ480" si="277">D423*(1+$G401)^(D402-1)</f>
        <v>304514.77562539943</v>
      </c>
      <c r="E480" s="141">
        <f t="shared" si="277"/>
        <v>316695.36665041541</v>
      </c>
      <c r="F480" s="141">
        <f t="shared" si="277"/>
        <v>329363.18131643202</v>
      </c>
      <c r="G480" s="141">
        <f t="shared" si="277"/>
        <v>342537.70856908936</v>
      </c>
      <c r="H480" s="141">
        <f t="shared" si="277"/>
        <v>356239.21691185294</v>
      </c>
      <c r="I480" s="141">
        <f t="shared" si="277"/>
        <v>370488.7855883271</v>
      </c>
      <c r="J480" s="141">
        <f t="shared" si="277"/>
        <v>385308.33701186016</v>
      </c>
      <c r="K480" s="141">
        <f t="shared" si="277"/>
        <v>400720.67049233458</v>
      </c>
      <c r="L480" s="141">
        <f t="shared" si="277"/>
        <v>416749.49731202802</v>
      </c>
      <c r="M480" s="141">
        <f t="shared" si="277"/>
        <v>433419.47720450914</v>
      </c>
      <c r="N480" s="141">
        <f t="shared" si="277"/>
        <v>450756.25629268948</v>
      </c>
      <c r="O480" s="141">
        <f t="shared" si="277"/>
        <v>468786.50654439715</v>
      </c>
      <c r="P480" s="141">
        <f t="shared" si="277"/>
        <v>487537.96680617309</v>
      </c>
      <c r="Q480" s="141">
        <f t="shared" si="277"/>
        <v>507039.48547841999</v>
      </c>
      <c r="R480" s="141">
        <f t="shared" si="277"/>
        <v>527321.06489755679</v>
      </c>
      <c r="S480" s="141">
        <f t="shared" si="277"/>
        <v>548413.90749345918</v>
      </c>
      <c r="T480" s="141">
        <f t="shared" si="277"/>
        <v>570350.46379319753</v>
      </c>
      <c r="U480" s="141">
        <f t="shared" si="277"/>
        <v>593164.48234492552</v>
      </c>
      <c r="V480" s="141">
        <f t="shared" si="277"/>
        <v>616891.06163872243</v>
      </c>
      <c r="W480" s="141">
        <f t="shared" si="277"/>
        <v>641566.70410427137</v>
      </c>
      <c r="X480" s="141">
        <f t="shared" si="277"/>
        <v>667229.37226844241</v>
      </c>
      <c r="Y480" s="141">
        <f t="shared" si="277"/>
        <v>693918.54715918005</v>
      </c>
      <c r="Z480" s="141">
        <f t="shared" si="277"/>
        <v>721675.28904554725</v>
      </c>
      <c r="AA480" s="141">
        <f t="shared" si="277"/>
        <v>750542.30060736916</v>
      </c>
      <c r="AB480" s="141">
        <f t="shared" si="277"/>
        <v>780563.99263166403</v>
      </c>
      <c r="AC480" s="141">
        <f t="shared" si="277"/>
        <v>811786.55233693053</v>
      </c>
      <c r="AD480" s="141">
        <f t="shared" si="277"/>
        <v>844258.01443040778</v>
      </c>
      <c r="AE480" s="141">
        <f t="shared" si="277"/>
        <v>878028.33500762435</v>
      </c>
      <c r="AF480" s="141">
        <f t="shared" si="277"/>
        <v>913149.46840792929</v>
      </c>
      <c r="AG480" s="141">
        <f t="shared" si="277"/>
        <v>633116.96476283099</v>
      </c>
      <c r="AH480" s="141">
        <f t="shared" si="277"/>
        <v>0</v>
      </c>
      <c r="AI480" s="141">
        <f t="shared" si="277"/>
        <v>0</v>
      </c>
      <c r="AJ480" s="141">
        <f t="shared" si="277"/>
        <v>0</v>
      </c>
      <c r="AK480" s="141"/>
      <c r="AL480" s="141"/>
      <c r="AM480" s="141"/>
      <c r="AN480" s="141"/>
      <c r="AO480" s="141"/>
      <c r="AP480" s="141"/>
      <c r="AQ480" s="141"/>
      <c r="AR480" s="141"/>
      <c r="AS480" s="141"/>
      <c r="AT480" s="141"/>
      <c r="AU480" s="141"/>
      <c r="AV480" s="141"/>
      <c r="AW480" s="141"/>
      <c r="AX480" s="141"/>
      <c r="AY480" s="141"/>
      <c r="AZ480" s="141"/>
      <c r="BA480" s="141"/>
      <c r="BB480" s="141"/>
      <c r="BC480" s="141"/>
      <c r="BD480" s="141"/>
      <c r="BE480" s="141"/>
      <c r="BF480" s="141"/>
      <c r="BG480" s="141"/>
      <c r="BH480" s="141"/>
      <c r="BI480" s="141"/>
      <c r="BJ480" s="142"/>
      <c r="BK480" s="141"/>
      <c r="BL480" s="141"/>
    </row>
    <row r="481" spans="1:64" s="148" customFormat="1">
      <c r="A481" s="111" t="s">
        <v>131</v>
      </c>
      <c r="B481" s="144"/>
      <c r="C481" s="140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  <c r="AH481" s="146"/>
      <c r="AI481" s="146"/>
      <c r="AJ481" s="146"/>
      <c r="AK481" s="146"/>
      <c r="AL481" s="146"/>
      <c r="AM481" s="146"/>
      <c r="AN481" s="146"/>
      <c r="AO481" s="146"/>
      <c r="AP481" s="146"/>
      <c r="AQ481" s="146"/>
      <c r="AR481" s="146"/>
      <c r="AS481" s="146"/>
      <c r="AT481" s="146"/>
      <c r="AU481" s="146"/>
      <c r="AV481" s="146"/>
      <c r="AW481" s="146"/>
      <c r="AX481" s="146"/>
      <c r="AY481" s="146"/>
      <c r="AZ481" s="146"/>
      <c r="BA481" s="146"/>
      <c r="BB481" s="146"/>
      <c r="BC481" s="146"/>
      <c r="BD481" s="146"/>
      <c r="BE481" s="146"/>
      <c r="BF481" s="146"/>
      <c r="BG481" s="146"/>
      <c r="BH481" s="146"/>
      <c r="BI481" s="146"/>
      <c r="BJ481" s="147"/>
      <c r="BK481" s="146"/>
      <c r="BL481" s="146"/>
    </row>
    <row r="482" spans="1:64" s="153" customFormat="1" ht="12.75">
      <c r="A482" s="138" t="s">
        <v>126</v>
      </c>
      <c r="B482" s="144"/>
      <c r="C482" s="140">
        <f>C425*(1+$G401)^(C402-1)</f>
        <v>0</v>
      </c>
      <c r="D482" s="141">
        <f t="shared" ref="D482:AJ482" si="278">D425*(1+$G401)^(D402-1)</f>
        <v>0</v>
      </c>
      <c r="E482" s="141">
        <f t="shared" si="278"/>
        <v>16742571.665859152</v>
      </c>
      <c r="F482" s="141">
        <f t="shared" si="278"/>
        <v>17020987.464347593</v>
      </c>
      <c r="G482" s="141">
        <f t="shared" si="278"/>
        <v>17091419.136613864</v>
      </c>
      <c r="H482" s="141">
        <f t="shared" si="278"/>
        <v>17140251.762718476</v>
      </c>
      <c r="I482" s="141">
        <f t="shared" si="278"/>
        <v>17165644.728292875</v>
      </c>
      <c r="J482" s="141">
        <f t="shared" si="278"/>
        <v>17165644.728292871</v>
      </c>
      <c r="K482" s="141">
        <f t="shared" si="278"/>
        <v>17138179.696727607</v>
      </c>
      <c r="L482" s="141">
        <f t="shared" si="278"/>
        <v>17081052.431071848</v>
      </c>
      <c r="M482" s="141">
        <f t="shared" si="278"/>
        <v>16991933.896648865</v>
      </c>
      <c r="N482" s="141">
        <f t="shared" si="278"/>
        <v>16868356.195582327</v>
      </c>
      <c r="O482" s="141">
        <f t="shared" si="278"/>
        <v>16707705.184195831</v>
      </c>
      <c r="P482" s="141">
        <f t="shared" si="278"/>
        <v>16507212.721985482</v>
      </c>
      <c r="Q482" s="141">
        <f t="shared" si="278"/>
        <v>16263948.53450359</v>
      </c>
      <c r="R482" s="141">
        <f t="shared" si="278"/>
        <v>15974811.671667971</v>
      </c>
      <c r="S482" s="141">
        <f t="shared" si="278"/>
        <v>15636521.5421503</v>
      </c>
      <c r="T482" s="141">
        <f t="shared" si="278"/>
        <v>15245608.503596542</v>
      </c>
      <c r="U482" s="141">
        <f t="shared" si="278"/>
        <v>14798403.987491045</v>
      </c>
      <c r="V482" s="141">
        <f t="shared" si="278"/>
        <v>14291030.136491353</v>
      </c>
      <c r="W482" s="141">
        <f t="shared" si="278"/>
        <v>13719388.931031698</v>
      </c>
      <c r="X482" s="141">
        <f t="shared" si="278"/>
        <v>13079150.780916888</v>
      </c>
      <c r="Y482" s="141">
        <f t="shared" si="278"/>
        <v>12365742.55650324</v>
      </c>
      <c r="Z482" s="141">
        <f t="shared" si="278"/>
        <v>11574335.03288703</v>
      </c>
      <c r="AA482" s="141">
        <f t="shared" si="278"/>
        <v>10699829.719291123</v>
      </c>
      <c r="AB482" s="141">
        <f t="shared" si="278"/>
        <v>9736845.0445549246</v>
      </c>
      <c r="AC482" s="141">
        <f t="shared" si="278"/>
        <v>8679701.8682889603</v>
      </c>
      <c r="AD482" s="141">
        <f t="shared" si="278"/>
        <v>7522408.2858504318</v>
      </c>
      <c r="AE482" s="141">
        <f t="shared" si="278"/>
        <v>6258643.6938275611</v>
      </c>
      <c r="AF482" s="141">
        <f t="shared" si="278"/>
        <v>4881742.0811854973</v>
      </c>
      <c r="AG482" s="141">
        <f t="shared" si="278"/>
        <v>3384674.5096219447</v>
      </c>
      <c r="AH482" s="141">
        <f t="shared" si="278"/>
        <v>1760030.7450034113</v>
      </c>
      <c r="AI482" s="141">
        <f t="shared" si="278"/>
        <v>610143.99160118261</v>
      </c>
      <c r="AJ482" s="141">
        <f t="shared" si="278"/>
        <v>0</v>
      </c>
      <c r="AK482" s="151"/>
      <c r="AL482" s="151"/>
      <c r="AM482" s="151"/>
      <c r="AN482" s="151"/>
      <c r="AO482" s="151"/>
      <c r="AP482" s="151"/>
      <c r="AQ482" s="151"/>
      <c r="AR482" s="151"/>
      <c r="AS482" s="151"/>
      <c r="AT482" s="151"/>
      <c r="AU482" s="151"/>
      <c r="AV482" s="151"/>
      <c r="AW482" s="151"/>
      <c r="AX482" s="151"/>
      <c r="AY482" s="151"/>
      <c r="AZ482" s="151"/>
      <c r="BA482" s="151"/>
      <c r="BB482" s="151"/>
      <c r="BC482" s="151"/>
      <c r="BD482" s="151"/>
      <c r="BE482" s="151"/>
      <c r="BF482" s="151"/>
      <c r="BG482" s="151"/>
      <c r="BH482" s="151"/>
      <c r="BI482" s="151"/>
      <c r="BJ482" s="152"/>
      <c r="BK482" s="151"/>
      <c r="BL482" s="151"/>
    </row>
    <row r="483" spans="1:64" s="153" customFormat="1" ht="12.75">
      <c r="A483" s="138" t="s">
        <v>127</v>
      </c>
      <c r="B483" s="144"/>
      <c r="C483" s="140">
        <f>C426*(1+$G401)^(C402-1)</f>
        <v>0</v>
      </c>
      <c r="D483" s="141">
        <f t="shared" ref="D483:AJ483" si="279">D426*(1+$G401)^(D402-1)</f>
        <v>0</v>
      </c>
      <c r="E483" s="141">
        <f t="shared" si="279"/>
        <v>124071537.77777779</v>
      </c>
      <c r="F483" s="141">
        <f t="shared" si="279"/>
        <v>126134749.86666667</v>
      </c>
      <c r="G483" s="141">
        <f t="shared" si="279"/>
        <v>126656686.76266667</v>
      </c>
      <c r="H483" s="141">
        <f t="shared" si="279"/>
        <v>127018563.01056002</v>
      </c>
      <c r="I483" s="141">
        <f t="shared" si="279"/>
        <v>127206738.65946454</v>
      </c>
      <c r="J483" s="141">
        <f t="shared" si="279"/>
        <v>127206738.65946452</v>
      </c>
      <c r="K483" s="141">
        <f t="shared" si="279"/>
        <v>127003207.8776094</v>
      </c>
      <c r="L483" s="141">
        <f t="shared" si="279"/>
        <v>126579863.85135069</v>
      </c>
      <c r="M483" s="141">
        <f t="shared" si="279"/>
        <v>125919447.17038712</v>
      </c>
      <c r="N483" s="141">
        <f t="shared" si="279"/>
        <v>125003669.37278429</v>
      </c>
      <c r="O483" s="141">
        <f t="shared" si="279"/>
        <v>123813158.23590064</v>
      </c>
      <c r="P483" s="141">
        <f t="shared" si="279"/>
        <v>122327400.33706982</v>
      </c>
      <c r="Q483" s="141">
        <f t="shared" si="279"/>
        <v>120524680.7531551</v>
      </c>
      <c r="R483" s="141">
        <f t="shared" si="279"/>
        <v>118382019.76198789</v>
      </c>
      <c r="S483" s="141">
        <f t="shared" si="279"/>
        <v>115875106.40232228</v>
      </c>
      <c r="T483" s="141">
        <f t="shared" si="279"/>
        <v>112978228.74226423</v>
      </c>
      <c r="U483" s="141">
        <f t="shared" si="279"/>
        <v>109664200.69915782</v>
      </c>
      <c r="V483" s="141">
        <f t="shared" si="279"/>
        <v>105904285.24661526</v>
      </c>
      <c r="W483" s="141">
        <f t="shared" si="279"/>
        <v>101668113.83675064</v>
      </c>
      <c r="X483" s="141">
        <f t="shared" si="279"/>
        <v>96923601.8577023</v>
      </c>
      <c r="Y483" s="141">
        <f t="shared" si="279"/>
        <v>91636859.938191265</v>
      </c>
      <c r="Z483" s="141">
        <f t="shared" si="279"/>
        <v>85772100.90214701</v>
      </c>
      <c r="AA483" s="141">
        <f t="shared" si="279"/>
        <v>79291542.167318135</v>
      </c>
      <c r="AB483" s="141">
        <f t="shared" si="279"/>
        <v>72155303.372259513</v>
      </c>
      <c r="AC483" s="141">
        <f t="shared" si="279"/>
        <v>64321299.00612846</v>
      </c>
      <c r="AD483" s="141">
        <f t="shared" si="279"/>
        <v>55745125.80531133</v>
      </c>
      <c r="AE483" s="141">
        <f t="shared" si="279"/>
        <v>46379944.670019023</v>
      </c>
      <c r="AF483" s="141">
        <f t="shared" si="279"/>
        <v>36176356.842614815</v>
      </c>
      <c r="AG483" s="141">
        <f t="shared" si="279"/>
        <v>25082274.077546243</v>
      </c>
      <c r="AH483" s="141">
        <f t="shared" si="279"/>
        <v>13042782.520324007</v>
      </c>
      <c r="AI483" s="141">
        <f t="shared" si="279"/>
        <v>4521497.9403789323</v>
      </c>
      <c r="AJ483" s="141">
        <f t="shared" si="279"/>
        <v>-8.9192766499603228E-8</v>
      </c>
      <c r="AK483" s="151"/>
      <c r="AL483" s="151"/>
      <c r="AM483" s="151"/>
      <c r="AN483" s="151"/>
      <c r="AO483" s="151"/>
      <c r="AP483" s="151"/>
      <c r="AQ483" s="151"/>
      <c r="AR483" s="151"/>
      <c r="AS483" s="151"/>
      <c r="AT483" s="151"/>
      <c r="AU483" s="151"/>
      <c r="AV483" s="151"/>
      <c r="AW483" s="151"/>
      <c r="AX483" s="151"/>
      <c r="AY483" s="151"/>
      <c r="AZ483" s="151"/>
      <c r="BA483" s="151"/>
      <c r="BB483" s="151"/>
      <c r="BC483" s="151"/>
      <c r="BD483" s="151"/>
      <c r="BE483" s="151"/>
      <c r="BF483" s="151"/>
      <c r="BG483" s="151"/>
      <c r="BH483" s="151"/>
      <c r="BI483" s="151"/>
      <c r="BJ483" s="152"/>
      <c r="BK483" s="151"/>
      <c r="BL483" s="151"/>
    </row>
    <row r="484" spans="1:64" s="153" customFormat="1" ht="12.75">
      <c r="A484" s="138" t="s">
        <v>128</v>
      </c>
      <c r="B484" s="144"/>
      <c r="C484" s="140">
        <f>C427*(1+$G401)^(C402-1)</f>
        <v>169938702.90234748</v>
      </c>
      <c r="D484" s="141">
        <f t="shared" ref="D484:AJ484" si="280">D427*(1+$G401)^(D402-1)</f>
        <v>174363952.3470529</v>
      </c>
      <c r="E484" s="141">
        <f t="shared" si="280"/>
        <v>177637724.513569</v>
      </c>
      <c r="F484" s="141">
        <f t="shared" si="280"/>
        <v>179611477.00816423</v>
      </c>
      <c r="G484" s="141">
        <f t="shared" si="280"/>
        <v>180124652.65675899</v>
      </c>
      <c r="H484" s="141">
        <f t="shared" si="280"/>
        <v>180391503.99402827</v>
      </c>
      <c r="I484" s="141">
        <f t="shared" si="280"/>
        <v>180391503.99402824</v>
      </c>
      <c r="J484" s="141">
        <f t="shared" si="280"/>
        <v>180102877.58763775</v>
      </c>
      <c r="K484" s="141">
        <f t="shared" si="280"/>
        <v>179502534.66234568</v>
      </c>
      <c r="L484" s="141">
        <f t="shared" si="280"/>
        <v>178565999.69888997</v>
      </c>
      <c r="M484" s="141">
        <f t="shared" si="280"/>
        <v>177267337.88289806</v>
      </c>
      <c r="N484" s="141">
        <f t="shared" si="280"/>
        <v>175579077.52210853</v>
      </c>
      <c r="O484" s="141">
        <f t="shared" si="280"/>
        <v>173472128.59184328</v>
      </c>
      <c r="P484" s="141">
        <f t="shared" si="280"/>
        <v>170915697.22312137</v>
      </c>
      <c r="Q484" s="141">
        <f t="shared" si="280"/>
        <v>167877195.9391548</v>
      </c>
      <c r="R484" s="141">
        <f t="shared" si="280"/>
        <v>164322149.43691388</v>
      </c>
      <c r="S484" s="141">
        <f t="shared" si="280"/>
        <v>160214095.70099106</v>
      </c>
      <c r="T484" s="141">
        <f t="shared" si="280"/>
        <v>155514482.22709534</v>
      </c>
      <c r="U484" s="141">
        <f t="shared" si="280"/>
        <v>150182557.12216637</v>
      </c>
      <c r="V484" s="141">
        <f t="shared" si="280"/>
        <v>144175254.83727971</v>
      </c>
      <c r="W484" s="141">
        <f t="shared" si="280"/>
        <v>137447076.27820668</v>
      </c>
      <c r="X484" s="141">
        <f t="shared" si="280"/>
        <v>129949963.02666818</v>
      </c>
      <c r="Y484" s="141">
        <f t="shared" si="280"/>
        <v>121633165.39296143</v>
      </c>
      <c r="Z484" s="141">
        <f t="shared" si="280"/>
        <v>112443104.00771545</v>
      </c>
      <c r="AA484" s="141">
        <f t="shared" si="280"/>
        <v>102323224.64702109</v>
      </c>
      <c r="AB484" s="141">
        <f t="shared" si="280"/>
        <v>91213845.971058846</v>
      </c>
      <c r="AC484" s="141">
        <f t="shared" si="280"/>
        <v>79051999.84158434</v>
      </c>
      <c r="AD484" s="141">
        <f t="shared" si="280"/>
        <v>65771263.868198194</v>
      </c>
      <c r="AE484" s="141">
        <f t="shared" si="280"/>
        <v>51301585.817194633</v>
      </c>
      <c r="AF484" s="141">
        <f t="shared" si="280"/>
        <v>35569099.49992165</v>
      </c>
      <c r="AG484" s="141">
        <f t="shared" si="280"/>
        <v>22195118.087951154</v>
      </c>
      <c r="AH484" s="141">
        <f t="shared" si="280"/>
        <v>11541461.405734662</v>
      </c>
      <c r="AI484" s="141">
        <f t="shared" si="280"/>
        <v>4001039.9539881013</v>
      </c>
      <c r="AJ484" s="141">
        <f t="shared" si="280"/>
        <v>1.3251496737083908E-7</v>
      </c>
      <c r="AK484" s="151"/>
      <c r="AL484" s="151"/>
      <c r="AM484" s="151"/>
      <c r="AN484" s="151"/>
      <c r="AO484" s="151"/>
      <c r="AP484" s="151"/>
      <c r="AQ484" s="151"/>
      <c r="AR484" s="151"/>
      <c r="AS484" s="151"/>
      <c r="AT484" s="151"/>
      <c r="AU484" s="151"/>
      <c r="AV484" s="151"/>
      <c r="AW484" s="151"/>
      <c r="AX484" s="151"/>
      <c r="AY484" s="151"/>
      <c r="AZ484" s="151"/>
      <c r="BA484" s="151"/>
      <c r="BB484" s="151"/>
      <c r="BC484" s="151"/>
      <c r="BD484" s="151"/>
      <c r="BE484" s="151"/>
      <c r="BF484" s="151"/>
      <c r="BG484" s="151"/>
      <c r="BH484" s="151"/>
      <c r="BI484" s="151"/>
      <c r="BJ484" s="152"/>
      <c r="BK484" s="151"/>
      <c r="BL484" s="151"/>
    </row>
    <row r="485" spans="1:64" s="153" customFormat="1" ht="12.75">
      <c r="A485" s="138" t="s">
        <v>129</v>
      </c>
      <c r="B485" s="144"/>
      <c r="C485" s="140">
        <f>C428*(1+$G401)^(C402-1)</f>
        <v>8686479.1764937658</v>
      </c>
      <c r="D485" s="141">
        <f t="shared" ref="D485:AJ485" si="281">D428*(1+$G401)^(D402-1)</f>
        <v>8729423.5679281186</v>
      </c>
      <c r="E485" s="141">
        <f t="shared" si="281"/>
        <v>8761905.1439948268</v>
      </c>
      <c r="F485" s="141">
        <f t="shared" si="281"/>
        <v>8783018.1684381887</v>
      </c>
      <c r="G485" s="141">
        <f t="shared" si="281"/>
        <v>8791801.186606627</v>
      </c>
      <c r="H485" s="141">
        <f t="shared" si="281"/>
        <v>8787234.0171590392</v>
      </c>
      <c r="I485" s="141">
        <f t="shared" si="281"/>
        <v>8768234.5922570731</v>
      </c>
      <c r="J485" s="141">
        <f t="shared" si="281"/>
        <v>8733655.6389354952</v>
      </c>
      <c r="K485" s="141">
        <f t="shared" si="281"/>
        <v>8682281.1940005813</v>
      </c>
      <c r="L485" s="141">
        <f t="shared" si="281"/>
        <v>8612822.9444485772</v>
      </c>
      <c r="M485" s="141">
        <f t="shared" si="281"/>
        <v>8523916.3850220107</v>
      </c>
      <c r="N485" s="141">
        <f t="shared" si="281"/>
        <v>8414116.7841302007</v>
      </c>
      <c r="O485" s="141">
        <f t="shared" si="281"/>
        <v>8281894.9489510125</v>
      </c>
      <c r="P485" s="141">
        <f t="shared" si="281"/>
        <v>8125632.7801028797</v>
      </c>
      <c r="Q485" s="141">
        <f t="shared" si="281"/>
        <v>7943618.6058285749</v>
      </c>
      <c r="R485" s="141">
        <f t="shared" si="281"/>
        <v>7734042.2851641597</v>
      </c>
      <c r="S485" s="141">
        <f t="shared" si="281"/>
        <v>7494990.0690772692</v>
      </c>
      <c r="T485" s="141">
        <f t="shared" si="281"/>
        <v>7224439.2080471627</v>
      </c>
      <c r="U485" s="141">
        <f t="shared" si="281"/>
        <v>6920252.2940241257</v>
      </c>
      <c r="V485" s="141">
        <f t="shared" si="281"/>
        <v>6580171.3241463676</v>
      </c>
      <c r="W485" s="141">
        <f t="shared" si="281"/>
        <v>6201811.4730079519</v>
      </c>
      <c r="X485" s="141">
        <f t="shared" si="281"/>
        <v>5782654.5596598294</v>
      </c>
      <c r="Y485" s="141">
        <f t="shared" si="281"/>
        <v>5320042.194887042</v>
      </c>
      <c r="Z485" s="141">
        <f t="shared" si="281"/>
        <v>4811168.5936369766</v>
      </c>
      <c r="AA485" s="141">
        <f t="shared" si="281"/>
        <v>4253073.036775087</v>
      </c>
      <c r="AB485" s="141">
        <f t="shared" si="281"/>
        <v>3642631.9656144269</v>
      </c>
      <c r="AC485" s="141">
        <f t="shared" si="281"/>
        <v>2976550.6919020726</v>
      </c>
      <c r="AD485" s="141">
        <f t="shared" si="281"/>
        <v>2251354.7051477474</v>
      </c>
      <c r="AE485" s="141">
        <f t="shared" si="281"/>
        <v>1463380.5583460338</v>
      </c>
      <c r="AF485" s="141">
        <f t="shared" si="281"/>
        <v>608766.31227194588</v>
      </c>
      <c r="AG485" s="141">
        <f t="shared" si="281"/>
        <v>-7.36283271637944E-9</v>
      </c>
      <c r="AH485" s="141">
        <f t="shared" si="281"/>
        <v>-7.6573460250346177E-9</v>
      </c>
      <c r="AI485" s="141">
        <f t="shared" si="281"/>
        <v>-7.9636398660360025E-9</v>
      </c>
      <c r="AJ485" s="141">
        <f t="shared" si="281"/>
        <v>-8.2821854606774423E-9</v>
      </c>
      <c r="AK485" s="151"/>
      <c r="AL485" s="151"/>
      <c r="AM485" s="151"/>
      <c r="AN485" s="151"/>
      <c r="AO485" s="151"/>
      <c r="AP485" s="151"/>
      <c r="AQ485" s="151"/>
      <c r="AR485" s="151"/>
      <c r="AS485" s="151"/>
      <c r="AT485" s="151"/>
      <c r="AU485" s="151"/>
      <c r="AV485" s="151"/>
      <c r="AW485" s="151"/>
      <c r="AX485" s="151"/>
      <c r="AY485" s="151"/>
      <c r="AZ485" s="151"/>
      <c r="BA485" s="151"/>
      <c r="BB485" s="151"/>
      <c r="BC485" s="151"/>
      <c r="BD485" s="151"/>
      <c r="BE485" s="151"/>
      <c r="BF485" s="151"/>
      <c r="BG485" s="151"/>
      <c r="BH485" s="151"/>
      <c r="BI485" s="151"/>
      <c r="BJ485" s="152"/>
      <c r="BK485" s="151"/>
      <c r="BL485" s="151"/>
    </row>
    <row r="486" spans="1:64" s="116" customFormat="1">
      <c r="A486" s="111" t="s">
        <v>132</v>
      </c>
      <c r="B486" s="155">
        <f>SUM(B487:B490)</f>
        <v>690740314.72363794</v>
      </c>
      <c r="C486" s="117">
        <f>SUM(C487:C490)</f>
        <v>17986331.117586307</v>
      </c>
      <c r="D486" s="118">
        <f t="shared" ref="D486:AJ486" si="282">SUM(D487:D490)</f>
        <v>18577018.93619949</v>
      </c>
      <c r="E486" s="118">
        <f t="shared" si="282"/>
        <v>33281340.140020192</v>
      </c>
      <c r="F486" s="118">
        <f t="shared" si="282"/>
        <v>34030228.866524883</v>
      </c>
      <c r="G486" s="118">
        <f t="shared" si="282"/>
        <v>34481224.180792138</v>
      </c>
      <c r="H486" s="118">
        <f t="shared" si="282"/>
        <v>34597114.213235207</v>
      </c>
      <c r="I486" s="118">
        <f t="shared" si="282"/>
        <v>34667105.489584446</v>
      </c>
      <c r="J486" s="118">
        <f t="shared" si="282"/>
        <v>34687340.68530044</v>
      </c>
      <c r="K486" s="118">
        <f t="shared" si="282"/>
        <v>34653727.327890389</v>
      </c>
      <c r="L486" s="118">
        <f t="shared" si="282"/>
        <v>34561925.156791061</v>
      </c>
      <c r="M486" s="118">
        <f t="shared" si="282"/>
        <v>34407332.848279156</v>
      </c>
      <c r="N486" s="118">
        <f t="shared" si="282"/>
        <v>34185074.074835427</v>
      </c>
      <c r="O486" s="118">
        <f t="shared" si="282"/>
        <v>33889982.866958968</v>
      </c>
      <c r="P486" s="118">
        <f t="shared" si="282"/>
        <v>33516588.243932642</v>
      </c>
      <c r="Q486" s="118">
        <f t="shared" si="282"/>
        <v>33059098.078477077</v>
      </c>
      <c r="R486" s="118">
        <f t="shared" si="282"/>
        <v>32511382.158594772</v>
      </c>
      <c r="S486" s="118">
        <f t="shared" si="282"/>
        <v>31866954.408196334</v>
      </c>
      <c r="T486" s="118">
        <f t="shared" si="282"/>
        <v>31118954.226312257</v>
      </c>
      <c r="U486" s="118">
        <f t="shared" si="282"/>
        <v>30260126.902824342</v>
      </c>
      <c r="V486" s="118">
        <f t="shared" si="282"/>
        <v>29282803.066695295</v>
      </c>
      <c r="W486" s="118">
        <f t="shared" si="282"/>
        <v>28178877.1206314</v>
      </c>
      <c r="X486" s="118">
        <f t="shared" si="282"/>
        <v>26939784.613975696</v>
      </c>
      <c r="Y486" s="118">
        <f t="shared" si="282"/>
        <v>0</v>
      </c>
      <c r="Z486" s="118">
        <f t="shared" si="282"/>
        <v>0</v>
      </c>
      <c r="AA486" s="118">
        <f t="shared" si="282"/>
        <v>0</v>
      </c>
      <c r="AB486" s="118">
        <f t="shared" si="282"/>
        <v>0</v>
      </c>
      <c r="AC486" s="118">
        <f t="shared" si="282"/>
        <v>0</v>
      </c>
      <c r="AD486" s="118">
        <f t="shared" si="282"/>
        <v>0</v>
      </c>
      <c r="AE486" s="118">
        <f t="shared" si="282"/>
        <v>0</v>
      </c>
      <c r="AF486" s="118">
        <f t="shared" si="282"/>
        <v>0</v>
      </c>
      <c r="AG486" s="118">
        <f t="shared" si="282"/>
        <v>0</v>
      </c>
      <c r="AH486" s="118">
        <f t="shared" si="282"/>
        <v>0</v>
      </c>
      <c r="AI486" s="118">
        <f t="shared" si="282"/>
        <v>0</v>
      </c>
      <c r="AJ486" s="118">
        <f t="shared" si="282"/>
        <v>0</v>
      </c>
      <c r="AK486" s="118"/>
      <c r="AL486" s="118"/>
      <c r="AM486" s="118"/>
      <c r="AN486" s="118"/>
      <c r="AO486" s="118"/>
      <c r="AP486" s="118"/>
      <c r="AQ486" s="118"/>
      <c r="AR486" s="118"/>
      <c r="AS486" s="118"/>
      <c r="AT486" s="118"/>
      <c r="AU486" s="118"/>
      <c r="AV486" s="118"/>
      <c r="AW486" s="118"/>
      <c r="AX486" s="118"/>
      <c r="AY486" s="118"/>
      <c r="AZ486" s="118"/>
      <c r="BA486" s="118"/>
      <c r="BB486" s="118"/>
      <c r="BC486" s="118"/>
      <c r="BD486" s="118"/>
      <c r="BE486" s="118"/>
      <c r="BF486" s="118"/>
      <c r="BG486" s="118"/>
      <c r="BH486" s="118"/>
      <c r="BI486" s="118"/>
      <c r="BJ486" s="119"/>
      <c r="BK486" s="118"/>
      <c r="BL486" s="118"/>
    </row>
    <row r="487" spans="1:64" s="143" customFormat="1" ht="12.75">
      <c r="A487" s="138" t="s">
        <v>126</v>
      </c>
      <c r="B487" s="139">
        <f>SUM(C487:BJ487)</f>
        <v>33886339.028466173</v>
      </c>
      <c r="C487" s="140">
        <f>C430*(1+$G401)^(C402-1)</f>
        <v>0</v>
      </c>
      <c r="D487" s="141">
        <f t="shared" ref="D487:BJ487" si="283">D430*(1+$G401)^(D402-1)</f>
        <v>0</v>
      </c>
      <c r="E487" s="141">
        <f t="shared" si="283"/>
        <v>1693069.0448621614</v>
      </c>
      <c r="F487" s="141">
        <f t="shared" si="283"/>
        <v>1741227.4532493518</v>
      </c>
      <c r="G487" s="141">
        <f t="shared" si="283"/>
        <v>1770182.6962921503</v>
      </c>
      <c r="H487" s="141">
        <f t="shared" si="283"/>
        <v>1777507.5902078422</v>
      </c>
      <c r="I487" s="141">
        <f t="shared" si="283"/>
        <v>1782586.1833227216</v>
      </c>
      <c r="J487" s="141">
        <f t="shared" si="283"/>
        <v>1785227.0517424587</v>
      </c>
      <c r="K487" s="141">
        <f t="shared" si="283"/>
        <v>1785227.0517424589</v>
      </c>
      <c r="L487" s="141">
        <f t="shared" si="283"/>
        <v>1782370.6884596711</v>
      </c>
      <c r="M487" s="141">
        <f t="shared" si="283"/>
        <v>1776429.4528314725</v>
      </c>
      <c r="N487" s="141">
        <f t="shared" si="283"/>
        <v>1767161.125251482</v>
      </c>
      <c r="O487" s="141">
        <f t="shared" si="283"/>
        <v>1754309.0443405625</v>
      </c>
      <c r="P487" s="141">
        <f t="shared" si="283"/>
        <v>1737601.3391563667</v>
      </c>
      <c r="Q487" s="141">
        <f t="shared" si="283"/>
        <v>1716750.1230864902</v>
      </c>
      <c r="R487" s="141">
        <f t="shared" si="283"/>
        <v>1691450.6475883734</v>
      </c>
      <c r="S487" s="141">
        <f t="shared" si="283"/>
        <v>1661380.4138534695</v>
      </c>
      <c r="T487" s="141">
        <f t="shared" si="283"/>
        <v>1626198.2403836313</v>
      </c>
      <c r="U487" s="141">
        <f t="shared" si="283"/>
        <v>1585543.2843740406</v>
      </c>
      <c r="V487" s="141">
        <f t="shared" si="283"/>
        <v>1539034.0146990689</v>
      </c>
      <c r="W487" s="141">
        <f t="shared" si="283"/>
        <v>1486267.1341951007</v>
      </c>
      <c r="X487" s="141">
        <f t="shared" si="283"/>
        <v>1426816.448827297</v>
      </c>
      <c r="Y487" s="141">
        <f t="shared" si="283"/>
        <v>0</v>
      </c>
      <c r="Z487" s="141">
        <f t="shared" si="283"/>
        <v>0</v>
      </c>
      <c r="AA487" s="141">
        <f t="shared" si="283"/>
        <v>0</v>
      </c>
      <c r="AB487" s="141">
        <f t="shared" si="283"/>
        <v>0</v>
      </c>
      <c r="AC487" s="141">
        <f t="shared" si="283"/>
        <v>0</v>
      </c>
      <c r="AD487" s="141">
        <f t="shared" si="283"/>
        <v>0</v>
      </c>
      <c r="AE487" s="141">
        <f t="shared" si="283"/>
        <v>0</v>
      </c>
      <c r="AF487" s="141">
        <f t="shared" si="283"/>
        <v>0</v>
      </c>
      <c r="AG487" s="141">
        <f t="shared" si="283"/>
        <v>0</v>
      </c>
      <c r="AH487" s="141">
        <f t="shared" si="283"/>
        <v>0</v>
      </c>
      <c r="AI487" s="141">
        <f t="shared" si="283"/>
        <v>0</v>
      </c>
      <c r="AJ487" s="141">
        <f t="shared" si="283"/>
        <v>0</v>
      </c>
      <c r="AK487" s="141">
        <f t="shared" si="283"/>
        <v>0</v>
      </c>
      <c r="AL487" s="141">
        <f t="shared" si="283"/>
        <v>0</v>
      </c>
      <c r="AM487" s="141">
        <f t="shared" si="283"/>
        <v>0</v>
      </c>
      <c r="AN487" s="141">
        <f t="shared" si="283"/>
        <v>0</v>
      </c>
      <c r="AO487" s="141">
        <f t="shared" si="283"/>
        <v>0</v>
      </c>
      <c r="AP487" s="141">
        <f t="shared" si="283"/>
        <v>0</v>
      </c>
      <c r="AQ487" s="141">
        <f t="shared" si="283"/>
        <v>0</v>
      </c>
      <c r="AR487" s="141">
        <f t="shared" si="283"/>
        <v>0</v>
      </c>
      <c r="AS487" s="141">
        <f t="shared" si="283"/>
        <v>0</v>
      </c>
      <c r="AT487" s="141">
        <f t="shared" si="283"/>
        <v>0</v>
      </c>
      <c r="AU487" s="141">
        <f t="shared" si="283"/>
        <v>0</v>
      </c>
      <c r="AV487" s="141">
        <f t="shared" si="283"/>
        <v>0</v>
      </c>
      <c r="AW487" s="141">
        <f t="shared" si="283"/>
        <v>0</v>
      </c>
      <c r="AX487" s="141">
        <f t="shared" si="283"/>
        <v>0</v>
      </c>
      <c r="AY487" s="141">
        <f t="shared" si="283"/>
        <v>0</v>
      </c>
      <c r="AZ487" s="141">
        <f t="shared" si="283"/>
        <v>0</v>
      </c>
      <c r="BA487" s="141">
        <f t="shared" si="283"/>
        <v>0</v>
      </c>
      <c r="BB487" s="141">
        <f t="shared" si="283"/>
        <v>0</v>
      </c>
      <c r="BC487" s="141">
        <f t="shared" si="283"/>
        <v>0</v>
      </c>
      <c r="BD487" s="141">
        <f t="shared" si="283"/>
        <v>0</v>
      </c>
      <c r="BE487" s="141">
        <f t="shared" si="283"/>
        <v>0</v>
      </c>
      <c r="BF487" s="141">
        <f t="shared" si="283"/>
        <v>0</v>
      </c>
      <c r="BG487" s="141">
        <f t="shared" si="283"/>
        <v>0</v>
      </c>
      <c r="BH487" s="141">
        <f t="shared" si="283"/>
        <v>0</v>
      </c>
      <c r="BI487" s="141">
        <f t="shared" si="283"/>
        <v>0</v>
      </c>
      <c r="BJ487" s="142">
        <f t="shared" si="283"/>
        <v>0</v>
      </c>
      <c r="BK487" s="141"/>
      <c r="BL487" s="141"/>
    </row>
    <row r="488" spans="1:64" s="143" customFormat="1" ht="12.75">
      <c r="A488" s="138" t="s">
        <v>127</v>
      </c>
      <c r="B488" s="139">
        <f>SUM(C488:BJ488)</f>
        <v>251116153.2904914</v>
      </c>
      <c r="C488" s="140">
        <f>C431*(1+$G401)^(C402-1)</f>
        <v>0</v>
      </c>
      <c r="D488" s="141">
        <f t="shared" ref="D488:BJ488" si="284">D431*(1+$G401)^(D402-1)</f>
        <v>0</v>
      </c>
      <c r="E488" s="141">
        <f t="shared" si="284"/>
        <v>12546560.000000002</v>
      </c>
      <c r="F488" s="141">
        <f t="shared" si="284"/>
        <v>12903439.928888891</v>
      </c>
      <c r="G488" s="141">
        <f t="shared" si="284"/>
        <v>13118013.986133337</v>
      </c>
      <c r="H488" s="141">
        <f t="shared" si="284"/>
        <v>13172295.423317336</v>
      </c>
      <c r="I488" s="141">
        <f t="shared" si="284"/>
        <v>13209930.553098245</v>
      </c>
      <c r="J488" s="141">
        <f t="shared" si="284"/>
        <v>13229500.820584312</v>
      </c>
      <c r="K488" s="141">
        <f t="shared" si="284"/>
        <v>13229500.820584312</v>
      </c>
      <c r="L488" s="141">
        <f t="shared" si="284"/>
        <v>13208333.619271381</v>
      </c>
      <c r="M488" s="141">
        <f t="shared" si="284"/>
        <v>13164305.840540472</v>
      </c>
      <c r="N488" s="141">
        <f t="shared" si="284"/>
        <v>13095622.50572026</v>
      </c>
      <c r="O488" s="141">
        <f t="shared" si="284"/>
        <v>13000381.614769571</v>
      </c>
      <c r="P488" s="141">
        <f t="shared" si="284"/>
        <v>12876568.456533667</v>
      </c>
      <c r="Q488" s="141">
        <f t="shared" si="284"/>
        <v>12722049.635055263</v>
      </c>
      <c r="R488" s="141">
        <f t="shared" si="284"/>
        <v>12534566.79832813</v>
      </c>
      <c r="S488" s="141">
        <f t="shared" si="284"/>
        <v>12311730.055246744</v>
      </c>
      <c r="T488" s="141">
        <f t="shared" si="284"/>
        <v>12051011.065841518</v>
      </c>
      <c r="U488" s="141">
        <f t="shared" si="284"/>
        <v>11749735.789195482</v>
      </c>
      <c r="V488" s="141">
        <f t="shared" si="284"/>
        <v>11405076.872712413</v>
      </c>
      <c r="W488" s="141">
        <f t="shared" si="284"/>
        <v>11014045.665647987</v>
      </c>
      <c r="X488" s="141">
        <f t="shared" si="284"/>
        <v>10573483.83902207</v>
      </c>
      <c r="Y488" s="141">
        <f t="shared" si="284"/>
        <v>0</v>
      </c>
      <c r="Z488" s="141">
        <f t="shared" si="284"/>
        <v>0</v>
      </c>
      <c r="AA488" s="141">
        <f t="shared" si="284"/>
        <v>0</v>
      </c>
      <c r="AB488" s="141">
        <f t="shared" si="284"/>
        <v>0</v>
      </c>
      <c r="AC488" s="141">
        <f t="shared" si="284"/>
        <v>0</v>
      </c>
      <c r="AD488" s="141">
        <f t="shared" si="284"/>
        <v>0</v>
      </c>
      <c r="AE488" s="141">
        <f t="shared" si="284"/>
        <v>0</v>
      </c>
      <c r="AF488" s="141">
        <f t="shared" si="284"/>
        <v>0</v>
      </c>
      <c r="AG488" s="141">
        <f t="shared" si="284"/>
        <v>0</v>
      </c>
      <c r="AH488" s="141">
        <f t="shared" si="284"/>
        <v>0</v>
      </c>
      <c r="AI488" s="141">
        <f t="shared" si="284"/>
        <v>0</v>
      </c>
      <c r="AJ488" s="141">
        <f t="shared" si="284"/>
        <v>0</v>
      </c>
      <c r="AK488" s="141">
        <f t="shared" si="284"/>
        <v>0</v>
      </c>
      <c r="AL488" s="141">
        <f t="shared" si="284"/>
        <v>0</v>
      </c>
      <c r="AM488" s="141">
        <f t="shared" si="284"/>
        <v>0</v>
      </c>
      <c r="AN488" s="141">
        <f t="shared" si="284"/>
        <v>0</v>
      </c>
      <c r="AO488" s="141">
        <f t="shared" si="284"/>
        <v>0</v>
      </c>
      <c r="AP488" s="141">
        <f t="shared" si="284"/>
        <v>0</v>
      </c>
      <c r="AQ488" s="141">
        <f t="shared" si="284"/>
        <v>0</v>
      </c>
      <c r="AR488" s="141">
        <f t="shared" si="284"/>
        <v>0</v>
      </c>
      <c r="AS488" s="141">
        <f t="shared" si="284"/>
        <v>0</v>
      </c>
      <c r="AT488" s="141">
        <f t="shared" si="284"/>
        <v>0</v>
      </c>
      <c r="AU488" s="141">
        <f t="shared" si="284"/>
        <v>0</v>
      </c>
      <c r="AV488" s="141">
        <f t="shared" si="284"/>
        <v>0</v>
      </c>
      <c r="AW488" s="141">
        <f t="shared" si="284"/>
        <v>0</v>
      </c>
      <c r="AX488" s="141">
        <f t="shared" si="284"/>
        <v>0</v>
      </c>
      <c r="AY488" s="141">
        <f t="shared" si="284"/>
        <v>0</v>
      </c>
      <c r="AZ488" s="141">
        <f t="shared" si="284"/>
        <v>0</v>
      </c>
      <c r="BA488" s="141">
        <f t="shared" si="284"/>
        <v>0</v>
      </c>
      <c r="BB488" s="141">
        <f t="shared" si="284"/>
        <v>0</v>
      </c>
      <c r="BC488" s="141">
        <f t="shared" si="284"/>
        <v>0</v>
      </c>
      <c r="BD488" s="141">
        <f t="shared" si="284"/>
        <v>0</v>
      </c>
      <c r="BE488" s="141">
        <f t="shared" si="284"/>
        <v>0</v>
      </c>
      <c r="BF488" s="141">
        <f t="shared" si="284"/>
        <v>0</v>
      </c>
      <c r="BG488" s="141">
        <f t="shared" si="284"/>
        <v>0</v>
      </c>
      <c r="BH488" s="141">
        <f t="shared" si="284"/>
        <v>0</v>
      </c>
      <c r="BI488" s="141">
        <f t="shared" si="284"/>
        <v>0</v>
      </c>
      <c r="BJ488" s="142">
        <f t="shared" si="284"/>
        <v>0</v>
      </c>
      <c r="BK488" s="141"/>
      <c r="BL488" s="141"/>
    </row>
    <row r="489" spans="1:64" s="143" customFormat="1" ht="12.75">
      <c r="A489" s="138" t="s">
        <v>128</v>
      </c>
      <c r="B489" s="139">
        <f>SUM(C489:BJ489)</f>
        <v>387098113.25214124</v>
      </c>
      <c r="C489" s="140">
        <f>C432*(1+$G401)^(C402-1)</f>
        <v>17107923.110974576</v>
      </c>
      <c r="D489" s="141">
        <f t="shared" ref="D489:BJ489" si="285">D432*(1+$G401)^(D402-1)</f>
        <v>17673625.101844139</v>
      </c>
      <c r="E489" s="141">
        <f t="shared" si="285"/>
        <v>18133851.044093505</v>
      </c>
      <c r="F489" s="141">
        <f t="shared" si="285"/>
        <v>18474323.349411178</v>
      </c>
      <c r="G489" s="141">
        <f t="shared" si="285"/>
        <v>18679593.608849082</v>
      </c>
      <c r="H489" s="141">
        <f t="shared" si="285"/>
        <v>18732963.876302939</v>
      </c>
      <c r="I489" s="141">
        <f t="shared" si="285"/>
        <v>18760716.415378939</v>
      </c>
      <c r="J489" s="141">
        <f t="shared" si="285"/>
        <v>18760716.415378936</v>
      </c>
      <c r="K489" s="141">
        <f t="shared" si="285"/>
        <v>18730699.26911433</v>
      </c>
      <c r="L489" s="141">
        <f t="shared" si="285"/>
        <v>18668263.604883954</v>
      </c>
      <c r="M489" s="141">
        <f t="shared" si="285"/>
        <v>18570863.968684558</v>
      </c>
      <c r="N489" s="141">
        <f t="shared" si="285"/>
        <v>18435803.139821399</v>
      </c>
      <c r="O489" s="141">
        <f t="shared" si="285"/>
        <v>18260224.062299296</v>
      </c>
      <c r="P489" s="141">
        <f t="shared" si="285"/>
        <v>18041101.373551704</v>
      </c>
      <c r="Q489" s="141">
        <f t="shared" si="285"/>
        <v>17775232.511204626</v>
      </c>
      <c r="R489" s="141">
        <f t="shared" si="285"/>
        <v>17459228.377672099</v>
      </c>
      <c r="S489" s="141">
        <f t="shared" si="285"/>
        <v>17089503.541439045</v>
      </c>
      <c r="T489" s="141">
        <f t="shared" si="285"/>
        <v>16662265.95290307</v>
      </c>
      <c r="U489" s="141">
        <f t="shared" si="285"/>
        <v>16173506.151617916</v>
      </c>
      <c r="V489" s="141">
        <f t="shared" si="285"/>
        <v>15618985.940705303</v>
      </c>
      <c r="W489" s="141">
        <f t="shared" si="285"/>
        <v>14994226.503077092</v>
      </c>
      <c r="X489" s="141">
        <f t="shared" si="285"/>
        <v>14294495.9329335</v>
      </c>
      <c r="Y489" s="141">
        <f t="shared" si="285"/>
        <v>0</v>
      </c>
      <c r="Z489" s="141">
        <f t="shared" si="285"/>
        <v>0</v>
      </c>
      <c r="AA489" s="141">
        <f t="shared" si="285"/>
        <v>0</v>
      </c>
      <c r="AB489" s="141">
        <f t="shared" si="285"/>
        <v>0</v>
      </c>
      <c r="AC489" s="141">
        <f t="shared" si="285"/>
        <v>0</v>
      </c>
      <c r="AD489" s="141">
        <f t="shared" si="285"/>
        <v>0</v>
      </c>
      <c r="AE489" s="141">
        <f t="shared" si="285"/>
        <v>0</v>
      </c>
      <c r="AF489" s="141">
        <f t="shared" si="285"/>
        <v>0</v>
      </c>
      <c r="AG489" s="141">
        <f t="shared" si="285"/>
        <v>0</v>
      </c>
      <c r="AH489" s="141">
        <f t="shared" si="285"/>
        <v>0</v>
      </c>
      <c r="AI489" s="141">
        <f t="shared" si="285"/>
        <v>0</v>
      </c>
      <c r="AJ489" s="141">
        <f t="shared" si="285"/>
        <v>0</v>
      </c>
      <c r="AK489" s="141">
        <f t="shared" si="285"/>
        <v>0</v>
      </c>
      <c r="AL489" s="141">
        <f t="shared" si="285"/>
        <v>0</v>
      </c>
      <c r="AM489" s="141">
        <f t="shared" si="285"/>
        <v>0</v>
      </c>
      <c r="AN489" s="141">
        <f t="shared" si="285"/>
        <v>0</v>
      </c>
      <c r="AO489" s="141">
        <f t="shared" si="285"/>
        <v>0</v>
      </c>
      <c r="AP489" s="141">
        <f t="shared" si="285"/>
        <v>0</v>
      </c>
      <c r="AQ489" s="141">
        <f t="shared" si="285"/>
        <v>0</v>
      </c>
      <c r="AR489" s="141">
        <f t="shared" si="285"/>
        <v>0</v>
      </c>
      <c r="AS489" s="141">
        <f t="shared" si="285"/>
        <v>0</v>
      </c>
      <c r="AT489" s="141">
        <f t="shared" si="285"/>
        <v>0</v>
      </c>
      <c r="AU489" s="141">
        <f t="shared" si="285"/>
        <v>0</v>
      </c>
      <c r="AV489" s="141">
        <f t="shared" si="285"/>
        <v>0</v>
      </c>
      <c r="AW489" s="141">
        <f t="shared" si="285"/>
        <v>0</v>
      </c>
      <c r="AX489" s="141">
        <f t="shared" si="285"/>
        <v>0</v>
      </c>
      <c r="AY489" s="141">
        <f t="shared" si="285"/>
        <v>0</v>
      </c>
      <c r="AZ489" s="141">
        <f t="shared" si="285"/>
        <v>0</v>
      </c>
      <c r="BA489" s="141">
        <f t="shared" si="285"/>
        <v>0</v>
      </c>
      <c r="BB489" s="141">
        <f t="shared" si="285"/>
        <v>0</v>
      </c>
      <c r="BC489" s="141">
        <f t="shared" si="285"/>
        <v>0</v>
      </c>
      <c r="BD489" s="141">
        <f t="shared" si="285"/>
        <v>0</v>
      </c>
      <c r="BE489" s="141">
        <f t="shared" si="285"/>
        <v>0</v>
      </c>
      <c r="BF489" s="141">
        <f t="shared" si="285"/>
        <v>0</v>
      </c>
      <c r="BG489" s="141">
        <f t="shared" si="285"/>
        <v>0</v>
      </c>
      <c r="BH489" s="141">
        <f t="shared" si="285"/>
        <v>0</v>
      </c>
      <c r="BI489" s="141">
        <f t="shared" si="285"/>
        <v>0</v>
      </c>
      <c r="BJ489" s="142">
        <f t="shared" si="285"/>
        <v>0</v>
      </c>
      <c r="BK489" s="141"/>
      <c r="BL489" s="141"/>
    </row>
    <row r="490" spans="1:64" s="143" customFormat="1" ht="12.75">
      <c r="A490" s="138" t="s">
        <v>129</v>
      </c>
      <c r="B490" s="139">
        <f>SUM(C490:BJ490)</f>
        <v>18639709.15253919</v>
      </c>
      <c r="C490" s="140">
        <f>C433*(1+$G401)^(C402-1)</f>
        <v>878408.00661172904</v>
      </c>
      <c r="D490" s="141">
        <f t="shared" ref="D490:BJ490" si="286">D433*(1+$G401)^(D402-1)</f>
        <v>903393.83435535175</v>
      </c>
      <c r="E490" s="141">
        <f t="shared" si="286"/>
        <v>907860.05106452445</v>
      </c>
      <c r="F490" s="141">
        <f t="shared" si="286"/>
        <v>911238.1349754621</v>
      </c>
      <c r="G490" s="141">
        <f t="shared" si="286"/>
        <v>913433.88951757166</v>
      </c>
      <c r="H490" s="141">
        <f t="shared" si="286"/>
        <v>914347.32340708934</v>
      </c>
      <c r="I490" s="141">
        <f t="shared" si="286"/>
        <v>913872.33778454014</v>
      </c>
      <c r="J490" s="141">
        <f t="shared" si="286"/>
        <v>911896.39759473572</v>
      </c>
      <c r="K490" s="141">
        <f t="shared" si="286"/>
        <v>908300.18644929177</v>
      </c>
      <c r="L490" s="141">
        <f t="shared" si="286"/>
        <v>902957.24417606066</v>
      </c>
      <c r="M490" s="141">
        <f t="shared" si="286"/>
        <v>895733.58622265211</v>
      </c>
      <c r="N490" s="141">
        <f t="shared" si="286"/>
        <v>886487.30404228903</v>
      </c>
      <c r="O490" s="141">
        <f t="shared" si="286"/>
        <v>875068.14554954099</v>
      </c>
      <c r="P490" s="141">
        <f t="shared" si="286"/>
        <v>861317.0746909054</v>
      </c>
      <c r="Q490" s="141">
        <f t="shared" si="286"/>
        <v>845065.80913069961</v>
      </c>
      <c r="R490" s="141">
        <f t="shared" si="286"/>
        <v>826136.33500617184</v>
      </c>
      <c r="S490" s="141">
        <f t="shared" si="286"/>
        <v>804340.39765707275</v>
      </c>
      <c r="T490" s="141">
        <f t="shared" si="286"/>
        <v>779478.96718403616</v>
      </c>
      <c r="U490" s="141">
        <f t="shared" si="286"/>
        <v>751341.67763690511</v>
      </c>
      <c r="V490" s="141">
        <f t="shared" si="286"/>
        <v>719706.23857850907</v>
      </c>
      <c r="W490" s="141">
        <f t="shared" si="286"/>
        <v>684337.81771122233</v>
      </c>
      <c r="X490" s="141">
        <f t="shared" si="286"/>
        <v>644988.39319282712</v>
      </c>
      <c r="Y490" s="141">
        <f t="shared" si="286"/>
        <v>0</v>
      </c>
      <c r="Z490" s="141">
        <f t="shared" si="286"/>
        <v>0</v>
      </c>
      <c r="AA490" s="141">
        <f t="shared" si="286"/>
        <v>0</v>
      </c>
      <c r="AB490" s="141">
        <f t="shared" si="286"/>
        <v>0</v>
      </c>
      <c r="AC490" s="141">
        <f t="shared" si="286"/>
        <v>0</v>
      </c>
      <c r="AD490" s="141">
        <f t="shared" si="286"/>
        <v>0</v>
      </c>
      <c r="AE490" s="141">
        <f t="shared" si="286"/>
        <v>0</v>
      </c>
      <c r="AF490" s="141">
        <f t="shared" si="286"/>
        <v>0</v>
      </c>
      <c r="AG490" s="141">
        <f t="shared" si="286"/>
        <v>0</v>
      </c>
      <c r="AH490" s="141">
        <f t="shared" si="286"/>
        <v>0</v>
      </c>
      <c r="AI490" s="141">
        <f t="shared" si="286"/>
        <v>0</v>
      </c>
      <c r="AJ490" s="141">
        <f t="shared" si="286"/>
        <v>0</v>
      </c>
      <c r="AK490" s="141">
        <f t="shared" si="286"/>
        <v>0</v>
      </c>
      <c r="AL490" s="141">
        <f t="shared" si="286"/>
        <v>0</v>
      </c>
      <c r="AM490" s="141">
        <f t="shared" si="286"/>
        <v>0</v>
      </c>
      <c r="AN490" s="141">
        <f t="shared" si="286"/>
        <v>0</v>
      </c>
      <c r="AO490" s="141">
        <f t="shared" si="286"/>
        <v>0</v>
      </c>
      <c r="AP490" s="141">
        <f t="shared" si="286"/>
        <v>0</v>
      </c>
      <c r="AQ490" s="141">
        <f t="shared" si="286"/>
        <v>0</v>
      </c>
      <c r="AR490" s="141">
        <f t="shared" si="286"/>
        <v>0</v>
      </c>
      <c r="AS490" s="141">
        <f t="shared" si="286"/>
        <v>0</v>
      </c>
      <c r="AT490" s="141">
        <f t="shared" si="286"/>
        <v>0</v>
      </c>
      <c r="AU490" s="141">
        <f t="shared" si="286"/>
        <v>0</v>
      </c>
      <c r="AV490" s="141">
        <f t="shared" si="286"/>
        <v>0</v>
      </c>
      <c r="AW490" s="141">
        <f t="shared" si="286"/>
        <v>0</v>
      </c>
      <c r="AX490" s="141">
        <f t="shared" si="286"/>
        <v>0</v>
      </c>
      <c r="AY490" s="141">
        <f t="shared" si="286"/>
        <v>0</v>
      </c>
      <c r="AZ490" s="141">
        <f t="shared" si="286"/>
        <v>0</v>
      </c>
      <c r="BA490" s="141">
        <f t="shared" si="286"/>
        <v>0</v>
      </c>
      <c r="BB490" s="141">
        <f t="shared" si="286"/>
        <v>0</v>
      </c>
      <c r="BC490" s="141">
        <f t="shared" si="286"/>
        <v>0</v>
      </c>
      <c r="BD490" s="141">
        <f t="shared" si="286"/>
        <v>0</v>
      </c>
      <c r="BE490" s="141">
        <f t="shared" si="286"/>
        <v>0</v>
      </c>
      <c r="BF490" s="141">
        <f t="shared" si="286"/>
        <v>0</v>
      </c>
      <c r="BG490" s="141">
        <f t="shared" si="286"/>
        <v>0</v>
      </c>
      <c r="BH490" s="141">
        <f t="shared" si="286"/>
        <v>0</v>
      </c>
      <c r="BI490" s="141">
        <f t="shared" si="286"/>
        <v>0</v>
      </c>
      <c r="BJ490" s="142">
        <f t="shared" si="286"/>
        <v>0</v>
      </c>
      <c r="BK490" s="141"/>
      <c r="BL490" s="141"/>
    </row>
    <row r="491" spans="1:64" s="116" customFormat="1">
      <c r="A491" s="111" t="s">
        <v>133</v>
      </c>
      <c r="B491" s="155">
        <f>SUM(B492:B495)</f>
        <v>329798983.15384144</v>
      </c>
      <c r="C491" s="117">
        <f>SUM(C492:C495)</f>
        <v>1238129.0970218307</v>
      </c>
      <c r="D491" s="118">
        <f>SUM(D492:D495)</f>
        <v>2676813.4470138741</v>
      </c>
      <c r="E491" s="118">
        <f>SUM(E492:E495)</f>
        <v>5599662.299001121</v>
      </c>
      <c r="F491" s="118">
        <f t="shared" ref="F491:AJ491" si="287">SUM(F492:F495)</f>
        <v>8752056.1576321255</v>
      </c>
      <c r="G491" s="118">
        <f t="shared" si="287"/>
        <v>12147682.065275207</v>
      </c>
      <c r="H491" s="118">
        <f t="shared" si="287"/>
        <v>12633589.347886216</v>
      </c>
      <c r="I491" s="118">
        <f t="shared" si="287"/>
        <v>13138932.921801668</v>
      </c>
      <c r="J491" s="118">
        <f t="shared" si="287"/>
        <v>13664490.238673734</v>
      </c>
      <c r="K491" s="118">
        <f t="shared" si="287"/>
        <v>14211069.848220682</v>
      </c>
      <c r="L491" s="118">
        <f t="shared" si="287"/>
        <v>14779512.642149512</v>
      </c>
      <c r="M491" s="118">
        <f t="shared" si="287"/>
        <v>15370693.147835493</v>
      </c>
      <c r="N491" s="118">
        <f t="shared" si="287"/>
        <v>15985520.873748912</v>
      </c>
      <c r="O491" s="118">
        <f t="shared" si="287"/>
        <v>16624941.708698871</v>
      </c>
      <c r="P491" s="118">
        <f t="shared" si="287"/>
        <v>17289939.377046827</v>
      </c>
      <c r="Q491" s="118">
        <f t="shared" si="287"/>
        <v>17981536.952128697</v>
      </c>
      <c r="R491" s="118">
        <f t="shared" si="287"/>
        <v>18700798.430213846</v>
      </c>
      <c r="S491" s="118">
        <f t="shared" si="287"/>
        <v>19448830.367422406</v>
      </c>
      <c r="T491" s="118">
        <f t="shared" si="287"/>
        <v>20226783.582119301</v>
      </c>
      <c r="U491" s="118">
        <f t="shared" si="287"/>
        <v>21035854.925404072</v>
      </c>
      <c r="V491" s="118">
        <f t="shared" si="287"/>
        <v>21877289.12242024</v>
      </c>
      <c r="W491" s="118">
        <f t="shared" si="287"/>
        <v>22752380.687317047</v>
      </c>
      <c r="X491" s="118">
        <f t="shared" si="287"/>
        <v>23662475.914809734</v>
      </c>
      <c r="Y491" s="118">
        <f t="shared" si="287"/>
        <v>0</v>
      </c>
      <c r="Z491" s="118">
        <f t="shared" si="287"/>
        <v>0</v>
      </c>
      <c r="AA491" s="118">
        <f t="shared" si="287"/>
        <v>0</v>
      </c>
      <c r="AB491" s="118">
        <f t="shared" si="287"/>
        <v>0</v>
      </c>
      <c r="AC491" s="118">
        <f t="shared" si="287"/>
        <v>0</v>
      </c>
      <c r="AD491" s="118">
        <f t="shared" si="287"/>
        <v>0</v>
      </c>
      <c r="AE491" s="118">
        <f t="shared" si="287"/>
        <v>0</v>
      </c>
      <c r="AF491" s="118">
        <f t="shared" si="287"/>
        <v>0</v>
      </c>
      <c r="AG491" s="118">
        <f t="shared" si="287"/>
        <v>0</v>
      </c>
      <c r="AH491" s="118">
        <f t="shared" si="287"/>
        <v>0</v>
      </c>
      <c r="AI491" s="118">
        <f t="shared" si="287"/>
        <v>0</v>
      </c>
      <c r="AJ491" s="118">
        <f t="shared" si="287"/>
        <v>0</v>
      </c>
      <c r="AK491" s="118"/>
      <c r="AL491" s="118"/>
      <c r="AM491" s="118"/>
      <c r="AN491" s="118"/>
      <c r="AO491" s="118"/>
      <c r="AP491" s="118"/>
      <c r="AQ491" s="118"/>
      <c r="AR491" s="118"/>
      <c r="AS491" s="118"/>
      <c r="AT491" s="118"/>
      <c r="AU491" s="118"/>
      <c r="AV491" s="118"/>
      <c r="AW491" s="118"/>
      <c r="AX491" s="118"/>
      <c r="AY491" s="118"/>
      <c r="AZ491" s="118"/>
      <c r="BA491" s="118"/>
      <c r="BB491" s="118"/>
      <c r="BC491" s="118"/>
      <c r="BD491" s="118"/>
      <c r="BE491" s="118"/>
      <c r="BF491" s="118"/>
      <c r="BG491" s="118"/>
      <c r="BH491" s="118"/>
      <c r="BI491" s="118"/>
      <c r="BJ491" s="119"/>
      <c r="BK491" s="118"/>
      <c r="BL491" s="118"/>
    </row>
    <row r="492" spans="1:64" s="143" customFormat="1" ht="12.75">
      <c r="A492" s="138" t="s">
        <v>126</v>
      </c>
      <c r="B492" s="139">
        <f t="shared" ref="B492:B498" si="288">SUM(C492:BJ492)</f>
        <v>16233566.584475512</v>
      </c>
      <c r="C492" s="140">
        <f>C435*(1+$G401)^(C402-1)</f>
        <v>0</v>
      </c>
      <c r="D492" s="141">
        <f>D435*(1+$G401)^(D402-1)</f>
        <v>0</v>
      </c>
      <c r="E492" s="141">
        <f t="shared" ref="E492:BJ492" si="289">E435*(1+$G401)^(E402-1)</f>
        <v>188118.78276246236</v>
      </c>
      <c r="F492" s="141">
        <f t="shared" si="289"/>
        <v>391287.06814592174</v>
      </c>
      <c r="G492" s="141">
        <f t="shared" si="289"/>
        <v>610407.82630763797</v>
      </c>
      <c r="H492" s="141">
        <f t="shared" si="289"/>
        <v>634824.13935994357</v>
      </c>
      <c r="I492" s="141">
        <f t="shared" si="289"/>
        <v>660217.10493434127</v>
      </c>
      <c r="J492" s="141">
        <f t="shared" si="289"/>
        <v>686625.78913171485</v>
      </c>
      <c r="K492" s="141">
        <f t="shared" si="289"/>
        <v>714090.8206969836</v>
      </c>
      <c r="L492" s="141">
        <f t="shared" si="289"/>
        <v>742654.453524863</v>
      </c>
      <c r="M492" s="141">
        <f t="shared" si="289"/>
        <v>772360.63166585751</v>
      </c>
      <c r="N492" s="141">
        <f t="shared" si="289"/>
        <v>803255.05693249172</v>
      </c>
      <c r="O492" s="141">
        <f t="shared" si="289"/>
        <v>835385.25920979166</v>
      </c>
      <c r="P492" s="141">
        <f t="shared" si="289"/>
        <v>868800.66957818333</v>
      </c>
      <c r="Q492" s="141">
        <f t="shared" si="289"/>
        <v>903552.69636131066</v>
      </c>
      <c r="R492" s="141">
        <f t="shared" si="289"/>
        <v>939694.804215763</v>
      </c>
      <c r="S492" s="141">
        <f t="shared" si="289"/>
        <v>977282.59638439375</v>
      </c>
      <c r="T492" s="141">
        <f t="shared" si="289"/>
        <v>1016373.9002397695</v>
      </c>
      <c r="U492" s="141">
        <f t="shared" si="289"/>
        <v>1057028.8562493604</v>
      </c>
      <c r="V492" s="141">
        <f t="shared" si="289"/>
        <v>1099310.0104993347</v>
      </c>
      <c r="W492" s="141">
        <f t="shared" si="289"/>
        <v>1143282.4109193082</v>
      </c>
      <c r="X492" s="141">
        <f t="shared" si="289"/>
        <v>1189013.7073560809</v>
      </c>
      <c r="Y492" s="141">
        <f t="shared" si="289"/>
        <v>0</v>
      </c>
      <c r="Z492" s="141">
        <f t="shared" si="289"/>
        <v>0</v>
      </c>
      <c r="AA492" s="141">
        <f t="shared" si="289"/>
        <v>0</v>
      </c>
      <c r="AB492" s="141">
        <f t="shared" si="289"/>
        <v>0</v>
      </c>
      <c r="AC492" s="141">
        <f t="shared" si="289"/>
        <v>0</v>
      </c>
      <c r="AD492" s="141">
        <f t="shared" si="289"/>
        <v>0</v>
      </c>
      <c r="AE492" s="141">
        <f t="shared" si="289"/>
        <v>0</v>
      </c>
      <c r="AF492" s="141">
        <f t="shared" si="289"/>
        <v>0</v>
      </c>
      <c r="AG492" s="141">
        <f t="shared" si="289"/>
        <v>0</v>
      </c>
      <c r="AH492" s="141">
        <f t="shared" si="289"/>
        <v>0</v>
      </c>
      <c r="AI492" s="141">
        <f t="shared" si="289"/>
        <v>0</v>
      </c>
      <c r="AJ492" s="141">
        <f t="shared" si="289"/>
        <v>0</v>
      </c>
      <c r="AK492" s="141">
        <f t="shared" si="289"/>
        <v>0</v>
      </c>
      <c r="AL492" s="141">
        <f t="shared" si="289"/>
        <v>0</v>
      </c>
      <c r="AM492" s="141">
        <f t="shared" si="289"/>
        <v>0</v>
      </c>
      <c r="AN492" s="141">
        <f t="shared" si="289"/>
        <v>0</v>
      </c>
      <c r="AO492" s="141">
        <f t="shared" si="289"/>
        <v>0</v>
      </c>
      <c r="AP492" s="141">
        <f t="shared" si="289"/>
        <v>0</v>
      </c>
      <c r="AQ492" s="141">
        <f t="shared" si="289"/>
        <v>0</v>
      </c>
      <c r="AR492" s="141">
        <f t="shared" si="289"/>
        <v>0</v>
      </c>
      <c r="AS492" s="141">
        <f t="shared" si="289"/>
        <v>0</v>
      </c>
      <c r="AT492" s="141">
        <f t="shared" si="289"/>
        <v>0</v>
      </c>
      <c r="AU492" s="141">
        <f t="shared" si="289"/>
        <v>0</v>
      </c>
      <c r="AV492" s="141">
        <f t="shared" si="289"/>
        <v>0</v>
      </c>
      <c r="AW492" s="141">
        <f t="shared" si="289"/>
        <v>0</v>
      </c>
      <c r="AX492" s="141">
        <f t="shared" si="289"/>
        <v>0</v>
      </c>
      <c r="AY492" s="141">
        <f t="shared" si="289"/>
        <v>0</v>
      </c>
      <c r="AZ492" s="141">
        <f t="shared" si="289"/>
        <v>0</v>
      </c>
      <c r="BA492" s="141">
        <f t="shared" si="289"/>
        <v>0</v>
      </c>
      <c r="BB492" s="141">
        <f t="shared" si="289"/>
        <v>0</v>
      </c>
      <c r="BC492" s="141">
        <f t="shared" si="289"/>
        <v>0</v>
      </c>
      <c r="BD492" s="141">
        <f t="shared" si="289"/>
        <v>0</v>
      </c>
      <c r="BE492" s="141">
        <f t="shared" si="289"/>
        <v>0</v>
      </c>
      <c r="BF492" s="141">
        <f t="shared" si="289"/>
        <v>0</v>
      </c>
      <c r="BG492" s="141">
        <f t="shared" si="289"/>
        <v>0</v>
      </c>
      <c r="BH492" s="141">
        <f t="shared" si="289"/>
        <v>0</v>
      </c>
      <c r="BI492" s="141">
        <f t="shared" si="289"/>
        <v>0</v>
      </c>
      <c r="BJ492" s="142">
        <f t="shared" si="289"/>
        <v>0</v>
      </c>
      <c r="BK492" s="141"/>
      <c r="BL492" s="141"/>
    </row>
    <row r="493" spans="1:64" s="143" customFormat="1" ht="12.75">
      <c r="A493" s="138" t="s">
        <v>127</v>
      </c>
      <c r="B493" s="139">
        <f t="shared" si="288"/>
        <v>120299534.02325597</v>
      </c>
      <c r="C493" s="140">
        <f>C436*(1+$G401)^(C402-1)</f>
        <v>0</v>
      </c>
      <c r="D493" s="141">
        <f>D436*(1+$G401)^(D402-1)</f>
        <v>0</v>
      </c>
      <c r="E493" s="141">
        <f t="shared" ref="E493:BJ493" si="290">E436*(1+$G401)^(E402-1)</f>
        <v>1394062.2222222222</v>
      </c>
      <c r="F493" s="141">
        <f t="shared" si="290"/>
        <v>2899649.4222222222</v>
      </c>
      <c r="G493" s="141">
        <f t="shared" si="290"/>
        <v>4523453.098666667</v>
      </c>
      <c r="H493" s="141">
        <f t="shared" si="290"/>
        <v>4704391.2226133337</v>
      </c>
      <c r="I493" s="141">
        <f t="shared" si="290"/>
        <v>4892566.8715178668</v>
      </c>
      <c r="J493" s="141">
        <f t="shared" si="290"/>
        <v>5088269.5463785818</v>
      </c>
      <c r="K493" s="141">
        <f t="shared" si="290"/>
        <v>5291800.3282337254</v>
      </c>
      <c r="L493" s="141">
        <f t="shared" si="290"/>
        <v>5503472.3413630752</v>
      </c>
      <c r="M493" s="141">
        <f t="shared" si="290"/>
        <v>5723611.2350175986</v>
      </c>
      <c r="N493" s="141">
        <f t="shared" si="290"/>
        <v>5952555.684418302</v>
      </c>
      <c r="O493" s="141">
        <f t="shared" si="290"/>
        <v>6190657.911795035</v>
      </c>
      <c r="P493" s="141">
        <f t="shared" si="290"/>
        <v>6438284.2282668371</v>
      </c>
      <c r="Q493" s="141">
        <f t="shared" si="290"/>
        <v>6695815.59739751</v>
      </c>
      <c r="R493" s="141">
        <f t="shared" si="290"/>
        <v>6963648.2212934103</v>
      </c>
      <c r="S493" s="141">
        <f t="shared" si="290"/>
        <v>7242194.1501451479</v>
      </c>
      <c r="T493" s="141">
        <f t="shared" si="290"/>
        <v>7531881.9161509536</v>
      </c>
      <c r="U493" s="141">
        <f t="shared" si="290"/>
        <v>7833157.1927969931</v>
      </c>
      <c r="V493" s="141">
        <f t="shared" si="290"/>
        <v>8146483.4805088723</v>
      </c>
      <c r="W493" s="141">
        <f t="shared" si="290"/>
        <v>8472342.8197292276</v>
      </c>
      <c r="X493" s="141">
        <f t="shared" si="290"/>
        <v>8811236.532518398</v>
      </c>
      <c r="Y493" s="141">
        <f t="shared" si="290"/>
        <v>0</v>
      </c>
      <c r="Z493" s="141">
        <f t="shared" si="290"/>
        <v>0</v>
      </c>
      <c r="AA493" s="141">
        <f t="shared" si="290"/>
        <v>0</v>
      </c>
      <c r="AB493" s="141">
        <f t="shared" si="290"/>
        <v>0</v>
      </c>
      <c r="AC493" s="141">
        <f t="shared" si="290"/>
        <v>0</v>
      </c>
      <c r="AD493" s="141">
        <f t="shared" si="290"/>
        <v>0</v>
      </c>
      <c r="AE493" s="141">
        <f t="shared" si="290"/>
        <v>0</v>
      </c>
      <c r="AF493" s="141">
        <f t="shared" si="290"/>
        <v>0</v>
      </c>
      <c r="AG493" s="141">
        <f t="shared" si="290"/>
        <v>0</v>
      </c>
      <c r="AH493" s="141">
        <f t="shared" si="290"/>
        <v>0</v>
      </c>
      <c r="AI493" s="141">
        <f t="shared" si="290"/>
        <v>0</v>
      </c>
      <c r="AJ493" s="141">
        <f t="shared" si="290"/>
        <v>0</v>
      </c>
      <c r="AK493" s="141">
        <f t="shared" si="290"/>
        <v>0</v>
      </c>
      <c r="AL493" s="141">
        <f t="shared" si="290"/>
        <v>0</v>
      </c>
      <c r="AM493" s="141">
        <f t="shared" si="290"/>
        <v>0</v>
      </c>
      <c r="AN493" s="141">
        <f t="shared" si="290"/>
        <v>0</v>
      </c>
      <c r="AO493" s="141">
        <f t="shared" si="290"/>
        <v>0</v>
      </c>
      <c r="AP493" s="141">
        <f t="shared" si="290"/>
        <v>0</v>
      </c>
      <c r="AQ493" s="141">
        <f t="shared" si="290"/>
        <v>0</v>
      </c>
      <c r="AR493" s="141">
        <f t="shared" si="290"/>
        <v>0</v>
      </c>
      <c r="AS493" s="141">
        <f t="shared" si="290"/>
        <v>0</v>
      </c>
      <c r="AT493" s="141">
        <f t="shared" si="290"/>
        <v>0</v>
      </c>
      <c r="AU493" s="141">
        <f t="shared" si="290"/>
        <v>0</v>
      </c>
      <c r="AV493" s="141">
        <f t="shared" si="290"/>
        <v>0</v>
      </c>
      <c r="AW493" s="141">
        <f t="shared" si="290"/>
        <v>0</v>
      </c>
      <c r="AX493" s="141">
        <f t="shared" si="290"/>
        <v>0</v>
      </c>
      <c r="AY493" s="141">
        <f t="shared" si="290"/>
        <v>0</v>
      </c>
      <c r="AZ493" s="141">
        <f t="shared" si="290"/>
        <v>0</v>
      </c>
      <c r="BA493" s="141">
        <f t="shared" si="290"/>
        <v>0</v>
      </c>
      <c r="BB493" s="141">
        <f t="shared" si="290"/>
        <v>0</v>
      </c>
      <c r="BC493" s="141">
        <f t="shared" si="290"/>
        <v>0</v>
      </c>
      <c r="BD493" s="141">
        <f t="shared" si="290"/>
        <v>0</v>
      </c>
      <c r="BE493" s="141">
        <f t="shared" si="290"/>
        <v>0</v>
      </c>
      <c r="BF493" s="141">
        <f t="shared" si="290"/>
        <v>0</v>
      </c>
      <c r="BG493" s="141">
        <f t="shared" si="290"/>
        <v>0</v>
      </c>
      <c r="BH493" s="141">
        <f t="shared" si="290"/>
        <v>0</v>
      </c>
      <c r="BI493" s="141">
        <f t="shared" si="290"/>
        <v>0</v>
      </c>
      <c r="BJ493" s="142">
        <f t="shared" si="290"/>
        <v>0</v>
      </c>
      <c r="BK493" s="141"/>
      <c r="BL493" s="141"/>
    </row>
    <row r="494" spans="1:64" s="143" customFormat="1" ht="12.75">
      <c r="A494" s="138" t="s">
        <v>128</v>
      </c>
      <c r="B494" s="139">
        <f t="shared" si="288"/>
        <v>183433187.36814192</v>
      </c>
      <c r="C494" s="140">
        <f>C437*(1+$G401)^(C402-1)</f>
        <v>1140528.2073983052</v>
      </c>
      <c r="D494" s="141">
        <f>D437*(1+$G401)^(D402-1)</f>
        <v>2372298.6713884748</v>
      </c>
      <c r="E494" s="141">
        <f t="shared" ref="E494:BJ494" si="291">E437*(1+$G401)^(E402-1)</f>
        <v>3700785.9273660211</v>
      </c>
      <c r="F494" s="141">
        <f t="shared" si="291"/>
        <v>5131756.4859475493</v>
      </c>
      <c r="G494" s="141">
        <f t="shared" si="291"/>
        <v>6671283.4317318136</v>
      </c>
      <c r="H494" s="141">
        <f t="shared" si="291"/>
        <v>6938134.7690010872</v>
      </c>
      <c r="I494" s="141">
        <f t="shared" si="291"/>
        <v>7215660.1597611308</v>
      </c>
      <c r="J494" s="141">
        <f t="shared" si="291"/>
        <v>7504286.5661515752</v>
      </c>
      <c r="K494" s="141">
        <f t="shared" si="291"/>
        <v>7804458.0287976395</v>
      </c>
      <c r="L494" s="141">
        <f t="shared" si="291"/>
        <v>8116636.3499495462</v>
      </c>
      <c r="M494" s="141">
        <f t="shared" si="291"/>
        <v>8441301.803947527</v>
      </c>
      <c r="N494" s="141">
        <f t="shared" si="291"/>
        <v>8778953.8761054277</v>
      </c>
      <c r="O494" s="141">
        <f t="shared" si="291"/>
        <v>9130112.0311496481</v>
      </c>
      <c r="P494" s="141">
        <f t="shared" si="291"/>
        <v>9495316.5123956334</v>
      </c>
      <c r="Q494" s="141">
        <f t="shared" si="291"/>
        <v>9875129.1728914585</v>
      </c>
      <c r="R494" s="141">
        <f t="shared" si="291"/>
        <v>10270134.339807117</v>
      </c>
      <c r="S494" s="141">
        <f t="shared" si="291"/>
        <v>10680939.713399403</v>
      </c>
      <c r="T494" s="141">
        <f t="shared" si="291"/>
        <v>11108177.30193538</v>
      </c>
      <c r="U494" s="141">
        <f t="shared" si="291"/>
        <v>11552504.394012796</v>
      </c>
      <c r="V494" s="141">
        <f t="shared" si="291"/>
        <v>12014604.569773307</v>
      </c>
      <c r="W494" s="141">
        <f t="shared" si="291"/>
        <v>12495188.75256424</v>
      </c>
      <c r="X494" s="141">
        <f t="shared" si="291"/>
        <v>12994996.302666813</v>
      </c>
      <c r="Y494" s="141">
        <f t="shared" si="291"/>
        <v>0</v>
      </c>
      <c r="Z494" s="141">
        <f t="shared" si="291"/>
        <v>0</v>
      </c>
      <c r="AA494" s="141">
        <f t="shared" si="291"/>
        <v>0</v>
      </c>
      <c r="AB494" s="141">
        <f t="shared" si="291"/>
        <v>0</v>
      </c>
      <c r="AC494" s="141">
        <f t="shared" si="291"/>
        <v>0</v>
      </c>
      <c r="AD494" s="141">
        <f t="shared" si="291"/>
        <v>0</v>
      </c>
      <c r="AE494" s="141">
        <f t="shared" si="291"/>
        <v>0</v>
      </c>
      <c r="AF494" s="141">
        <f t="shared" si="291"/>
        <v>0</v>
      </c>
      <c r="AG494" s="141">
        <f t="shared" si="291"/>
        <v>0</v>
      </c>
      <c r="AH494" s="141">
        <f t="shared" si="291"/>
        <v>0</v>
      </c>
      <c r="AI494" s="141">
        <f t="shared" si="291"/>
        <v>0</v>
      </c>
      <c r="AJ494" s="141">
        <f t="shared" si="291"/>
        <v>0</v>
      </c>
      <c r="AK494" s="141">
        <f t="shared" si="291"/>
        <v>0</v>
      </c>
      <c r="AL494" s="141">
        <f t="shared" si="291"/>
        <v>0</v>
      </c>
      <c r="AM494" s="141">
        <f t="shared" si="291"/>
        <v>0</v>
      </c>
      <c r="AN494" s="141">
        <f t="shared" si="291"/>
        <v>0</v>
      </c>
      <c r="AO494" s="141">
        <f t="shared" si="291"/>
        <v>0</v>
      </c>
      <c r="AP494" s="141">
        <f t="shared" si="291"/>
        <v>0</v>
      </c>
      <c r="AQ494" s="141">
        <f t="shared" si="291"/>
        <v>0</v>
      </c>
      <c r="AR494" s="141">
        <f t="shared" si="291"/>
        <v>0</v>
      </c>
      <c r="AS494" s="141">
        <f t="shared" si="291"/>
        <v>0</v>
      </c>
      <c r="AT494" s="141">
        <f t="shared" si="291"/>
        <v>0</v>
      </c>
      <c r="AU494" s="141">
        <f t="shared" si="291"/>
        <v>0</v>
      </c>
      <c r="AV494" s="141">
        <f t="shared" si="291"/>
        <v>0</v>
      </c>
      <c r="AW494" s="141">
        <f t="shared" si="291"/>
        <v>0</v>
      </c>
      <c r="AX494" s="141">
        <f t="shared" si="291"/>
        <v>0</v>
      </c>
      <c r="AY494" s="141">
        <f t="shared" si="291"/>
        <v>0</v>
      </c>
      <c r="AZ494" s="141">
        <f t="shared" si="291"/>
        <v>0</v>
      </c>
      <c r="BA494" s="141">
        <f t="shared" si="291"/>
        <v>0</v>
      </c>
      <c r="BB494" s="141">
        <f t="shared" si="291"/>
        <v>0</v>
      </c>
      <c r="BC494" s="141">
        <f t="shared" si="291"/>
        <v>0</v>
      </c>
      <c r="BD494" s="141">
        <f t="shared" si="291"/>
        <v>0</v>
      </c>
      <c r="BE494" s="141">
        <f t="shared" si="291"/>
        <v>0</v>
      </c>
      <c r="BF494" s="141">
        <f t="shared" si="291"/>
        <v>0</v>
      </c>
      <c r="BG494" s="141">
        <f t="shared" si="291"/>
        <v>0</v>
      </c>
      <c r="BH494" s="141">
        <f t="shared" si="291"/>
        <v>0</v>
      </c>
      <c r="BI494" s="141">
        <f t="shared" si="291"/>
        <v>0</v>
      </c>
      <c r="BJ494" s="142">
        <f t="shared" si="291"/>
        <v>0</v>
      </c>
      <c r="BK494" s="141"/>
      <c r="BL494" s="141"/>
    </row>
    <row r="495" spans="1:64" s="143" customFormat="1" ht="12.75">
      <c r="A495" s="138" t="s">
        <v>129</v>
      </c>
      <c r="B495" s="139">
        <f t="shared" si="288"/>
        <v>9832695.1779680289</v>
      </c>
      <c r="C495" s="213">
        <f>C438*(1+$G401)^(C402-1)</f>
        <v>97600.889623525451</v>
      </c>
      <c r="D495" s="214">
        <f>D438*(1+$G401)^(D402-1)</f>
        <v>304514.77562539943</v>
      </c>
      <c r="E495" s="214">
        <f t="shared" ref="E495:BJ495" si="292">E438*(1+$G401)^(E402-1)</f>
        <v>316695.36665041541</v>
      </c>
      <c r="F495" s="214">
        <f t="shared" si="292"/>
        <v>329363.18131643202</v>
      </c>
      <c r="G495" s="214">
        <f t="shared" si="292"/>
        <v>342537.70856908936</v>
      </c>
      <c r="H495" s="214">
        <f t="shared" si="292"/>
        <v>356239.21691185294</v>
      </c>
      <c r="I495" s="214">
        <f t="shared" si="292"/>
        <v>370488.7855883271</v>
      </c>
      <c r="J495" s="214">
        <f t="shared" si="292"/>
        <v>385308.33701186016</v>
      </c>
      <c r="K495" s="214">
        <f t="shared" si="292"/>
        <v>400720.67049233458</v>
      </c>
      <c r="L495" s="214">
        <f t="shared" si="292"/>
        <v>416749.49731202802</v>
      </c>
      <c r="M495" s="214">
        <f t="shared" si="292"/>
        <v>433419.47720450914</v>
      </c>
      <c r="N495" s="214">
        <f t="shared" si="292"/>
        <v>450756.25629268948</v>
      </c>
      <c r="O495" s="214">
        <f t="shared" si="292"/>
        <v>468786.50654439715</v>
      </c>
      <c r="P495" s="214">
        <f t="shared" si="292"/>
        <v>487537.96680617309</v>
      </c>
      <c r="Q495" s="214">
        <f t="shared" si="292"/>
        <v>507039.48547841999</v>
      </c>
      <c r="R495" s="214">
        <f t="shared" si="292"/>
        <v>527321.06489755679</v>
      </c>
      <c r="S495" s="214">
        <f t="shared" si="292"/>
        <v>548413.90749345918</v>
      </c>
      <c r="T495" s="214">
        <f t="shared" si="292"/>
        <v>570350.46379319753</v>
      </c>
      <c r="U495" s="214">
        <f t="shared" si="292"/>
        <v>593164.48234492552</v>
      </c>
      <c r="V495" s="214">
        <f t="shared" si="292"/>
        <v>616891.06163872243</v>
      </c>
      <c r="W495" s="214">
        <f t="shared" si="292"/>
        <v>641566.70410427137</v>
      </c>
      <c r="X495" s="214">
        <f t="shared" si="292"/>
        <v>667229.37226844241</v>
      </c>
      <c r="Y495" s="214">
        <f t="shared" si="292"/>
        <v>0</v>
      </c>
      <c r="Z495" s="214">
        <f t="shared" si="292"/>
        <v>0</v>
      </c>
      <c r="AA495" s="214">
        <f t="shared" si="292"/>
        <v>0</v>
      </c>
      <c r="AB495" s="214">
        <f t="shared" si="292"/>
        <v>0</v>
      </c>
      <c r="AC495" s="214">
        <f t="shared" si="292"/>
        <v>0</v>
      </c>
      <c r="AD495" s="214">
        <f t="shared" si="292"/>
        <v>0</v>
      </c>
      <c r="AE495" s="214">
        <f t="shared" si="292"/>
        <v>0</v>
      </c>
      <c r="AF495" s="214">
        <f t="shared" si="292"/>
        <v>0</v>
      </c>
      <c r="AG495" s="214">
        <f t="shared" si="292"/>
        <v>0</v>
      </c>
      <c r="AH495" s="214">
        <f t="shared" si="292"/>
        <v>0</v>
      </c>
      <c r="AI495" s="214">
        <f t="shared" si="292"/>
        <v>0</v>
      </c>
      <c r="AJ495" s="214">
        <f t="shared" si="292"/>
        <v>0</v>
      </c>
      <c r="AK495" s="214">
        <f t="shared" si="292"/>
        <v>0</v>
      </c>
      <c r="AL495" s="214">
        <f t="shared" si="292"/>
        <v>0</v>
      </c>
      <c r="AM495" s="214">
        <f t="shared" si="292"/>
        <v>0</v>
      </c>
      <c r="AN495" s="214">
        <f t="shared" si="292"/>
        <v>0</v>
      </c>
      <c r="AO495" s="214">
        <f t="shared" si="292"/>
        <v>0</v>
      </c>
      <c r="AP495" s="214">
        <f t="shared" si="292"/>
        <v>0</v>
      </c>
      <c r="AQ495" s="214">
        <f t="shared" si="292"/>
        <v>0</v>
      </c>
      <c r="AR495" s="214">
        <f t="shared" si="292"/>
        <v>0</v>
      </c>
      <c r="AS495" s="214">
        <f t="shared" si="292"/>
        <v>0</v>
      </c>
      <c r="AT495" s="214">
        <f t="shared" si="292"/>
        <v>0</v>
      </c>
      <c r="AU495" s="214">
        <f t="shared" si="292"/>
        <v>0</v>
      </c>
      <c r="AV495" s="214">
        <f t="shared" si="292"/>
        <v>0</v>
      </c>
      <c r="AW495" s="214">
        <f t="shared" si="292"/>
        <v>0</v>
      </c>
      <c r="AX495" s="214">
        <f t="shared" si="292"/>
        <v>0</v>
      </c>
      <c r="AY495" s="214">
        <f t="shared" si="292"/>
        <v>0</v>
      </c>
      <c r="AZ495" s="214">
        <f t="shared" si="292"/>
        <v>0</v>
      </c>
      <c r="BA495" s="214">
        <f t="shared" si="292"/>
        <v>0</v>
      </c>
      <c r="BB495" s="214">
        <f t="shared" si="292"/>
        <v>0</v>
      </c>
      <c r="BC495" s="214">
        <f t="shared" si="292"/>
        <v>0</v>
      </c>
      <c r="BD495" s="214">
        <f t="shared" si="292"/>
        <v>0</v>
      </c>
      <c r="BE495" s="214">
        <f t="shared" si="292"/>
        <v>0</v>
      </c>
      <c r="BF495" s="214">
        <f t="shared" si="292"/>
        <v>0</v>
      </c>
      <c r="BG495" s="214">
        <f t="shared" si="292"/>
        <v>0</v>
      </c>
      <c r="BH495" s="214">
        <f t="shared" si="292"/>
        <v>0</v>
      </c>
      <c r="BI495" s="214">
        <f t="shared" si="292"/>
        <v>0</v>
      </c>
      <c r="BJ495" s="215">
        <f t="shared" si="292"/>
        <v>0</v>
      </c>
      <c r="BK495" s="141"/>
      <c r="BL495" s="141"/>
    </row>
    <row r="496" spans="1:64" s="160" customFormat="1">
      <c r="A496" s="131" t="s">
        <v>134</v>
      </c>
      <c r="B496" s="156">
        <f t="shared" si="288"/>
        <v>4279784174.9062161</v>
      </c>
      <c r="C496" s="161">
        <f>C470-C471-C491</f>
        <v>-35865951.1937261</v>
      </c>
      <c r="D496" s="162">
        <f>D470-D471-D491</f>
        <v>-41111874.077528715</v>
      </c>
      <c r="E496" s="162">
        <f>E470-E471-E491</f>
        <v>-86703648.171268806</v>
      </c>
      <c r="F496" s="162">
        <f>F470-F471-F491</f>
        <v>-93100201.464790493</v>
      </c>
      <c r="G496" s="162">
        <f t="shared" ref="G496:BJ496" si="293">G470-G471-G491</f>
        <v>-99869753.18471992</v>
      </c>
      <c r="H496" s="162">
        <f t="shared" si="293"/>
        <v>33686258.466543019</v>
      </c>
      <c r="I496" s="162">
        <f t="shared" si="293"/>
        <v>83206350.53221114</v>
      </c>
      <c r="J496" s="162">
        <f t="shared" si="293"/>
        <v>136634151.94958624</v>
      </c>
      <c r="K496" s="162">
        <f t="shared" si="293"/>
        <v>194203047.31949988</v>
      </c>
      <c r="L496" s="162">
        <f t="shared" si="293"/>
        <v>328391682.40167755</v>
      </c>
      <c r="M496" s="162">
        <f t="shared" si="293"/>
        <v>341527349.69774467</v>
      </c>
      <c r="N496" s="162">
        <f t="shared" si="293"/>
        <v>355188443.68565446</v>
      </c>
      <c r="O496" s="162">
        <f t="shared" si="293"/>
        <v>369395981.43308067</v>
      </c>
      <c r="P496" s="162">
        <f t="shared" si="293"/>
        <v>384171820.69040394</v>
      </c>
      <c r="Q496" s="162">
        <f t="shared" si="293"/>
        <v>399538693.51802003</v>
      </c>
      <c r="R496" s="162">
        <f t="shared" si="293"/>
        <v>415520241.25874078</v>
      </c>
      <c r="S496" s="162">
        <f t="shared" si="293"/>
        <v>432141050.90909058</v>
      </c>
      <c r="T496" s="162">
        <f t="shared" si="293"/>
        <v>449426692.94545412</v>
      </c>
      <c r="U496" s="162">
        <f t="shared" si="293"/>
        <v>287467950.90841651</v>
      </c>
      <c r="V496" s="162">
        <f t="shared" si="293"/>
        <v>218755679.42795986</v>
      </c>
      <c r="W496" s="162">
        <f t="shared" si="293"/>
        <v>144086477.50761312</v>
      </c>
      <c r="X496" s="162">
        <f t="shared" si="293"/>
        <v>63093730.346553966</v>
      </c>
      <c r="Y496" s="162">
        <f t="shared" si="293"/>
        <v>0</v>
      </c>
      <c r="Z496" s="162">
        <f t="shared" si="293"/>
        <v>0</v>
      </c>
      <c r="AA496" s="162">
        <f t="shared" si="293"/>
        <v>0</v>
      </c>
      <c r="AB496" s="162">
        <f t="shared" si="293"/>
        <v>0</v>
      </c>
      <c r="AC496" s="162">
        <f t="shared" si="293"/>
        <v>0</v>
      </c>
      <c r="AD496" s="162">
        <f t="shared" si="293"/>
        <v>0</v>
      </c>
      <c r="AE496" s="162">
        <f t="shared" si="293"/>
        <v>0</v>
      </c>
      <c r="AF496" s="162">
        <f t="shared" si="293"/>
        <v>0</v>
      </c>
      <c r="AG496" s="162">
        <f t="shared" si="293"/>
        <v>0</v>
      </c>
      <c r="AH496" s="162">
        <f t="shared" si="293"/>
        <v>0</v>
      </c>
      <c r="AI496" s="162">
        <f t="shared" si="293"/>
        <v>0</v>
      </c>
      <c r="AJ496" s="162">
        <f t="shared" si="293"/>
        <v>0</v>
      </c>
      <c r="AK496" s="162">
        <f t="shared" si="293"/>
        <v>0</v>
      </c>
      <c r="AL496" s="162">
        <f t="shared" si="293"/>
        <v>0</v>
      </c>
      <c r="AM496" s="162">
        <f t="shared" si="293"/>
        <v>0</v>
      </c>
      <c r="AN496" s="162">
        <f t="shared" si="293"/>
        <v>0</v>
      </c>
      <c r="AO496" s="162">
        <f t="shared" si="293"/>
        <v>0</v>
      </c>
      <c r="AP496" s="162">
        <f t="shared" si="293"/>
        <v>0</v>
      </c>
      <c r="AQ496" s="162">
        <f t="shared" si="293"/>
        <v>0</v>
      </c>
      <c r="AR496" s="162">
        <f t="shared" si="293"/>
        <v>0</v>
      </c>
      <c r="AS496" s="162">
        <f t="shared" si="293"/>
        <v>0</v>
      </c>
      <c r="AT496" s="162">
        <f t="shared" si="293"/>
        <v>0</v>
      </c>
      <c r="AU496" s="162">
        <f t="shared" si="293"/>
        <v>0</v>
      </c>
      <c r="AV496" s="162">
        <f t="shared" si="293"/>
        <v>0</v>
      </c>
      <c r="AW496" s="162">
        <f t="shared" si="293"/>
        <v>0</v>
      </c>
      <c r="AX496" s="162">
        <f t="shared" si="293"/>
        <v>0</v>
      </c>
      <c r="AY496" s="162">
        <f t="shared" si="293"/>
        <v>0</v>
      </c>
      <c r="AZ496" s="162">
        <f t="shared" si="293"/>
        <v>0</v>
      </c>
      <c r="BA496" s="162">
        <f t="shared" si="293"/>
        <v>0</v>
      </c>
      <c r="BB496" s="162">
        <f t="shared" si="293"/>
        <v>0</v>
      </c>
      <c r="BC496" s="162">
        <f t="shared" si="293"/>
        <v>0</v>
      </c>
      <c r="BD496" s="162">
        <f t="shared" si="293"/>
        <v>0</v>
      </c>
      <c r="BE496" s="162">
        <f t="shared" si="293"/>
        <v>0</v>
      </c>
      <c r="BF496" s="162">
        <f t="shared" si="293"/>
        <v>0</v>
      </c>
      <c r="BG496" s="162">
        <f t="shared" si="293"/>
        <v>0</v>
      </c>
      <c r="BH496" s="162">
        <f t="shared" si="293"/>
        <v>0</v>
      </c>
      <c r="BI496" s="162">
        <f t="shared" si="293"/>
        <v>0</v>
      </c>
      <c r="BJ496" s="163">
        <f t="shared" si="293"/>
        <v>0</v>
      </c>
      <c r="BK496" s="159"/>
      <c r="BL496" s="159"/>
    </row>
    <row r="497" spans="1:64" s="160" customFormat="1">
      <c r="A497" s="131" t="s">
        <v>135</v>
      </c>
      <c r="B497" s="156">
        <f t="shared" si="288"/>
        <v>1390930680.8994753</v>
      </c>
      <c r="C497" s="161">
        <f>IF(C496&lt;=0,0,C496*$K401)</f>
        <v>0</v>
      </c>
      <c r="D497" s="162">
        <f>IF(D496&lt;=0,0,D496*$K401)</f>
        <v>0</v>
      </c>
      <c r="E497" s="162">
        <f t="shared" ref="E497:BJ497" si="294">IF(E496&lt;=0,0,E496*$K401)</f>
        <v>0</v>
      </c>
      <c r="F497" s="162">
        <f t="shared" si="294"/>
        <v>0</v>
      </c>
      <c r="G497" s="162">
        <f t="shared" si="294"/>
        <v>0</v>
      </c>
      <c r="H497" s="162">
        <f t="shared" si="294"/>
        <v>10105877.539962905</v>
      </c>
      <c r="I497" s="162">
        <f t="shared" si="294"/>
        <v>24961905.159663342</v>
      </c>
      <c r="J497" s="162">
        <f t="shared" si="294"/>
        <v>40990245.584875874</v>
      </c>
      <c r="K497" s="162">
        <f t="shared" si="294"/>
        <v>58260914.195849963</v>
      </c>
      <c r="L497" s="162">
        <f t="shared" si="294"/>
        <v>98517504.720503256</v>
      </c>
      <c r="M497" s="162">
        <f t="shared" si="294"/>
        <v>102458204.90932339</v>
      </c>
      <c r="N497" s="162">
        <f t="shared" si="294"/>
        <v>106556533.10569634</v>
      </c>
      <c r="O497" s="162">
        <f t="shared" si="294"/>
        <v>110818794.4299242</v>
      </c>
      <c r="P497" s="162">
        <f t="shared" si="294"/>
        <v>115251546.20712118</v>
      </c>
      <c r="Q497" s="162">
        <f t="shared" si="294"/>
        <v>119861608.055406</v>
      </c>
      <c r="R497" s="162">
        <f t="shared" si="294"/>
        <v>124656072.37762223</v>
      </c>
      <c r="S497" s="162">
        <f t="shared" si="294"/>
        <v>129642315.27272716</v>
      </c>
      <c r="T497" s="162">
        <f t="shared" si="294"/>
        <v>134828007.88363624</v>
      </c>
      <c r="U497" s="162">
        <f t="shared" si="294"/>
        <v>86240385.272524953</v>
      </c>
      <c r="V497" s="162">
        <f t="shared" si="294"/>
        <v>65626703.828387953</v>
      </c>
      <c r="W497" s="162">
        <f t="shared" si="294"/>
        <v>43225943.252283938</v>
      </c>
      <c r="X497" s="162">
        <f t="shared" si="294"/>
        <v>18928119.103966188</v>
      </c>
      <c r="Y497" s="162">
        <f t="shared" si="294"/>
        <v>0</v>
      </c>
      <c r="Z497" s="162">
        <f t="shared" si="294"/>
        <v>0</v>
      </c>
      <c r="AA497" s="162">
        <f t="shared" si="294"/>
        <v>0</v>
      </c>
      <c r="AB497" s="162">
        <f t="shared" si="294"/>
        <v>0</v>
      </c>
      <c r="AC497" s="162">
        <f t="shared" si="294"/>
        <v>0</v>
      </c>
      <c r="AD497" s="162">
        <f t="shared" si="294"/>
        <v>0</v>
      </c>
      <c r="AE497" s="162">
        <f t="shared" si="294"/>
        <v>0</v>
      </c>
      <c r="AF497" s="162">
        <f t="shared" si="294"/>
        <v>0</v>
      </c>
      <c r="AG497" s="162">
        <f t="shared" si="294"/>
        <v>0</v>
      </c>
      <c r="AH497" s="162">
        <f t="shared" si="294"/>
        <v>0</v>
      </c>
      <c r="AI497" s="162">
        <f t="shared" si="294"/>
        <v>0</v>
      </c>
      <c r="AJ497" s="162">
        <f t="shared" si="294"/>
        <v>0</v>
      </c>
      <c r="AK497" s="162">
        <f t="shared" si="294"/>
        <v>0</v>
      </c>
      <c r="AL497" s="162">
        <f t="shared" si="294"/>
        <v>0</v>
      </c>
      <c r="AM497" s="162">
        <f t="shared" si="294"/>
        <v>0</v>
      </c>
      <c r="AN497" s="162">
        <f t="shared" si="294"/>
        <v>0</v>
      </c>
      <c r="AO497" s="162">
        <f t="shared" si="294"/>
        <v>0</v>
      </c>
      <c r="AP497" s="162">
        <f t="shared" si="294"/>
        <v>0</v>
      </c>
      <c r="AQ497" s="162">
        <f t="shared" si="294"/>
        <v>0</v>
      </c>
      <c r="AR497" s="162">
        <f t="shared" si="294"/>
        <v>0</v>
      </c>
      <c r="AS497" s="162">
        <f t="shared" si="294"/>
        <v>0</v>
      </c>
      <c r="AT497" s="162">
        <f t="shared" si="294"/>
        <v>0</v>
      </c>
      <c r="AU497" s="162">
        <f t="shared" si="294"/>
        <v>0</v>
      </c>
      <c r="AV497" s="162">
        <f t="shared" si="294"/>
        <v>0</v>
      </c>
      <c r="AW497" s="162">
        <f t="shared" si="294"/>
        <v>0</v>
      </c>
      <c r="AX497" s="162">
        <f t="shared" si="294"/>
        <v>0</v>
      </c>
      <c r="AY497" s="162">
        <f t="shared" si="294"/>
        <v>0</v>
      </c>
      <c r="AZ497" s="162">
        <f t="shared" si="294"/>
        <v>0</v>
      </c>
      <c r="BA497" s="162">
        <f t="shared" si="294"/>
        <v>0</v>
      </c>
      <c r="BB497" s="162">
        <f t="shared" si="294"/>
        <v>0</v>
      </c>
      <c r="BC497" s="162">
        <f t="shared" si="294"/>
        <v>0</v>
      </c>
      <c r="BD497" s="162">
        <f t="shared" si="294"/>
        <v>0</v>
      </c>
      <c r="BE497" s="162">
        <f t="shared" si="294"/>
        <v>0</v>
      </c>
      <c r="BF497" s="162">
        <f t="shared" si="294"/>
        <v>0</v>
      </c>
      <c r="BG497" s="162">
        <f t="shared" si="294"/>
        <v>0</v>
      </c>
      <c r="BH497" s="162">
        <f t="shared" si="294"/>
        <v>0</v>
      </c>
      <c r="BI497" s="162">
        <f t="shared" si="294"/>
        <v>0</v>
      </c>
      <c r="BJ497" s="163">
        <f t="shared" si="294"/>
        <v>0</v>
      </c>
      <c r="BK497" s="159"/>
      <c r="BL497" s="159"/>
    </row>
    <row r="498" spans="1:64" s="105" customFormat="1">
      <c r="A498" s="164" t="s">
        <v>136</v>
      </c>
      <c r="B498" s="161">
        <f t="shared" si="288"/>
        <v>2888853494.006741</v>
      </c>
      <c r="C498" s="133">
        <f>C496-C497</f>
        <v>-35865951.1937261</v>
      </c>
      <c r="D498" s="134">
        <f>D496-D497</f>
        <v>-41111874.077528715</v>
      </c>
      <c r="E498" s="134">
        <f>E496-E497</f>
        <v>-86703648.171268806</v>
      </c>
      <c r="F498" s="134">
        <f>F496-F497</f>
        <v>-93100201.464790493</v>
      </c>
      <c r="G498" s="134">
        <f t="shared" ref="G498:BJ498" si="295">G496-G497</f>
        <v>-99869753.18471992</v>
      </c>
      <c r="H498" s="134">
        <f t="shared" si="295"/>
        <v>23580380.926580116</v>
      </c>
      <c r="I498" s="134">
        <f t="shared" si="295"/>
        <v>58244445.372547798</v>
      </c>
      <c r="J498" s="134">
        <f t="shared" si="295"/>
        <v>95643906.364710361</v>
      </c>
      <c r="K498" s="134">
        <f t="shared" si="295"/>
        <v>135942133.12364992</v>
      </c>
      <c r="L498" s="134">
        <f t="shared" si="295"/>
        <v>229874177.68117428</v>
      </c>
      <c r="M498" s="134">
        <f t="shared" si="295"/>
        <v>239069144.78842127</v>
      </c>
      <c r="N498" s="134">
        <f t="shared" si="295"/>
        <v>248631910.57995814</v>
      </c>
      <c r="O498" s="134">
        <f t="shared" si="295"/>
        <v>258577187.00315648</v>
      </c>
      <c r="P498" s="134">
        <f t="shared" si="295"/>
        <v>268920274.48328274</v>
      </c>
      <c r="Q498" s="134">
        <f t="shared" si="295"/>
        <v>279677085.46261406</v>
      </c>
      <c r="R498" s="134">
        <f t="shared" si="295"/>
        <v>290864168.88111854</v>
      </c>
      <c r="S498" s="134">
        <f t="shared" si="295"/>
        <v>302498735.63636339</v>
      </c>
      <c r="T498" s="134">
        <f t="shared" si="295"/>
        <v>314598685.06181788</v>
      </c>
      <c r="U498" s="134">
        <f t="shared" si="295"/>
        <v>201227565.63589156</v>
      </c>
      <c r="V498" s="134">
        <f t="shared" si="295"/>
        <v>153128975.59957191</v>
      </c>
      <c r="W498" s="134">
        <f t="shared" si="295"/>
        <v>100860534.25532919</v>
      </c>
      <c r="X498" s="134">
        <f t="shared" si="295"/>
        <v>44165611.242587775</v>
      </c>
      <c r="Y498" s="134">
        <f t="shared" si="295"/>
        <v>0</v>
      </c>
      <c r="Z498" s="134">
        <f t="shared" si="295"/>
        <v>0</v>
      </c>
      <c r="AA498" s="134">
        <f t="shared" si="295"/>
        <v>0</v>
      </c>
      <c r="AB498" s="134">
        <f t="shared" si="295"/>
        <v>0</v>
      </c>
      <c r="AC498" s="134">
        <f t="shared" si="295"/>
        <v>0</v>
      </c>
      <c r="AD498" s="134">
        <f t="shared" si="295"/>
        <v>0</v>
      </c>
      <c r="AE498" s="134">
        <f t="shared" si="295"/>
        <v>0</v>
      </c>
      <c r="AF498" s="134">
        <f t="shared" si="295"/>
        <v>0</v>
      </c>
      <c r="AG498" s="134">
        <f t="shared" si="295"/>
        <v>0</v>
      </c>
      <c r="AH498" s="134">
        <f t="shared" si="295"/>
        <v>0</v>
      </c>
      <c r="AI498" s="134">
        <f t="shared" si="295"/>
        <v>0</v>
      </c>
      <c r="AJ498" s="134">
        <f t="shared" si="295"/>
        <v>0</v>
      </c>
      <c r="AK498" s="134">
        <f t="shared" si="295"/>
        <v>0</v>
      </c>
      <c r="AL498" s="134">
        <f t="shared" si="295"/>
        <v>0</v>
      </c>
      <c r="AM498" s="134">
        <f t="shared" si="295"/>
        <v>0</v>
      </c>
      <c r="AN498" s="134">
        <f t="shared" si="295"/>
        <v>0</v>
      </c>
      <c r="AO498" s="134">
        <f t="shared" si="295"/>
        <v>0</v>
      </c>
      <c r="AP498" s="134">
        <f t="shared" si="295"/>
        <v>0</v>
      </c>
      <c r="AQ498" s="134">
        <f t="shared" si="295"/>
        <v>0</v>
      </c>
      <c r="AR498" s="134">
        <f t="shared" si="295"/>
        <v>0</v>
      </c>
      <c r="AS498" s="134">
        <f t="shared" si="295"/>
        <v>0</v>
      </c>
      <c r="AT498" s="134">
        <f t="shared" si="295"/>
        <v>0</v>
      </c>
      <c r="AU498" s="134">
        <f t="shared" si="295"/>
        <v>0</v>
      </c>
      <c r="AV498" s="134">
        <f t="shared" si="295"/>
        <v>0</v>
      </c>
      <c r="AW498" s="134">
        <f t="shared" si="295"/>
        <v>0</v>
      </c>
      <c r="AX498" s="134">
        <f t="shared" si="295"/>
        <v>0</v>
      </c>
      <c r="AY498" s="134">
        <f t="shared" si="295"/>
        <v>0</v>
      </c>
      <c r="AZ498" s="134">
        <f t="shared" si="295"/>
        <v>0</v>
      </c>
      <c r="BA498" s="134">
        <f t="shared" si="295"/>
        <v>0</v>
      </c>
      <c r="BB498" s="134">
        <f t="shared" si="295"/>
        <v>0</v>
      </c>
      <c r="BC498" s="134">
        <f t="shared" si="295"/>
        <v>0</v>
      </c>
      <c r="BD498" s="134">
        <f t="shared" si="295"/>
        <v>0</v>
      </c>
      <c r="BE498" s="134">
        <f t="shared" si="295"/>
        <v>0</v>
      </c>
      <c r="BF498" s="134">
        <f t="shared" si="295"/>
        <v>0</v>
      </c>
      <c r="BG498" s="134">
        <f t="shared" si="295"/>
        <v>0</v>
      </c>
      <c r="BH498" s="134">
        <f t="shared" si="295"/>
        <v>0</v>
      </c>
      <c r="BI498" s="134">
        <f t="shared" si="295"/>
        <v>0</v>
      </c>
      <c r="BJ498" s="135">
        <f t="shared" si="295"/>
        <v>0</v>
      </c>
      <c r="BK498" s="109"/>
      <c r="BL498" s="109"/>
    </row>
    <row r="499" spans="1:64">
      <c r="A499" s="165" t="s">
        <v>137</v>
      </c>
      <c r="B499" s="161"/>
      <c r="C499" s="166"/>
      <c r="D499" s="167"/>
      <c r="E499" s="168"/>
      <c r="F499" s="168"/>
      <c r="G499" s="168"/>
      <c r="H499" s="168"/>
      <c r="I499" s="168"/>
      <c r="J499" s="168"/>
      <c r="K499" s="168"/>
      <c r="L499" s="168"/>
      <c r="M499" s="168"/>
      <c r="N499" s="168"/>
      <c r="O499" s="168"/>
      <c r="P499" s="168"/>
      <c r="Q499" s="168"/>
      <c r="R499" s="168"/>
      <c r="S499" s="168"/>
      <c r="T499" s="168"/>
      <c r="U499" s="168"/>
      <c r="V499" s="168"/>
      <c r="W499" s="168"/>
      <c r="X499" s="168"/>
      <c r="Y499" s="168"/>
      <c r="Z499" s="168"/>
      <c r="AA499" s="168"/>
      <c r="AB499" s="168"/>
      <c r="AC499" s="168"/>
      <c r="AD499" s="168"/>
      <c r="AE499" s="168"/>
      <c r="AF499" s="168"/>
      <c r="AG499" s="168"/>
      <c r="AH499" s="168"/>
      <c r="AI499" s="168"/>
      <c r="AJ499" s="168"/>
      <c r="AK499" s="168"/>
      <c r="AL499" s="168"/>
      <c r="AM499" s="168"/>
      <c r="AN499" s="168"/>
      <c r="AO499" s="168"/>
      <c r="AP499" s="168"/>
      <c r="AQ499" s="168"/>
      <c r="AR499" s="168"/>
      <c r="AS499" s="168"/>
      <c r="AT499" s="168"/>
      <c r="AU499" s="168"/>
      <c r="AV499" s="168"/>
      <c r="AW499" s="168"/>
      <c r="AX499" s="168"/>
      <c r="AY499" s="168"/>
      <c r="AZ499" s="168"/>
      <c r="BA499" s="168"/>
      <c r="BB499" s="168"/>
      <c r="BC499" s="168"/>
      <c r="BD499" s="168"/>
      <c r="BE499" s="168"/>
      <c r="BF499" s="168"/>
      <c r="BG499" s="168"/>
      <c r="BH499" s="168"/>
      <c r="BI499" s="168"/>
      <c r="BJ499" s="169"/>
    </row>
    <row r="500" spans="1:64" s="174" customFormat="1" ht="12.75">
      <c r="A500" s="120" t="s">
        <v>138</v>
      </c>
      <c r="B500" s="170">
        <f>SUM(C500:BJ500)</f>
        <v>12711485.603612065</v>
      </c>
      <c r="C500" s="171">
        <f>C471-C476</f>
        <v>35905743.813633084</v>
      </c>
      <c r="D500" s="172">
        <f t="shared" ref="D500:BJ500" si="296">IF(AND(D459&gt;5,D460=0),0,D471-D476)</f>
        <v>38997962.136321232</v>
      </c>
      <c r="E500" s="172">
        <f t="shared" si="296"/>
        <v>78873627.124199629</v>
      </c>
      <c r="F500" s="172">
        <f t="shared" si="296"/>
        <v>79100164.842496648</v>
      </c>
      <c r="G500" s="172">
        <f t="shared" si="296"/>
        <v>79218627.774858728</v>
      </c>
      <c r="H500" s="172">
        <f t="shared" si="296"/>
        <v>-12633589.347886216</v>
      </c>
      <c r="I500" s="172">
        <f t="shared" si="296"/>
        <v>-13138932.921801668</v>
      </c>
      <c r="J500" s="172">
        <f t="shared" si="296"/>
        <v>-13664490.238673734</v>
      </c>
      <c r="K500" s="172">
        <f t="shared" si="296"/>
        <v>-14211069.848220682</v>
      </c>
      <c r="L500" s="172">
        <f t="shared" si="296"/>
        <v>-14779512.642149512</v>
      </c>
      <c r="M500" s="172">
        <f t="shared" si="296"/>
        <v>-15370693.147835493</v>
      </c>
      <c r="N500" s="172">
        <f t="shared" si="296"/>
        <v>-15985520.873748912</v>
      </c>
      <c r="O500" s="172">
        <f t="shared" si="296"/>
        <v>-16624941.708698871</v>
      </c>
      <c r="P500" s="172">
        <f t="shared" si="296"/>
        <v>-17289939.377046827</v>
      </c>
      <c r="Q500" s="172">
        <f t="shared" si="296"/>
        <v>-17981536.952128697</v>
      </c>
      <c r="R500" s="172">
        <f t="shared" si="296"/>
        <v>-18700798.430213846</v>
      </c>
      <c r="S500" s="172">
        <f t="shared" si="296"/>
        <v>-19448830.367422406</v>
      </c>
      <c r="T500" s="172">
        <f t="shared" si="296"/>
        <v>-20226783.582119301</v>
      </c>
      <c r="U500" s="172">
        <f t="shared" si="296"/>
        <v>-21035854.925404072</v>
      </c>
      <c r="V500" s="172">
        <f t="shared" si="296"/>
        <v>-21877289.12242024</v>
      </c>
      <c r="W500" s="172">
        <f t="shared" si="296"/>
        <v>-22752380.687317047</v>
      </c>
      <c r="X500" s="172">
        <f t="shared" si="296"/>
        <v>-23662475.914809734</v>
      </c>
      <c r="Y500" s="172">
        <f t="shared" si="296"/>
        <v>0</v>
      </c>
      <c r="Z500" s="172">
        <f t="shared" si="296"/>
        <v>0</v>
      </c>
      <c r="AA500" s="172">
        <f t="shared" si="296"/>
        <v>0</v>
      </c>
      <c r="AB500" s="172">
        <f t="shared" si="296"/>
        <v>0</v>
      </c>
      <c r="AC500" s="172">
        <f t="shared" si="296"/>
        <v>0</v>
      </c>
      <c r="AD500" s="172">
        <f t="shared" si="296"/>
        <v>0</v>
      </c>
      <c r="AE500" s="172">
        <f t="shared" si="296"/>
        <v>0</v>
      </c>
      <c r="AF500" s="172">
        <f t="shared" si="296"/>
        <v>0</v>
      </c>
      <c r="AG500" s="172">
        <f t="shared" si="296"/>
        <v>0</v>
      </c>
      <c r="AH500" s="172">
        <f t="shared" si="296"/>
        <v>0</v>
      </c>
      <c r="AI500" s="172">
        <f t="shared" si="296"/>
        <v>0</v>
      </c>
      <c r="AJ500" s="172">
        <f t="shared" si="296"/>
        <v>0</v>
      </c>
      <c r="AK500" s="172">
        <f t="shared" si="296"/>
        <v>0</v>
      </c>
      <c r="AL500" s="172">
        <f t="shared" si="296"/>
        <v>0</v>
      </c>
      <c r="AM500" s="172">
        <f t="shared" si="296"/>
        <v>0</v>
      </c>
      <c r="AN500" s="172">
        <f t="shared" si="296"/>
        <v>0</v>
      </c>
      <c r="AO500" s="172">
        <f t="shared" si="296"/>
        <v>0</v>
      </c>
      <c r="AP500" s="172">
        <f t="shared" si="296"/>
        <v>0</v>
      </c>
      <c r="AQ500" s="172">
        <f t="shared" si="296"/>
        <v>0</v>
      </c>
      <c r="AR500" s="172">
        <f t="shared" si="296"/>
        <v>0</v>
      </c>
      <c r="AS500" s="172">
        <f t="shared" si="296"/>
        <v>0</v>
      </c>
      <c r="AT500" s="172">
        <f t="shared" si="296"/>
        <v>0</v>
      </c>
      <c r="AU500" s="172">
        <f t="shared" si="296"/>
        <v>0</v>
      </c>
      <c r="AV500" s="172">
        <f t="shared" si="296"/>
        <v>0</v>
      </c>
      <c r="AW500" s="172">
        <f t="shared" si="296"/>
        <v>0</v>
      </c>
      <c r="AX500" s="172">
        <f t="shared" si="296"/>
        <v>0</v>
      </c>
      <c r="AY500" s="172">
        <f t="shared" si="296"/>
        <v>0</v>
      </c>
      <c r="AZ500" s="172">
        <f t="shared" si="296"/>
        <v>0</v>
      </c>
      <c r="BA500" s="172">
        <f t="shared" si="296"/>
        <v>0</v>
      </c>
      <c r="BB500" s="172">
        <f t="shared" si="296"/>
        <v>0</v>
      </c>
      <c r="BC500" s="172">
        <f t="shared" si="296"/>
        <v>0</v>
      </c>
      <c r="BD500" s="172">
        <f t="shared" si="296"/>
        <v>0</v>
      </c>
      <c r="BE500" s="172">
        <f t="shared" si="296"/>
        <v>0</v>
      </c>
      <c r="BF500" s="172">
        <f t="shared" si="296"/>
        <v>0</v>
      </c>
      <c r="BG500" s="172">
        <f t="shared" si="296"/>
        <v>0</v>
      </c>
      <c r="BH500" s="172">
        <f t="shared" si="296"/>
        <v>0</v>
      </c>
      <c r="BI500" s="172">
        <f t="shared" si="296"/>
        <v>0</v>
      </c>
      <c r="BJ500" s="173">
        <f t="shared" si="296"/>
        <v>0</v>
      </c>
      <c r="BK500" s="172"/>
      <c r="BL500" s="172"/>
    </row>
    <row r="501" spans="1:64" s="174" customFormat="1" ht="12.75">
      <c r="A501" s="120" t="s">
        <v>139</v>
      </c>
      <c r="B501" s="170">
        <f>SUM(C501:BJ501)</f>
        <v>329798983.1538415</v>
      </c>
      <c r="C501" s="171">
        <f>C491</f>
        <v>1238129.0970218307</v>
      </c>
      <c r="D501" s="172">
        <f>D491</f>
        <v>2676813.4470138741</v>
      </c>
      <c r="E501" s="172">
        <f t="shared" ref="E501:BJ501" si="297">E491</f>
        <v>5599662.299001121</v>
      </c>
      <c r="F501" s="172">
        <f t="shared" si="297"/>
        <v>8752056.1576321255</v>
      </c>
      <c r="G501" s="172">
        <f t="shared" si="297"/>
        <v>12147682.065275207</v>
      </c>
      <c r="H501" s="172">
        <f t="shared" si="297"/>
        <v>12633589.347886216</v>
      </c>
      <c r="I501" s="172">
        <f t="shared" si="297"/>
        <v>13138932.921801668</v>
      </c>
      <c r="J501" s="172">
        <f t="shared" si="297"/>
        <v>13664490.238673734</v>
      </c>
      <c r="K501" s="172">
        <f t="shared" si="297"/>
        <v>14211069.848220682</v>
      </c>
      <c r="L501" s="172">
        <f t="shared" si="297"/>
        <v>14779512.642149512</v>
      </c>
      <c r="M501" s="172">
        <f t="shared" si="297"/>
        <v>15370693.147835493</v>
      </c>
      <c r="N501" s="172">
        <f t="shared" si="297"/>
        <v>15985520.873748912</v>
      </c>
      <c r="O501" s="172">
        <f t="shared" si="297"/>
        <v>16624941.708698871</v>
      </c>
      <c r="P501" s="172">
        <f t="shared" si="297"/>
        <v>17289939.377046827</v>
      </c>
      <c r="Q501" s="172">
        <f t="shared" si="297"/>
        <v>17981536.952128697</v>
      </c>
      <c r="R501" s="172">
        <f t="shared" si="297"/>
        <v>18700798.430213846</v>
      </c>
      <c r="S501" s="172">
        <f t="shared" si="297"/>
        <v>19448830.367422406</v>
      </c>
      <c r="T501" s="172">
        <f t="shared" si="297"/>
        <v>20226783.582119301</v>
      </c>
      <c r="U501" s="172">
        <f t="shared" si="297"/>
        <v>21035854.925404072</v>
      </c>
      <c r="V501" s="172">
        <f t="shared" si="297"/>
        <v>21877289.12242024</v>
      </c>
      <c r="W501" s="172">
        <f t="shared" si="297"/>
        <v>22752380.687317047</v>
      </c>
      <c r="X501" s="172">
        <f t="shared" si="297"/>
        <v>23662475.914809734</v>
      </c>
      <c r="Y501" s="172">
        <f t="shared" si="297"/>
        <v>0</v>
      </c>
      <c r="Z501" s="172">
        <f t="shared" si="297"/>
        <v>0</v>
      </c>
      <c r="AA501" s="172">
        <f t="shared" si="297"/>
        <v>0</v>
      </c>
      <c r="AB501" s="172">
        <f t="shared" si="297"/>
        <v>0</v>
      </c>
      <c r="AC501" s="172">
        <f t="shared" si="297"/>
        <v>0</v>
      </c>
      <c r="AD501" s="172">
        <f t="shared" si="297"/>
        <v>0</v>
      </c>
      <c r="AE501" s="172">
        <f t="shared" si="297"/>
        <v>0</v>
      </c>
      <c r="AF501" s="172">
        <f t="shared" si="297"/>
        <v>0</v>
      </c>
      <c r="AG501" s="172">
        <f t="shared" si="297"/>
        <v>0</v>
      </c>
      <c r="AH501" s="172">
        <f t="shared" si="297"/>
        <v>0</v>
      </c>
      <c r="AI501" s="172">
        <f t="shared" si="297"/>
        <v>0</v>
      </c>
      <c r="AJ501" s="172">
        <f t="shared" si="297"/>
        <v>0</v>
      </c>
      <c r="AK501" s="172">
        <f t="shared" si="297"/>
        <v>0</v>
      </c>
      <c r="AL501" s="172">
        <f t="shared" si="297"/>
        <v>0</v>
      </c>
      <c r="AM501" s="172">
        <f t="shared" si="297"/>
        <v>0</v>
      </c>
      <c r="AN501" s="172">
        <f t="shared" si="297"/>
        <v>0</v>
      </c>
      <c r="AO501" s="172">
        <f t="shared" si="297"/>
        <v>0</v>
      </c>
      <c r="AP501" s="172">
        <f t="shared" si="297"/>
        <v>0</v>
      </c>
      <c r="AQ501" s="172">
        <f t="shared" si="297"/>
        <v>0</v>
      </c>
      <c r="AR501" s="172">
        <f t="shared" si="297"/>
        <v>0</v>
      </c>
      <c r="AS501" s="172">
        <f t="shared" si="297"/>
        <v>0</v>
      </c>
      <c r="AT501" s="172">
        <f t="shared" si="297"/>
        <v>0</v>
      </c>
      <c r="AU501" s="172">
        <f t="shared" si="297"/>
        <v>0</v>
      </c>
      <c r="AV501" s="172">
        <f t="shared" si="297"/>
        <v>0</v>
      </c>
      <c r="AW501" s="172">
        <f t="shared" si="297"/>
        <v>0</v>
      </c>
      <c r="AX501" s="172">
        <f t="shared" si="297"/>
        <v>0</v>
      </c>
      <c r="AY501" s="172">
        <f t="shared" si="297"/>
        <v>0</v>
      </c>
      <c r="AZ501" s="172">
        <f t="shared" si="297"/>
        <v>0</v>
      </c>
      <c r="BA501" s="172">
        <f t="shared" si="297"/>
        <v>0</v>
      </c>
      <c r="BB501" s="172">
        <f t="shared" si="297"/>
        <v>0</v>
      </c>
      <c r="BC501" s="172">
        <f t="shared" si="297"/>
        <v>0</v>
      </c>
      <c r="BD501" s="172">
        <f t="shared" si="297"/>
        <v>0</v>
      </c>
      <c r="BE501" s="172">
        <f t="shared" si="297"/>
        <v>0</v>
      </c>
      <c r="BF501" s="172">
        <f t="shared" si="297"/>
        <v>0</v>
      </c>
      <c r="BG501" s="172">
        <f t="shared" si="297"/>
        <v>0</v>
      </c>
      <c r="BH501" s="172">
        <f t="shared" si="297"/>
        <v>0</v>
      </c>
      <c r="BI501" s="172">
        <f t="shared" si="297"/>
        <v>0</v>
      </c>
      <c r="BJ501" s="173">
        <f t="shared" si="297"/>
        <v>0</v>
      </c>
      <c r="BK501" s="172"/>
      <c r="BL501" s="172"/>
    </row>
    <row r="502" spans="1:64" s="174" customFormat="1" ht="12.75">
      <c r="A502" s="120" t="s">
        <v>140</v>
      </c>
      <c r="B502" s="170" t="e">
        <f>SUM(C502:BJ502)</f>
        <v>#REF!</v>
      </c>
      <c r="C502" s="171">
        <f>-C471</f>
        <v>-37143872.910654917</v>
      </c>
      <c r="D502" s="172">
        <f>IF(AND(D459&gt;5,E460=0,D460&lt;&gt;0),SUM(D$71:$BJ476)-D471,-D471)</f>
        <v>-41674775.583335109</v>
      </c>
      <c r="E502" s="172">
        <f>IF(AND(E459&gt;5,F460=0,E460&lt;&gt;0),SUM(E$71:$BJ476)-E471,-E471)</f>
        <v>-84473289.423200756</v>
      </c>
      <c r="F502" s="172">
        <f>IF(AND(F459&gt;5,G460=0,F460&lt;&gt;0),SUM(F$71:$BJ476)-F471,-F471)</f>
        <v>-87852221.000128776</v>
      </c>
      <c r="G502" s="172">
        <f>IF(AND(G459&gt;5,H460=0,G460&lt;&gt;0),SUM(G$71:$BJ476)-G471,-G471)</f>
        <v>-91366309.840133935</v>
      </c>
      <c r="H502" s="172">
        <f>IF(AND(H459&gt;5,I460=0,H460&lt;&gt;0),SUM(H$71:$BJ476)-H471,-H471)</f>
        <v>0</v>
      </c>
      <c r="I502" s="172">
        <f>IF(AND(I459&gt;5,J460=0,I460&lt;&gt;0),SUM(I$71:$BJ476)-I471,-I471)</f>
        <v>0</v>
      </c>
      <c r="J502" s="172">
        <f>IF(AND(J459&gt;5,K460=0,J460&lt;&gt;0),SUM(J$71:$BJ476)-J471,-J471)</f>
        <v>0</v>
      </c>
      <c r="K502" s="172">
        <f>IF(AND(K459&gt;5,L460=0,K460&lt;&gt;0),SUM(K$71:$BJ476)-K471,-K471)</f>
        <v>0</v>
      </c>
      <c r="L502" s="172">
        <f>IF(AND(L459&gt;5,M460=0,L460&lt;&gt;0),SUM(L$71:$BJ476)-L471,-L471)</f>
        <v>0</v>
      </c>
      <c r="M502" s="172">
        <f>IF(AND(M459&gt;5,N460=0,M460&lt;&gt;0),SUM(M$71:$BJ476)-M471,-M471)</f>
        <v>0</v>
      </c>
      <c r="N502" s="172">
        <f>IF(AND(N459&gt;5,O460=0,N460&lt;&gt;0),SUM(N$71:$BJ476)-N471,-N471)</f>
        <v>0</v>
      </c>
      <c r="O502" s="172">
        <f>IF(AND(O459&gt;5,P460=0,O460&lt;&gt;0),SUM(O$71:$BJ476)-O471,-O471)</f>
        <v>0</v>
      </c>
      <c r="P502" s="172">
        <f>IF(AND(P459&gt;5,Q460=0,P460&lt;&gt;0),SUM(P$71:$BJ476)-P471,-P471)</f>
        <v>0</v>
      </c>
      <c r="Q502" s="172">
        <f>IF(AND(Q459&gt;5,R460=0,Q460&lt;&gt;0),SUM(Q$71:$BJ476)-Q471,-Q471)</f>
        <v>0</v>
      </c>
      <c r="R502" s="172">
        <f>IF(AND(R459&gt;5,S460=0,R460&lt;&gt;0),SUM(R$71:$BJ476)-R471,-R471)</f>
        <v>0</v>
      </c>
      <c r="S502" s="172">
        <f>IF(AND(S459&gt;5,T460=0,S460&lt;&gt;0),SUM(S$71:$BJ476)-S471,-S471)</f>
        <v>0</v>
      </c>
      <c r="T502" s="172">
        <f>IF(AND(T459&gt;5,U460=0,T460&lt;&gt;0),SUM(T$71:$BJ476)-T471,-T471)</f>
        <v>0</v>
      </c>
      <c r="U502" s="172">
        <f>IF(AND(U459&gt;5,V460=0,U460&lt;&gt;0),SUM(U$71:$BJ476)-U471,-U471)</f>
        <v>0</v>
      </c>
      <c r="V502" s="172">
        <f>IF(AND(V459&gt;5,W460=0,V460&lt;&gt;0),SUM(V$71:$BJ476)-V471,-V471)</f>
        <v>0</v>
      </c>
      <c r="W502" s="172">
        <f>IF(AND(W459&gt;5,X460=0,W460&lt;&gt;0),SUM(W$71:$BJ476)-W471,-W471)</f>
        <v>0</v>
      </c>
      <c r="X502" s="172" t="e">
        <f>IF(AND(X459&gt;5,Y460=0,X460&lt;&gt;0),SUM(X$71:$BJ476)-X471,-X471)</f>
        <v>#REF!</v>
      </c>
      <c r="Y502" s="172">
        <f>IF(AND(Y459&gt;5,Z460=0,Y460&lt;&gt;0),SUM(Y$71:$BJ476)-Y471,-Y471)</f>
        <v>0</v>
      </c>
      <c r="Z502" s="175">
        <f>IF(AND(Z459&gt;5,AA460=0,Z460&lt;&gt;0),SUM(Z$71:$BJ476)-Z471,-Z471)</f>
        <v>0</v>
      </c>
      <c r="AA502" s="172">
        <f>IF(AND(AA459&gt;5,AB460=0,AA460&lt;&gt;0),SUM(AA$71:$BJ476)-AA471,-AA471)</f>
        <v>0</v>
      </c>
      <c r="AB502" s="172">
        <f>IF(AND(AB459&gt;5,AC460=0,AB460&lt;&gt;0),SUM(AB$71:$BJ476)-AB471,-AB471)</f>
        <v>0</v>
      </c>
      <c r="AC502" s="172">
        <f>IF(AND(AC459&gt;5,AD460=0,AC460&lt;&gt;0),SUM(AC$71:$BJ476)-AC471,-AC471)</f>
        <v>0</v>
      </c>
      <c r="AD502" s="172">
        <f>IF(AND(AD459&gt;5,AE460=0,AD460&lt;&gt;0),SUM(AD$71:$BJ476)-AD471,-AD471)</f>
        <v>0</v>
      </c>
      <c r="AE502" s="172">
        <f>IF(AND(AE459&gt;5,AF460=0,AE460&lt;&gt;0),SUM(AE$71:$BJ476)-AE471,-AE471)</f>
        <v>0</v>
      </c>
      <c r="AF502" s="172">
        <f>IF(AND(AF459&gt;5,AG460=0,AF460&lt;&gt;0),SUM(AF$71:$BJ476)-AF471,-AF471)</f>
        <v>0</v>
      </c>
      <c r="AG502" s="172">
        <f>IF(AND(AG459&gt;5,AH460=0,AG460&lt;&gt;0),SUM(AG$71:$BJ476)-AG471,-AG471)</f>
        <v>0</v>
      </c>
      <c r="AH502" s="172">
        <f>IF(AND(AH459&gt;5,AI460=0,AH460&lt;&gt;0),SUM(AH$71:$BJ476)-AH471,-AH471)</f>
        <v>0</v>
      </c>
      <c r="AI502" s="172">
        <f>IF(AND(AI459&gt;5,AJ460=0,AI460&lt;&gt;0),SUM(AI$71:$BJ476)-AI471,-AI471)</f>
        <v>0</v>
      </c>
      <c r="AJ502" s="172">
        <f>IF(AND(AJ459&gt;5,AK460=0,AJ460&lt;&gt;0),SUM(AJ$71:$BJ476)-AJ471,-AJ471)</f>
        <v>0</v>
      </c>
      <c r="AK502" s="172">
        <f>IF(AND(AK459&gt;5,AL460=0,AK460&lt;&gt;0),SUM(AK$71:$BJ476)-AK471,-AK471)</f>
        <v>0</v>
      </c>
      <c r="AL502" s="172">
        <f>IF(AND(AL459&gt;5,AM460=0,AL460&lt;&gt;0),SUM(AL$71:$BJ476)-AL471,-AL471)</f>
        <v>0</v>
      </c>
      <c r="AM502" s="172">
        <f>IF(AND(AM459&gt;5,AN460=0,AM460&lt;&gt;0),SUM(AM$71:$BJ476)-AM471,-AM471)</f>
        <v>0</v>
      </c>
      <c r="AN502" s="172">
        <f>IF(AND(AN459&gt;5,AO460=0,AN460&lt;&gt;0),SUM(AN$71:$BJ476)-AN471,-AN471)</f>
        <v>0</v>
      </c>
      <c r="AO502" s="172">
        <f>IF(AND(AO459&gt;5,AP460=0,AO460&lt;&gt;0),SUM(AO$71:$BJ476)-AO471,-AO471)</f>
        <v>0</v>
      </c>
      <c r="AP502" s="172">
        <f>IF(AND(AP459&gt;5,AQ460=0,AP460&lt;&gt;0),SUM(AP$71:$BJ476)-AP471,-AP471)</f>
        <v>0</v>
      </c>
      <c r="AQ502" s="172">
        <f>IF(AND(AQ459&gt;5,AR460=0,AQ460&lt;&gt;0),SUM(AQ$71:$BJ476)-AQ471,-AQ471)</f>
        <v>0</v>
      </c>
      <c r="AR502" s="172">
        <f>IF(AND(AR459&gt;5,AS460=0,AR460&lt;&gt;0),SUM(AR$71:$BJ476)-AR471,-AR471)</f>
        <v>0</v>
      </c>
      <c r="AS502" s="172">
        <f>IF(AND(AS459&gt;5,AT460=0,AS460&lt;&gt;0),SUM(AS$71:$BJ476)-AS471,-AS471)</f>
        <v>0</v>
      </c>
      <c r="AT502" s="172">
        <f>IF(AND(AT459&gt;5,AU460=0,AT460&lt;&gt;0),SUM(AT$71:$BJ476)-AT471,-AT471)</f>
        <v>0</v>
      </c>
      <c r="AU502" s="172">
        <f>IF(AND(AU459&gt;5,AV460=0,AU460&lt;&gt;0),SUM(AU$71:$BJ476)-AU471,-AU471)</f>
        <v>0</v>
      </c>
      <c r="AV502" s="172">
        <f>IF(AND(AV459&gt;5,AW460=0,AV460&lt;&gt;0),SUM(AV$71:$BJ476)-AV471,-AV471)</f>
        <v>0</v>
      </c>
      <c r="AW502" s="172">
        <f>IF(AND(AW459&gt;5,AX460=0,AW460&lt;&gt;0),SUM(AW$71:$BJ476)-AW471,-AW471)</f>
        <v>0</v>
      </c>
      <c r="AX502" s="172">
        <f>IF(AND(AX459&gt;5,AY460=0,AX460&lt;&gt;0),SUM(AX$71:$BJ476)-AX471,-AX471)</f>
        <v>0</v>
      </c>
      <c r="AY502" s="172">
        <f>IF(AND(AY459&gt;5,AZ460=0,AY460&lt;&gt;0),SUM(AY$71:$BJ476)-AY471,-AY471)</f>
        <v>0</v>
      </c>
      <c r="AZ502" s="172">
        <f>IF(AND(AZ459&gt;5,BA460=0,AZ460&lt;&gt;0),SUM(AZ$71:$BJ476)-AZ471,-AZ471)</f>
        <v>0</v>
      </c>
      <c r="BA502" s="172">
        <f>IF(AND(BA459&gt;5,BB460=0,BA460&lt;&gt;0),SUM(BA$71:$BJ476)-BA471,-BA471)</f>
        <v>0</v>
      </c>
      <c r="BB502" s="172">
        <f>IF(AND(BB459&gt;5,BC460=0,BB460&lt;&gt;0),SUM(BB$71:$BJ476)-BB471,-BB471)</f>
        <v>0</v>
      </c>
      <c r="BC502" s="172">
        <f>IF(AND(BC459&gt;5,BD460=0,BC460&lt;&gt;0),SUM(BC$71:$BJ476)-BC471,-BC471)</f>
        <v>0</v>
      </c>
      <c r="BD502" s="172">
        <f>IF(AND(BD459&gt;5,BE460=0,BD460&lt;&gt;0),SUM(BD$71:$BJ476)-BD471,-BD471)</f>
        <v>0</v>
      </c>
      <c r="BE502" s="172">
        <f>IF(AND(BE459&gt;5,BF460=0,BE460&lt;&gt;0),SUM(BE$71:$BJ476)-BE471,-BE471)</f>
        <v>0</v>
      </c>
      <c r="BF502" s="172">
        <f>IF(AND(BF459&gt;5,BG460=0,BF460&lt;&gt;0),SUM(BF$71:$BJ476)-BF471,-BF471)</f>
        <v>0</v>
      </c>
      <c r="BG502" s="172">
        <f>IF(AND(BG459&gt;5,BH460=0,BG460&lt;&gt;0),SUM(BG$71:$BJ476)-BG471,-BG471)</f>
        <v>0</v>
      </c>
      <c r="BH502" s="172">
        <f>IF(AND(BH459&gt;5,BI460=0,BH460&lt;&gt;0),SUM(BH$71:$BJ476)-BH471,-BH471)</f>
        <v>0</v>
      </c>
      <c r="BI502" s="172">
        <f>IF(AND(BI459&gt;5,BJ460=0,BI460&lt;&gt;0),SUM(BI$71:$BJ476)-BI471,-BI471)</f>
        <v>0</v>
      </c>
      <c r="BJ502" s="173">
        <f>IF(AND(BJ459&gt;5,BK460=0,BJ460&lt;&gt;0),SUM(BJ$71:$BJ476)-BJ471,-BJ471)</f>
        <v>0</v>
      </c>
      <c r="BK502" s="172"/>
      <c r="BL502" s="172"/>
    </row>
    <row r="503" spans="1:64" s="160" customFormat="1">
      <c r="A503" s="176" t="s">
        <v>141</v>
      </c>
      <c r="B503" s="177">
        <f>SUM(C503:BJ503)</f>
        <v>3218652477.1605825</v>
      </c>
      <c r="C503" s="178">
        <f>C498+C501</f>
        <v>-34627822.096704267</v>
      </c>
      <c r="D503" s="179">
        <f t="shared" ref="D503:BJ503" si="298">D498+D501</f>
        <v>-38435060.630514838</v>
      </c>
      <c r="E503" s="179">
        <f t="shared" si="298"/>
        <v>-81103985.872267678</v>
      </c>
      <c r="F503" s="179">
        <f t="shared" si="298"/>
        <v>-84348145.307158366</v>
      </c>
      <c r="G503" s="179">
        <f t="shared" si="298"/>
        <v>-87722071.119444713</v>
      </c>
      <c r="H503" s="179">
        <f t="shared" si="298"/>
        <v>36213970.274466336</v>
      </c>
      <c r="I503" s="179">
        <f t="shared" si="298"/>
        <v>71383378.294349462</v>
      </c>
      <c r="J503" s="179">
        <f t="shared" si="298"/>
        <v>109308396.60338409</v>
      </c>
      <c r="K503" s="179">
        <f t="shared" si="298"/>
        <v>150153202.9718706</v>
      </c>
      <c r="L503" s="179">
        <f t="shared" si="298"/>
        <v>244653690.32332379</v>
      </c>
      <c r="M503" s="179">
        <f t="shared" si="298"/>
        <v>254439837.93625677</v>
      </c>
      <c r="N503" s="179">
        <f t="shared" si="298"/>
        <v>264617431.45370704</v>
      </c>
      <c r="O503" s="179">
        <f t="shared" si="298"/>
        <v>275202128.71185535</v>
      </c>
      <c r="P503" s="179">
        <f t="shared" si="298"/>
        <v>286210213.86032957</v>
      </c>
      <c r="Q503" s="179">
        <f t="shared" si="298"/>
        <v>297658622.41474277</v>
      </c>
      <c r="R503" s="179">
        <f t="shared" si="298"/>
        <v>309564967.3113324</v>
      </c>
      <c r="S503" s="179">
        <f t="shared" si="298"/>
        <v>321947566.00378579</v>
      </c>
      <c r="T503" s="179">
        <f t="shared" si="298"/>
        <v>334825468.64393717</v>
      </c>
      <c r="U503" s="179">
        <f t="shared" si="298"/>
        <v>222263420.56129563</v>
      </c>
      <c r="V503" s="179">
        <f t="shared" si="298"/>
        <v>175006264.72199216</v>
      </c>
      <c r="W503" s="179">
        <f t="shared" si="298"/>
        <v>123612914.94264624</v>
      </c>
      <c r="X503" s="179">
        <f t="shared" si="298"/>
        <v>67828087.157397509</v>
      </c>
      <c r="Y503" s="179">
        <f t="shared" si="298"/>
        <v>0</v>
      </c>
      <c r="Z503" s="179">
        <f t="shared" si="298"/>
        <v>0</v>
      </c>
      <c r="AA503" s="179">
        <f t="shared" si="298"/>
        <v>0</v>
      </c>
      <c r="AB503" s="179">
        <f t="shared" si="298"/>
        <v>0</v>
      </c>
      <c r="AC503" s="179">
        <f t="shared" si="298"/>
        <v>0</v>
      </c>
      <c r="AD503" s="179">
        <f t="shared" si="298"/>
        <v>0</v>
      </c>
      <c r="AE503" s="179">
        <f t="shared" si="298"/>
        <v>0</v>
      </c>
      <c r="AF503" s="179">
        <f t="shared" si="298"/>
        <v>0</v>
      </c>
      <c r="AG503" s="179">
        <f t="shared" si="298"/>
        <v>0</v>
      </c>
      <c r="AH503" s="179">
        <f t="shared" si="298"/>
        <v>0</v>
      </c>
      <c r="AI503" s="179">
        <f t="shared" si="298"/>
        <v>0</v>
      </c>
      <c r="AJ503" s="179">
        <f t="shared" si="298"/>
        <v>0</v>
      </c>
      <c r="AK503" s="179">
        <f t="shared" si="298"/>
        <v>0</v>
      </c>
      <c r="AL503" s="179">
        <f t="shared" si="298"/>
        <v>0</v>
      </c>
      <c r="AM503" s="179">
        <f t="shared" si="298"/>
        <v>0</v>
      </c>
      <c r="AN503" s="179">
        <f t="shared" si="298"/>
        <v>0</v>
      </c>
      <c r="AO503" s="179">
        <f t="shared" si="298"/>
        <v>0</v>
      </c>
      <c r="AP503" s="179">
        <f t="shared" si="298"/>
        <v>0</v>
      </c>
      <c r="AQ503" s="179">
        <f t="shared" si="298"/>
        <v>0</v>
      </c>
      <c r="AR503" s="179">
        <f t="shared" si="298"/>
        <v>0</v>
      </c>
      <c r="AS503" s="179">
        <f t="shared" si="298"/>
        <v>0</v>
      </c>
      <c r="AT503" s="179">
        <f t="shared" si="298"/>
        <v>0</v>
      </c>
      <c r="AU503" s="179">
        <f t="shared" si="298"/>
        <v>0</v>
      </c>
      <c r="AV503" s="179">
        <f t="shared" si="298"/>
        <v>0</v>
      </c>
      <c r="AW503" s="179">
        <f t="shared" si="298"/>
        <v>0</v>
      </c>
      <c r="AX503" s="179">
        <f t="shared" si="298"/>
        <v>0</v>
      </c>
      <c r="AY503" s="179">
        <f t="shared" si="298"/>
        <v>0</v>
      </c>
      <c r="AZ503" s="179">
        <f t="shared" si="298"/>
        <v>0</v>
      </c>
      <c r="BA503" s="179">
        <f t="shared" si="298"/>
        <v>0</v>
      </c>
      <c r="BB503" s="179">
        <f t="shared" si="298"/>
        <v>0</v>
      </c>
      <c r="BC503" s="179">
        <f t="shared" si="298"/>
        <v>0</v>
      </c>
      <c r="BD503" s="179">
        <f t="shared" si="298"/>
        <v>0</v>
      </c>
      <c r="BE503" s="179">
        <f t="shared" si="298"/>
        <v>0</v>
      </c>
      <c r="BF503" s="179">
        <f t="shared" si="298"/>
        <v>0</v>
      </c>
      <c r="BG503" s="179">
        <f t="shared" si="298"/>
        <v>0</v>
      </c>
      <c r="BH503" s="179">
        <f t="shared" si="298"/>
        <v>0</v>
      </c>
      <c r="BI503" s="179">
        <f t="shared" si="298"/>
        <v>0</v>
      </c>
      <c r="BJ503" s="180">
        <f t="shared" si="298"/>
        <v>0</v>
      </c>
    </row>
    <row r="504" spans="1:64" s="80" customFormat="1">
      <c r="A504" s="176" t="s">
        <v>142</v>
      </c>
      <c r="B504" s="177">
        <f>SUM(C504:BJ504)</f>
        <v>586925526.63957679</v>
      </c>
      <c r="C504" s="181">
        <f>C503*(1+$C401)^-(C459-1)</f>
        <v>-34627822.096704267</v>
      </c>
      <c r="D504" s="182">
        <f>D503*(1+$C401)^-(D459-1)</f>
        <v>-34317018.420102529</v>
      </c>
      <c r="E504" s="182">
        <f t="shared" ref="E504:BJ504" si="299">E503*(1+$C401)^-(E459-1)</f>
        <v>-64655600.982356243</v>
      </c>
      <c r="F504" s="182">
        <f t="shared" si="299"/>
        <v>-60037343.76933077</v>
      </c>
      <c r="G504" s="182">
        <f t="shared" si="299"/>
        <v>-55748962.071521446</v>
      </c>
      <c r="H504" s="182">
        <f t="shared" si="299"/>
        <v>20548779.285927251</v>
      </c>
      <c r="I504" s="182">
        <f t="shared" si="299"/>
        <v>36165040.978691086</v>
      </c>
      <c r="J504" s="182">
        <f t="shared" si="299"/>
        <v>49445567.433274738</v>
      </c>
      <c r="K504" s="182">
        <f t="shared" si="299"/>
        <v>60644360.307720497</v>
      </c>
      <c r="L504" s="182">
        <f t="shared" si="299"/>
        <v>88224573.379329428</v>
      </c>
      <c r="M504" s="182">
        <f t="shared" si="299"/>
        <v>81922818.137948751</v>
      </c>
      <c r="N504" s="182">
        <f t="shared" si="299"/>
        <v>76071188.270952404</v>
      </c>
      <c r="O504" s="182">
        <f t="shared" si="299"/>
        <v>70637531.965884387</v>
      </c>
      <c r="P504" s="182">
        <f t="shared" si="299"/>
        <v>65591993.968321204</v>
      </c>
      <c r="Q504" s="182">
        <f t="shared" si="299"/>
        <v>60906851.542012542</v>
      </c>
      <c r="R504" s="182">
        <f t="shared" si="299"/>
        <v>56556362.146154493</v>
      </c>
      <c r="S504" s="182">
        <f t="shared" si="299"/>
        <v>52516621.992857747</v>
      </c>
      <c r="T504" s="182">
        <f t="shared" si="299"/>
        <v>48765434.707653619</v>
      </c>
      <c r="U504" s="182">
        <f t="shared" si="299"/>
        <v>28903044.107841153</v>
      </c>
      <c r="V504" s="182">
        <f t="shared" si="299"/>
        <v>20319413.332493532</v>
      </c>
      <c r="W504" s="182">
        <f t="shared" si="299"/>
        <v>12814551.014298411</v>
      </c>
      <c r="X504" s="182">
        <f t="shared" si="299"/>
        <v>6278141.408230694</v>
      </c>
      <c r="Y504" s="182">
        <f t="shared" si="299"/>
        <v>0</v>
      </c>
      <c r="Z504" s="182">
        <f t="shared" si="299"/>
        <v>0</v>
      </c>
      <c r="AA504" s="182">
        <f t="shared" si="299"/>
        <v>0</v>
      </c>
      <c r="AB504" s="182">
        <f t="shared" si="299"/>
        <v>0</v>
      </c>
      <c r="AC504" s="182">
        <f t="shared" si="299"/>
        <v>0</v>
      </c>
      <c r="AD504" s="182">
        <f t="shared" si="299"/>
        <v>0</v>
      </c>
      <c r="AE504" s="182">
        <f t="shared" si="299"/>
        <v>0</v>
      </c>
      <c r="AF504" s="182">
        <f t="shared" si="299"/>
        <v>0</v>
      </c>
      <c r="AG504" s="182">
        <f t="shared" si="299"/>
        <v>0</v>
      </c>
      <c r="AH504" s="182">
        <f t="shared" si="299"/>
        <v>0</v>
      </c>
      <c r="AI504" s="182">
        <f t="shared" si="299"/>
        <v>0</v>
      </c>
      <c r="AJ504" s="182">
        <f t="shared" si="299"/>
        <v>0</v>
      </c>
      <c r="AK504" s="182">
        <f t="shared" si="299"/>
        <v>0</v>
      </c>
      <c r="AL504" s="182">
        <f t="shared" si="299"/>
        <v>0</v>
      </c>
      <c r="AM504" s="182">
        <f t="shared" si="299"/>
        <v>0</v>
      </c>
      <c r="AN504" s="182">
        <f t="shared" si="299"/>
        <v>0</v>
      </c>
      <c r="AO504" s="182">
        <f t="shared" si="299"/>
        <v>0</v>
      </c>
      <c r="AP504" s="182">
        <f t="shared" si="299"/>
        <v>0</v>
      </c>
      <c r="AQ504" s="182">
        <f t="shared" si="299"/>
        <v>0</v>
      </c>
      <c r="AR504" s="182">
        <f t="shared" si="299"/>
        <v>0</v>
      </c>
      <c r="AS504" s="182">
        <f t="shared" si="299"/>
        <v>0</v>
      </c>
      <c r="AT504" s="182">
        <f t="shared" si="299"/>
        <v>0</v>
      </c>
      <c r="AU504" s="182">
        <f t="shared" si="299"/>
        <v>0</v>
      </c>
      <c r="AV504" s="182">
        <f t="shared" si="299"/>
        <v>0</v>
      </c>
      <c r="AW504" s="182">
        <f t="shared" si="299"/>
        <v>0</v>
      </c>
      <c r="AX504" s="182">
        <f t="shared" si="299"/>
        <v>0</v>
      </c>
      <c r="AY504" s="182">
        <f t="shared" si="299"/>
        <v>0</v>
      </c>
      <c r="AZ504" s="182">
        <f t="shared" si="299"/>
        <v>0</v>
      </c>
      <c r="BA504" s="182">
        <f t="shared" si="299"/>
        <v>0</v>
      </c>
      <c r="BB504" s="182">
        <f t="shared" si="299"/>
        <v>0</v>
      </c>
      <c r="BC504" s="182">
        <f t="shared" si="299"/>
        <v>0</v>
      </c>
      <c r="BD504" s="182">
        <f t="shared" si="299"/>
        <v>0</v>
      </c>
      <c r="BE504" s="182">
        <f t="shared" si="299"/>
        <v>0</v>
      </c>
      <c r="BF504" s="182">
        <f t="shared" si="299"/>
        <v>0</v>
      </c>
      <c r="BG504" s="182">
        <f t="shared" si="299"/>
        <v>0</v>
      </c>
      <c r="BH504" s="182">
        <f t="shared" si="299"/>
        <v>0</v>
      </c>
      <c r="BI504" s="182">
        <f t="shared" si="299"/>
        <v>0</v>
      </c>
      <c r="BJ504" s="183">
        <f t="shared" si="299"/>
        <v>0</v>
      </c>
    </row>
    <row r="505" spans="1:64" s="80" customFormat="1">
      <c r="A505" s="184" t="s">
        <v>143</v>
      </c>
      <c r="B505" s="177"/>
      <c r="C505" s="181">
        <f>C504</f>
        <v>-34627822.096704267</v>
      </c>
      <c r="D505" s="182">
        <f t="shared" ref="D505:BJ505" si="300">IF(D504=0, 0, C505+D504)</f>
        <v>-68944840.516806796</v>
      </c>
      <c r="E505" s="182">
        <f t="shared" si="300"/>
        <v>-133600441.49916303</v>
      </c>
      <c r="F505" s="182">
        <f t="shared" si="300"/>
        <v>-193637785.2684938</v>
      </c>
      <c r="G505" s="182">
        <f t="shared" si="300"/>
        <v>-249386747.34001523</v>
      </c>
      <c r="H505" s="182">
        <f t="shared" si="300"/>
        <v>-228837968.054088</v>
      </c>
      <c r="I505" s="182">
        <f t="shared" si="300"/>
        <v>-192672927.0753969</v>
      </c>
      <c r="J505" s="182">
        <f t="shared" si="300"/>
        <v>-143227359.64212215</v>
      </c>
      <c r="K505" s="182">
        <f t="shared" si="300"/>
        <v>-82582999.334401652</v>
      </c>
      <c r="L505" s="182">
        <f t="shared" si="300"/>
        <v>5641574.0449277759</v>
      </c>
      <c r="M505" s="182">
        <f t="shared" si="300"/>
        <v>87564392.182876527</v>
      </c>
      <c r="N505" s="182">
        <f t="shared" si="300"/>
        <v>163635580.45382893</v>
      </c>
      <c r="O505" s="182">
        <f t="shared" si="300"/>
        <v>234273112.41971332</v>
      </c>
      <c r="P505" s="182">
        <f t="shared" si="300"/>
        <v>299865106.38803452</v>
      </c>
      <c r="Q505" s="182">
        <f t="shared" si="300"/>
        <v>360771957.93004704</v>
      </c>
      <c r="R505" s="182">
        <f t="shared" si="300"/>
        <v>417328320.07620156</v>
      </c>
      <c r="S505" s="182">
        <f t="shared" si="300"/>
        <v>469844942.06905931</v>
      </c>
      <c r="T505" s="182">
        <f t="shared" si="300"/>
        <v>518610376.77671295</v>
      </c>
      <c r="U505" s="182">
        <f t="shared" si="300"/>
        <v>547513420.88455415</v>
      </c>
      <c r="V505" s="182">
        <f t="shared" si="300"/>
        <v>567832834.21704769</v>
      </c>
      <c r="W505" s="182">
        <f t="shared" si="300"/>
        <v>580647385.23134613</v>
      </c>
      <c r="X505" s="182">
        <f t="shared" si="300"/>
        <v>586925526.63957679</v>
      </c>
      <c r="Y505" s="182">
        <f t="shared" si="300"/>
        <v>0</v>
      </c>
      <c r="Z505" s="182">
        <f t="shared" si="300"/>
        <v>0</v>
      </c>
      <c r="AA505" s="182">
        <f t="shared" si="300"/>
        <v>0</v>
      </c>
      <c r="AB505" s="182">
        <f t="shared" si="300"/>
        <v>0</v>
      </c>
      <c r="AC505" s="182">
        <f t="shared" si="300"/>
        <v>0</v>
      </c>
      <c r="AD505" s="182">
        <f t="shared" si="300"/>
        <v>0</v>
      </c>
      <c r="AE505" s="182">
        <f t="shared" si="300"/>
        <v>0</v>
      </c>
      <c r="AF505" s="182">
        <f t="shared" si="300"/>
        <v>0</v>
      </c>
      <c r="AG505" s="182">
        <f t="shared" si="300"/>
        <v>0</v>
      </c>
      <c r="AH505" s="182">
        <f t="shared" si="300"/>
        <v>0</v>
      </c>
      <c r="AI505" s="182">
        <f t="shared" si="300"/>
        <v>0</v>
      </c>
      <c r="AJ505" s="182">
        <f t="shared" si="300"/>
        <v>0</v>
      </c>
      <c r="AK505" s="182">
        <f t="shared" si="300"/>
        <v>0</v>
      </c>
      <c r="AL505" s="182">
        <f t="shared" si="300"/>
        <v>0</v>
      </c>
      <c r="AM505" s="182">
        <f t="shared" si="300"/>
        <v>0</v>
      </c>
      <c r="AN505" s="182">
        <f t="shared" si="300"/>
        <v>0</v>
      </c>
      <c r="AO505" s="182">
        <f t="shared" si="300"/>
        <v>0</v>
      </c>
      <c r="AP505" s="182">
        <f t="shared" si="300"/>
        <v>0</v>
      </c>
      <c r="AQ505" s="182">
        <f t="shared" si="300"/>
        <v>0</v>
      </c>
      <c r="AR505" s="182">
        <f t="shared" si="300"/>
        <v>0</v>
      </c>
      <c r="AS505" s="182">
        <f t="shared" si="300"/>
        <v>0</v>
      </c>
      <c r="AT505" s="182">
        <f t="shared" si="300"/>
        <v>0</v>
      </c>
      <c r="AU505" s="182">
        <f t="shared" si="300"/>
        <v>0</v>
      </c>
      <c r="AV505" s="182">
        <f t="shared" si="300"/>
        <v>0</v>
      </c>
      <c r="AW505" s="182">
        <f t="shared" si="300"/>
        <v>0</v>
      </c>
      <c r="AX505" s="182">
        <f t="shared" si="300"/>
        <v>0</v>
      </c>
      <c r="AY505" s="182">
        <f t="shared" si="300"/>
        <v>0</v>
      </c>
      <c r="AZ505" s="182">
        <f t="shared" si="300"/>
        <v>0</v>
      </c>
      <c r="BA505" s="182">
        <f t="shared" si="300"/>
        <v>0</v>
      </c>
      <c r="BB505" s="182">
        <f t="shared" si="300"/>
        <v>0</v>
      </c>
      <c r="BC505" s="182">
        <f t="shared" si="300"/>
        <v>0</v>
      </c>
      <c r="BD505" s="182">
        <f t="shared" si="300"/>
        <v>0</v>
      </c>
      <c r="BE505" s="182">
        <f t="shared" si="300"/>
        <v>0</v>
      </c>
      <c r="BF505" s="182">
        <f t="shared" si="300"/>
        <v>0</v>
      </c>
      <c r="BG505" s="182">
        <f t="shared" si="300"/>
        <v>0</v>
      </c>
      <c r="BH505" s="182">
        <f t="shared" si="300"/>
        <v>0</v>
      </c>
      <c r="BI505" s="182">
        <f t="shared" si="300"/>
        <v>0</v>
      </c>
      <c r="BJ505" s="183">
        <f t="shared" si="300"/>
        <v>0</v>
      </c>
    </row>
    <row r="506" spans="1:64" s="83" customFormat="1">
      <c r="A506" s="78"/>
      <c r="B506" s="81"/>
      <c r="C506" s="82"/>
      <c r="D506" s="82"/>
      <c r="E506" s="82"/>
      <c r="F506" s="82"/>
      <c r="G506" s="82"/>
      <c r="H506" s="82"/>
      <c r="I506" s="82"/>
      <c r="J506" s="82"/>
      <c r="K506" s="82"/>
      <c r="L506" s="82"/>
      <c r="M506" s="82"/>
      <c r="N506" s="82"/>
      <c r="O506" s="82"/>
      <c r="P506" s="82"/>
      <c r="Q506" s="82"/>
      <c r="R506" s="82"/>
      <c r="S506" s="82"/>
      <c r="T506" s="82"/>
      <c r="U506" s="82"/>
      <c r="V506" s="82"/>
      <c r="W506" s="82"/>
      <c r="X506" s="82"/>
      <c r="Y506" s="82"/>
      <c r="Z506" s="82"/>
      <c r="AA506" s="82"/>
      <c r="AB506" s="82"/>
      <c r="AC506" s="82"/>
      <c r="AD506" s="82"/>
      <c r="AE506" s="82"/>
      <c r="AF506" s="82"/>
      <c r="AG506" s="82"/>
      <c r="AH506" s="82"/>
      <c r="AI506" s="82"/>
      <c r="AJ506" s="82"/>
      <c r="AK506" s="82"/>
      <c r="AL506" s="82"/>
      <c r="AM506" s="82"/>
      <c r="AN506" s="82"/>
      <c r="AO506" s="82"/>
      <c r="AP506" s="82"/>
      <c r="AQ506" s="82"/>
      <c r="AR506" s="82"/>
      <c r="AS506" s="82"/>
      <c r="AT506" s="82"/>
      <c r="AU506" s="82"/>
      <c r="AV506" s="82"/>
      <c r="AW506" s="82"/>
      <c r="AX506" s="82"/>
      <c r="AY506" s="82"/>
      <c r="AZ506" s="82"/>
      <c r="BA506" s="82"/>
      <c r="BB506" s="82"/>
      <c r="BC506" s="82"/>
      <c r="BD506" s="82"/>
      <c r="BE506" s="82"/>
      <c r="BF506" s="82"/>
      <c r="BG506" s="82"/>
      <c r="BH506" s="82"/>
      <c r="BI506" s="82"/>
      <c r="BJ506" s="82"/>
    </row>
    <row r="507" spans="1:64" ht="21">
      <c r="A507" s="185" t="s">
        <v>163</v>
      </c>
      <c r="B507" s="93"/>
      <c r="C507" s="186"/>
      <c r="D507" s="186"/>
      <c r="E507" s="186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86"/>
      <c r="AD507" s="186"/>
      <c r="AE507" s="186"/>
      <c r="AF507" s="186"/>
      <c r="AG507" s="186"/>
      <c r="AH507" s="186"/>
      <c r="AI507" s="186"/>
      <c r="AJ507" s="186"/>
      <c r="AK507" s="186"/>
      <c r="AL507" s="186"/>
      <c r="AM507" s="186"/>
      <c r="AN507" s="186"/>
      <c r="AO507" s="186"/>
      <c r="AP507" s="186"/>
      <c r="AQ507" s="186"/>
      <c r="AR507" s="186"/>
      <c r="AS507" s="186"/>
      <c r="AT507" s="186"/>
      <c r="AU507" s="186"/>
      <c r="AV507" s="186"/>
      <c r="AW507" s="186"/>
      <c r="AX507" s="186"/>
      <c r="AY507" s="186"/>
      <c r="AZ507" s="186"/>
      <c r="BA507" s="186"/>
      <c r="BB507" s="186"/>
      <c r="BC507" s="186"/>
      <c r="BD507" s="186"/>
      <c r="BE507" s="186"/>
      <c r="BF507" s="186"/>
      <c r="BG507" s="186"/>
      <c r="BH507" s="186"/>
      <c r="BI507" s="186"/>
      <c r="BJ507" s="186"/>
    </row>
    <row r="508" spans="1:64">
      <c r="A508" s="187" t="s">
        <v>158</v>
      </c>
      <c r="B508" s="188">
        <f>SUM(C508:BJ508)</f>
        <v>703.67095680661635</v>
      </c>
      <c r="C508" s="189">
        <f>(C460*(1-$K401))/(1+$C401)^(C459-1)</f>
        <v>0</v>
      </c>
      <c r="D508" s="190">
        <f>(D460*(1-$K401))/(1+$C401)^(D459-1)</f>
        <v>0</v>
      </c>
      <c r="E508" s="190">
        <f t="shared" ref="E508:BJ508" si="301">(E460*(1-$K401))/(1+$C401)^(E459-1)</f>
        <v>0</v>
      </c>
      <c r="F508" s="190">
        <f t="shared" si="301"/>
        <v>0</v>
      </c>
      <c r="G508" s="190">
        <f t="shared" si="301"/>
        <v>0</v>
      </c>
      <c r="H508" s="190">
        <f t="shared" si="301"/>
        <v>20.634477608206865</v>
      </c>
      <c r="I508" s="190">
        <f t="shared" si="301"/>
        <v>36.847281443226542</v>
      </c>
      <c r="J508" s="190">
        <f t="shared" si="301"/>
        <v>49.349037647178399</v>
      </c>
      <c r="K508" s="190">
        <f t="shared" si="301"/>
        <v>58.748854341879046</v>
      </c>
      <c r="L508" s="190">
        <f t="shared" si="301"/>
        <v>83.048488753257772</v>
      </c>
      <c r="M508" s="190">
        <f t="shared" si="301"/>
        <v>74.150436386837285</v>
      </c>
      <c r="N508" s="190">
        <f t="shared" si="301"/>
        <v>66.205746773961849</v>
      </c>
      <c r="O508" s="190">
        <f t="shared" si="301"/>
        <v>59.112273905323086</v>
      </c>
      <c r="P508" s="190">
        <f t="shared" si="301"/>
        <v>52.778815986895601</v>
      </c>
      <c r="Q508" s="190">
        <f t="shared" si="301"/>
        <v>47.1239428454425</v>
      </c>
      <c r="R508" s="190">
        <f t="shared" si="301"/>
        <v>42.07494896914509</v>
      </c>
      <c r="S508" s="190">
        <f t="shared" si="301"/>
        <v>37.566918722450964</v>
      </c>
      <c r="T508" s="190">
        <f t="shared" si="301"/>
        <v>33.541891716474076</v>
      </c>
      <c r="U508" s="190">
        <f t="shared" si="301"/>
        <v>18.915558778450158</v>
      </c>
      <c r="V508" s="190">
        <f t="shared" si="301"/>
        <v>12.666668824855014</v>
      </c>
      <c r="W508" s="190">
        <f t="shared" si="301"/>
        <v>7.5396838243184616</v>
      </c>
      <c r="X508" s="190">
        <f t="shared" si="301"/>
        <v>3.365930278713599</v>
      </c>
      <c r="Y508" s="190">
        <f t="shared" si="301"/>
        <v>0</v>
      </c>
      <c r="Z508" s="190">
        <f t="shared" si="301"/>
        <v>0</v>
      </c>
      <c r="AA508" s="190">
        <f t="shared" si="301"/>
        <v>0</v>
      </c>
      <c r="AB508" s="190">
        <f t="shared" si="301"/>
        <v>0</v>
      </c>
      <c r="AC508" s="190">
        <f t="shared" si="301"/>
        <v>0</v>
      </c>
      <c r="AD508" s="190">
        <f t="shared" si="301"/>
        <v>0</v>
      </c>
      <c r="AE508" s="190">
        <f t="shared" si="301"/>
        <v>0</v>
      </c>
      <c r="AF508" s="190">
        <f t="shared" si="301"/>
        <v>0</v>
      </c>
      <c r="AG508" s="190">
        <f t="shared" si="301"/>
        <v>0</v>
      </c>
      <c r="AH508" s="190">
        <f t="shared" si="301"/>
        <v>0</v>
      </c>
      <c r="AI508" s="190">
        <f t="shared" si="301"/>
        <v>0</v>
      </c>
      <c r="AJ508" s="190">
        <f t="shared" si="301"/>
        <v>0</v>
      </c>
      <c r="AK508" s="190">
        <f t="shared" si="301"/>
        <v>0</v>
      </c>
      <c r="AL508" s="190">
        <f t="shared" si="301"/>
        <v>0</v>
      </c>
      <c r="AM508" s="190">
        <f t="shared" si="301"/>
        <v>0</v>
      </c>
      <c r="AN508" s="190">
        <f t="shared" si="301"/>
        <v>0</v>
      </c>
      <c r="AO508" s="190">
        <f t="shared" si="301"/>
        <v>0</v>
      </c>
      <c r="AP508" s="190">
        <f t="shared" si="301"/>
        <v>0</v>
      </c>
      <c r="AQ508" s="190">
        <f t="shared" si="301"/>
        <v>0</v>
      </c>
      <c r="AR508" s="190">
        <f t="shared" si="301"/>
        <v>0</v>
      </c>
      <c r="AS508" s="190">
        <f t="shared" si="301"/>
        <v>0</v>
      </c>
      <c r="AT508" s="190">
        <f t="shared" si="301"/>
        <v>0</v>
      </c>
      <c r="AU508" s="190">
        <f t="shared" si="301"/>
        <v>0</v>
      </c>
      <c r="AV508" s="190">
        <f t="shared" si="301"/>
        <v>0</v>
      </c>
      <c r="AW508" s="190">
        <f t="shared" si="301"/>
        <v>0</v>
      </c>
      <c r="AX508" s="190">
        <f t="shared" si="301"/>
        <v>0</v>
      </c>
      <c r="AY508" s="190">
        <f t="shared" si="301"/>
        <v>0</v>
      </c>
      <c r="AZ508" s="190">
        <f t="shared" si="301"/>
        <v>0</v>
      </c>
      <c r="BA508" s="190">
        <f t="shared" si="301"/>
        <v>0</v>
      </c>
      <c r="BB508" s="190">
        <f t="shared" si="301"/>
        <v>0</v>
      </c>
      <c r="BC508" s="190">
        <f t="shared" si="301"/>
        <v>0</v>
      </c>
      <c r="BD508" s="190">
        <f t="shared" si="301"/>
        <v>0</v>
      </c>
      <c r="BE508" s="190">
        <f t="shared" si="301"/>
        <v>0</v>
      </c>
      <c r="BF508" s="190">
        <f t="shared" si="301"/>
        <v>0</v>
      </c>
      <c r="BG508" s="190">
        <f t="shared" si="301"/>
        <v>0</v>
      </c>
      <c r="BH508" s="190">
        <f t="shared" si="301"/>
        <v>0</v>
      </c>
      <c r="BI508" s="190">
        <f t="shared" si="301"/>
        <v>0</v>
      </c>
      <c r="BJ508" s="191">
        <f t="shared" si="301"/>
        <v>0</v>
      </c>
    </row>
    <row r="509" spans="1:64">
      <c r="A509" s="192" t="s">
        <v>159</v>
      </c>
      <c r="B509" s="193">
        <f>SUM(C509:BJ509)</f>
        <v>547912381.83070385</v>
      </c>
      <c r="C509" s="194">
        <f>(((C462+C491)*(1-$K401))-(C501-C471))/(1+$C401)^(C459-1)</f>
        <v>45494743.66991064</v>
      </c>
      <c r="D509" s="186">
        <f>(((D462+D491)*(1-$K401))-(D501-D471))/(1+$C401)^(D459-1)</f>
        <v>44591904.83672116</v>
      </c>
      <c r="E509" s="186">
        <f t="shared" ref="E509:BJ509" si="302">(((E462+E491)*(1-$K401))-(E501-E471))/(1+$C401)^(E459-1)</f>
        <v>73523151.049197242</v>
      </c>
      <c r="F509" s="186">
        <f t="shared" si="302"/>
        <v>67646182.646481708</v>
      </c>
      <c r="G509" s="186">
        <f t="shared" si="302"/>
        <v>62233663.040841885</v>
      </c>
      <c r="H509" s="186">
        <f t="shared" si="302"/>
        <v>4081662.8922081422</v>
      </c>
      <c r="I509" s="186">
        <f t="shared" si="302"/>
        <v>9577208.7807031982</v>
      </c>
      <c r="J509" s="186">
        <f t="shared" si="302"/>
        <v>14266851.874453001</v>
      </c>
      <c r="K509" s="186">
        <f t="shared" si="302"/>
        <v>18237682.644704353</v>
      </c>
      <c r="L509" s="186">
        <f t="shared" si="302"/>
        <v>27744936.351016052</v>
      </c>
      <c r="M509" s="186">
        <f t="shared" si="302"/>
        <v>25763155.183086328</v>
      </c>
      <c r="N509" s="186">
        <f t="shared" si="302"/>
        <v>23922929.812865868</v>
      </c>
      <c r="O509" s="186">
        <f t="shared" si="302"/>
        <v>22214149.111946888</v>
      </c>
      <c r="P509" s="186">
        <f t="shared" si="302"/>
        <v>20627424.17537925</v>
      </c>
      <c r="Q509" s="186">
        <f t="shared" si="302"/>
        <v>19154036.734280732</v>
      </c>
      <c r="R509" s="186">
        <f t="shared" si="302"/>
        <v>17785891.25326068</v>
      </c>
      <c r="S509" s="186">
        <f t="shared" si="302"/>
        <v>16515470.449456345</v>
      </c>
      <c r="T509" s="186">
        <f t="shared" si="302"/>
        <v>15335793.988780893</v>
      </c>
      <c r="U509" s="186">
        <f t="shared" si="302"/>
        <v>8692062.101570094</v>
      </c>
      <c r="V509" s="186">
        <f t="shared" si="302"/>
        <v>5862892.7776321629</v>
      </c>
      <c r="W509" s="186">
        <f t="shared" si="302"/>
        <v>3393543.244350824</v>
      </c>
      <c r="X509" s="186">
        <f t="shared" si="302"/>
        <v>1247045.2118564509</v>
      </c>
      <c r="Y509" s="186">
        <f t="shared" si="302"/>
        <v>0</v>
      </c>
      <c r="Z509" s="186">
        <f t="shared" si="302"/>
        <v>0</v>
      </c>
      <c r="AA509" s="186">
        <f t="shared" si="302"/>
        <v>0</v>
      </c>
      <c r="AB509" s="186">
        <f t="shared" si="302"/>
        <v>0</v>
      </c>
      <c r="AC509" s="186">
        <f t="shared" si="302"/>
        <v>0</v>
      </c>
      <c r="AD509" s="186">
        <f t="shared" si="302"/>
        <v>0</v>
      </c>
      <c r="AE509" s="186">
        <f t="shared" si="302"/>
        <v>0</v>
      </c>
      <c r="AF509" s="186">
        <f t="shared" si="302"/>
        <v>0</v>
      </c>
      <c r="AG509" s="186">
        <f t="shared" si="302"/>
        <v>0</v>
      </c>
      <c r="AH509" s="186">
        <f t="shared" si="302"/>
        <v>0</v>
      </c>
      <c r="AI509" s="186">
        <f t="shared" si="302"/>
        <v>0</v>
      </c>
      <c r="AJ509" s="186">
        <f t="shared" si="302"/>
        <v>0</v>
      </c>
      <c r="AK509" s="186">
        <f t="shared" si="302"/>
        <v>0</v>
      </c>
      <c r="AL509" s="186">
        <f t="shared" si="302"/>
        <v>0</v>
      </c>
      <c r="AM509" s="186">
        <f t="shared" si="302"/>
        <v>0</v>
      </c>
      <c r="AN509" s="186">
        <f t="shared" si="302"/>
        <v>0</v>
      </c>
      <c r="AO509" s="186">
        <f t="shared" si="302"/>
        <v>0</v>
      </c>
      <c r="AP509" s="186">
        <f t="shared" si="302"/>
        <v>0</v>
      </c>
      <c r="AQ509" s="186">
        <f t="shared" si="302"/>
        <v>0</v>
      </c>
      <c r="AR509" s="186">
        <f t="shared" si="302"/>
        <v>0</v>
      </c>
      <c r="AS509" s="186">
        <f t="shared" si="302"/>
        <v>0</v>
      </c>
      <c r="AT509" s="186">
        <f t="shared" si="302"/>
        <v>0</v>
      </c>
      <c r="AU509" s="186">
        <f t="shared" si="302"/>
        <v>0</v>
      </c>
      <c r="AV509" s="186">
        <f t="shared" si="302"/>
        <v>0</v>
      </c>
      <c r="AW509" s="186">
        <f t="shared" si="302"/>
        <v>0</v>
      </c>
      <c r="AX509" s="186">
        <f t="shared" si="302"/>
        <v>0</v>
      </c>
      <c r="AY509" s="186">
        <f t="shared" si="302"/>
        <v>0</v>
      </c>
      <c r="AZ509" s="186">
        <f t="shared" si="302"/>
        <v>0</v>
      </c>
      <c r="BA509" s="186">
        <f t="shared" si="302"/>
        <v>0</v>
      </c>
      <c r="BB509" s="186">
        <f t="shared" si="302"/>
        <v>0</v>
      </c>
      <c r="BC509" s="186">
        <f t="shared" si="302"/>
        <v>0</v>
      </c>
      <c r="BD509" s="186">
        <f t="shared" si="302"/>
        <v>0</v>
      </c>
      <c r="BE509" s="186">
        <f t="shared" si="302"/>
        <v>0</v>
      </c>
      <c r="BF509" s="186">
        <f t="shared" si="302"/>
        <v>0</v>
      </c>
      <c r="BG509" s="186">
        <f t="shared" si="302"/>
        <v>0</v>
      </c>
      <c r="BH509" s="186">
        <f t="shared" si="302"/>
        <v>0</v>
      </c>
      <c r="BI509" s="186">
        <f t="shared" si="302"/>
        <v>0</v>
      </c>
      <c r="BJ509" s="195">
        <f t="shared" si="302"/>
        <v>0</v>
      </c>
    </row>
    <row r="510" spans="1:64">
      <c r="A510" s="196" t="s">
        <v>160</v>
      </c>
      <c r="B510" s="197">
        <f>B509/B508</f>
        <v>778648.56653630757</v>
      </c>
      <c r="C510" s="166"/>
      <c r="D510" s="167"/>
      <c r="E510" s="167"/>
      <c r="F510" s="167"/>
      <c r="G510" s="167"/>
      <c r="H510" s="167"/>
      <c r="I510" s="167"/>
      <c r="J510" s="167"/>
      <c r="K510" s="167"/>
      <c r="L510" s="167"/>
      <c r="M510" s="167"/>
      <c r="N510" s="167"/>
      <c r="O510" s="167"/>
      <c r="P510" s="167"/>
      <c r="Q510" s="167"/>
      <c r="R510" s="167"/>
      <c r="S510" s="167"/>
      <c r="T510" s="167"/>
      <c r="U510" s="167"/>
      <c r="V510" s="167"/>
      <c r="W510" s="167"/>
      <c r="X510" s="167"/>
      <c r="Y510" s="167"/>
      <c r="Z510" s="167"/>
      <c r="AA510" s="167"/>
      <c r="AB510" s="167"/>
      <c r="AC510" s="167"/>
      <c r="AD510" s="167"/>
      <c r="AE510" s="167"/>
      <c r="AF510" s="167"/>
      <c r="AG510" s="167"/>
      <c r="AH510" s="167"/>
      <c r="AI510" s="167"/>
      <c r="AJ510" s="167"/>
      <c r="AK510" s="167"/>
      <c r="AL510" s="167"/>
      <c r="AM510" s="167"/>
      <c r="AN510" s="167"/>
      <c r="AO510" s="167"/>
      <c r="AP510" s="167"/>
      <c r="AQ510" s="167"/>
      <c r="AR510" s="167"/>
      <c r="AS510" s="167"/>
      <c r="AT510" s="167"/>
      <c r="AU510" s="167"/>
      <c r="AV510" s="167"/>
      <c r="AW510" s="167"/>
      <c r="AX510" s="167"/>
      <c r="AY510" s="167"/>
      <c r="AZ510" s="167"/>
      <c r="BA510" s="167"/>
      <c r="BB510" s="167"/>
      <c r="BC510" s="167"/>
      <c r="BD510" s="167"/>
      <c r="BE510" s="167"/>
      <c r="BF510" s="167"/>
      <c r="BG510" s="167"/>
      <c r="BH510" s="167"/>
      <c r="BI510" s="167"/>
      <c r="BJ510" s="198"/>
    </row>
    <row r="511" spans="1:64">
      <c r="A511" s="187" t="s">
        <v>158</v>
      </c>
      <c r="B511" s="188">
        <f>SUM(C511:BJ511)</f>
        <v>2800</v>
      </c>
      <c r="C511" s="189">
        <f>(C460*(1-$K401))/(1)^(C459-1)</f>
        <v>0</v>
      </c>
      <c r="D511" s="190">
        <f>(D460*(1-$K401))/(1)^(D459-1)</f>
        <v>0</v>
      </c>
      <c r="E511" s="190">
        <f t="shared" ref="E511:BJ511" si="303">(E460*(1-$K401))/(1)^(E459-1)</f>
        <v>0</v>
      </c>
      <c r="F511" s="190">
        <f t="shared" si="303"/>
        <v>0</v>
      </c>
      <c r="G511" s="190">
        <f t="shared" si="303"/>
        <v>0</v>
      </c>
      <c r="H511" s="190">
        <f t="shared" si="303"/>
        <v>36.365000000000009</v>
      </c>
      <c r="I511" s="190">
        <f t="shared" si="303"/>
        <v>72.730000000000018</v>
      </c>
      <c r="J511" s="190">
        <f t="shared" si="303"/>
        <v>109.09500000000001</v>
      </c>
      <c r="K511" s="190">
        <f t="shared" si="303"/>
        <v>145.46000000000004</v>
      </c>
      <c r="L511" s="190">
        <f t="shared" si="303"/>
        <v>230.29999999999998</v>
      </c>
      <c r="M511" s="190">
        <f t="shared" si="303"/>
        <v>230.29999999999998</v>
      </c>
      <c r="N511" s="190">
        <f t="shared" si="303"/>
        <v>230.29999999999998</v>
      </c>
      <c r="O511" s="190">
        <f t="shared" si="303"/>
        <v>230.29999999999998</v>
      </c>
      <c r="P511" s="190">
        <f t="shared" si="303"/>
        <v>230.29999999999998</v>
      </c>
      <c r="Q511" s="190">
        <f t="shared" si="303"/>
        <v>230.29999999999998</v>
      </c>
      <c r="R511" s="190">
        <f t="shared" si="303"/>
        <v>230.29999999999998</v>
      </c>
      <c r="S511" s="190">
        <f t="shared" si="303"/>
        <v>230.29999999999998</v>
      </c>
      <c r="T511" s="190">
        <f t="shared" si="303"/>
        <v>230.29999999999998</v>
      </c>
      <c r="U511" s="190">
        <f t="shared" si="303"/>
        <v>145.46000000000004</v>
      </c>
      <c r="V511" s="190">
        <f t="shared" si="303"/>
        <v>109.09500000000001</v>
      </c>
      <c r="W511" s="190">
        <f t="shared" si="303"/>
        <v>72.730000000000018</v>
      </c>
      <c r="X511" s="190">
        <f t="shared" si="303"/>
        <v>36.365000000000009</v>
      </c>
      <c r="Y511" s="190">
        <f t="shared" si="303"/>
        <v>0</v>
      </c>
      <c r="Z511" s="190">
        <f t="shared" si="303"/>
        <v>0</v>
      </c>
      <c r="AA511" s="190">
        <f t="shared" si="303"/>
        <v>0</v>
      </c>
      <c r="AB511" s="190">
        <f t="shared" si="303"/>
        <v>0</v>
      </c>
      <c r="AC511" s="190">
        <f t="shared" si="303"/>
        <v>0</v>
      </c>
      <c r="AD511" s="190">
        <f t="shared" si="303"/>
        <v>0</v>
      </c>
      <c r="AE511" s="190">
        <f t="shared" si="303"/>
        <v>0</v>
      </c>
      <c r="AF511" s="190">
        <f t="shared" si="303"/>
        <v>0</v>
      </c>
      <c r="AG511" s="190">
        <f t="shared" si="303"/>
        <v>0</v>
      </c>
      <c r="AH511" s="190">
        <f t="shared" si="303"/>
        <v>0</v>
      </c>
      <c r="AI511" s="190">
        <f t="shared" si="303"/>
        <v>0</v>
      </c>
      <c r="AJ511" s="190">
        <f t="shared" si="303"/>
        <v>0</v>
      </c>
      <c r="AK511" s="190">
        <f t="shared" si="303"/>
        <v>0</v>
      </c>
      <c r="AL511" s="190">
        <f t="shared" si="303"/>
        <v>0</v>
      </c>
      <c r="AM511" s="190">
        <f t="shared" si="303"/>
        <v>0</v>
      </c>
      <c r="AN511" s="190">
        <f t="shared" si="303"/>
        <v>0</v>
      </c>
      <c r="AO511" s="190">
        <f t="shared" si="303"/>
        <v>0</v>
      </c>
      <c r="AP511" s="190">
        <f t="shared" si="303"/>
        <v>0</v>
      </c>
      <c r="AQ511" s="190">
        <f t="shared" si="303"/>
        <v>0</v>
      </c>
      <c r="AR511" s="190">
        <f t="shared" si="303"/>
        <v>0</v>
      </c>
      <c r="AS511" s="190">
        <f t="shared" si="303"/>
        <v>0</v>
      </c>
      <c r="AT511" s="190">
        <f t="shared" si="303"/>
        <v>0</v>
      </c>
      <c r="AU511" s="190">
        <f t="shared" si="303"/>
        <v>0</v>
      </c>
      <c r="AV511" s="190">
        <f t="shared" si="303"/>
        <v>0</v>
      </c>
      <c r="AW511" s="190">
        <f t="shared" si="303"/>
        <v>0</v>
      </c>
      <c r="AX511" s="190">
        <f t="shared" si="303"/>
        <v>0</v>
      </c>
      <c r="AY511" s="190">
        <f t="shared" si="303"/>
        <v>0</v>
      </c>
      <c r="AZ511" s="190">
        <f t="shared" si="303"/>
        <v>0</v>
      </c>
      <c r="BA511" s="190">
        <f t="shared" si="303"/>
        <v>0</v>
      </c>
      <c r="BB511" s="190">
        <f t="shared" si="303"/>
        <v>0</v>
      </c>
      <c r="BC511" s="190">
        <f t="shared" si="303"/>
        <v>0</v>
      </c>
      <c r="BD511" s="190">
        <f t="shared" si="303"/>
        <v>0</v>
      </c>
      <c r="BE511" s="190">
        <f t="shared" si="303"/>
        <v>0</v>
      </c>
      <c r="BF511" s="190">
        <f t="shared" si="303"/>
        <v>0</v>
      </c>
      <c r="BG511" s="190">
        <f t="shared" si="303"/>
        <v>0</v>
      </c>
      <c r="BH511" s="190">
        <f t="shared" si="303"/>
        <v>0</v>
      </c>
      <c r="BI511" s="190">
        <f t="shared" si="303"/>
        <v>0</v>
      </c>
      <c r="BJ511" s="191">
        <f t="shared" si="303"/>
        <v>0</v>
      </c>
    </row>
    <row r="512" spans="1:64">
      <c r="A512" s="192" t="s">
        <v>159</v>
      </c>
      <c r="B512" s="193">
        <f>SUM(C512:BJ512)</f>
        <v>1461195220.114779</v>
      </c>
      <c r="C512" s="194">
        <f>(((C462+C491)*(1-$K401))-(C501-C471))/(1)^(C459-1)</f>
        <v>45494743.66991064</v>
      </c>
      <c r="D512" s="186">
        <f>(((D462+D491)*(1-$K401))-(D501-D471))/(1)^(D459-1)</f>
        <v>49942933.417127706</v>
      </c>
      <c r="E512" s="186">
        <f t="shared" ref="E512:BJ512" si="304">(((E462+E491)*(1-$K401))-(E501-E471))/(1)^(E459-1)</f>
        <v>92227440.676113039</v>
      </c>
      <c r="F512" s="186">
        <f t="shared" si="304"/>
        <v>95038016.093156278</v>
      </c>
      <c r="G512" s="186">
        <f t="shared" si="304"/>
        <v>97925873.6384812</v>
      </c>
      <c r="H512" s="186">
        <f t="shared" si="304"/>
        <v>7193284.6517090797</v>
      </c>
      <c r="I512" s="186">
        <f t="shared" si="304"/>
        <v>18903711.952095378</v>
      </c>
      <c r="J512" s="186">
        <f t="shared" si="304"/>
        <v>31539464.181069843</v>
      </c>
      <c r="K512" s="186">
        <f t="shared" si="304"/>
        <v>45155830.649238937</v>
      </c>
      <c r="L512" s="186">
        <f t="shared" si="304"/>
        <v>76938893.621810153</v>
      </c>
      <c r="M512" s="186">
        <f t="shared" si="304"/>
        <v>80016449.366682544</v>
      </c>
      <c r="N512" s="186">
        <f t="shared" si="304"/>
        <v>83217107.34134984</v>
      </c>
      <c r="O512" s="186">
        <f t="shared" si="304"/>
        <v>86545791.635003865</v>
      </c>
      <c r="P512" s="186">
        <f t="shared" si="304"/>
        <v>90007623.300404027</v>
      </c>
      <c r="Q512" s="186">
        <f t="shared" si="304"/>
        <v>93607928.232420191</v>
      </c>
      <c r="R512" s="186">
        <f t="shared" si="304"/>
        <v>97352245.361716986</v>
      </c>
      <c r="S512" s="186">
        <f t="shared" si="304"/>
        <v>101246335.17618568</v>
      </c>
      <c r="T512" s="186">
        <f t="shared" si="304"/>
        <v>105296188.58323313</v>
      </c>
      <c r="U512" s="186">
        <f t="shared" si="304"/>
        <v>66841660.249276564</v>
      </c>
      <c r="V512" s="186">
        <f t="shared" si="304"/>
        <v>50495698.310254201</v>
      </c>
      <c r="W512" s="186">
        <f t="shared" si="304"/>
        <v>32735112.75971121</v>
      </c>
      <c r="X512" s="186">
        <f t="shared" si="304"/>
        <v>13472887.247828372</v>
      </c>
      <c r="Y512" s="186">
        <f t="shared" si="304"/>
        <v>0</v>
      </c>
      <c r="Z512" s="186">
        <f t="shared" si="304"/>
        <v>0</v>
      </c>
      <c r="AA512" s="186">
        <f t="shared" si="304"/>
        <v>0</v>
      </c>
      <c r="AB512" s="186">
        <f t="shared" si="304"/>
        <v>0</v>
      </c>
      <c r="AC512" s="186">
        <f t="shared" si="304"/>
        <v>0</v>
      </c>
      <c r="AD512" s="186">
        <f t="shared" si="304"/>
        <v>0</v>
      </c>
      <c r="AE512" s="186">
        <f t="shared" si="304"/>
        <v>0</v>
      </c>
      <c r="AF512" s="186">
        <f t="shared" si="304"/>
        <v>0</v>
      </c>
      <c r="AG512" s="186">
        <f t="shared" si="304"/>
        <v>0</v>
      </c>
      <c r="AH512" s="186">
        <f t="shared" si="304"/>
        <v>0</v>
      </c>
      <c r="AI512" s="186">
        <f t="shared" si="304"/>
        <v>0</v>
      </c>
      <c r="AJ512" s="186">
        <f t="shared" si="304"/>
        <v>0</v>
      </c>
      <c r="AK512" s="186">
        <f t="shared" si="304"/>
        <v>0</v>
      </c>
      <c r="AL512" s="186">
        <f t="shared" si="304"/>
        <v>0</v>
      </c>
      <c r="AM512" s="186">
        <f t="shared" si="304"/>
        <v>0</v>
      </c>
      <c r="AN512" s="186">
        <f t="shared" si="304"/>
        <v>0</v>
      </c>
      <c r="AO512" s="186">
        <f t="shared" si="304"/>
        <v>0</v>
      </c>
      <c r="AP512" s="186">
        <f t="shared" si="304"/>
        <v>0</v>
      </c>
      <c r="AQ512" s="186">
        <f t="shared" si="304"/>
        <v>0</v>
      </c>
      <c r="AR512" s="186">
        <f t="shared" si="304"/>
        <v>0</v>
      </c>
      <c r="AS512" s="186">
        <f t="shared" si="304"/>
        <v>0</v>
      </c>
      <c r="AT512" s="186">
        <f t="shared" si="304"/>
        <v>0</v>
      </c>
      <c r="AU512" s="186">
        <f t="shared" si="304"/>
        <v>0</v>
      </c>
      <c r="AV512" s="186">
        <f t="shared" si="304"/>
        <v>0</v>
      </c>
      <c r="AW512" s="186">
        <f t="shared" si="304"/>
        <v>0</v>
      </c>
      <c r="AX512" s="186">
        <f t="shared" si="304"/>
        <v>0</v>
      </c>
      <c r="AY512" s="186">
        <f t="shared" si="304"/>
        <v>0</v>
      </c>
      <c r="AZ512" s="186">
        <f t="shared" si="304"/>
        <v>0</v>
      </c>
      <c r="BA512" s="186">
        <f t="shared" si="304"/>
        <v>0</v>
      </c>
      <c r="BB512" s="186">
        <f t="shared" si="304"/>
        <v>0</v>
      </c>
      <c r="BC512" s="186">
        <f t="shared" si="304"/>
        <v>0</v>
      </c>
      <c r="BD512" s="186">
        <f t="shared" si="304"/>
        <v>0</v>
      </c>
      <c r="BE512" s="186">
        <f t="shared" si="304"/>
        <v>0</v>
      </c>
      <c r="BF512" s="186">
        <f t="shared" si="304"/>
        <v>0</v>
      </c>
      <c r="BG512" s="186">
        <f t="shared" si="304"/>
        <v>0</v>
      </c>
      <c r="BH512" s="186">
        <f t="shared" si="304"/>
        <v>0</v>
      </c>
      <c r="BI512" s="186">
        <f t="shared" si="304"/>
        <v>0</v>
      </c>
      <c r="BJ512" s="195">
        <f t="shared" si="304"/>
        <v>0</v>
      </c>
      <c r="BK512" s="186"/>
    </row>
    <row r="513" spans="1:67">
      <c r="A513" s="196" t="s">
        <v>161</v>
      </c>
      <c r="B513" s="197">
        <f>B512/B511</f>
        <v>521855.43575527822</v>
      </c>
      <c r="C513" s="166"/>
      <c r="D513" s="167"/>
      <c r="E513" s="167"/>
      <c r="F513" s="167"/>
      <c r="G513" s="167"/>
      <c r="H513" s="167"/>
      <c r="I513" s="167"/>
      <c r="J513" s="167"/>
      <c r="K513" s="167"/>
      <c r="L513" s="167"/>
      <c r="M513" s="167"/>
      <c r="N513" s="167"/>
      <c r="O513" s="167"/>
      <c r="P513" s="167"/>
      <c r="Q513" s="167"/>
      <c r="R513" s="167"/>
      <c r="S513" s="167"/>
      <c r="T513" s="167"/>
      <c r="U513" s="167"/>
      <c r="V513" s="167"/>
      <c r="W513" s="167"/>
      <c r="X513" s="167"/>
      <c r="Y513" s="167"/>
      <c r="Z513" s="167"/>
      <c r="AA513" s="167"/>
      <c r="AB513" s="167"/>
      <c r="AC513" s="167"/>
      <c r="AD513" s="167"/>
      <c r="AE513" s="167"/>
      <c r="AF513" s="167"/>
      <c r="AG513" s="167"/>
      <c r="AH513" s="167"/>
      <c r="AI513" s="167"/>
      <c r="AJ513" s="167"/>
      <c r="AK513" s="167"/>
      <c r="AL513" s="167"/>
      <c r="AM513" s="167"/>
      <c r="AN513" s="167"/>
      <c r="AO513" s="167"/>
      <c r="AP513" s="167"/>
      <c r="AQ513" s="167"/>
      <c r="AR513" s="167"/>
      <c r="AS513" s="167"/>
      <c r="AT513" s="167"/>
      <c r="AU513" s="167"/>
      <c r="AV513" s="167"/>
      <c r="AW513" s="167"/>
      <c r="AX513" s="167"/>
      <c r="AY513" s="167"/>
      <c r="AZ513" s="167"/>
      <c r="BA513" s="167"/>
      <c r="BB513" s="167"/>
      <c r="BC513" s="167"/>
      <c r="BD513" s="167"/>
      <c r="BE513" s="167"/>
      <c r="BF513" s="167"/>
      <c r="BG513" s="167"/>
      <c r="BH513" s="167"/>
      <c r="BI513" s="167"/>
      <c r="BJ513" s="198"/>
    </row>
    <row r="514" spans="1:67">
      <c r="A514" s="216" t="s">
        <v>164</v>
      </c>
      <c r="B514" s="235">
        <v>10</v>
      </c>
      <c r="C514" s="218"/>
      <c r="D514" s="186"/>
      <c r="E514" s="186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86"/>
      <c r="AD514" s="186"/>
      <c r="AE514" s="186"/>
      <c r="AF514" s="186"/>
      <c r="AG514" s="186"/>
      <c r="AH514" s="186"/>
      <c r="AI514" s="186"/>
      <c r="AJ514" s="186"/>
      <c r="AK514" s="186"/>
      <c r="AL514" s="186"/>
      <c r="AM514" s="186"/>
      <c r="AN514" s="186"/>
      <c r="AO514" s="186"/>
      <c r="AP514" s="186"/>
      <c r="AQ514" s="186"/>
      <c r="AR514" s="186"/>
      <c r="AS514" s="186"/>
      <c r="AT514" s="186"/>
      <c r="AU514" s="186"/>
      <c r="AV514" s="186"/>
      <c r="AW514" s="186"/>
      <c r="AX514" s="186"/>
      <c r="AY514" s="186"/>
      <c r="AZ514" s="186"/>
      <c r="BA514" s="186"/>
      <c r="BB514" s="186"/>
      <c r="BC514" s="186"/>
      <c r="BD514" s="186"/>
      <c r="BE514" s="186"/>
      <c r="BF514" s="186"/>
      <c r="BG514" s="186"/>
      <c r="BH514" s="186"/>
      <c r="BI514" s="186"/>
      <c r="BJ514" s="186"/>
    </row>
    <row r="517" spans="1:67" ht="28.5">
      <c r="A517" s="84">
        <v>5</v>
      </c>
      <c r="B517" s="85" t="s">
        <v>147</v>
      </c>
      <c r="C517" s="86">
        <v>0.12</v>
      </c>
      <c r="D517" s="85" t="s">
        <v>148</v>
      </c>
      <c r="E517" s="86">
        <v>0.25</v>
      </c>
      <c r="F517" s="85" t="s">
        <v>149</v>
      </c>
      <c r="G517" s="86">
        <v>0.04</v>
      </c>
      <c r="H517" s="85" t="s">
        <v>150</v>
      </c>
      <c r="I517" s="87">
        <v>0.1</v>
      </c>
      <c r="J517" s="85" t="s">
        <v>151</v>
      </c>
      <c r="K517" s="86">
        <v>0.2</v>
      </c>
      <c r="L517" s="85" t="s">
        <v>152</v>
      </c>
      <c r="M517" s="87">
        <v>0.26</v>
      </c>
      <c r="N517" s="85" t="s">
        <v>153</v>
      </c>
      <c r="O517" s="88">
        <v>30</v>
      </c>
    </row>
    <row r="518" spans="1:67" s="94" customFormat="1">
      <c r="A518" s="90" t="s">
        <v>154</v>
      </c>
      <c r="B518" s="91" t="s">
        <v>155</v>
      </c>
      <c r="C518" s="91">
        <v>1</v>
      </c>
      <c r="D518" s="92">
        <v>2</v>
      </c>
      <c r="E518" s="92">
        <v>3</v>
      </c>
      <c r="F518" s="92">
        <v>4</v>
      </c>
      <c r="G518" s="92">
        <v>5</v>
      </c>
      <c r="H518" s="92">
        <v>6</v>
      </c>
      <c r="I518" s="92">
        <v>7</v>
      </c>
      <c r="J518" s="92">
        <v>8</v>
      </c>
      <c r="K518" s="92">
        <v>9</v>
      </c>
      <c r="L518" s="92">
        <v>10</v>
      </c>
      <c r="M518" s="92">
        <v>11</v>
      </c>
      <c r="N518" s="92">
        <v>12</v>
      </c>
      <c r="O518" s="92">
        <v>13</v>
      </c>
      <c r="P518" s="92">
        <v>14</v>
      </c>
      <c r="Q518" s="92">
        <v>15</v>
      </c>
      <c r="R518" s="92">
        <v>16</v>
      </c>
      <c r="S518" s="92">
        <v>17</v>
      </c>
      <c r="T518" s="92">
        <v>18</v>
      </c>
      <c r="U518" s="92">
        <v>19</v>
      </c>
      <c r="V518" s="92">
        <v>20</v>
      </c>
      <c r="W518" s="92">
        <v>21</v>
      </c>
      <c r="X518" s="92">
        <v>22</v>
      </c>
      <c r="Y518" s="92">
        <v>23</v>
      </c>
      <c r="Z518" s="92">
        <v>24</v>
      </c>
      <c r="AA518" s="92">
        <v>25</v>
      </c>
      <c r="AB518" s="92">
        <v>26</v>
      </c>
      <c r="AC518" s="92">
        <v>27</v>
      </c>
      <c r="AD518" s="92">
        <v>28</v>
      </c>
      <c r="AE518" s="92">
        <v>29</v>
      </c>
      <c r="AF518" s="92">
        <v>30</v>
      </c>
      <c r="AG518" s="92">
        <v>31</v>
      </c>
      <c r="AH518" s="92">
        <v>32</v>
      </c>
      <c r="AI518" s="92">
        <v>33</v>
      </c>
      <c r="AJ518" s="92">
        <v>34</v>
      </c>
      <c r="AK518" s="92">
        <v>35</v>
      </c>
      <c r="AL518" s="92">
        <v>36</v>
      </c>
      <c r="AM518" s="92">
        <v>37</v>
      </c>
      <c r="AN518" s="92">
        <v>38</v>
      </c>
      <c r="AO518" s="92">
        <v>39</v>
      </c>
      <c r="AP518" s="92">
        <v>40</v>
      </c>
      <c r="AQ518" s="92">
        <v>41</v>
      </c>
      <c r="AR518" s="92">
        <v>42</v>
      </c>
      <c r="AS518" s="92">
        <v>43</v>
      </c>
      <c r="AT518" s="92">
        <v>44</v>
      </c>
      <c r="AU518" s="92">
        <v>45</v>
      </c>
      <c r="AV518" s="92">
        <v>46</v>
      </c>
      <c r="AW518" s="92">
        <v>47</v>
      </c>
      <c r="AX518" s="92">
        <v>48</v>
      </c>
      <c r="AY518" s="92">
        <v>49</v>
      </c>
      <c r="AZ518" s="92">
        <v>50</v>
      </c>
      <c r="BA518" s="92">
        <v>51</v>
      </c>
      <c r="BB518" s="92">
        <v>52</v>
      </c>
      <c r="BC518" s="92">
        <v>53</v>
      </c>
      <c r="BD518" s="92">
        <v>54</v>
      </c>
      <c r="BE518" s="92">
        <v>55</v>
      </c>
      <c r="BF518" s="92">
        <v>56</v>
      </c>
      <c r="BG518" s="92">
        <v>57</v>
      </c>
      <c r="BH518" s="92">
        <v>58</v>
      </c>
      <c r="BI518" s="92">
        <v>59</v>
      </c>
      <c r="BJ518" s="93">
        <v>60</v>
      </c>
    </row>
    <row r="519" spans="1:67" s="100" customFormat="1">
      <c r="A519" s="95" t="s">
        <v>156</v>
      </c>
      <c r="B519" s="97">
        <f>SUM(C519:BJ519)</f>
        <v>4000</v>
      </c>
      <c r="C519" s="97">
        <v>0</v>
      </c>
      <c r="D519" s="98">
        <v>0</v>
      </c>
      <c r="E519" s="98">
        <v>0</v>
      </c>
      <c r="F519" s="98">
        <v>0</v>
      </c>
      <c r="G519" s="98">
        <v>0</v>
      </c>
      <c r="H519" s="98">
        <v>60.79999999999999</v>
      </c>
      <c r="I519" s="98">
        <v>121.59999999999998</v>
      </c>
      <c r="J519" s="98">
        <v>182.39999999999995</v>
      </c>
      <c r="K519" s="98">
        <v>243.19999999999996</v>
      </c>
      <c r="L519" s="98">
        <v>348</v>
      </c>
      <c r="M519" s="98">
        <v>348</v>
      </c>
      <c r="N519" s="98">
        <v>348</v>
      </c>
      <c r="O519" s="98">
        <v>348</v>
      </c>
      <c r="P519" s="98">
        <v>348</v>
      </c>
      <c r="Q519" s="98">
        <v>348</v>
      </c>
      <c r="R519" s="98">
        <v>348</v>
      </c>
      <c r="S519" s="98">
        <v>348</v>
      </c>
      <c r="T519" s="98">
        <v>243.19999999999996</v>
      </c>
      <c r="U519" s="98">
        <v>182.39999999999995</v>
      </c>
      <c r="V519" s="98">
        <v>121.59999999999998</v>
      </c>
      <c r="W519" s="98">
        <v>60.79999999999999</v>
      </c>
      <c r="X519" s="98">
        <v>0</v>
      </c>
      <c r="Y519" s="98">
        <v>0</v>
      </c>
      <c r="Z519" s="98">
        <v>0</v>
      </c>
      <c r="AA519" s="98">
        <v>0</v>
      </c>
      <c r="AB519" s="98">
        <v>0</v>
      </c>
      <c r="AC519" s="98">
        <v>0</v>
      </c>
      <c r="AD519" s="98">
        <v>0</v>
      </c>
      <c r="AE519" s="98">
        <v>0</v>
      </c>
      <c r="AF519" s="98">
        <v>0</v>
      </c>
      <c r="AG519" s="98">
        <v>0</v>
      </c>
      <c r="AH519" s="98">
        <v>0</v>
      </c>
      <c r="AI519" s="98">
        <v>0</v>
      </c>
      <c r="AJ519" s="98">
        <v>0</v>
      </c>
      <c r="AK519" s="98">
        <v>0</v>
      </c>
      <c r="AL519" s="98">
        <v>0</v>
      </c>
      <c r="AM519" s="98">
        <v>0</v>
      </c>
      <c r="AN519" s="98">
        <v>0</v>
      </c>
      <c r="AO519" s="98">
        <v>0</v>
      </c>
      <c r="AP519" s="98">
        <v>0</v>
      </c>
      <c r="AQ519" s="98">
        <v>0</v>
      </c>
      <c r="AR519" s="98">
        <v>0</v>
      </c>
      <c r="AS519" s="98">
        <v>0</v>
      </c>
      <c r="AT519" s="98">
        <v>0</v>
      </c>
      <c r="AU519" s="98">
        <v>0</v>
      </c>
      <c r="AV519" s="98">
        <v>0</v>
      </c>
      <c r="AW519" s="98">
        <v>0</v>
      </c>
      <c r="AX519" s="98">
        <v>0</v>
      </c>
      <c r="AY519" s="98">
        <v>0</v>
      </c>
      <c r="AZ519" s="98">
        <v>0</v>
      </c>
      <c r="BA519" s="98">
        <v>0</v>
      </c>
      <c r="BB519" s="98">
        <v>0</v>
      </c>
      <c r="BC519" s="98">
        <v>0</v>
      </c>
      <c r="BD519" s="98">
        <v>0</v>
      </c>
      <c r="BE519" s="98">
        <v>0</v>
      </c>
      <c r="BF519" s="98">
        <v>0</v>
      </c>
      <c r="BG519" s="98">
        <v>0</v>
      </c>
      <c r="BH519" s="98">
        <v>0</v>
      </c>
      <c r="BI519" s="98">
        <v>0</v>
      </c>
      <c r="BJ519" s="99">
        <v>0</v>
      </c>
    </row>
    <row r="520" spans="1:67" s="105" customFormat="1">
      <c r="A520" s="101" t="s">
        <v>115</v>
      </c>
      <c r="B520" s="102">
        <f>SUM(C520:BJ520)</f>
        <v>3040313596.1273775</v>
      </c>
      <c r="C520" s="222">
        <f>(C528*(1+$E517))+(C519*$B626)+(C519*$B626*$M517)</f>
        <v>14820968.242764581</v>
      </c>
      <c r="D520" s="103">
        <f>(D528*(1+$E517))+(D519*$B626)+(D519*$B626*$M517)</f>
        <v>14820968.242764581</v>
      </c>
      <c r="E520" s="103">
        <f t="shared" ref="E520:BJ520" si="305">(E528*(1+$E517))+(E519*$B626)+(E519*$B626*$M517)</f>
        <v>14820968.242764581</v>
      </c>
      <c r="F520" s="103">
        <f t="shared" si="305"/>
        <v>14820968.242764581</v>
      </c>
      <c r="G520" s="103">
        <f t="shared" si="305"/>
        <v>14820968.242764581</v>
      </c>
      <c r="H520" s="103">
        <f t="shared" si="305"/>
        <v>45086373.074686028</v>
      </c>
      <c r="I520" s="103">
        <f t="shared" si="305"/>
        <v>90172746.149372056</v>
      </c>
      <c r="J520" s="103">
        <f t="shared" si="305"/>
        <v>135259119.22405806</v>
      </c>
      <c r="K520" s="103">
        <f t="shared" si="305"/>
        <v>180345492.29874411</v>
      </c>
      <c r="L520" s="103">
        <f t="shared" si="305"/>
        <v>258060161.67747924</v>
      </c>
      <c r="M520" s="103">
        <f t="shared" si="305"/>
        <v>258060161.67747924</v>
      </c>
      <c r="N520" s="103">
        <f t="shared" si="305"/>
        <v>258060161.67747924</v>
      </c>
      <c r="O520" s="103">
        <f t="shared" si="305"/>
        <v>258060161.67747924</v>
      </c>
      <c r="P520" s="103">
        <f t="shared" si="305"/>
        <v>258060161.67747924</v>
      </c>
      <c r="Q520" s="103">
        <f t="shared" si="305"/>
        <v>258060161.67747924</v>
      </c>
      <c r="R520" s="103">
        <f t="shared" si="305"/>
        <v>258060161.67747924</v>
      </c>
      <c r="S520" s="103">
        <f t="shared" si="305"/>
        <v>258060161.67747924</v>
      </c>
      <c r="T520" s="103">
        <f t="shared" si="305"/>
        <v>180345492.29874411</v>
      </c>
      <c r="U520" s="103">
        <f t="shared" si="305"/>
        <v>135259119.22405806</v>
      </c>
      <c r="V520" s="103">
        <f t="shared" si="305"/>
        <v>90172746.149372056</v>
      </c>
      <c r="W520" s="103">
        <f t="shared" si="305"/>
        <v>45086373.074686028</v>
      </c>
      <c r="X520" s="103">
        <f t="shared" si="305"/>
        <v>0</v>
      </c>
      <c r="Y520" s="103">
        <f t="shared" si="305"/>
        <v>0</v>
      </c>
      <c r="Z520" s="103">
        <f t="shared" si="305"/>
        <v>0</v>
      </c>
      <c r="AA520" s="103">
        <f t="shared" si="305"/>
        <v>0</v>
      </c>
      <c r="AB520" s="103">
        <f t="shared" si="305"/>
        <v>0</v>
      </c>
      <c r="AC520" s="103">
        <f t="shared" si="305"/>
        <v>0</v>
      </c>
      <c r="AD520" s="103">
        <f t="shared" si="305"/>
        <v>0</v>
      </c>
      <c r="AE520" s="103">
        <f t="shared" si="305"/>
        <v>0</v>
      </c>
      <c r="AF520" s="103">
        <f t="shared" si="305"/>
        <v>0</v>
      </c>
      <c r="AG520" s="103">
        <f t="shared" si="305"/>
        <v>0</v>
      </c>
      <c r="AH520" s="103">
        <f t="shared" si="305"/>
        <v>0</v>
      </c>
      <c r="AI520" s="103">
        <f t="shared" si="305"/>
        <v>0</v>
      </c>
      <c r="AJ520" s="103">
        <f t="shared" si="305"/>
        <v>0</v>
      </c>
      <c r="AK520" s="103">
        <f t="shared" si="305"/>
        <v>0</v>
      </c>
      <c r="AL520" s="103">
        <f t="shared" si="305"/>
        <v>0</v>
      </c>
      <c r="AM520" s="103">
        <f t="shared" si="305"/>
        <v>0</v>
      </c>
      <c r="AN520" s="103">
        <f t="shared" si="305"/>
        <v>0</v>
      </c>
      <c r="AO520" s="103">
        <f t="shared" si="305"/>
        <v>0</v>
      </c>
      <c r="AP520" s="103">
        <f t="shared" si="305"/>
        <v>0</v>
      </c>
      <c r="AQ520" s="103">
        <f t="shared" si="305"/>
        <v>0</v>
      </c>
      <c r="AR520" s="103">
        <f t="shared" si="305"/>
        <v>0</v>
      </c>
      <c r="AS520" s="103">
        <f t="shared" si="305"/>
        <v>0</v>
      </c>
      <c r="AT520" s="103">
        <f t="shared" si="305"/>
        <v>0</v>
      </c>
      <c r="AU520" s="103">
        <f t="shared" si="305"/>
        <v>0</v>
      </c>
      <c r="AV520" s="103">
        <f t="shared" si="305"/>
        <v>0</v>
      </c>
      <c r="AW520" s="103">
        <f t="shared" si="305"/>
        <v>0</v>
      </c>
      <c r="AX520" s="103">
        <f t="shared" si="305"/>
        <v>0</v>
      </c>
      <c r="AY520" s="103">
        <f t="shared" si="305"/>
        <v>0</v>
      </c>
      <c r="AZ520" s="103">
        <f t="shared" si="305"/>
        <v>0</v>
      </c>
      <c r="BA520" s="103">
        <f t="shared" si="305"/>
        <v>0</v>
      </c>
      <c r="BB520" s="103">
        <f t="shared" si="305"/>
        <v>0</v>
      </c>
      <c r="BC520" s="103">
        <f t="shared" si="305"/>
        <v>0</v>
      </c>
      <c r="BD520" s="103">
        <f t="shared" si="305"/>
        <v>0</v>
      </c>
      <c r="BE520" s="103">
        <f t="shared" si="305"/>
        <v>0</v>
      </c>
      <c r="BF520" s="103">
        <f t="shared" si="305"/>
        <v>0</v>
      </c>
      <c r="BG520" s="103">
        <f t="shared" si="305"/>
        <v>0</v>
      </c>
      <c r="BH520" s="103">
        <f t="shared" si="305"/>
        <v>0</v>
      </c>
      <c r="BI520" s="103">
        <f t="shared" si="305"/>
        <v>0</v>
      </c>
      <c r="BJ520" s="104">
        <f t="shared" si="305"/>
        <v>0</v>
      </c>
    </row>
    <row r="521" spans="1:67" s="105" customFormat="1">
      <c r="A521" s="106" t="s">
        <v>116</v>
      </c>
      <c r="B521" s="107">
        <f>SUM(B528,B522:B523)</f>
        <v>1082694862.7348497</v>
      </c>
      <c r="C521" s="133">
        <f>SUM(C522,C523,C528)</f>
        <v>11856774.594211664</v>
      </c>
      <c r="D521" s="134">
        <f>D522+D523+D528</f>
        <v>11856774.594211664</v>
      </c>
      <c r="E521" s="134">
        <f t="shared" ref="E521:BJ521" si="306">E522+E523+E528</f>
        <v>11856774.594211664</v>
      </c>
      <c r="F521" s="134">
        <f t="shared" si="306"/>
        <v>11856774.594211664</v>
      </c>
      <c r="G521" s="134">
        <f t="shared" si="306"/>
        <v>11856774.594211664</v>
      </c>
      <c r="H521" s="134">
        <f t="shared" si="306"/>
        <v>15555847.044409629</v>
      </c>
      <c r="I521" s="134">
        <f t="shared" si="306"/>
        <v>31111694.088819258</v>
      </c>
      <c r="J521" s="134">
        <f t="shared" si="306"/>
        <v>46667541.133228883</v>
      </c>
      <c r="K521" s="134">
        <f t="shared" si="306"/>
        <v>62223388.177638516</v>
      </c>
      <c r="L521" s="134">
        <f t="shared" si="306"/>
        <v>89036756.109449863</v>
      </c>
      <c r="M521" s="134">
        <f t="shared" si="306"/>
        <v>89036756.109449863</v>
      </c>
      <c r="N521" s="134">
        <f t="shared" si="306"/>
        <v>89036756.109449863</v>
      </c>
      <c r="O521" s="134">
        <f t="shared" si="306"/>
        <v>89036756.109449863</v>
      </c>
      <c r="P521" s="134">
        <f t="shared" si="306"/>
        <v>89036756.109449863</v>
      </c>
      <c r="Q521" s="134">
        <f t="shared" si="306"/>
        <v>89036756.109449863</v>
      </c>
      <c r="R521" s="134">
        <f t="shared" si="306"/>
        <v>89036756.109449863</v>
      </c>
      <c r="S521" s="134">
        <f t="shared" si="306"/>
        <v>89036756.109449863</v>
      </c>
      <c r="T521" s="134">
        <f t="shared" si="306"/>
        <v>62223388.177638516</v>
      </c>
      <c r="U521" s="134">
        <f t="shared" si="306"/>
        <v>46667541.133228883</v>
      </c>
      <c r="V521" s="134">
        <f t="shared" si="306"/>
        <v>31111694.088819258</v>
      </c>
      <c r="W521" s="134">
        <f t="shared" si="306"/>
        <v>15555847.044409629</v>
      </c>
      <c r="X521" s="134">
        <f t="shared" si="306"/>
        <v>0</v>
      </c>
      <c r="Y521" s="134">
        <f t="shared" si="306"/>
        <v>0</v>
      </c>
      <c r="Z521" s="134">
        <f t="shared" si="306"/>
        <v>0</v>
      </c>
      <c r="AA521" s="134">
        <f t="shared" si="306"/>
        <v>0</v>
      </c>
      <c r="AB521" s="134">
        <f t="shared" si="306"/>
        <v>0</v>
      </c>
      <c r="AC521" s="134">
        <f t="shared" si="306"/>
        <v>0</v>
      </c>
      <c r="AD521" s="134">
        <f t="shared" si="306"/>
        <v>0</v>
      </c>
      <c r="AE521" s="134">
        <f t="shared" si="306"/>
        <v>0</v>
      </c>
      <c r="AF521" s="134">
        <f t="shared" si="306"/>
        <v>0</v>
      </c>
      <c r="AG521" s="134">
        <f t="shared" si="306"/>
        <v>0</v>
      </c>
      <c r="AH521" s="134">
        <f t="shared" si="306"/>
        <v>0</v>
      </c>
      <c r="AI521" s="134">
        <f t="shared" si="306"/>
        <v>0</v>
      </c>
      <c r="AJ521" s="134">
        <f t="shared" si="306"/>
        <v>0</v>
      </c>
      <c r="AK521" s="134">
        <f t="shared" si="306"/>
        <v>0</v>
      </c>
      <c r="AL521" s="134">
        <f t="shared" si="306"/>
        <v>0</v>
      </c>
      <c r="AM521" s="134">
        <f t="shared" si="306"/>
        <v>0</v>
      </c>
      <c r="AN521" s="134">
        <f t="shared" si="306"/>
        <v>0</v>
      </c>
      <c r="AO521" s="134">
        <f t="shared" si="306"/>
        <v>0</v>
      </c>
      <c r="AP521" s="134">
        <f t="shared" si="306"/>
        <v>0</v>
      </c>
      <c r="AQ521" s="134">
        <f t="shared" si="306"/>
        <v>0</v>
      </c>
      <c r="AR521" s="134">
        <f t="shared" si="306"/>
        <v>0</v>
      </c>
      <c r="AS521" s="134">
        <f t="shared" si="306"/>
        <v>0</v>
      </c>
      <c r="AT521" s="134">
        <f t="shared" si="306"/>
        <v>0</v>
      </c>
      <c r="AU521" s="134">
        <f t="shared" si="306"/>
        <v>0</v>
      </c>
      <c r="AV521" s="134">
        <f t="shared" si="306"/>
        <v>0</v>
      </c>
      <c r="AW521" s="134">
        <f t="shared" si="306"/>
        <v>0</v>
      </c>
      <c r="AX521" s="134">
        <f t="shared" si="306"/>
        <v>0</v>
      </c>
      <c r="AY521" s="134">
        <f t="shared" si="306"/>
        <v>0</v>
      </c>
      <c r="AZ521" s="134">
        <f t="shared" si="306"/>
        <v>0</v>
      </c>
      <c r="BA521" s="134">
        <f t="shared" si="306"/>
        <v>0</v>
      </c>
      <c r="BB521" s="134">
        <f t="shared" si="306"/>
        <v>0</v>
      </c>
      <c r="BC521" s="134">
        <f t="shared" si="306"/>
        <v>0</v>
      </c>
      <c r="BD521" s="134">
        <f t="shared" si="306"/>
        <v>0</v>
      </c>
      <c r="BE521" s="134">
        <f t="shared" si="306"/>
        <v>0</v>
      </c>
      <c r="BF521" s="134">
        <f t="shared" si="306"/>
        <v>0</v>
      </c>
      <c r="BG521" s="134">
        <f t="shared" si="306"/>
        <v>0</v>
      </c>
      <c r="BH521" s="134">
        <f t="shared" si="306"/>
        <v>0</v>
      </c>
      <c r="BI521" s="134">
        <f t="shared" si="306"/>
        <v>0</v>
      </c>
      <c r="BJ521" s="135">
        <f t="shared" si="306"/>
        <v>0</v>
      </c>
    </row>
    <row r="522" spans="1:67" s="116" customFormat="1">
      <c r="A522" s="111" t="s">
        <v>117</v>
      </c>
      <c r="B522" s="112">
        <f>SUM(C522:BJ522)</f>
        <v>890481089.35896897</v>
      </c>
      <c r="C522" s="223">
        <v>0</v>
      </c>
      <c r="D522" s="118">
        <v>0</v>
      </c>
      <c r="E522" s="118">
        <v>0</v>
      </c>
      <c r="F522" s="118">
        <v>0</v>
      </c>
      <c r="G522" s="118">
        <v>0</v>
      </c>
      <c r="H522" s="118">
        <v>13535312.558256328</v>
      </c>
      <c r="I522" s="118">
        <v>27070625.116512656</v>
      </c>
      <c r="J522" s="118">
        <v>40605937.674768984</v>
      </c>
      <c r="K522" s="118">
        <v>54141250.233025312</v>
      </c>
      <c r="L522" s="118">
        <v>77471854.774230316</v>
      </c>
      <c r="M522" s="118">
        <v>77471854.774230316</v>
      </c>
      <c r="N522" s="118">
        <v>77471854.774230316</v>
      </c>
      <c r="O522" s="118">
        <v>77471854.774230316</v>
      </c>
      <c r="P522" s="118">
        <v>77471854.774230316</v>
      </c>
      <c r="Q522" s="118">
        <v>77471854.774230316</v>
      </c>
      <c r="R522" s="118">
        <v>77471854.774230316</v>
      </c>
      <c r="S522" s="118">
        <v>77471854.774230316</v>
      </c>
      <c r="T522" s="118">
        <v>54141250.233025312</v>
      </c>
      <c r="U522" s="118">
        <v>40605937.674768984</v>
      </c>
      <c r="V522" s="118">
        <v>27070625.116512656</v>
      </c>
      <c r="W522" s="118">
        <v>13535312.558256328</v>
      </c>
      <c r="X522" s="118">
        <v>0</v>
      </c>
      <c r="Y522" s="118">
        <v>0</v>
      </c>
      <c r="Z522" s="118">
        <v>0</v>
      </c>
      <c r="AA522" s="118">
        <v>0</v>
      </c>
      <c r="AB522" s="118">
        <v>0</v>
      </c>
      <c r="AC522" s="118">
        <v>0</v>
      </c>
      <c r="AD522" s="118">
        <v>0</v>
      </c>
      <c r="AE522" s="118">
        <v>0</v>
      </c>
      <c r="AF522" s="118">
        <v>0</v>
      </c>
      <c r="AG522" s="118">
        <v>0</v>
      </c>
      <c r="AH522" s="118">
        <v>0</v>
      </c>
      <c r="AI522" s="118">
        <v>0</v>
      </c>
      <c r="AJ522" s="118">
        <v>0</v>
      </c>
      <c r="AK522" s="118">
        <v>0</v>
      </c>
      <c r="AL522" s="118">
        <v>0</v>
      </c>
      <c r="AM522" s="118">
        <v>0</v>
      </c>
      <c r="AN522" s="118">
        <v>0</v>
      </c>
      <c r="AO522" s="118">
        <v>0</v>
      </c>
      <c r="AP522" s="118">
        <v>0</v>
      </c>
      <c r="AQ522" s="118">
        <v>0</v>
      </c>
      <c r="AR522" s="118">
        <v>0</v>
      </c>
      <c r="AS522" s="118">
        <v>0</v>
      </c>
      <c r="AT522" s="118">
        <v>0</v>
      </c>
      <c r="AU522" s="118">
        <v>0</v>
      </c>
      <c r="AV522" s="118">
        <v>0</v>
      </c>
      <c r="AW522" s="118">
        <v>0</v>
      </c>
      <c r="AX522" s="118">
        <v>0</v>
      </c>
      <c r="AY522" s="118">
        <v>0</v>
      </c>
      <c r="AZ522" s="118">
        <v>0</v>
      </c>
      <c r="BA522" s="118">
        <v>0</v>
      </c>
      <c r="BB522" s="118">
        <v>0</v>
      </c>
      <c r="BC522" s="118">
        <v>0</v>
      </c>
      <c r="BD522" s="118">
        <v>0</v>
      </c>
      <c r="BE522" s="118">
        <v>0</v>
      </c>
      <c r="BF522" s="118">
        <v>0</v>
      </c>
      <c r="BG522" s="118">
        <v>0</v>
      </c>
      <c r="BH522" s="118">
        <v>0</v>
      </c>
      <c r="BI522" s="118">
        <v>0</v>
      </c>
      <c r="BJ522" s="119">
        <v>0</v>
      </c>
    </row>
    <row r="523" spans="1:67" s="116" customFormat="1">
      <c r="A523" s="111" t="s">
        <v>118</v>
      </c>
      <c r="B523" s="112">
        <f>SUM(B524:B527)</f>
        <v>132929900.40482242</v>
      </c>
      <c r="C523" s="117">
        <f>SUM(C524:C527)</f>
        <v>0</v>
      </c>
      <c r="D523" s="118">
        <f>SUM(D524:D527)</f>
        <v>0</v>
      </c>
      <c r="E523" s="118">
        <f t="shared" ref="E523:BJ523" si="307">SUM(E524:E527)</f>
        <v>0</v>
      </c>
      <c r="F523" s="118">
        <f t="shared" si="307"/>
        <v>0</v>
      </c>
      <c r="G523" s="118">
        <f t="shared" si="307"/>
        <v>0</v>
      </c>
      <c r="H523" s="118">
        <f t="shared" si="307"/>
        <v>2020534.4861533006</v>
      </c>
      <c r="I523" s="118">
        <f t="shared" si="307"/>
        <v>4041068.9723066012</v>
      </c>
      <c r="J523" s="118">
        <f t="shared" si="307"/>
        <v>6061603.4584598998</v>
      </c>
      <c r="K523" s="118">
        <f t="shared" si="307"/>
        <v>8082137.9446132025</v>
      </c>
      <c r="L523" s="118">
        <f t="shared" si="307"/>
        <v>11564901.335219551</v>
      </c>
      <c r="M523" s="118">
        <f t="shared" si="307"/>
        <v>11564901.335219551</v>
      </c>
      <c r="N523" s="118">
        <f t="shared" si="307"/>
        <v>11564901.335219551</v>
      </c>
      <c r="O523" s="118">
        <f t="shared" si="307"/>
        <v>11564901.335219551</v>
      </c>
      <c r="P523" s="118">
        <f t="shared" si="307"/>
        <v>11564901.335219551</v>
      </c>
      <c r="Q523" s="118">
        <f t="shared" si="307"/>
        <v>11564901.335219551</v>
      </c>
      <c r="R523" s="118">
        <f t="shared" si="307"/>
        <v>11564901.335219551</v>
      </c>
      <c r="S523" s="118">
        <f t="shared" si="307"/>
        <v>11564901.335219551</v>
      </c>
      <c r="T523" s="118">
        <f t="shared" si="307"/>
        <v>8082137.9446132025</v>
      </c>
      <c r="U523" s="118">
        <f t="shared" si="307"/>
        <v>6061603.4584598998</v>
      </c>
      <c r="V523" s="118">
        <f t="shared" si="307"/>
        <v>4041068.9723066012</v>
      </c>
      <c r="W523" s="118">
        <f t="shared" si="307"/>
        <v>2020534.4861533006</v>
      </c>
      <c r="X523" s="118">
        <f t="shared" si="307"/>
        <v>0</v>
      </c>
      <c r="Y523" s="118">
        <f t="shared" si="307"/>
        <v>0</v>
      </c>
      <c r="Z523" s="118">
        <f t="shared" si="307"/>
        <v>0</v>
      </c>
      <c r="AA523" s="118">
        <f t="shared" si="307"/>
        <v>0</v>
      </c>
      <c r="AB523" s="118">
        <f t="shared" si="307"/>
        <v>0</v>
      </c>
      <c r="AC523" s="118">
        <f t="shared" si="307"/>
        <v>0</v>
      </c>
      <c r="AD523" s="118">
        <f t="shared" si="307"/>
        <v>0</v>
      </c>
      <c r="AE523" s="118">
        <f t="shared" si="307"/>
        <v>0</v>
      </c>
      <c r="AF523" s="118">
        <f t="shared" si="307"/>
        <v>0</v>
      </c>
      <c r="AG523" s="118">
        <f t="shared" si="307"/>
        <v>0</v>
      </c>
      <c r="AH523" s="118">
        <f t="shared" si="307"/>
        <v>0</v>
      </c>
      <c r="AI523" s="118">
        <f t="shared" si="307"/>
        <v>0</v>
      </c>
      <c r="AJ523" s="118">
        <f t="shared" si="307"/>
        <v>0</v>
      </c>
      <c r="AK523" s="118">
        <f t="shared" si="307"/>
        <v>0</v>
      </c>
      <c r="AL523" s="118">
        <f t="shared" si="307"/>
        <v>0</v>
      </c>
      <c r="AM523" s="118">
        <f t="shared" si="307"/>
        <v>0</v>
      </c>
      <c r="AN523" s="118">
        <f t="shared" si="307"/>
        <v>0</v>
      </c>
      <c r="AO523" s="118">
        <f t="shared" si="307"/>
        <v>0</v>
      </c>
      <c r="AP523" s="118">
        <f t="shared" si="307"/>
        <v>0</v>
      </c>
      <c r="AQ523" s="118">
        <f t="shared" si="307"/>
        <v>0</v>
      </c>
      <c r="AR523" s="118">
        <f t="shared" si="307"/>
        <v>0</v>
      </c>
      <c r="AS523" s="118">
        <f t="shared" si="307"/>
        <v>0</v>
      </c>
      <c r="AT523" s="118">
        <f t="shared" si="307"/>
        <v>0</v>
      </c>
      <c r="AU523" s="118">
        <f t="shared" si="307"/>
        <v>0</v>
      </c>
      <c r="AV523" s="118">
        <f t="shared" si="307"/>
        <v>0</v>
      </c>
      <c r="AW523" s="118">
        <f t="shared" si="307"/>
        <v>0</v>
      </c>
      <c r="AX523" s="118">
        <f t="shared" si="307"/>
        <v>0</v>
      </c>
      <c r="AY523" s="118">
        <f t="shared" si="307"/>
        <v>0</v>
      </c>
      <c r="AZ523" s="118">
        <f t="shared" si="307"/>
        <v>0</v>
      </c>
      <c r="BA523" s="118">
        <f t="shared" si="307"/>
        <v>0</v>
      </c>
      <c r="BB523" s="118">
        <f t="shared" si="307"/>
        <v>0</v>
      </c>
      <c r="BC523" s="118">
        <f t="shared" si="307"/>
        <v>0</v>
      </c>
      <c r="BD523" s="118">
        <f t="shared" si="307"/>
        <v>0</v>
      </c>
      <c r="BE523" s="118">
        <f t="shared" si="307"/>
        <v>0</v>
      </c>
      <c r="BF523" s="118">
        <f t="shared" si="307"/>
        <v>0</v>
      </c>
      <c r="BG523" s="118">
        <f t="shared" si="307"/>
        <v>0</v>
      </c>
      <c r="BH523" s="118">
        <f t="shared" si="307"/>
        <v>0</v>
      </c>
      <c r="BI523" s="118">
        <f t="shared" si="307"/>
        <v>0</v>
      </c>
      <c r="BJ523" s="119">
        <f t="shared" si="307"/>
        <v>0</v>
      </c>
    </row>
    <row r="524" spans="1:67" s="125" customFormat="1" ht="12.75">
      <c r="A524" s="120" t="s">
        <v>119</v>
      </c>
      <c r="B524" s="121">
        <f t="shared" ref="B524:B529" si="308">SUM(C524:BJ524)</f>
        <v>57061417.702692777</v>
      </c>
      <c r="C524" s="224">
        <v>0</v>
      </c>
      <c r="D524" s="123">
        <v>0</v>
      </c>
      <c r="E524" s="123">
        <v>0</v>
      </c>
      <c r="F524" s="123">
        <v>0</v>
      </c>
      <c r="G524" s="123">
        <v>0</v>
      </c>
      <c r="H524" s="123">
        <v>867333.54908093007</v>
      </c>
      <c r="I524" s="123">
        <v>1734667.0981618601</v>
      </c>
      <c r="J524" s="123">
        <v>2602000.6472427901</v>
      </c>
      <c r="K524" s="123">
        <v>3469334.1963237203</v>
      </c>
      <c r="L524" s="123">
        <v>4964343.3401342714</v>
      </c>
      <c r="M524" s="123">
        <v>4964343.3401342714</v>
      </c>
      <c r="N524" s="123">
        <v>4964343.3401342714</v>
      </c>
      <c r="O524" s="123">
        <v>4964343.3401342714</v>
      </c>
      <c r="P524" s="123">
        <v>4964343.3401342714</v>
      </c>
      <c r="Q524" s="123">
        <v>4964343.3401342714</v>
      </c>
      <c r="R524" s="123">
        <v>4964343.3401342714</v>
      </c>
      <c r="S524" s="123">
        <v>4964343.3401342714</v>
      </c>
      <c r="T524" s="123">
        <v>3469334.1963237203</v>
      </c>
      <c r="U524" s="123">
        <v>2602000.6472427901</v>
      </c>
      <c r="V524" s="123">
        <v>1734667.0981618601</v>
      </c>
      <c r="W524" s="123">
        <v>867333.54908093007</v>
      </c>
      <c r="X524" s="123">
        <v>0</v>
      </c>
      <c r="Y524" s="123">
        <v>0</v>
      </c>
      <c r="Z524" s="123">
        <v>0</v>
      </c>
      <c r="AA524" s="123">
        <v>0</v>
      </c>
      <c r="AB524" s="123">
        <v>0</v>
      </c>
      <c r="AC524" s="123">
        <v>0</v>
      </c>
      <c r="AD524" s="123">
        <v>0</v>
      </c>
      <c r="AE524" s="123">
        <v>0</v>
      </c>
      <c r="AF524" s="123">
        <v>0</v>
      </c>
      <c r="AG524" s="123">
        <v>0</v>
      </c>
      <c r="AH524" s="123">
        <v>0</v>
      </c>
      <c r="AI524" s="123">
        <v>0</v>
      </c>
      <c r="AJ524" s="123">
        <v>0</v>
      </c>
      <c r="AK524" s="123">
        <v>0</v>
      </c>
      <c r="AL524" s="123">
        <v>0</v>
      </c>
      <c r="AM524" s="123">
        <v>0</v>
      </c>
      <c r="AN524" s="123">
        <v>0</v>
      </c>
      <c r="AO524" s="123">
        <v>0</v>
      </c>
      <c r="AP524" s="123">
        <v>0</v>
      </c>
      <c r="AQ524" s="123">
        <v>0</v>
      </c>
      <c r="AR524" s="123">
        <v>0</v>
      </c>
      <c r="AS524" s="123">
        <v>0</v>
      </c>
      <c r="AT524" s="123">
        <v>0</v>
      </c>
      <c r="AU524" s="123">
        <v>0</v>
      </c>
      <c r="AV524" s="123">
        <v>0</v>
      </c>
      <c r="AW524" s="123">
        <v>0</v>
      </c>
      <c r="AX524" s="123">
        <v>0</v>
      </c>
      <c r="AY524" s="123">
        <v>0</v>
      </c>
      <c r="AZ524" s="123">
        <v>0</v>
      </c>
      <c r="BA524" s="123">
        <v>0</v>
      </c>
      <c r="BB524" s="123">
        <v>0</v>
      </c>
      <c r="BC524" s="123">
        <v>0</v>
      </c>
      <c r="BD524" s="123">
        <v>0</v>
      </c>
      <c r="BE524" s="123">
        <v>0</v>
      </c>
      <c r="BF524" s="123">
        <v>0</v>
      </c>
      <c r="BG524" s="123">
        <v>0</v>
      </c>
      <c r="BH524" s="123">
        <v>0</v>
      </c>
      <c r="BI524" s="123">
        <v>0</v>
      </c>
      <c r="BJ524" s="124">
        <v>0</v>
      </c>
    </row>
    <row r="525" spans="1:67" s="125" customFormat="1" ht="12.75">
      <c r="A525" s="120" t="s">
        <v>120</v>
      </c>
      <c r="B525" s="121">
        <f t="shared" si="308"/>
        <v>60841786.816964447</v>
      </c>
      <c r="C525" s="224">
        <v>0</v>
      </c>
      <c r="D525" s="123">
        <v>0</v>
      </c>
      <c r="E525" s="123">
        <v>0</v>
      </c>
      <c r="F525" s="123">
        <v>0</v>
      </c>
      <c r="G525" s="123">
        <v>0</v>
      </c>
      <c r="H525" s="123">
        <v>924795.15961785952</v>
      </c>
      <c r="I525" s="123">
        <v>1849590.319235719</v>
      </c>
      <c r="J525" s="123">
        <v>2774385.4788535782</v>
      </c>
      <c r="K525" s="123">
        <v>3699180.6384714381</v>
      </c>
      <c r="L525" s="123">
        <v>5293235.4530759072</v>
      </c>
      <c r="M525" s="123">
        <v>5293235.4530759072</v>
      </c>
      <c r="N525" s="123">
        <v>5293235.4530759072</v>
      </c>
      <c r="O525" s="123">
        <v>5293235.4530759072</v>
      </c>
      <c r="P525" s="123">
        <v>5293235.4530759072</v>
      </c>
      <c r="Q525" s="123">
        <v>5293235.4530759072</v>
      </c>
      <c r="R525" s="123">
        <v>5293235.4530759072</v>
      </c>
      <c r="S525" s="123">
        <v>5293235.4530759072</v>
      </c>
      <c r="T525" s="123">
        <v>3699180.6384714381</v>
      </c>
      <c r="U525" s="123">
        <v>2774385.4788535782</v>
      </c>
      <c r="V525" s="123">
        <v>1849590.319235719</v>
      </c>
      <c r="W525" s="123">
        <v>924795.15961785952</v>
      </c>
      <c r="X525" s="123">
        <v>0</v>
      </c>
      <c r="Y525" s="123">
        <v>0</v>
      </c>
      <c r="Z525" s="123">
        <v>0</v>
      </c>
      <c r="AA525" s="123">
        <v>0</v>
      </c>
      <c r="AB525" s="123">
        <v>0</v>
      </c>
      <c r="AC525" s="123">
        <v>0</v>
      </c>
      <c r="AD525" s="123">
        <v>0</v>
      </c>
      <c r="AE525" s="123">
        <v>0</v>
      </c>
      <c r="AF525" s="123">
        <v>0</v>
      </c>
      <c r="AG525" s="123">
        <v>0</v>
      </c>
      <c r="AH525" s="123">
        <v>0</v>
      </c>
      <c r="AI525" s="123">
        <v>0</v>
      </c>
      <c r="AJ525" s="123">
        <v>0</v>
      </c>
      <c r="AK525" s="123">
        <v>0</v>
      </c>
      <c r="AL525" s="123">
        <v>0</v>
      </c>
      <c r="AM525" s="123">
        <v>0</v>
      </c>
      <c r="AN525" s="123">
        <v>0</v>
      </c>
      <c r="AO525" s="123">
        <v>0</v>
      </c>
      <c r="AP525" s="123">
        <v>0</v>
      </c>
      <c r="AQ525" s="123">
        <v>0</v>
      </c>
      <c r="AR525" s="123">
        <v>0</v>
      </c>
      <c r="AS525" s="123">
        <v>0</v>
      </c>
      <c r="AT525" s="123">
        <v>0</v>
      </c>
      <c r="AU525" s="123">
        <v>0</v>
      </c>
      <c r="AV525" s="123">
        <v>0</v>
      </c>
      <c r="AW525" s="123">
        <v>0</v>
      </c>
      <c r="AX525" s="123">
        <v>0</v>
      </c>
      <c r="AY525" s="123">
        <v>0</v>
      </c>
      <c r="AZ525" s="123">
        <v>0</v>
      </c>
      <c r="BA525" s="123">
        <v>0</v>
      </c>
      <c r="BB525" s="123">
        <v>0</v>
      </c>
      <c r="BC525" s="123">
        <v>0</v>
      </c>
      <c r="BD525" s="123">
        <v>0</v>
      </c>
      <c r="BE525" s="123">
        <v>0</v>
      </c>
      <c r="BF525" s="123">
        <v>0</v>
      </c>
      <c r="BG525" s="123">
        <v>0</v>
      </c>
      <c r="BH525" s="123">
        <v>0</v>
      </c>
      <c r="BI525" s="123">
        <v>0</v>
      </c>
      <c r="BJ525" s="124">
        <v>0</v>
      </c>
      <c r="BO525" s="126"/>
    </row>
    <row r="526" spans="1:67" s="125" customFormat="1" ht="12.75">
      <c r="A526" s="120" t="s">
        <v>121</v>
      </c>
      <c r="B526" s="121">
        <f t="shared" si="308"/>
        <v>12549430.093997996</v>
      </c>
      <c r="C526" s="224">
        <v>0</v>
      </c>
      <c r="D526" s="123">
        <v>0</v>
      </c>
      <c r="E526" s="123">
        <v>0</v>
      </c>
      <c r="F526" s="123">
        <v>0</v>
      </c>
      <c r="G526" s="123">
        <v>0</v>
      </c>
      <c r="H526" s="123">
        <v>190751.3374287695</v>
      </c>
      <c r="I526" s="123">
        <v>381502.67485753901</v>
      </c>
      <c r="J526" s="123">
        <v>572254.01228630845</v>
      </c>
      <c r="K526" s="123">
        <v>763005.34971507802</v>
      </c>
      <c r="L526" s="123">
        <v>1091800.4181778256</v>
      </c>
      <c r="M526" s="123">
        <v>1091800.4181778256</v>
      </c>
      <c r="N526" s="123">
        <v>1091800.4181778256</v>
      </c>
      <c r="O526" s="123">
        <v>1091800.4181778256</v>
      </c>
      <c r="P526" s="123">
        <v>1091800.4181778256</v>
      </c>
      <c r="Q526" s="123">
        <v>1091800.4181778256</v>
      </c>
      <c r="R526" s="123">
        <v>1091800.4181778256</v>
      </c>
      <c r="S526" s="123">
        <v>1091800.4181778256</v>
      </c>
      <c r="T526" s="123">
        <v>763005.34971507802</v>
      </c>
      <c r="U526" s="123">
        <v>572254.01228630845</v>
      </c>
      <c r="V526" s="123">
        <v>381502.67485753901</v>
      </c>
      <c r="W526" s="123">
        <v>190751.3374287695</v>
      </c>
      <c r="X526" s="123">
        <v>0</v>
      </c>
      <c r="Y526" s="123">
        <v>0</v>
      </c>
      <c r="Z526" s="123">
        <v>0</v>
      </c>
      <c r="AA526" s="123">
        <v>0</v>
      </c>
      <c r="AB526" s="123">
        <v>0</v>
      </c>
      <c r="AC526" s="123">
        <v>0</v>
      </c>
      <c r="AD526" s="123">
        <v>0</v>
      </c>
      <c r="AE526" s="123">
        <v>0</v>
      </c>
      <c r="AF526" s="123">
        <v>0</v>
      </c>
      <c r="AG526" s="123">
        <v>0</v>
      </c>
      <c r="AH526" s="123">
        <v>0</v>
      </c>
      <c r="AI526" s="123">
        <v>0</v>
      </c>
      <c r="AJ526" s="123">
        <v>0</v>
      </c>
      <c r="AK526" s="123">
        <v>0</v>
      </c>
      <c r="AL526" s="123">
        <v>0</v>
      </c>
      <c r="AM526" s="123">
        <v>0</v>
      </c>
      <c r="AN526" s="123">
        <v>0</v>
      </c>
      <c r="AO526" s="123">
        <v>0</v>
      </c>
      <c r="AP526" s="123">
        <v>0</v>
      </c>
      <c r="AQ526" s="123">
        <v>0</v>
      </c>
      <c r="AR526" s="123">
        <v>0</v>
      </c>
      <c r="AS526" s="123">
        <v>0</v>
      </c>
      <c r="AT526" s="123">
        <v>0</v>
      </c>
      <c r="AU526" s="123">
        <v>0</v>
      </c>
      <c r="AV526" s="123">
        <v>0</v>
      </c>
      <c r="AW526" s="123">
        <v>0</v>
      </c>
      <c r="AX526" s="123">
        <v>0</v>
      </c>
      <c r="AY526" s="123">
        <v>0</v>
      </c>
      <c r="AZ526" s="123">
        <v>0</v>
      </c>
      <c r="BA526" s="123">
        <v>0</v>
      </c>
      <c r="BB526" s="123">
        <v>0</v>
      </c>
      <c r="BC526" s="123">
        <v>0</v>
      </c>
      <c r="BD526" s="123">
        <v>0</v>
      </c>
      <c r="BE526" s="123">
        <v>0</v>
      </c>
      <c r="BF526" s="123">
        <v>0</v>
      </c>
      <c r="BG526" s="123">
        <v>0</v>
      </c>
      <c r="BH526" s="123">
        <v>0</v>
      </c>
      <c r="BI526" s="123">
        <v>0</v>
      </c>
      <c r="BJ526" s="124">
        <v>0</v>
      </c>
    </row>
    <row r="527" spans="1:67" s="125" customFormat="1" ht="12.75">
      <c r="A527" s="120" t="s">
        <v>122</v>
      </c>
      <c r="B527" s="121">
        <f t="shared" si="308"/>
        <v>2477265.7911671973</v>
      </c>
      <c r="C527" s="224">
        <v>0</v>
      </c>
      <c r="D527" s="123">
        <v>0</v>
      </c>
      <c r="E527" s="123">
        <v>0</v>
      </c>
      <c r="F527" s="123">
        <v>0</v>
      </c>
      <c r="G527" s="123">
        <v>0</v>
      </c>
      <c r="H527" s="123">
        <v>37654.440025741394</v>
      </c>
      <c r="I527" s="123">
        <v>75308.880051482789</v>
      </c>
      <c r="J527" s="123">
        <v>112963.32007722415</v>
      </c>
      <c r="K527" s="123">
        <v>150617.76010296558</v>
      </c>
      <c r="L527" s="123">
        <v>215522.12383154617</v>
      </c>
      <c r="M527" s="123">
        <v>215522.12383154617</v>
      </c>
      <c r="N527" s="123">
        <v>215522.12383154617</v>
      </c>
      <c r="O527" s="123">
        <v>215522.12383154617</v>
      </c>
      <c r="P527" s="123">
        <v>215522.12383154617</v>
      </c>
      <c r="Q527" s="123">
        <v>215522.12383154617</v>
      </c>
      <c r="R527" s="123">
        <v>215522.12383154617</v>
      </c>
      <c r="S527" s="123">
        <v>215522.12383154617</v>
      </c>
      <c r="T527" s="123">
        <v>150617.76010296558</v>
      </c>
      <c r="U527" s="123">
        <v>112963.32007722415</v>
      </c>
      <c r="V527" s="123">
        <v>75308.880051482789</v>
      </c>
      <c r="W527" s="123">
        <v>37654.440025741394</v>
      </c>
      <c r="X527" s="123">
        <v>0</v>
      </c>
      <c r="Y527" s="123">
        <v>0</v>
      </c>
      <c r="Z527" s="123">
        <v>0</v>
      </c>
      <c r="AA527" s="123">
        <v>0</v>
      </c>
      <c r="AB527" s="123">
        <v>0</v>
      </c>
      <c r="AC527" s="123">
        <v>0</v>
      </c>
      <c r="AD527" s="123">
        <v>0</v>
      </c>
      <c r="AE527" s="123">
        <v>0</v>
      </c>
      <c r="AF527" s="123">
        <v>0</v>
      </c>
      <c r="AG527" s="123">
        <v>0</v>
      </c>
      <c r="AH527" s="123">
        <v>0</v>
      </c>
      <c r="AI527" s="123">
        <v>0</v>
      </c>
      <c r="AJ527" s="123">
        <v>0</v>
      </c>
      <c r="AK527" s="123">
        <v>0</v>
      </c>
      <c r="AL527" s="123">
        <v>0</v>
      </c>
      <c r="AM527" s="123">
        <v>0</v>
      </c>
      <c r="AN527" s="123">
        <v>0</v>
      </c>
      <c r="AO527" s="123">
        <v>0</v>
      </c>
      <c r="AP527" s="123">
        <v>0</v>
      </c>
      <c r="AQ527" s="123">
        <v>0</v>
      </c>
      <c r="AR527" s="123">
        <v>0</v>
      </c>
      <c r="AS527" s="123">
        <v>0</v>
      </c>
      <c r="AT527" s="123">
        <v>0</v>
      </c>
      <c r="AU527" s="123">
        <v>0</v>
      </c>
      <c r="AV527" s="123">
        <v>0</v>
      </c>
      <c r="AW527" s="123">
        <v>0</v>
      </c>
      <c r="AX527" s="123">
        <v>0</v>
      </c>
      <c r="AY527" s="123">
        <v>0</v>
      </c>
      <c r="AZ527" s="123">
        <v>0</v>
      </c>
      <c r="BA527" s="123">
        <v>0</v>
      </c>
      <c r="BB527" s="123">
        <v>0</v>
      </c>
      <c r="BC527" s="123">
        <v>0</v>
      </c>
      <c r="BD527" s="123">
        <v>0</v>
      </c>
      <c r="BE527" s="123">
        <v>0</v>
      </c>
      <c r="BF527" s="123">
        <v>0</v>
      </c>
      <c r="BG527" s="123">
        <v>0</v>
      </c>
      <c r="BH527" s="123">
        <v>0</v>
      </c>
      <c r="BI527" s="123">
        <v>0</v>
      </c>
      <c r="BJ527" s="124">
        <v>0</v>
      </c>
    </row>
    <row r="528" spans="1:67" s="116" customFormat="1">
      <c r="A528" s="127" t="s">
        <v>123</v>
      </c>
      <c r="B528" s="112">
        <f t="shared" si="308"/>
        <v>59283872.971058324</v>
      </c>
      <c r="C528" s="225">
        <v>11856774.594211664</v>
      </c>
      <c r="D528" s="129">
        <f>C528</f>
        <v>11856774.594211664</v>
      </c>
      <c r="E528" s="129">
        <f>D528</f>
        <v>11856774.594211664</v>
      </c>
      <c r="F528" s="129">
        <f>E528</f>
        <v>11856774.594211664</v>
      </c>
      <c r="G528" s="129">
        <f>F528</f>
        <v>11856774.594211664</v>
      </c>
      <c r="H528" s="129"/>
      <c r="I528" s="129"/>
      <c r="J528" s="129"/>
      <c r="K528" s="129"/>
      <c r="L528" s="129"/>
      <c r="M528" s="129"/>
      <c r="N528" s="129"/>
      <c r="O528" s="129"/>
      <c r="P528" s="129"/>
      <c r="Q528" s="129"/>
      <c r="R528" s="129"/>
      <c r="S528" s="129"/>
      <c r="T528" s="129"/>
      <c r="U528" s="129"/>
      <c r="V528" s="129"/>
      <c r="W528" s="129"/>
      <c r="X528" s="129"/>
      <c r="Y528" s="129"/>
      <c r="Z528" s="129"/>
      <c r="AA528" s="129"/>
      <c r="AB528" s="129"/>
      <c r="AC528" s="129"/>
      <c r="AD528" s="129"/>
      <c r="AE528" s="129"/>
      <c r="AF528" s="129"/>
      <c r="AG528" s="129"/>
      <c r="AH528" s="129"/>
      <c r="AI528" s="129"/>
      <c r="AJ528" s="129"/>
      <c r="AK528" s="129"/>
      <c r="AL528" s="129"/>
      <c r="AM528" s="129"/>
      <c r="AN528" s="129"/>
      <c r="AO528" s="129"/>
      <c r="AP528" s="129"/>
      <c r="AQ528" s="129"/>
      <c r="AR528" s="129"/>
      <c r="AS528" s="129"/>
      <c r="AT528" s="129"/>
      <c r="AU528" s="129"/>
      <c r="AV528" s="129"/>
      <c r="AW528" s="129"/>
      <c r="AX528" s="129"/>
      <c r="AY528" s="129"/>
      <c r="AZ528" s="129"/>
      <c r="BA528" s="129"/>
      <c r="BB528" s="129"/>
      <c r="BC528" s="129"/>
      <c r="BD528" s="129"/>
      <c r="BE528" s="129"/>
      <c r="BF528" s="129"/>
      <c r="BG528" s="129"/>
      <c r="BH528" s="129"/>
      <c r="BI528" s="129"/>
      <c r="BJ528" s="130"/>
    </row>
    <row r="529" spans="1:64" s="105" customFormat="1" ht="22.5" customHeight="1">
      <c r="A529" s="131" t="s">
        <v>124</v>
      </c>
      <c r="B529" s="132">
        <f t="shared" si="308"/>
        <v>1957618733.3925276</v>
      </c>
      <c r="C529" s="102">
        <f>C520-C522-C523-C528</f>
        <v>2964193.6485529169</v>
      </c>
      <c r="D529" s="103">
        <f>D520-D522-D523-D528</f>
        <v>2964193.6485529169</v>
      </c>
      <c r="E529" s="103">
        <f t="shared" ref="E529:BJ529" si="309">E520-E522-E523-E528</f>
        <v>2964193.6485529169</v>
      </c>
      <c r="F529" s="103">
        <f t="shared" si="309"/>
        <v>2964193.6485529169</v>
      </c>
      <c r="G529" s="103">
        <f t="shared" si="309"/>
        <v>2964193.6485529169</v>
      </c>
      <c r="H529" s="103">
        <f t="shared" si="309"/>
        <v>29530526.030276399</v>
      </c>
      <c r="I529" s="103">
        <f t="shared" si="309"/>
        <v>59061052.060552798</v>
      </c>
      <c r="J529" s="103">
        <f t="shared" si="309"/>
        <v>88591578.090829179</v>
      </c>
      <c r="K529" s="103">
        <f t="shared" si="309"/>
        <v>118122104.1211056</v>
      </c>
      <c r="L529" s="103">
        <f t="shared" si="309"/>
        <v>169023405.56802934</v>
      </c>
      <c r="M529" s="103">
        <f t="shared" si="309"/>
        <v>169023405.56802934</v>
      </c>
      <c r="N529" s="103">
        <f t="shared" si="309"/>
        <v>169023405.56802934</v>
      </c>
      <c r="O529" s="103">
        <f t="shared" si="309"/>
        <v>169023405.56802934</v>
      </c>
      <c r="P529" s="103">
        <f t="shared" si="309"/>
        <v>169023405.56802934</v>
      </c>
      <c r="Q529" s="103">
        <f t="shared" si="309"/>
        <v>169023405.56802934</v>
      </c>
      <c r="R529" s="103">
        <f t="shared" si="309"/>
        <v>169023405.56802934</v>
      </c>
      <c r="S529" s="103">
        <f t="shared" si="309"/>
        <v>169023405.56802934</v>
      </c>
      <c r="T529" s="103">
        <f t="shared" si="309"/>
        <v>118122104.1211056</v>
      </c>
      <c r="U529" s="103">
        <f t="shared" si="309"/>
        <v>88591578.090829179</v>
      </c>
      <c r="V529" s="103">
        <f t="shared" si="309"/>
        <v>59061052.060552798</v>
      </c>
      <c r="W529" s="103">
        <f t="shared" si="309"/>
        <v>29530526.030276399</v>
      </c>
      <c r="X529" s="103">
        <f t="shared" si="309"/>
        <v>0</v>
      </c>
      <c r="Y529" s="103">
        <f t="shared" si="309"/>
        <v>0</v>
      </c>
      <c r="Z529" s="103">
        <f t="shared" si="309"/>
        <v>0</v>
      </c>
      <c r="AA529" s="103">
        <f t="shared" si="309"/>
        <v>0</v>
      </c>
      <c r="AB529" s="103">
        <f t="shared" si="309"/>
        <v>0</v>
      </c>
      <c r="AC529" s="103">
        <f t="shared" si="309"/>
        <v>0</v>
      </c>
      <c r="AD529" s="103">
        <f t="shared" si="309"/>
        <v>0</v>
      </c>
      <c r="AE529" s="103">
        <f t="shared" si="309"/>
        <v>0</v>
      </c>
      <c r="AF529" s="103">
        <f t="shared" si="309"/>
        <v>0</v>
      </c>
      <c r="AG529" s="103">
        <f t="shared" si="309"/>
        <v>0</v>
      </c>
      <c r="AH529" s="103">
        <f t="shared" si="309"/>
        <v>0</v>
      </c>
      <c r="AI529" s="103">
        <f t="shared" si="309"/>
        <v>0</v>
      </c>
      <c r="AJ529" s="103">
        <f t="shared" si="309"/>
        <v>0</v>
      </c>
      <c r="AK529" s="103">
        <f t="shared" si="309"/>
        <v>0</v>
      </c>
      <c r="AL529" s="103">
        <f t="shared" si="309"/>
        <v>0</v>
      </c>
      <c r="AM529" s="103">
        <f t="shared" si="309"/>
        <v>0</v>
      </c>
      <c r="AN529" s="103">
        <f t="shared" si="309"/>
        <v>0</v>
      </c>
      <c r="AO529" s="103">
        <f t="shared" si="309"/>
        <v>0</v>
      </c>
      <c r="AP529" s="103">
        <f t="shared" si="309"/>
        <v>0</v>
      </c>
      <c r="AQ529" s="103">
        <f t="shared" si="309"/>
        <v>0</v>
      </c>
      <c r="AR529" s="103">
        <f t="shared" si="309"/>
        <v>0</v>
      </c>
      <c r="AS529" s="103">
        <f t="shared" si="309"/>
        <v>0</v>
      </c>
      <c r="AT529" s="103">
        <f t="shared" si="309"/>
        <v>0</v>
      </c>
      <c r="AU529" s="103">
        <f t="shared" si="309"/>
        <v>0</v>
      </c>
      <c r="AV529" s="103">
        <f t="shared" si="309"/>
        <v>0</v>
      </c>
      <c r="AW529" s="103">
        <f t="shared" si="309"/>
        <v>0</v>
      </c>
      <c r="AX529" s="103">
        <f t="shared" si="309"/>
        <v>0</v>
      </c>
      <c r="AY529" s="103">
        <f t="shared" si="309"/>
        <v>0</v>
      </c>
      <c r="AZ529" s="103">
        <f t="shared" si="309"/>
        <v>0</v>
      </c>
      <c r="BA529" s="103">
        <f t="shared" si="309"/>
        <v>0</v>
      </c>
      <c r="BB529" s="103">
        <f t="shared" si="309"/>
        <v>0</v>
      </c>
      <c r="BC529" s="103">
        <f t="shared" si="309"/>
        <v>0</v>
      </c>
      <c r="BD529" s="103">
        <f t="shared" si="309"/>
        <v>0</v>
      </c>
      <c r="BE529" s="103">
        <f t="shared" si="309"/>
        <v>0</v>
      </c>
      <c r="BF529" s="103">
        <f t="shared" si="309"/>
        <v>0</v>
      </c>
      <c r="BG529" s="103">
        <f t="shared" si="309"/>
        <v>0</v>
      </c>
      <c r="BH529" s="103">
        <f t="shared" si="309"/>
        <v>0</v>
      </c>
      <c r="BI529" s="103">
        <f t="shared" si="309"/>
        <v>0</v>
      </c>
      <c r="BJ529" s="104">
        <f t="shared" si="309"/>
        <v>0</v>
      </c>
      <c r="BK529" s="109"/>
      <c r="BL529" s="109"/>
    </row>
    <row r="530" spans="1:64" s="116" customFormat="1">
      <c r="A530" s="136" t="s">
        <v>125</v>
      </c>
      <c r="B530" s="137">
        <f t="shared" ref="B530:G530" si="310">SUM(B531:B534)</f>
        <v>151424668.16433525</v>
      </c>
      <c r="C530" s="113">
        <f t="shared" si="310"/>
        <v>20064964.491109535</v>
      </c>
      <c r="D530" s="114">
        <f t="shared" si="310"/>
        <v>22997375.52456753</v>
      </c>
      <c r="E530" s="114">
        <f t="shared" si="310"/>
        <v>36120776.049552724</v>
      </c>
      <c r="F530" s="114">
        <f t="shared" si="310"/>
        <v>36120776.049552724</v>
      </c>
      <c r="G530" s="114">
        <f t="shared" si="310"/>
        <v>36120776.049552724</v>
      </c>
      <c r="H530" s="114"/>
      <c r="I530" s="114"/>
      <c r="J530" s="114"/>
      <c r="K530" s="114"/>
      <c r="L530" s="114"/>
      <c r="M530" s="114"/>
      <c r="N530" s="114"/>
      <c r="O530" s="114"/>
      <c r="P530" s="114"/>
      <c r="Q530" s="114"/>
      <c r="R530" s="114"/>
      <c r="S530" s="114"/>
      <c r="T530" s="114"/>
      <c r="U530" s="114"/>
      <c r="V530" s="114"/>
      <c r="W530" s="114"/>
      <c r="X530" s="114"/>
      <c r="Y530" s="114"/>
      <c r="Z530" s="114"/>
      <c r="AA530" s="114"/>
      <c r="AB530" s="114"/>
      <c r="AC530" s="114"/>
      <c r="AD530" s="114"/>
      <c r="AE530" s="114"/>
      <c r="AF530" s="114"/>
      <c r="AG530" s="114"/>
      <c r="AH530" s="114"/>
      <c r="AI530" s="114"/>
      <c r="AJ530" s="114"/>
      <c r="AK530" s="114"/>
      <c r="AL530" s="114"/>
      <c r="AM530" s="114"/>
      <c r="AN530" s="114"/>
      <c r="AO530" s="114"/>
      <c r="AP530" s="114"/>
      <c r="AQ530" s="114"/>
      <c r="AR530" s="114"/>
      <c r="AS530" s="114"/>
      <c r="AT530" s="114"/>
      <c r="AU530" s="114"/>
      <c r="AV530" s="114"/>
      <c r="AW530" s="114"/>
      <c r="AX530" s="114"/>
      <c r="AY530" s="114"/>
      <c r="AZ530" s="114"/>
      <c r="BA530" s="114"/>
      <c r="BB530" s="114"/>
      <c r="BC530" s="114"/>
      <c r="BD530" s="114"/>
      <c r="BE530" s="114"/>
      <c r="BF530" s="114"/>
      <c r="BG530" s="114"/>
      <c r="BH530" s="114"/>
      <c r="BI530" s="114"/>
      <c r="BJ530" s="115"/>
    </row>
    <row r="531" spans="1:64" s="143" customFormat="1" ht="12.75">
      <c r="A531" s="138" t="s">
        <v>126</v>
      </c>
      <c r="B531" s="139">
        <f>SUM(C531:BJ531)</f>
        <v>56964667.775703572</v>
      </c>
      <c r="C531" s="140"/>
      <c r="D531" s="141"/>
      <c r="E531" s="141">
        <v>18988222.591901191</v>
      </c>
      <c r="F531" s="141">
        <f t="shared" ref="F531:G533" si="311">E531</f>
        <v>18988222.591901191</v>
      </c>
      <c r="G531" s="141">
        <f t="shared" si="311"/>
        <v>18988222.591901191</v>
      </c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  <c r="AH531" s="141"/>
      <c r="AI531" s="141"/>
      <c r="AJ531" s="141"/>
      <c r="AK531" s="141"/>
      <c r="AL531" s="141"/>
      <c r="AM531" s="141"/>
      <c r="AN531" s="141"/>
      <c r="AO531" s="141"/>
      <c r="AP531" s="141"/>
      <c r="AQ531" s="141"/>
      <c r="AR531" s="141"/>
      <c r="AS531" s="141"/>
      <c r="AT531" s="141"/>
      <c r="AU531" s="141"/>
      <c r="AV531" s="141"/>
      <c r="AW531" s="141"/>
      <c r="AX531" s="141"/>
      <c r="AY531" s="141"/>
      <c r="AZ531" s="141"/>
      <c r="BA531" s="141"/>
      <c r="BB531" s="141"/>
      <c r="BC531" s="141"/>
      <c r="BD531" s="141"/>
      <c r="BE531" s="141"/>
      <c r="BF531" s="141"/>
      <c r="BG531" s="141"/>
      <c r="BH531" s="141"/>
      <c r="BI531" s="141"/>
      <c r="BJ531" s="142"/>
      <c r="BK531" s="141"/>
      <c r="BL531" s="141"/>
    </row>
    <row r="532" spans="1:64" s="143" customFormat="1" ht="12.75">
      <c r="A532" s="138" t="s">
        <v>127</v>
      </c>
      <c r="B532" s="139">
        <f>SUM(C532:BJ532)</f>
        <v>0</v>
      </c>
      <c r="C532" s="140"/>
      <c r="D532" s="141"/>
      <c r="E532" s="141">
        <v>0</v>
      </c>
      <c r="F532" s="141">
        <f t="shared" si="311"/>
        <v>0</v>
      </c>
      <c r="G532" s="141">
        <f t="shared" si="311"/>
        <v>0</v>
      </c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  <c r="AH532" s="141"/>
      <c r="AI532" s="141"/>
      <c r="AJ532" s="141"/>
      <c r="AK532" s="141"/>
      <c r="AL532" s="141"/>
      <c r="AM532" s="141"/>
      <c r="AN532" s="141"/>
      <c r="AO532" s="141"/>
      <c r="AP532" s="141"/>
      <c r="AQ532" s="141"/>
      <c r="AR532" s="141"/>
      <c r="AS532" s="141"/>
      <c r="AT532" s="141"/>
      <c r="AU532" s="141"/>
      <c r="AV532" s="141"/>
      <c r="AW532" s="141"/>
      <c r="AX532" s="141"/>
      <c r="AY532" s="141"/>
      <c r="AZ532" s="141"/>
      <c r="BA532" s="141"/>
      <c r="BB532" s="141"/>
      <c r="BC532" s="141"/>
      <c r="BD532" s="141"/>
      <c r="BE532" s="141"/>
      <c r="BF532" s="141"/>
      <c r="BG532" s="141"/>
      <c r="BH532" s="141"/>
      <c r="BI532" s="141"/>
      <c r="BJ532" s="142"/>
      <c r="BK532" s="141"/>
      <c r="BL532" s="141"/>
    </row>
    <row r="533" spans="1:64" s="143" customFormat="1" ht="12.75">
      <c r="A533" s="138" t="s">
        <v>128</v>
      </c>
      <c r="B533" s="139">
        <f>SUM(C533:BJ533)</f>
        <v>85662767.288257688</v>
      </c>
      <c r="C533" s="140">
        <v>17132553.457651537</v>
      </c>
      <c r="D533" s="141">
        <f>C533</f>
        <v>17132553.457651537</v>
      </c>
      <c r="E533" s="141">
        <f>D533</f>
        <v>17132553.457651537</v>
      </c>
      <c r="F533" s="141">
        <f t="shared" si="311"/>
        <v>17132553.457651537</v>
      </c>
      <c r="G533" s="141">
        <f t="shared" si="311"/>
        <v>17132553.457651537</v>
      </c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  <c r="AH533" s="141"/>
      <c r="AI533" s="141"/>
      <c r="AJ533" s="141"/>
      <c r="AK533" s="141"/>
      <c r="AL533" s="141"/>
      <c r="AM533" s="141"/>
      <c r="AN533" s="141"/>
      <c r="AO533" s="141"/>
      <c r="AP533" s="141"/>
      <c r="AQ533" s="141"/>
      <c r="AR533" s="141"/>
      <c r="AS533" s="141"/>
      <c r="AT533" s="141"/>
      <c r="AU533" s="141"/>
      <c r="AV533" s="141"/>
      <c r="AW533" s="141"/>
      <c r="AX533" s="141"/>
      <c r="AY533" s="141"/>
      <c r="AZ533" s="141"/>
      <c r="BA533" s="141"/>
      <c r="BB533" s="141"/>
      <c r="BC533" s="141"/>
      <c r="BD533" s="141"/>
      <c r="BE533" s="141"/>
      <c r="BF533" s="141"/>
      <c r="BG533" s="141"/>
      <c r="BH533" s="141"/>
      <c r="BI533" s="141"/>
      <c r="BJ533" s="142"/>
      <c r="BK533" s="141"/>
      <c r="BL533" s="141"/>
    </row>
    <row r="534" spans="1:64" s="143" customFormat="1" ht="12.75">
      <c r="A534" s="138" t="s">
        <v>129</v>
      </c>
      <c r="B534" s="139">
        <f>SUM(C534:BJ534)</f>
        <v>8797233.1003739908</v>
      </c>
      <c r="C534" s="140">
        <v>2932411.0334579973</v>
      </c>
      <c r="D534" s="141">
        <v>5864822.0669159945</v>
      </c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  <c r="AH534" s="141"/>
      <c r="AI534" s="141"/>
      <c r="AJ534" s="141"/>
      <c r="AK534" s="141"/>
      <c r="AL534" s="141"/>
      <c r="AM534" s="141"/>
      <c r="AN534" s="141"/>
      <c r="AO534" s="141"/>
      <c r="AP534" s="141"/>
      <c r="AQ534" s="141"/>
      <c r="AR534" s="141"/>
      <c r="AS534" s="141"/>
      <c r="AT534" s="141"/>
      <c r="AU534" s="141"/>
      <c r="AV534" s="141"/>
      <c r="AW534" s="141"/>
      <c r="AX534" s="141"/>
      <c r="AY534" s="141"/>
      <c r="AZ534" s="141"/>
      <c r="BA534" s="141"/>
      <c r="BB534" s="141"/>
      <c r="BC534" s="141"/>
      <c r="BD534" s="141"/>
      <c r="BE534" s="141"/>
      <c r="BF534" s="141"/>
      <c r="BG534" s="141"/>
      <c r="BH534" s="141"/>
      <c r="BI534" s="141"/>
      <c r="BJ534" s="142"/>
      <c r="BK534" s="141"/>
      <c r="BL534" s="141"/>
    </row>
    <row r="535" spans="1:64" s="116" customFormat="1">
      <c r="A535" s="111" t="s">
        <v>130</v>
      </c>
      <c r="B535" s="137">
        <f>SUM(B536:B539)</f>
        <v>151424668.16433531</v>
      </c>
      <c r="C535" s="117">
        <f>SUM(C536:C539)</f>
        <v>668832.14970365108</v>
      </c>
      <c r="D535" s="118">
        <f>SUM(D536:D539)</f>
        <v>1435411.3338559021</v>
      </c>
      <c r="E535" s="118">
        <f t="shared" ref="E535:BJ535" si="312">SUM(E536:E539)</f>
        <v>2639437.2021743259</v>
      </c>
      <c r="F535" s="118">
        <f t="shared" si="312"/>
        <v>3843463.0704927505</v>
      </c>
      <c r="G535" s="118">
        <f t="shared" si="312"/>
        <v>5047488.9388111755</v>
      </c>
      <c r="H535" s="118">
        <f t="shared" si="312"/>
        <v>5047488.9388111755</v>
      </c>
      <c r="I535" s="118">
        <f t="shared" si="312"/>
        <v>5047488.9388111755</v>
      </c>
      <c r="J535" s="118">
        <f t="shared" si="312"/>
        <v>5047488.9388111755</v>
      </c>
      <c r="K535" s="118">
        <f t="shared" si="312"/>
        <v>5047488.9388111755</v>
      </c>
      <c r="L535" s="118">
        <f t="shared" si="312"/>
        <v>5047488.9388111755</v>
      </c>
      <c r="M535" s="118">
        <f t="shared" si="312"/>
        <v>5047488.9388111755</v>
      </c>
      <c r="N535" s="118">
        <f t="shared" si="312"/>
        <v>5047488.9388111755</v>
      </c>
      <c r="O535" s="118">
        <f t="shared" si="312"/>
        <v>5047488.9388111755</v>
      </c>
      <c r="P535" s="118">
        <f t="shared" si="312"/>
        <v>5047488.9388111755</v>
      </c>
      <c r="Q535" s="118">
        <f t="shared" si="312"/>
        <v>5047488.9388111755</v>
      </c>
      <c r="R535" s="118">
        <f t="shared" si="312"/>
        <v>5047488.9388111755</v>
      </c>
      <c r="S535" s="118">
        <f t="shared" si="312"/>
        <v>5047488.9388111755</v>
      </c>
      <c r="T535" s="118">
        <f t="shared" si="312"/>
        <v>5047488.9388111755</v>
      </c>
      <c r="U535" s="118">
        <f t="shared" si="312"/>
        <v>5047488.9388111755</v>
      </c>
      <c r="V535" s="118">
        <f t="shared" si="312"/>
        <v>5047488.9388111755</v>
      </c>
      <c r="W535" s="118">
        <f t="shared" si="312"/>
        <v>5047488.9388111755</v>
      </c>
      <c r="X535" s="118">
        <f t="shared" si="312"/>
        <v>5047488.9388111755</v>
      </c>
      <c r="Y535" s="118">
        <f t="shared" si="312"/>
        <v>5047488.9388111755</v>
      </c>
      <c r="Z535" s="118">
        <f t="shared" si="312"/>
        <v>5047488.9388111755</v>
      </c>
      <c r="AA535" s="118">
        <f t="shared" si="312"/>
        <v>5047488.9388111755</v>
      </c>
      <c r="AB535" s="118">
        <f t="shared" si="312"/>
        <v>5047488.9388111755</v>
      </c>
      <c r="AC535" s="118">
        <f t="shared" si="312"/>
        <v>5047488.9388111755</v>
      </c>
      <c r="AD535" s="118">
        <f t="shared" si="312"/>
        <v>5047488.9388111755</v>
      </c>
      <c r="AE535" s="118">
        <f t="shared" si="312"/>
        <v>5047488.9388111755</v>
      </c>
      <c r="AF535" s="118">
        <f t="shared" si="312"/>
        <v>5047488.9388111755</v>
      </c>
      <c r="AG535" s="118">
        <f t="shared" si="312"/>
        <v>4378656.7891075239</v>
      </c>
      <c r="AH535" s="118">
        <f t="shared" si="312"/>
        <v>3612077.6049552727</v>
      </c>
      <c r="AI535" s="118">
        <f t="shared" si="312"/>
        <v>2408051.7366368482</v>
      </c>
      <c r="AJ535" s="118">
        <f t="shared" si="312"/>
        <v>1204025.8683184241</v>
      </c>
      <c r="AK535" s="118">
        <f t="shared" si="312"/>
        <v>0</v>
      </c>
      <c r="AL535" s="118">
        <f t="shared" si="312"/>
        <v>0</v>
      </c>
      <c r="AM535" s="118">
        <f t="shared" si="312"/>
        <v>0</v>
      </c>
      <c r="AN535" s="118">
        <f t="shared" si="312"/>
        <v>0</v>
      </c>
      <c r="AO535" s="118">
        <f t="shared" si="312"/>
        <v>0</v>
      </c>
      <c r="AP535" s="118">
        <f t="shared" si="312"/>
        <v>0</v>
      </c>
      <c r="AQ535" s="118">
        <f t="shared" si="312"/>
        <v>0</v>
      </c>
      <c r="AR535" s="118">
        <f t="shared" si="312"/>
        <v>0</v>
      </c>
      <c r="AS535" s="118">
        <f t="shared" si="312"/>
        <v>0</v>
      </c>
      <c r="AT535" s="118">
        <f t="shared" si="312"/>
        <v>0</v>
      </c>
      <c r="AU535" s="118">
        <f t="shared" si="312"/>
        <v>0</v>
      </c>
      <c r="AV535" s="118">
        <f t="shared" si="312"/>
        <v>0</v>
      </c>
      <c r="AW535" s="118">
        <f t="shared" si="312"/>
        <v>0</v>
      </c>
      <c r="AX535" s="118">
        <f t="shared" si="312"/>
        <v>0</v>
      </c>
      <c r="AY535" s="118">
        <f t="shared" si="312"/>
        <v>0</v>
      </c>
      <c r="AZ535" s="118">
        <f t="shared" si="312"/>
        <v>0</v>
      </c>
      <c r="BA535" s="118">
        <f t="shared" si="312"/>
        <v>0</v>
      </c>
      <c r="BB535" s="118">
        <f t="shared" si="312"/>
        <v>0</v>
      </c>
      <c r="BC535" s="118">
        <f t="shared" si="312"/>
        <v>0</v>
      </c>
      <c r="BD535" s="118">
        <f t="shared" si="312"/>
        <v>0</v>
      </c>
      <c r="BE535" s="118">
        <f t="shared" si="312"/>
        <v>0</v>
      </c>
      <c r="BF535" s="118">
        <f t="shared" si="312"/>
        <v>0</v>
      </c>
      <c r="BG535" s="118">
        <f t="shared" si="312"/>
        <v>0</v>
      </c>
      <c r="BH535" s="118">
        <f t="shared" si="312"/>
        <v>0</v>
      </c>
      <c r="BI535" s="118">
        <f t="shared" si="312"/>
        <v>0</v>
      </c>
      <c r="BJ535" s="119">
        <f t="shared" si="312"/>
        <v>0</v>
      </c>
      <c r="BK535" s="118"/>
      <c r="BL535" s="118"/>
    </row>
    <row r="536" spans="1:64" s="143" customFormat="1" ht="12.75">
      <c r="A536" s="138" t="s">
        <v>126</v>
      </c>
      <c r="B536" s="139">
        <f>SUM(C536:BJ536)</f>
        <v>56964667.775703587</v>
      </c>
      <c r="C536" s="140"/>
      <c r="D536" s="141"/>
      <c r="E536" s="226">
        <f>$C531/$O517+$D531/$O517+$E531/$O517</f>
        <v>632940.75306337303</v>
      </c>
      <c r="F536" s="141">
        <f>$C531/$O517+$D531/$O517+$E531/$O517+$F531/$O517</f>
        <v>1265881.5061267461</v>
      </c>
      <c r="G536" s="141">
        <f>$C531/$O517+$D531/$O517+$E531/$O517+$F531/$O517+$G531/$O517</f>
        <v>1898822.2591901191</v>
      </c>
      <c r="H536" s="141">
        <f t="shared" ref="H536:AH539" si="313">G536</f>
        <v>1898822.2591901191</v>
      </c>
      <c r="I536" s="141">
        <f t="shared" si="313"/>
        <v>1898822.2591901191</v>
      </c>
      <c r="J536" s="141">
        <f t="shared" si="313"/>
        <v>1898822.2591901191</v>
      </c>
      <c r="K536" s="141">
        <f t="shared" si="313"/>
        <v>1898822.2591901191</v>
      </c>
      <c r="L536" s="141">
        <f t="shared" si="313"/>
        <v>1898822.2591901191</v>
      </c>
      <c r="M536" s="141">
        <f t="shared" si="313"/>
        <v>1898822.2591901191</v>
      </c>
      <c r="N536" s="141">
        <f t="shared" si="313"/>
        <v>1898822.2591901191</v>
      </c>
      <c r="O536" s="141">
        <f t="shared" si="313"/>
        <v>1898822.2591901191</v>
      </c>
      <c r="P536" s="141">
        <f t="shared" si="313"/>
        <v>1898822.2591901191</v>
      </c>
      <c r="Q536" s="141">
        <f t="shared" si="313"/>
        <v>1898822.2591901191</v>
      </c>
      <c r="R536" s="141">
        <f t="shared" si="313"/>
        <v>1898822.2591901191</v>
      </c>
      <c r="S536" s="141">
        <f t="shared" si="313"/>
        <v>1898822.2591901191</v>
      </c>
      <c r="T536" s="141">
        <f t="shared" si="313"/>
        <v>1898822.2591901191</v>
      </c>
      <c r="U536" s="141">
        <f t="shared" si="313"/>
        <v>1898822.2591901191</v>
      </c>
      <c r="V536" s="141">
        <f t="shared" si="313"/>
        <v>1898822.2591901191</v>
      </c>
      <c r="W536" s="141">
        <f t="shared" si="313"/>
        <v>1898822.2591901191</v>
      </c>
      <c r="X536" s="141">
        <f t="shared" si="313"/>
        <v>1898822.2591901191</v>
      </c>
      <c r="Y536" s="141">
        <f t="shared" si="313"/>
        <v>1898822.2591901191</v>
      </c>
      <c r="Z536" s="141">
        <f t="shared" si="313"/>
        <v>1898822.2591901191</v>
      </c>
      <c r="AA536" s="141">
        <f t="shared" si="313"/>
        <v>1898822.2591901191</v>
      </c>
      <c r="AB536" s="141">
        <f t="shared" si="313"/>
        <v>1898822.2591901191</v>
      </c>
      <c r="AC536" s="141">
        <f t="shared" si="313"/>
        <v>1898822.2591901191</v>
      </c>
      <c r="AD536" s="141">
        <f t="shared" si="313"/>
        <v>1898822.2591901191</v>
      </c>
      <c r="AE536" s="141">
        <f t="shared" si="313"/>
        <v>1898822.2591901191</v>
      </c>
      <c r="AF536" s="141">
        <f t="shared" si="313"/>
        <v>1898822.2591901191</v>
      </c>
      <c r="AG536" s="141">
        <f t="shared" si="313"/>
        <v>1898822.2591901191</v>
      </c>
      <c r="AH536" s="141">
        <f t="shared" si="313"/>
        <v>1898822.2591901191</v>
      </c>
      <c r="AI536" s="141">
        <f>F536</f>
        <v>1265881.5061267461</v>
      </c>
      <c r="AJ536" s="141">
        <f>E536</f>
        <v>632940.75306337303</v>
      </c>
      <c r="AK536" s="141"/>
      <c r="AL536" s="141"/>
      <c r="AM536" s="141"/>
      <c r="AN536" s="141"/>
      <c r="AO536" s="141"/>
      <c r="AP536" s="141"/>
      <c r="AQ536" s="141"/>
      <c r="AR536" s="141"/>
      <c r="AS536" s="141"/>
      <c r="AT536" s="141"/>
      <c r="AU536" s="141"/>
      <c r="AV536" s="141"/>
      <c r="AW536" s="141"/>
      <c r="AX536" s="141"/>
      <c r="AY536" s="141"/>
      <c r="AZ536" s="141"/>
      <c r="BA536" s="141"/>
      <c r="BB536" s="141"/>
      <c r="BC536" s="141"/>
      <c r="BD536" s="141"/>
      <c r="BE536" s="141"/>
      <c r="BF536" s="141"/>
      <c r="BG536" s="141"/>
      <c r="BH536" s="141"/>
      <c r="BI536" s="141"/>
      <c r="BJ536" s="142"/>
      <c r="BK536" s="141"/>
      <c r="BL536" s="141"/>
    </row>
    <row r="537" spans="1:64" s="143" customFormat="1" ht="12.75">
      <c r="A537" s="138" t="s">
        <v>127</v>
      </c>
      <c r="B537" s="139">
        <f>SUM(C537:BJ537)</f>
        <v>0</v>
      </c>
      <c r="C537" s="140"/>
      <c r="D537" s="141"/>
      <c r="E537" s="226">
        <f>$C532/$O517+$D532/$O517+$E532/$O517</f>
        <v>0</v>
      </c>
      <c r="F537" s="141">
        <f>$C532/$O517+$D532/$O517+$E532/$O517+$F532/$O517</f>
        <v>0</v>
      </c>
      <c r="G537" s="141">
        <f>$C532/$O517+$D532/$O517+$E532/$O517+$F532/$O517+$G532/$O517</f>
        <v>0</v>
      </c>
      <c r="H537" s="141">
        <f t="shared" si="313"/>
        <v>0</v>
      </c>
      <c r="I537" s="141">
        <f t="shared" si="313"/>
        <v>0</v>
      </c>
      <c r="J537" s="141">
        <f t="shared" si="313"/>
        <v>0</v>
      </c>
      <c r="K537" s="141">
        <f t="shared" si="313"/>
        <v>0</v>
      </c>
      <c r="L537" s="141">
        <f t="shared" si="313"/>
        <v>0</v>
      </c>
      <c r="M537" s="141">
        <f t="shared" si="313"/>
        <v>0</v>
      </c>
      <c r="N537" s="141">
        <f t="shared" si="313"/>
        <v>0</v>
      </c>
      <c r="O537" s="141">
        <f t="shared" si="313"/>
        <v>0</v>
      </c>
      <c r="P537" s="141">
        <f t="shared" si="313"/>
        <v>0</v>
      </c>
      <c r="Q537" s="141">
        <f t="shared" si="313"/>
        <v>0</v>
      </c>
      <c r="R537" s="141">
        <f t="shared" si="313"/>
        <v>0</v>
      </c>
      <c r="S537" s="141">
        <f t="shared" si="313"/>
        <v>0</v>
      </c>
      <c r="T537" s="141">
        <f t="shared" si="313"/>
        <v>0</v>
      </c>
      <c r="U537" s="141">
        <f t="shared" si="313"/>
        <v>0</v>
      </c>
      <c r="V537" s="141">
        <f t="shared" si="313"/>
        <v>0</v>
      </c>
      <c r="W537" s="141">
        <f t="shared" si="313"/>
        <v>0</v>
      </c>
      <c r="X537" s="141">
        <f t="shared" si="313"/>
        <v>0</v>
      </c>
      <c r="Y537" s="141">
        <f t="shared" si="313"/>
        <v>0</v>
      </c>
      <c r="Z537" s="141">
        <f t="shared" si="313"/>
        <v>0</v>
      </c>
      <c r="AA537" s="141">
        <f t="shared" si="313"/>
        <v>0</v>
      </c>
      <c r="AB537" s="141">
        <f t="shared" si="313"/>
        <v>0</v>
      </c>
      <c r="AC537" s="141">
        <f t="shared" si="313"/>
        <v>0</v>
      </c>
      <c r="AD537" s="141">
        <f t="shared" si="313"/>
        <v>0</v>
      </c>
      <c r="AE537" s="141">
        <f t="shared" si="313"/>
        <v>0</v>
      </c>
      <c r="AF537" s="141">
        <f t="shared" si="313"/>
        <v>0</v>
      </c>
      <c r="AG537" s="141">
        <f t="shared" si="313"/>
        <v>0</v>
      </c>
      <c r="AH537" s="141">
        <f t="shared" si="313"/>
        <v>0</v>
      </c>
      <c r="AI537" s="141">
        <f>F537</f>
        <v>0</v>
      </c>
      <c r="AJ537" s="141">
        <f>E537</f>
        <v>0</v>
      </c>
      <c r="AK537" s="141"/>
      <c r="AL537" s="141"/>
      <c r="AM537" s="141"/>
      <c r="AN537" s="141"/>
      <c r="AO537" s="141"/>
      <c r="AP537" s="141"/>
      <c r="AQ537" s="141"/>
      <c r="AR537" s="141"/>
      <c r="AS537" s="141"/>
      <c r="AT537" s="141"/>
      <c r="AU537" s="141"/>
      <c r="AV537" s="141"/>
      <c r="AW537" s="141"/>
      <c r="AX537" s="141"/>
      <c r="AY537" s="141"/>
      <c r="AZ537" s="141"/>
      <c r="BA537" s="141"/>
      <c r="BB537" s="141"/>
      <c r="BC537" s="141"/>
      <c r="BD537" s="141"/>
      <c r="BE537" s="141"/>
      <c r="BF537" s="141"/>
      <c r="BG537" s="141"/>
      <c r="BH537" s="141"/>
      <c r="BI537" s="141"/>
      <c r="BJ537" s="142"/>
      <c r="BK537" s="141"/>
      <c r="BL537" s="141"/>
    </row>
    <row r="538" spans="1:64" s="143" customFormat="1" ht="12.75">
      <c r="A538" s="138" t="s">
        <v>128</v>
      </c>
      <c r="B538" s="139">
        <f>SUM(C538:BJ538)</f>
        <v>85662767.288257733</v>
      </c>
      <c r="C538" s="227">
        <f>$C533/$O517</f>
        <v>571085.11525505118</v>
      </c>
      <c r="D538" s="141">
        <f>$C533/$O517+$D533/$O517</f>
        <v>1142170.2305101024</v>
      </c>
      <c r="E538" s="141">
        <f>$C533/$O517+$D533/$O517+$E533/$O517</f>
        <v>1713255.3457651534</v>
      </c>
      <c r="F538" s="141">
        <f>$C533/$O517+$D533/$O517+$E533/$O517+$F533/$O517</f>
        <v>2284340.4610202047</v>
      </c>
      <c r="G538" s="141">
        <f>$C533/$O517+$D533/$O517+$E533/$O517+$F533/$O517+$G533/$O517</f>
        <v>2855425.576275256</v>
      </c>
      <c r="H538" s="141">
        <f t="shared" si="313"/>
        <v>2855425.576275256</v>
      </c>
      <c r="I538" s="141">
        <f t="shared" si="313"/>
        <v>2855425.576275256</v>
      </c>
      <c r="J538" s="141">
        <f t="shared" si="313"/>
        <v>2855425.576275256</v>
      </c>
      <c r="K538" s="141">
        <f t="shared" si="313"/>
        <v>2855425.576275256</v>
      </c>
      <c r="L538" s="141">
        <f t="shared" si="313"/>
        <v>2855425.576275256</v>
      </c>
      <c r="M538" s="141">
        <f t="shared" si="313"/>
        <v>2855425.576275256</v>
      </c>
      <c r="N538" s="141">
        <f t="shared" si="313"/>
        <v>2855425.576275256</v>
      </c>
      <c r="O538" s="141">
        <f t="shared" si="313"/>
        <v>2855425.576275256</v>
      </c>
      <c r="P538" s="141">
        <f t="shared" si="313"/>
        <v>2855425.576275256</v>
      </c>
      <c r="Q538" s="141">
        <f t="shared" si="313"/>
        <v>2855425.576275256</v>
      </c>
      <c r="R538" s="141">
        <f t="shared" si="313"/>
        <v>2855425.576275256</v>
      </c>
      <c r="S538" s="141">
        <f t="shared" si="313"/>
        <v>2855425.576275256</v>
      </c>
      <c r="T538" s="141">
        <f t="shared" si="313"/>
        <v>2855425.576275256</v>
      </c>
      <c r="U538" s="141">
        <f t="shared" si="313"/>
        <v>2855425.576275256</v>
      </c>
      <c r="V538" s="141">
        <f t="shared" si="313"/>
        <v>2855425.576275256</v>
      </c>
      <c r="W538" s="141">
        <f t="shared" si="313"/>
        <v>2855425.576275256</v>
      </c>
      <c r="X538" s="141">
        <f t="shared" si="313"/>
        <v>2855425.576275256</v>
      </c>
      <c r="Y538" s="141">
        <f t="shared" si="313"/>
        <v>2855425.576275256</v>
      </c>
      <c r="Z538" s="141">
        <f t="shared" si="313"/>
        <v>2855425.576275256</v>
      </c>
      <c r="AA538" s="141">
        <f t="shared" si="313"/>
        <v>2855425.576275256</v>
      </c>
      <c r="AB538" s="141">
        <f t="shared" si="313"/>
        <v>2855425.576275256</v>
      </c>
      <c r="AC538" s="141">
        <f t="shared" si="313"/>
        <v>2855425.576275256</v>
      </c>
      <c r="AD538" s="141">
        <f t="shared" si="313"/>
        <v>2855425.576275256</v>
      </c>
      <c r="AE538" s="141">
        <f t="shared" si="313"/>
        <v>2855425.576275256</v>
      </c>
      <c r="AF538" s="141">
        <f t="shared" si="313"/>
        <v>2855425.576275256</v>
      </c>
      <c r="AG538" s="141">
        <f>F538</f>
        <v>2284340.4610202047</v>
      </c>
      <c r="AH538" s="141">
        <f>E538</f>
        <v>1713255.3457651534</v>
      </c>
      <c r="AI538" s="141">
        <f>D538</f>
        <v>1142170.2305101024</v>
      </c>
      <c r="AJ538" s="141">
        <f>C538</f>
        <v>571085.11525505118</v>
      </c>
      <c r="AK538" s="141"/>
      <c r="AL538" s="141"/>
      <c r="AM538" s="141"/>
      <c r="AN538" s="141"/>
      <c r="AO538" s="141"/>
      <c r="AP538" s="141"/>
      <c r="AQ538" s="141"/>
      <c r="AR538" s="141"/>
      <c r="AS538" s="141"/>
      <c r="AT538" s="141"/>
      <c r="AU538" s="141"/>
      <c r="AV538" s="141"/>
      <c r="AW538" s="141"/>
      <c r="AX538" s="141"/>
      <c r="AY538" s="141"/>
      <c r="AZ538" s="141"/>
      <c r="BA538" s="141"/>
      <c r="BB538" s="141"/>
      <c r="BC538" s="141"/>
      <c r="BD538" s="141"/>
      <c r="BE538" s="141"/>
      <c r="BF538" s="141"/>
      <c r="BG538" s="141"/>
      <c r="BH538" s="141"/>
      <c r="BI538" s="141"/>
      <c r="BJ538" s="142"/>
      <c r="BK538" s="141"/>
      <c r="BL538" s="141"/>
    </row>
    <row r="539" spans="1:64" s="143" customFormat="1" ht="12.75">
      <c r="A539" s="138" t="s">
        <v>129</v>
      </c>
      <c r="B539" s="139">
        <f>SUM(C539:BJ539)</f>
        <v>8797233.1003739983</v>
      </c>
      <c r="C539" s="227">
        <f>$C534/$O517</f>
        <v>97747.034448599909</v>
      </c>
      <c r="D539" s="141">
        <f>$C534/$O517+$D534/$O517</f>
        <v>293241.10334579973</v>
      </c>
      <c r="E539" s="141">
        <f>$C534/$O517+$D534/$O517+$E534/$O517</f>
        <v>293241.10334579973</v>
      </c>
      <c r="F539" s="141">
        <f>$C534/$O517+$D534/$O517+$E534/$O517+$F534/$O517</f>
        <v>293241.10334579973</v>
      </c>
      <c r="G539" s="141">
        <f>$C534/$O517+$D534/$O517+$E534/$O517+$F534/$O517+$G534/$O517</f>
        <v>293241.10334579973</v>
      </c>
      <c r="H539" s="141">
        <f t="shared" si="313"/>
        <v>293241.10334579973</v>
      </c>
      <c r="I539" s="141">
        <f t="shared" si="313"/>
        <v>293241.10334579973</v>
      </c>
      <c r="J539" s="141">
        <f t="shared" si="313"/>
        <v>293241.10334579973</v>
      </c>
      <c r="K539" s="141">
        <f t="shared" si="313"/>
        <v>293241.10334579973</v>
      </c>
      <c r="L539" s="141">
        <f t="shared" si="313"/>
        <v>293241.10334579973</v>
      </c>
      <c r="M539" s="141">
        <f t="shared" si="313"/>
        <v>293241.10334579973</v>
      </c>
      <c r="N539" s="141">
        <f t="shared" si="313"/>
        <v>293241.10334579973</v>
      </c>
      <c r="O539" s="141">
        <f t="shared" si="313"/>
        <v>293241.10334579973</v>
      </c>
      <c r="P539" s="141">
        <f t="shared" si="313"/>
        <v>293241.10334579973</v>
      </c>
      <c r="Q539" s="141">
        <f t="shared" si="313"/>
        <v>293241.10334579973</v>
      </c>
      <c r="R539" s="141">
        <f t="shared" si="313"/>
        <v>293241.10334579973</v>
      </c>
      <c r="S539" s="141">
        <f t="shared" si="313"/>
        <v>293241.10334579973</v>
      </c>
      <c r="T539" s="141">
        <f t="shared" si="313"/>
        <v>293241.10334579973</v>
      </c>
      <c r="U539" s="141">
        <f t="shared" si="313"/>
        <v>293241.10334579973</v>
      </c>
      <c r="V539" s="141">
        <f t="shared" si="313"/>
        <v>293241.10334579973</v>
      </c>
      <c r="W539" s="141">
        <f t="shared" si="313"/>
        <v>293241.10334579973</v>
      </c>
      <c r="X539" s="141">
        <f t="shared" si="313"/>
        <v>293241.10334579973</v>
      </c>
      <c r="Y539" s="141">
        <f t="shared" si="313"/>
        <v>293241.10334579973</v>
      </c>
      <c r="Z539" s="141">
        <f t="shared" si="313"/>
        <v>293241.10334579973</v>
      </c>
      <c r="AA539" s="141">
        <f t="shared" si="313"/>
        <v>293241.10334579973</v>
      </c>
      <c r="AB539" s="141">
        <f t="shared" si="313"/>
        <v>293241.10334579973</v>
      </c>
      <c r="AC539" s="141">
        <f t="shared" si="313"/>
        <v>293241.10334579973</v>
      </c>
      <c r="AD539" s="141">
        <f t="shared" si="313"/>
        <v>293241.10334579973</v>
      </c>
      <c r="AE539" s="141">
        <f t="shared" si="313"/>
        <v>293241.10334579973</v>
      </c>
      <c r="AF539" s="141">
        <f t="shared" si="313"/>
        <v>293241.10334579973</v>
      </c>
      <c r="AG539" s="141">
        <f>AF539-C539</f>
        <v>195494.06889719982</v>
      </c>
      <c r="AH539" s="141"/>
      <c r="AI539" s="141"/>
      <c r="AJ539" s="141"/>
      <c r="AK539" s="141"/>
      <c r="AL539" s="141"/>
      <c r="AM539" s="141"/>
      <c r="AN539" s="141"/>
      <c r="AO539" s="141"/>
      <c r="AP539" s="141"/>
      <c r="AQ539" s="141"/>
      <c r="AR539" s="141"/>
      <c r="AS539" s="141"/>
      <c r="AT539" s="141"/>
      <c r="AU539" s="141"/>
      <c r="AV539" s="141"/>
      <c r="AW539" s="141"/>
      <c r="AX539" s="141"/>
      <c r="AY539" s="141"/>
      <c r="AZ539" s="141"/>
      <c r="BA539" s="141"/>
      <c r="BB539" s="141"/>
      <c r="BC539" s="141"/>
      <c r="BD539" s="141"/>
      <c r="BE539" s="141"/>
      <c r="BF539" s="141"/>
      <c r="BG539" s="141"/>
      <c r="BH539" s="141"/>
      <c r="BI539" s="141"/>
      <c r="BJ539" s="142"/>
      <c r="BK539" s="141"/>
      <c r="BL539" s="141"/>
    </row>
    <row r="540" spans="1:64" s="148" customFormat="1">
      <c r="A540" s="111" t="s">
        <v>131</v>
      </c>
      <c r="B540" s="144"/>
      <c r="C540" s="145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  <c r="AH540" s="146"/>
      <c r="AI540" s="146"/>
      <c r="AJ540" s="146"/>
      <c r="AK540" s="146"/>
      <c r="AL540" s="146"/>
      <c r="AM540" s="146"/>
      <c r="AN540" s="146"/>
      <c r="AO540" s="146"/>
      <c r="AP540" s="146"/>
      <c r="AQ540" s="146"/>
      <c r="AR540" s="146"/>
      <c r="AS540" s="146"/>
      <c r="AT540" s="146"/>
      <c r="AU540" s="146"/>
      <c r="AV540" s="146"/>
      <c r="AW540" s="146"/>
      <c r="AX540" s="146"/>
      <c r="AY540" s="146"/>
      <c r="AZ540" s="146"/>
      <c r="BA540" s="146"/>
      <c r="BB540" s="146"/>
      <c r="BC540" s="146"/>
      <c r="BD540" s="146"/>
      <c r="BE540" s="146"/>
      <c r="BF540" s="146"/>
      <c r="BG540" s="146"/>
      <c r="BH540" s="146"/>
      <c r="BI540" s="146"/>
      <c r="BJ540" s="147"/>
      <c r="BK540" s="146"/>
      <c r="BL540" s="146"/>
    </row>
    <row r="541" spans="1:64" s="153" customFormat="1" ht="12.75">
      <c r="A541" s="138" t="s">
        <v>126</v>
      </c>
      <c r="B541" s="144"/>
      <c r="C541" s="149"/>
      <c r="D541" s="150"/>
      <c r="E541" s="151">
        <f>$B531-E536</f>
        <v>56331727.022640198</v>
      </c>
      <c r="F541" s="151">
        <f t="shared" ref="F541:AJ544" si="314">E541-F536</f>
        <v>55065845.516513452</v>
      </c>
      <c r="G541" s="151">
        <f t="shared" si="314"/>
        <v>53167023.257323332</v>
      </c>
      <c r="H541" s="151">
        <f t="shared" si="314"/>
        <v>51268200.998133212</v>
      </c>
      <c r="I541" s="151">
        <f t="shared" si="314"/>
        <v>49369378.738943093</v>
      </c>
      <c r="J541" s="151">
        <f t="shared" si="314"/>
        <v>47470556.479752973</v>
      </c>
      <c r="K541" s="151">
        <f t="shared" si="314"/>
        <v>45571734.220562853</v>
      </c>
      <c r="L541" s="151">
        <f t="shared" si="314"/>
        <v>43672911.961372733</v>
      </c>
      <c r="M541" s="151">
        <f t="shared" si="314"/>
        <v>41774089.702182613</v>
      </c>
      <c r="N541" s="151">
        <f t="shared" si="314"/>
        <v>39875267.442992494</v>
      </c>
      <c r="O541" s="151">
        <f t="shared" si="314"/>
        <v>37976445.183802374</v>
      </c>
      <c r="P541" s="151">
        <f t="shared" si="314"/>
        <v>36077622.924612254</v>
      </c>
      <c r="Q541" s="151">
        <f t="shared" si="314"/>
        <v>34178800.665422134</v>
      </c>
      <c r="R541" s="151">
        <f t="shared" si="314"/>
        <v>32279978.406232014</v>
      </c>
      <c r="S541" s="151">
        <f t="shared" si="314"/>
        <v>30381156.147041894</v>
      </c>
      <c r="T541" s="151">
        <f t="shared" si="314"/>
        <v>28482333.887851775</v>
      </c>
      <c r="U541" s="151">
        <f t="shared" si="314"/>
        <v>26583511.628661655</v>
      </c>
      <c r="V541" s="151">
        <f t="shared" si="314"/>
        <v>24684689.369471535</v>
      </c>
      <c r="W541" s="151">
        <f t="shared" si="314"/>
        <v>22785867.110281415</v>
      </c>
      <c r="X541" s="151">
        <f t="shared" si="314"/>
        <v>20887044.851091295</v>
      </c>
      <c r="Y541" s="151">
        <f t="shared" si="314"/>
        <v>18988222.591901176</v>
      </c>
      <c r="Z541" s="151">
        <f t="shared" si="314"/>
        <v>17089400.332711056</v>
      </c>
      <c r="AA541" s="151">
        <f t="shared" si="314"/>
        <v>15190578.073520936</v>
      </c>
      <c r="AB541" s="151">
        <f t="shared" si="314"/>
        <v>13291755.814330816</v>
      </c>
      <c r="AC541" s="151">
        <f t="shared" si="314"/>
        <v>11392933.555140696</v>
      </c>
      <c r="AD541" s="151">
        <f t="shared" si="314"/>
        <v>9494111.2959505767</v>
      </c>
      <c r="AE541" s="151">
        <f t="shared" si="314"/>
        <v>7595289.0367604578</v>
      </c>
      <c r="AF541" s="151">
        <f t="shared" si="314"/>
        <v>5696466.7775703389</v>
      </c>
      <c r="AG541" s="151">
        <f t="shared" si="314"/>
        <v>3797644.51838022</v>
      </c>
      <c r="AH541" s="151">
        <f t="shared" si="314"/>
        <v>1898822.2591901009</v>
      </c>
      <c r="AI541" s="151">
        <f t="shared" si="314"/>
        <v>632940.75306335487</v>
      </c>
      <c r="AJ541" s="151">
        <f t="shared" si="314"/>
        <v>-1.8160790205001831E-8</v>
      </c>
      <c r="AK541" s="151"/>
      <c r="AL541" s="151"/>
      <c r="AM541" s="151"/>
      <c r="AN541" s="151"/>
      <c r="AO541" s="151"/>
      <c r="AP541" s="151"/>
      <c r="AQ541" s="151"/>
      <c r="AR541" s="151"/>
      <c r="AS541" s="151"/>
      <c r="AT541" s="151"/>
      <c r="AU541" s="151"/>
      <c r="AV541" s="151"/>
      <c r="AW541" s="151"/>
      <c r="AX541" s="151"/>
      <c r="AY541" s="151"/>
      <c r="AZ541" s="151"/>
      <c r="BA541" s="151"/>
      <c r="BB541" s="151"/>
      <c r="BC541" s="151"/>
      <c r="BD541" s="151"/>
      <c r="BE541" s="151"/>
      <c r="BF541" s="151"/>
      <c r="BG541" s="151"/>
      <c r="BH541" s="151"/>
      <c r="BI541" s="151"/>
      <c r="BJ541" s="152"/>
      <c r="BK541" s="151"/>
      <c r="BL541" s="151"/>
    </row>
    <row r="542" spans="1:64" s="153" customFormat="1" ht="12.75">
      <c r="A542" s="138" t="s">
        <v>127</v>
      </c>
      <c r="B542" s="144"/>
      <c r="C542" s="149"/>
      <c r="D542" s="150"/>
      <c r="E542" s="151">
        <f>$B532-E537</f>
        <v>0</v>
      </c>
      <c r="F542" s="151">
        <f t="shared" si="314"/>
        <v>0</v>
      </c>
      <c r="G542" s="151">
        <f t="shared" si="314"/>
        <v>0</v>
      </c>
      <c r="H542" s="151">
        <f t="shared" si="314"/>
        <v>0</v>
      </c>
      <c r="I542" s="151">
        <f t="shared" si="314"/>
        <v>0</v>
      </c>
      <c r="J542" s="151">
        <f t="shared" si="314"/>
        <v>0</v>
      </c>
      <c r="K542" s="151">
        <f t="shared" si="314"/>
        <v>0</v>
      </c>
      <c r="L542" s="151">
        <f t="shared" si="314"/>
        <v>0</v>
      </c>
      <c r="M542" s="151">
        <f t="shared" si="314"/>
        <v>0</v>
      </c>
      <c r="N542" s="151">
        <f t="shared" si="314"/>
        <v>0</v>
      </c>
      <c r="O542" s="151">
        <f t="shared" si="314"/>
        <v>0</v>
      </c>
      <c r="P542" s="151">
        <f t="shared" si="314"/>
        <v>0</v>
      </c>
      <c r="Q542" s="151">
        <f t="shared" si="314"/>
        <v>0</v>
      </c>
      <c r="R542" s="151">
        <f t="shared" si="314"/>
        <v>0</v>
      </c>
      <c r="S542" s="151">
        <f t="shared" si="314"/>
        <v>0</v>
      </c>
      <c r="T542" s="151">
        <f t="shared" si="314"/>
        <v>0</v>
      </c>
      <c r="U542" s="151">
        <f t="shared" si="314"/>
        <v>0</v>
      </c>
      <c r="V542" s="151">
        <f t="shared" si="314"/>
        <v>0</v>
      </c>
      <c r="W542" s="151">
        <f t="shared" si="314"/>
        <v>0</v>
      </c>
      <c r="X542" s="151">
        <f t="shared" si="314"/>
        <v>0</v>
      </c>
      <c r="Y542" s="151">
        <f t="shared" si="314"/>
        <v>0</v>
      </c>
      <c r="Z542" s="151">
        <f t="shared" si="314"/>
        <v>0</v>
      </c>
      <c r="AA542" s="151">
        <f t="shared" si="314"/>
        <v>0</v>
      </c>
      <c r="AB542" s="151">
        <f t="shared" si="314"/>
        <v>0</v>
      </c>
      <c r="AC542" s="151">
        <f t="shared" si="314"/>
        <v>0</v>
      </c>
      <c r="AD542" s="151">
        <f t="shared" si="314"/>
        <v>0</v>
      </c>
      <c r="AE542" s="151">
        <f t="shared" si="314"/>
        <v>0</v>
      </c>
      <c r="AF542" s="151">
        <f t="shared" si="314"/>
        <v>0</v>
      </c>
      <c r="AG542" s="151">
        <f t="shared" si="314"/>
        <v>0</v>
      </c>
      <c r="AH542" s="151">
        <f t="shared" si="314"/>
        <v>0</v>
      </c>
      <c r="AI542" s="151">
        <f t="shared" si="314"/>
        <v>0</v>
      </c>
      <c r="AJ542" s="151">
        <f t="shared" si="314"/>
        <v>0</v>
      </c>
      <c r="AK542" s="151"/>
      <c r="AL542" s="151"/>
      <c r="AM542" s="151"/>
      <c r="AN542" s="151"/>
      <c r="AO542" s="151"/>
      <c r="AP542" s="151"/>
      <c r="AQ542" s="151"/>
      <c r="AR542" s="151"/>
      <c r="AS542" s="151"/>
      <c r="AT542" s="151"/>
      <c r="AU542" s="151"/>
      <c r="AV542" s="151"/>
      <c r="AW542" s="151"/>
      <c r="AX542" s="151"/>
      <c r="AY542" s="151"/>
      <c r="AZ542" s="151"/>
      <c r="BA542" s="151"/>
      <c r="BB542" s="151"/>
      <c r="BC542" s="151"/>
      <c r="BD542" s="151"/>
      <c r="BE542" s="151"/>
      <c r="BF542" s="151"/>
      <c r="BG542" s="151"/>
      <c r="BH542" s="151"/>
      <c r="BI542" s="151"/>
      <c r="BJ542" s="152"/>
      <c r="BK542" s="151"/>
      <c r="BL542" s="151"/>
    </row>
    <row r="543" spans="1:64" s="153" customFormat="1" ht="12.75">
      <c r="A543" s="138" t="s">
        <v>128</v>
      </c>
      <c r="B543" s="144"/>
      <c r="C543" s="154">
        <f>$B533-C538</f>
        <v>85091682.17300263</v>
      </c>
      <c r="D543" s="151">
        <f>C543-D538</f>
        <v>83949511.94249253</v>
      </c>
      <c r="E543" s="151">
        <f>D543-E538</f>
        <v>82236256.596727371</v>
      </c>
      <c r="F543" s="151">
        <f t="shared" si="314"/>
        <v>79951916.13570717</v>
      </c>
      <c r="G543" s="151">
        <f t="shared" si="314"/>
        <v>77096490.559431911</v>
      </c>
      <c r="H543" s="151">
        <f t="shared" si="314"/>
        <v>74241064.983156651</v>
      </c>
      <c r="I543" s="151">
        <f t="shared" si="314"/>
        <v>71385639.406881392</v>
      </c>
      <c r="J543" s="151">
        <f t="shared" si="314"/>
        <v>68530213.830606133</v>
      </c>
      <c r="K543" s="151">
        <f t="shared" si="314"/>
        <v>65674788.254330873</v>
      </c>
      <c r="L543" s="151">
        <f t="shared" si="314"/>
        <v>62819362.678055614</v>
      </c>
      <c r="M543" s="151">
        <f t="shared" si="314"/>
        <v>59963937.101780355</v>
      </c>
      <c r="N543" s="151">
        <f t="shared" si="314"/>
        <v>57108511.525505096</v>
      </c>
      <c r="O543" s="151">
        <f t="shared" si="314"/>
        <v>54253085.949229836</v>
      </c>
      <c r="P543" s="151">
        <f t="shared" si="314"/>
        <v>51397660.372954577</v>
      </c>
      <c r="Q543" s="151">
        <f t="shared" si="314"/>
        <v>48542234.796679318</v>
      </c>
      <c r="R543" s="151">
        <f t="shared" si="314"/>
        <v>45686809.220404059</v>
      </c>
      <c r="S543" s="151">
        <f t="shared" si="314"/>
        <v>42831383.644128799</v>
      </c>
      <c r="T543" s="151">
        <f t="shared" si="314"/>
        <v>39975958.06785354</v>
      </c>
      <c r="U543" s="151">
        <f t="shared" si="314"/>
        <v>37120532.491578281</v>
      </c>
      <c r="V543" s="151">
        <f t="shared" si="314"/>
        <v>34265106.915303022</v>
      </c>
      <c r="W543" s="151">
        <f t="shared" si="314"/>
        <v>31409681.339027766</v>
      </c>
      <c r="X543" s="151">
        <f t="shared" si="314"/>
        <v>28554255.762752511</v>
      </c>
      <c r="Y543" s="151">
        <f t="shared" si="314"/>
        <v>25698830.186477255</v>
      </c>
      <c r="Z543" s="151">
        <f t="shared" si="314"/>
        <v>22843404.610202</v>
      </c>
      <c r="AA543" s="151">
        <f t="shared" si="314"/>
        <v>19987979.033926744</v>
      </c>
      <c r="AB543" s="151">
        <f t="shared" si="314"/>
        <v>17132553.457651488</v>
      </c>
      <c r="AC543" s="151">
        <f t="shared" si="314"/>
        <v>14277127.881376233</v>
      </c>
      <c r="AD543" s="151">
        <f t="shared" si="314"/>
        <v>11421702.305100977</v>
      </c>
      <c r="AE543" s="151">
        <f t="shared" si="314"/>
        <v>8566276.7288257219</v>
      </c>
      <c r="AF543" s="151">
        <f t="shared" si="314"/>
        <v>5710851.1525504664</v>
      </c>
      <c r="AG543" s="151">
        <f t="shared" si="314"/>
        <v>3426510.6915302617</v>
      </c>
      <c r="AH543" s="151">
        <f t="shared" si="314"/>
        <v>1713255.3457651082</v>
      </c>
      <c r="AI543" s="151">
        <f t="shared" si="314"/>
        <v>571085.11525500589</v>
      </c>
      <c r="AJ543" s="151">
        <f t="shared" si="314"/>
        <v>-4.5285560190677643E-8</v>
      </c>
      <c r="AK543" s="151"/>
      <c r="AL543" s="151"/>
      <c r="AM543" s="151"/>
      <c r="AN543" s="151"/>
      <c r="AO543" s="151"/>
      <c r="AP543" s="151"/>
      <c r="AQ543" s="151"/>
      <c r="AR543" s="151"/>
      <c r="AS543" s="151"/>
      <c r="AT543" s="151"/>
      <c r="AU543" s="151"/>
      <c r="AV543" s="151"/>
      <c r="AW543" s="151"/>
      <c r="AX543" s="151"/>
      <c r="AY543" s="151"/>
      <c r="AZ543" s="151"/>
      <c r="BA543" s="151"/>
      <c r="BB543" s="151"/>
      <c r="BC543" s="151"/>
      <c r="BD543" s="151"/>
      <c r="BE543" s="151"/>
      <c r="BF543" s="151"/>
      <c r="BG543" s="151"/>
      <c r="BH543" s="151"/>
      <c r="BI543" s="151"/>
      <c r="BJ543" s="152"/>
      <c r="BK543" s="151"/>
      <c r="BL543" s="151"/>
    </row>
    <row r="544" spans="1:64" s="153" customFormat="1" ht="12.75">
      <c r="A544" s="138" t="s">
        <v>129</v>
      </c>
      <c r="B544" s="144"/>
      <c r="C544" s="154">
        <f>$B534-C539</f>
        <v>8699486.0659253914</v>
      </c>
      <c r="D544" s="151">
        <f>C544-D539</f>
        <v>8406244.9625795912</v>
      </c>
      <c r="E544" s="151">
        <f>D544-E539</f>
        <v>8113003.859233791</v>
      </c>
      <c r="F544" s="151">
        <f t="shared" si="314"/>
        <v>7819762.7558879908</v>
      </c>
      <c r="G544" s="151">
        <f t="shared" si="314"/>
        <v>7526521.6525421906</v>
      </c>
      <c r="H544" s="151">
        <f t="shared" si="314"/>
        <v>7233280.5491963904</v>
      </c>
      <c r="I544" s="151">
        <f t="shared" si="314"/>
        <v>6940039.4458505902</v>
      </c>
      <c r="J544" s="151">
        <f t="shared" si="314"/>
        <v>6646798.3425047901</v>
      </c>
      <c r="K544" s="151">
        <f t="shared" si="314"/>
        <v>6353557.2391589899</v>
      </c>
      <c r="L544" s="151">
        <f t="shared" si="314"/>
        <v>6060316.1358131897</v>
      </c>
      <c r="M544" s="151">
        <f t="shared" si="314"/>
        <v>5767075.0324673895</v>
      </c>
      <c r="N544" s="151">
        <f t="shared" si="314"/>
        <v>5473833.9291215893</v>
      </c>
      <c r="O544" s="151">
        <f t="shared" si="314"/>
        <v>5180592.8257757891</v>
      </c>
      <c r="P544" s="151">
        <f t="shared" si="314"/>
        <v>4887351.7224299889</v>
      </c>
      <c r="Q544" s="151">
        <f t="shared" si="314"/>
        <v>4594110.6190841887</v>
      </c>
      <c r="R544" s="151">
        <f t="shared" si="314"/>
        <v>4300869.5157383885</v>
      </c>
      <c r="S544" s="151">
        <f t="shared" si="314"/>
        <v>4007628.4123925888</v>
      </c>
      <c r="T544" s="151">
        <f t="shared" si="314"/>
        <v>3714387.3090467891</v>
      </c>
      <c r="U544" s="151">
        <f t="shared" si="314"/>
        <v>3421146.2057009893</v>
      </c>
      <c r="V544" s="151">
        <f t="shared" si="314"/>
        <v>3127905.1023551896</v>
      </c>
      <c r="W544" s="151">
        <f t="shared" si="314"/>
        <v>2834663.9990093899</v>
      </c>
      <c r="X544" s="151">
        <f t="shared" si="314"/>
        <v>2541422.8956635902</v>
      </c>
      <c r="Y544" s="151">
        <f t="shared" si="314"/>
        <v>2248181.7923177904</v>
      </c>
      <c r="Z544" s="151">
        <f t="shared" si="314"/>
        <v>1954940.6889719907</v>
      </c>
      <c r="AA544" s="151">
        <f t="shared" si="314"/>
        <v>1661699.585626191</v>
      </c>
      <c r="AB544" s="151">
        <f t="shared" si="314"/>
        <v>1368458.4822803913</v>
      </c>
      <c r="AC544" s="151">
        <f t="shared" si="314"/>
        <v>1075217.3789345915</v>
      </c>
      <c r="AD544" s="151">
        <f t="shared" si="314"/>
        <v>781976.27558879182</v>
      </c>
      <c r="AE544" s="151">
        <f t="shared" si="314"/>
        <v>488735.17224299209</v>
      </c>
      <c r="AF544" s="151">
        <f t="shared" si="314"/>
        <v>195494.06889719237</v>
      </c>
      <c r="AG544" s="151">
        <f t="shared" si="314"/>
        <v>-7.4505805969238281E-9</v>
      </c>
      <c r="AH544" s="151">
        <f t="shared" si="314"/>
        <v>-7.4505805969238281E-9</v>
      </c>
      <c r="AI544" s="151">
        <f t="shared" si="314"/>
        <v>-7.4505805969238281E-9</v>
      </c>
      <c r="AJ544" s="151">
        <f t="shared" si="314"/>
        <v>-7.4505805969238281E-9</v>
      </c>
      <c r="AK544" s="151"/>
      <c r="AL544" s="151"/>
      <c r="AM544" s="151"/>
      <c r="AN544" s="151"/>
      <c r="AO544" s="151"/>
      <c r="AP544" s="151"/>
      <c r="AQ544" s="151"/>
      <c r="AR544" s="151"/>
      <c r="AS544" s="151"/>
      <c r="AT544" s="151"/>
      <c r="AU544" s="151"/>
      <c r="AV544" s="151"/>
      <c r="AW544" s="151"/>
      <c r="AX544" s="151"/>
      <c r="AY544" s="151"/>
      <c r="AZ544" s="151"/>
      <c r="BA544" s="151"/>
      <c r="BB544" s="151"/>
      <c r="BC544" s="151"/>
      <c r="BD544" s="151"/>
      <c r="BE544" s="151"/>
      <c r="BF544" s="151"/>
      <c r="BG544" s="151"/>
      <c r="BH544" s="151"/>
      <c r="BI544" s="151"/>
      <c r="BJ544" s="152"/>
      <c r="BK544" s="151"/>
      <c r="BL544" s="151"/>
    </row>
    <row r="545" spans="1:64" s="116" customFormat="1">
      <c r="A545" s="111" t="s">
        <v>132</v>
      </c>
      <c r="B545" s="155">
        <f>SUM(B546:B549)</f>
        <v>222603200.0046463</v>
      </c>
      <c r="C545" s="117">
        <f>SUM(C546:C549)</f>
        <v>9446000.0388631672</v>
      </c>
      <c r="D545" s="118">
        <f t="shared" ref="D545:AJ545" si="315">SUM(D546:D549)</f>
        <v>9379116.8238928039</v>
      </c>
      <c r="E545" s="118">
        <f t="shared" si="315"/>
        <v>14932042.46807757</v>
      </c>
      <c r="F545" s="118">
        <f t="shared" si="315"/>
        <v>14668098.747860137</v>
      </c>
      <c r="G545" s="118">
        <f t="shared" si="315"/>
        <v>14283752.440810863</v>
      </c>
      <c r="H545" s="118">
        <f t="shared" si="315"/>
        <v>13779003.546929743</v>
      </c>
      <c r="I545" s="118">
        <f t="shared" si="315"/>
        <v>13274254.653048627</v>
      </c>
      <c r="J545" s="118">
        <f t="shared" si="315"/>
        <v>12769505.759167507</v>
      </c>
      <c r="K545" s="118">
        <f t="shared" si="315"/>
        <v>12264756.865286391</v>
      </c>
      <c r="L545" s="118">
        <f t="shared" si="315"/>
        <v>11760007.971405273</v>
      </c>
      <c r="M545" s="118">
        <f t="shared" si="315"/>
        <v>11255259.077524154</v>
      </c>
      <c r="N545" s="118">
        <f t="shared" si="315"/>
        <v>10750510.183643037</v>
      </c>
      <c r="O545" s="118">
        <f t="shared" si="315"/>
        <v>10245761.289761918</v>
      </c>
      <c r="P545" s="118">
        <f t="shared" si="315"/>
        <v>9741012.3958807997</v>
      </c>
      <c r="Q545" s="118">
        <f t="shared" si="315"/>
        <v>9236263.5019996837</v>
      </c>
      <c r="R545" s="118">
        <f t="shared" si="315"/>
        <v>8731514.6081185639</v>
      </c>
      <c r="S545" s="118">
        <f t="shared" si="315"/>
        <v>8226765.714237446</v>
      </c>
      <c r="T545" s="118">
        <f t="shared" si="315"/>
        <v>7722016.820356329</v>
      </c>
      <c r="U545" s="118">
        <f t="shared" si="315"/>
        <v>7217267.926475211</v>
      </c>
      <c r="V545" s="118">
        <f t="shared" si="315"/>
        <v>6712519.0325940931</v>
      </c>
      <c r="W545" s="118">
        <f t="shared" si="315"/>
        <v>6207770.1387129752</v>
      </c>
      <c r="X545" s="118">
        <f t="shared" si="315"/>
        <v>0</v>
      </c>
      <c r="Y545" s="118">
        <f t="shared" si="315"/>
        <v>0</v>
      </c>
      <c r="Z545" s="118">
        <f t="shared" si="315"/>
        <v>0</v>
      </c>
      <c r="AA545" s="118">
        <f t="shared" si="315"/>
        <v>0</v>
      </c>
      <c r="AB545" s="118">
        <f t="shared" si="315"/>
        <v>0</v>
      </c>
      <c r="AC545" s="118">
        <f t="shared" si="315"/>
        <v>0</v>
      </c>
      <c r="AD545" s="118">
        <f t="shared" si="315"/>
        <v>0</v>
      </c>
      <c r="AE545" s="118">
        <f t="shared" si="315"/>
        <v>0</v>
      </c>
      <c r="AF545" s="118">
        <f t="shared" si="315"/>
        <v>0</v>
      </c>
      <c r="AG545" s="118">
        <f t="shared" si="315"/>
        <v>0</v>
      </c>
      <c r="AH545" s="118">
        <f t="shared" si="315"/>
        <v>0</v>
      </c>
      <c r="AI545" s="118">
        <f t="shared" si="315"/>
        <v>0</v>
      </c>
      <c r="AJ545" s="118">
        <f t="shared" si="315"/>
        <v>0</v>
      </c>
      <c r="AK545" s="118"/>
      <c r="AL545" s="118"/>
      <c r="AM545" s="118"/>
      <c r="AN545" s="118"/>
      <c r="AO545" s="118"/>
      <c r="AP545" s="118"/>
      <c r="AQ545" s="118"/>
      <c r="AR545" s="118"/>
      <c r="AS545" s="118"/>
      <c r="AT545" s="118"/>
      <c r="AU545" s="118"/>
      <c r="AV545" s="118"/>
      <c r="AW545" s="118"/>
      <c r="AX545" s="118"/>
      <c r="AY545" s="118"/>
      <c r="AZ545" s="118"/>
      <c r="BA545" s="118"/>
      <c r="BB545" s="118"/>
      <c r="BC545" s="118"/>
      <c r="BD545" s="118"/>
      <c r="BE545" s="118"/>
      <c r="BF545" s="118"/>
      <c r="BG545" s="118"/>
      <c r="BH545" s="118"/>
      <c r="BI545" s="118"/>
      <c r="BJ545" s="119"/>
      <c r="BK545" s="118"/>
      <c r="BL545" s="118"/>
    </row>
    <row r="546" spans="1:64" s="143" customFormat="1" ht="12.75">
      <c r="A546" s="138" t="s">
        <v>126</v>
      </c>
      <c r="B546" s="139">
        <f>SUM(C546:BJ546)</f>
        <v>79117594.132921621</v>
      </c>
      <c r="C546" s="140"/>
      <c r="D546" s="141"/>
      <c r="E546" s="226">
        <f>IF(AND(E518&gt;5,E519=0),0,(E541+E536)*$I517)</f>
        <v>5696466.7775703575</v>
      </c>
      <c r="F546" s="141">
        <f>IF(AND(F518&gt;5,F519=0),0,(F541+F536)*$I517)</f>
        <v>5633172.7022640202</v>
      </c>
      <c r="G546" s="141">
        <f t="shared" ref="G546:BJ546" si="316">IF(AND(G518&gt;5,G519=0),0,(G541+G536)*$I517)</f>
        <v>5506584.5516513456</v>
      </c>
      <c r="H546" s="141">
        <f t="shared" si="316"/>
        <v>5316702.3257323336</v>
      </c>
      <c r="I546" s="141">
        <f t="shared" si="316"/>
        <v>5126820.0998133216</v>
      </c>
      <c r="J546" s="141">
        <f t="shared" si="316"/>
        <v>4936937.8738943096</v>
      </c>
      <c r="K546" s="141">
        <f t="shared" si="316"/>
        <v>4747055.6479752976</v>
      </c>
      <c r="L546" s="141">
        <f t="shared" si="316"/>
        <v>4557173.4220562857</v>
      </c>
      <c r="M546" s="141">
        <f t="shared" si="316"/>
        <v>4367291.1961372737</v>
      </c>
      <c r="N546" s="141">
        <f t="shared" si="316"/>
        <v>4177408.9702182617</v>
      </c>
      <c r="O546" s="141">
        <f t="shared" si="316"/>
        <v>3987526.7442992497</v>
      </c>
      <c r="P546" s="141">
        <f t="shared" si="316"/>
        <v>3797644.5183802377</v>
      </c>
      <c r="Q546" s="141">
        <f t="shared" si="316"/>
        <v>3607762.2924612258</v>
      </c>
      <c r="R546" s="141">
        <f t="shared" si="316"/>
        <v>3417880.0665422138</v>
      </c>
      <c r="S546" s="141">
        <f t="shared" si="316"/>
        <v>3227997.8406232018</v>
      </c>
      <c r="T546" s="141">
        <f t="shared" si="316"/>
        <v>3038115.6147041898</v>
      </c>
      <c r="U546" s="141">
        <f t="shared" si="316"/>
        <v>2848233.3887851778</v>
      </c>
      <c r="V546" s="141">
        <f t="shared" si="316"/>
        <v>2658351.1628661659</v>
      </c>
      <c r="W546" s="141">
        <f t="shared" si="316"/>
        <v>2468468.9369471534</v>
      </c>
      <c r="X546" s="141">
        <f t="shared" si="316"/>
        <v>0</v>
      </c>
      <c r="Y546" s="141">
        <f t="shared" si="316"/>
        <v>0</v>
      </c>
      <c r="Z546" s="141">
        <f t="shared" si="316"/>
        <v>0</v>
      </c>
      <c r="AA546" s="141">
        <f t="shared" si="316"/>
        <v>0</v>
      </c>
      <c r="AB546" s="141">
        <f t="shared" si="316"/>
        <v>0</v>
      </c>
      <c r="AC546" s="141">
        <f t="shared" si="316"/>
        <v>0</v>
      </c>
      <c r="AD546" s="141">
        <f t="shared" si="316"/>
        <v>0</v>
      </c>
      <c r="AE546" s="141">
        <f t="shared" si="316"/>
        <v>0</v>
      </c>
      <c r="AF546" s="141">
        <f t="shared" si="316"/>
        <v>0</v>
      </c>
      <c r="AG546" s="141">
        <f t="shared" si="316"/>
        <v>0</v>
      </c>
      <c r="AH546" s="141">
        <f t="shared" si="316"/>
        <v>0</v>
      </c>
      <c r="AI546" s="141">
        <f t="shared" si="316"/>
        <v>0</v>
      </c>
      <c r="AJ546" s="141">
        <f t="shared" si="316"/>
        <v>0</v>
      </c>
      <c r="AK546" s="141">
        <f t="shared" si="316"/>
        <v>0</v>
      </c>
      <c r="AL546" s="141">
        <f t="shared" si="316"/>
        <v>0</v>
      </c>
      <c r="AM546" s="141">
        <f t="shared" si="316"/>
        <v>0</v>
      </c>
      <c r="AN546" s="141">
        <f t="shared" si="316"/>
        <v>0</v>
      </c>
      <c r="AO546" s="141">
        <f t="shared" si="316"/>
        <v>0</v>
      </c>
      <c r="AP546" s="141">
        <f t="shared" si="316"/>
        <v>0</v>
      </c>
      <c r="AQ546" s="141">
        <f t="shared" si="316"/>
        <v>0</v>
      </c>
      <c r="AR546" s="141">
        <f t="shared" si="316"/>
        <v>0</v>
      </c>
      <c r="AS546" s="141">
        <f t="shared" si="316"/>
        <v>0</v>
      </c>
      <c r="AT546" s="141">
        <f t="shared" si="316"/>
        <v>0</v>
      </c>
      <c r="AU546" s="141">
        <f t="shared" si="316"/>
        <v>0</v>
      </c>
      <c r="AV546" s="141">
        <f t="shared" si="316"/>
        <v>0</v>
      </c>
      <c r="AW546" s="141">
        <f t="shared" si="316"/>
        <v>0</v>
      </c>
      <c r="AX546" s="141">
        <f t="shared" si="316"/>
        <v>0</v>
      </c>
      <c r="AY546" s="141">
        <f t="shared" si="316"/>
        <v>0</v>
      </c>
      <c r="AZ546" s="141">
        <f t="shared" si="316"/>
        <v>0</v>
      </c>
      <c r="BA546" s="141">
        <f t="shared" si="316"/>
        <v>0</v>
      </c>
      <c r="BB546" s="141">
        <f t="shared" si="316"/>
        <v>0</v>
      </c>
      <c r="BC546" s="141">
        <f t="shared" si="316"/>
        <v>0</v>
      </c>
      <c r="BD546" s="141">
        <f t="shared" si="316"/>
        <v>0</v>
      </c>
      <c r="BE546" s="141">
        <f t="shared" si="316"/>
        <v>0</v>
      </c>
      <c r="BF546" s="141">
        <f t="shared" si="316"/>
        <v>0</v>
      </c>
      <c r="BG546" s="141">
        <f t="shared" si="316"/>
        <v>0</v>
      </c>
      <c r="BH546" s="141">
        <f t="shared" si="316"/>
        <v>0</v>
      </c>
      <c r="BI546" s="141">
        <f t="shared" si="316"/>
        <v>0</v>
      </c>
      <c r="BJ546" s="142">
        <f t="shared" si="316"/>
        <v>0</v>
      </c>
      <c r="BK546" s="141"/>
      <c r="BL546" s="141"/>
    </row>
    <row r="547" spans="1:64" s="143" customFormat="1" ht="12.75">
      <c r="A547" s="138" t="s">
        <v>127</v>
      </c>
      <c r="B547" s="139">
        <f>SUM(C547:BJ547)</f>
        <v>0</v>
      </c>
      <c r="C547" s="140"/>
      <c r="D547" s="141"/>
      <c r="E547" s="226">
        <f>IF(AND(E518&gt;5,E519=0),0,(E542+E537)*$I517)</f>
        <v>0</v>
      </c>
      <c r="F547" s="141">
        <f t="shared" ref="F547:BJ547" si="317">IF(AND(F518&gt;5,F519=0),0,(F542+F537)*$I517)</f>
        <v>0</v>
      </c>
      <c r="G547" s="141">
        <f t="shared" si="317"/>
        <v>0</v>
      </c>
      <c r="H547" s="141">
        <f t="shared" si="317"/>
        <v>0</v>
      </c>
      <c r="I547" s="141">
        <f t="shared" si="317"/>
        <v>0</v>
      </c>
      <c r="J547" s="141">
        <f t="shared" si="317"/>
        <v>0</v>
      </c>
      <c r="K547" s="141">
        <f t="shared" si="317"/>
        <v>0</v>
      </c>
      <c r="L547" s="141">
        <f t="shared" si="317"/>
        <v>0</v>
      </c>
      <c r="M547" s="141">
        <f t="shared" si="317"/>
        <v>0</v>
      </c>
      <c r="N547" s="141">
        <f t="shared" si="317"/>
        <v>0</v>
      </c>
      <c r="O547" s="141">
        <f t="shared" si="317"/>
        <v>0</v>
      </c>
      <c r="P547" s="141">
        <f t="shared" si="317"/>
        <v>0</v>
      </c>
      <c r="Q547" s="141">
        <f t="shared" si="317"/>
        <v>0</v>
      </c>
      <c r="R547" s="141">
        <f t="shared" si="317"/>
        <v>0</v>
      </c>
      <c r="S547" s="141">
        <f t="shared" si="317"/>
        <v>0</v>
      </c>
      <c r="T547" s="141">
        <f t="shared" si="317"/>
        <v>0</v>
      </c>
      <c r="U547" s="141">
        <f t="shared" si="317"/>
        <v>0</v>
      </c>
      <c r="V547" s="141">
        <f t="shared" si="317"/>
        <v>0</v>
      </c>
      <c r="W547" s="141">
        <f t="shared" si="317"/>
        <v>0</v>
      </c>
      <c r="X547" s="141">
        <f t="shared" si="317"/>
        <v>0</v>
      </c>
      <c r="Y547" s="141">
        <f t="shared" si="317"/>
        <v>0</v>
      </c>
      <c r="Z547" s="141">
        <f t="shared" si="317"/>
        <v>0</v>
      </c>
      <c r="AA547" s="141">
        <f t="shared" si="317"/>
        <v>0</v>
      </c>
      <c r="AB547" s="141">
        <f t="shared" si="317"/>
        <v>0</v>
      </c>
      <c r="AC547" s="141">
        <f t="shared" si="317"/>
        <v>0</v>
      </c>
      <c r="AD547" s="141">
        <f t="shared" si="317"/>
        <v>0</v>
      </c>
      <c r="AE547" s="141">
        <f t="shared" si="317"/>
        <v>0</v>
      </c>
      <c r="AF547" s="141">
        <f t="shared" si="317"/>
        <v>0</v>
      </c>
      <c r="AG547" s="141">
        <f t="shared" si="317"/>
        <v>0</v>
      </c>
      <c r="AH547" s="141">
        <f t="shared" si="317"/>
        <v>0</v>
      </c>
      <c r="AI547" s="141">
        <f t="shared" si="317"/>
        <v>0</v>
      </c>
      <c r="AJ547" s="141">
        <f t="shared" si="317"/>
        <v>0</v>
      </c>
      <c r="AK547" s="141">
        <f t="shared" si="317"/>
        <v>0</v>
      </c>
      <c r="AL547" s="141">
        <f t="shared" si="317"/>
        <v>0</v>
      </c>
      <c r="AM547" s="141">
        <f t="shared" si="317"/>
        <v>0</v>
      </c>
      <c r="AN547" s="141">
        <f t="shared" si="317"/>
        <v>0</v>
      </c>
      <c r="AO547" s="141">
        <f t="shared" si="317"/>
        <v>0</v>
      </c>
      <c r="AP547" s="141">
        <f t="shared" si="317"/>
        <v>0</v>
      </c>
      <c r="AQ547" s="141">
        <f t="shared" si="317"/>
        <v>0</v>
      </c>
      <c r="AR547" s="141">
        <f t="shared" si="317"/>
        <v>0</v>
      </c>
      <c r="AS547" s="141">
        <f t="shared" si="317"/>
        <v>0</v>
      </c>
      <c r="AT547" s="141">
        <f t="shared" si="317"/>
        <v>0</v>
      </c>
      <c r="AU547" s="141">
        <f t="shared" si="317"/>
        <v>0</v>
      </c>
      <c r="AV547" s="141">
        <f t="shared" si="317"/>
        <v>0</v>
      </c>
      <c r="AW547" s="141">
        <f t="shared" si="317"/>
        <v>0</v>
      </c>
      <c r="AX547" s="141">
        <f t="shared" si="317"/>
        <v>0</v>
      </c>
      <c r="AY547" s="141">
        <f t="shared" si="317"/>
        <v>0</v>
      </c>
      <c r="AZ547" s="141">
        <f t="shared" si="317"/>
        <v>0</v>
      </c>
      <c r="BA547" s="141">
        <f t="shared" si="317"/>
        <v>0</v>
      </c>
      <c r="BB547" s="141">
        <f t="shared" si="317"/>
        <v>0</v>
      </c>
      <c r="BC547" s="141">
        <f t="shared" si="317"/>
        <v>0</v>
      </c>
      <c r="BD547" s="141">
        <f t="shared" si="317"/>
        <v>0</v>
      </c>
      <c r="BE547" s="141">
        <f t="shared" si="317"/>
        <v>0</v>
      </c>
      <c r="BF547" s="141">
        <f t="shared" si="317"/>
        <v>0</v>
      </c>
      <c r="BG547" s="141">
        <f t="shared" si="317"/>
        <v>0</v>
      </c>
      <c r="BH547" s="141">
        <f t="shared" si="317"/>
        <v>0</v>
      </c>
      <c r="BI547" s="141">
        <f t="shared" si="317"/>
        <v>0</v>
      </c>
      <c r="BJ547" s="142">
        <f t="shared" si="317"/>
        <v>0</v>
      </c>
      <c r="BK547" s="141"/>
      <c r="BL547" s="141"/>
    </row>
    <row r="548" spans="1:64" s="143" customFormat="1" ht="12.75">
      <c r="A548" s="138" t="s">
        <v>128</v>
      </c>
      <c r="B548" s="139">
        <f>SUM(C548:BJ548)</f>
        <v>130778491.39340669</v>
      </c>
      <c r="C548" s="227">
        <f>IF(AND(C518&gt;5,C519=0),0,(C543+C538)*$I517)</f>
        <v>8566276.7288257685</v>
      </c>
      <c r="D548" s="141">
        <f>IF(AND(D518&gt;5,D519=0),0,(D543+D538)*$I517)</f>
        <v>8509168.2173002642</v>
      </c>
      <c r="E548" s="141">
        <f t="shared" ref="E548:BJ548" si="318">IF(AND(E518&gt;5,E519=0),0,(E543+E538)*$I517)</f>
        <v>8394951.1942492537</v>
      </c>
      <c r="F548" s="141">
        <f t="shared" si="318"/>
        <v>8223625.6596727371</v>
      </c>
      <c r="G548" s="141">
        <f t="shared" si="318"/>
        <v>7995191.6135707172</v>
      </c>
      <c r="H548" s="141">
        <f t="shared" si="318"/>
        <v>7709649.0559431911</v>
      </c>
      <c r="I548" s="141">
        <f t="shared" si="318"/>
        <v>7424106.4983156659</v>
      </c>
      <c r="J548" s="141">
        <f t="shared" si="318"/>
        <v>7138563.9406881398</v>
      </c>
      <c r="K548" s="141">
        <f t="shared" si="318"/>
        <v>6853021.3830606136</v>
      </c>
      <c r="L548" s="141">
        <f t="shared" si="318"/>
        <v>6567478.8254330875</v>
      </c>
      <c r="M548" s="141">
        <f t="shared" si="318"/>
        <v>6281936.2678055614</v>
      </c>
      <c r="N548" s="141">
        <f t="shared" si="318"/>
        <v>5996393.7101780362</v>
      </c>
      <c r="O548" s="141">
        <f t="shared" si="318"/>
        <v>5710851.1525505101</v>
      </c>
      <c r="P548" s="141">
        <f t="shared" si="318"/>
        <v>5425308.594922984</v>
      </c>
      <c r="Q548" s="141">
        <f t="shared" si="318"/>
        <v>5139766.0372954579</v>
      </c>
      <c r="R548" s="141">
        <f t="shared" si="318"/>
        <v>4854223.4796679318</v>
      </c>
      <c r="S548" s="141">
        <f t="shared" si="318"/>
        <v>4568680.9220404057</v>
      </c>
      <c r="T548" s="141">
        <f t="shared" si="318"/>
        <v>4283138.3644128805</v>
      </c>
      <c r="U548" s="141">
        <f t="shared" si="318"/>
        <v>3997595.8067853544</v>
      </c>
      <c r="V548" s="141">
        <f t="shared" si="318"/>
        <v>3712053.2491578283</v>
      </c>
      <c r="W548" s="141">
        <f t="shared" si="318"/>
        <v>3426510.6915303022</v>
      </c>
      <c r="X548" s="141">
        <f t="shared" si="318"/>
        <v>0</v>
      </c>
      <c r="Y548" s="141">
        <f t="shared" si="318"/>
        <v>0</v>
      </c>
      <c r="Z548" s="141">
        <f t="shared" si="318"/>
        <v>0</v>
      </c>
      <c r="AA548" s="141">
        <f t="shared" si="318"/>
        <v>0</v>
      </c>
      <c r="AB548" s="141">
        <f t="shared" si="318"/>
        <v>0</v>
      </c>
      <c r="AC548" s="141">
        <f t="shared" si="318"/>
        <v>0</v>
      </c>
      <c r="AD548" s="141">
        <f t="shared" si="318"/>
        <v>0</v>
      </c>
      <c r="AE548" s="141">
        <f t="shared" si="318"/>
        <v>0</v>
      </c>
      <c r="AF548" s="141">
        <f t="shared" si="318"/>
        <v>0</v>
      </c>
      <c r="AG548" s="141">
        <f t="shared" si="318"/>
        <v>0</v>
      </c>
      <c r="AH548" s="141">
        <f t="shared" si="318"/>
        <v>0</v>
      </c>
      <c r="AI548" s="141">
        <f t="shared" si="318"/>
        <v>0</v>
      </c>
      <c r="AJ548" s="141">
        <f t="shared" si="318"/>
        <v>0</v>
      </c>
      <c r="AK548" s="141">
        <f t="shared" si="318"/>
        <v>0</v>
      </c>
      <c r="AL548" s="141">
        <f t="shared" si="318"/>
        <v>0</v>
      </c>
      <c r="AM548" s="141">
        <f t="shared" si="318"/>
        <v>0</v>
      </c>
      <c r="AN548" s="141">
        <f t="shared" si="318"/>
        <v>0</v>
      </c>
      <c r="AO548" s="141">
        <f t="shared" si="318"/>
        <v>0</v>
      </c>
      <c r="AP548" s="141">
        <f t="shared" si="318"/>
        <v>0</v>
      </c>
      <c r="AQ548" s="141">
        <f t="shared" si="318"/>
        <v>0</v>
      </c>
      <c r="AR548" s="141">
        <f t="shared" si="318"/>
        <v>0</v>
      </c>
      <c r="AS548" s="141">
        <f t="shared" si="318"/>
        <v>0</v>
      </c>
      <c r="AT548" s="141">
        <f t="shared" si="318"/>
        <v>0</v>
      </c>
      <c r="AU548" s="141">
        <f t="shared" si="318"/>
        <v>0</v>
      </c>
      <c r="AV548" s="141">
        <f t="shared" si="318"/>
        <v>0</v>
      </c>
      <c r="AW548" s="141">
        <f t="shared" si="318"/>
        <v>0</v>
      </c>
      <c r="AX548" s="141">
        <f t="shared" si="318"/>
        <v>0</v>
      </c>
      <c r="AY548" s="141">
        <f t="shared" si="318"/>
        <v>0</v>
      </c>
      <c r="AZ548" s="141">
        <f t="shared" si="318"/>
        <v>0</v>
      </c>
      <c r="BA548" s="141">
        <f t="shared" si="318"/>
        <v>0</v>
      </c>
      <c r="BB548" s="141">
        <f t="shared" si="318"/>
        <v>0</v>
      </c>
      <c r="BC548" s="141">
        <f t="shared" si="318"/>
        <v>0</v>
      </c>
      <c r="BD548" s="141">
        <f t="shared" si="318"/>
        <v>0</v>
      </c>
      <c r="BE548" s="141">
        <f t="shared" si="318"/>
        <v>0</v>
      </c>
      <c r="BF548" s="141">
        <f t="shared" si="318"/>
        <v>0</v>
      </c>
      <c r="BG548" s="141">
        <f t="shared" si="318"/>
        <v>0</v>
      </c>
      <c r="BH548" s="141">
        <f t="shared" si="318"/>
        <v>0</v>
      </c>
      <c r="BI548" s="141">
        <f t="shared" si="318"/>
        <v>0</v>
      </c>
      <c r="BJ548" s="142">
        <f t="shared" si="318"/>
        <v>0</v>
      </c>
      <c r="BK548" s="141"/>
      <c r="BL548" s="141"/>
    </row>
    <row r="549" spans="1:64" s="143" customFormat="1" ht="12.75">
      <c r="A549" s="138" t="s">
        <v>129</v>
      </c>
      <c r="B549" s="139">
        <f>SUM(C549:BJ549)</f>
        <v>12707114.478317982</v>
      </c>
      <c r="C549" s="227">
        <f>IF(AND(C518&gt;5,C519=0),0,(C544+C539)*$I517)</f>
        <v>879723.31003739918</v>
      </c>
      <c r="D549" s="141">
        <f>IF(AND(D518&gt;5,D519=0),0,(D544+D539)*$I517)</f>
        <v>869948.60659253923</v>
      </c>
      <c r="E549" s="141">
        <f t="shared" ref="E549:BJ549" si="319">IF(AND(E518&gt;5,E519=0),0,(E544+E539)*$I517)</f>
        <v>840624.49625795917</v>
      </c>
      <c r="F549" s="141">
        <f t="shared" si="319"/>
        <v>811300.3859233791</v>
      </c>
      <c r="G549" s="141">
        <f t="shared" si="319"/>
        <v>781976.27558879915</v>
      </c>
      <c r="H549" s="141">
        <f t="shared" si="319"/>
        <v>752652.16525421909</v>
      </c>
      <c r="I549" s="141">
        <f t="shared" si="319"/>
        <v>723328.05491963914</v>
      </c>
      <c r="J549" s="141">
        <f t="shared" si="319"/>
        <v>694003.94458505907</v>
      </c>
      <c r="K549" s="141">
        <f t="shared" si="319"/>
        <v>664679.83425047901</v>
      </c>
      <c r="L549" s="141">
        <f t="shared" si="319"/>
        <v>635355.72391589906</v>
      </c>
      <c r="M549" s="141">
        <f t="shared" si="319"/>
        <v>606031.61358131899</v>
      </c>
      <c r="N549" s="141">
        <f t="shared" si="319"/>
        <v>576707.50324673892</v>
      </c>
      <c r="O549" s="141">
        <f t="shared" si="319"/>
        <v>547383.39291215898</v>
      </c>
      <c r="P549" s="141">
        <f t="shared" si="319"/>
        <v>518059.28257757891</v>
      </c>
      <c r="Q549" s="141">
        <f t="shared" si="319"/>
        <v>488735.1722429989</v>
      </c>
      <c r="R549" s="141">
        <f t="shared" si="319"/>
        <v>459411.06190841889</v>
      </c>
      <c r="S549" s="141">
        <f t="shared" si="319"/>
        <v>430086.95157383889</v>
      </c>
      <c r="T549" s="141">
        <f t="shared" si="319"/>
        <v>400762.84123925888</v>
      </c>
      <c r="U549" s="141">
        <f t="shared" si="319"/>
        <v>371438.73090467893</v>
      </c>
      <c r="V549" s="141">
        <f t="shared" si="319"/>
        <v>342114.62057009898</v>
      </c>
      <c r="W549" s="141">
        <f t="shared" si="319"/>
        <v>312790.51023551897</v>
      </c>
      <c r="X549" s="141">
        <f t="shared" si="319"/>
        <v>0</v>
      </c>
      <c r="Y549" s="141">
        <f t="shared" si="319"/>
        <v>0</v>
      </c>
      <c r="Z549" s="141">
        <f t="shared" si="319"/>
        <v>0</v>
      </c>
      <c r="AA549" s="141">
        <f t="shared" si="319"/>
        <v>0</v>
      </c>
      <c r="AB549" s="141">
        <f t="shared" si="319"/>
        <v>0</v>
      </c>
      <c r="AC549" s="141">
        <f t="shared" si="319"/>
        <v>0</v>
      </c>
      <c r="AD549" s="141">
        <f t="shared" si="319"/>
        <v>0</v>
      </c>
      <c r="AE549" s="141">
        <f t="shared" si="319"/>
        <v>0</v>
      </c>
      <c r="AF549" s="141">
        <f t="shared" si="319"/>
        <v>0</v>
      </c>
      <c r="AG549" s="141">
        <f t="shared" si="319"/>
        <v>0</v>
      </c>
      <c r="AH549" s="141">
        <f t="shared" si="319"/>
        <v>0</v>
      </c>
      <c r="AI549" s="141">
        <f t="shared" si="319"/>
        <v>0</v>
      </c>
      <c r="AJ549" s="141">
        <f t="shared" si="319"/>
        <v>0</v>
      </c>
      <c r="AK549" s="141">
        <f t="shared" si="319"/>
        <v>0</v>
      </c>
      <c r="AL549" s="141">
        <f t="shared" si="319"/>
        <v>0</v>
      </c>
      <c r="AM549" s="141">
        <f t="shared" si="319"/>
        <v>0</v>
      </c>
      <c r="AN549" s="141">
        <f t="shared" si="319"/>
        <v>0</v>
      </c>
      <c r="AO549" s="141">
        <f t="shared" si="319"/>
        <v>0</v>
      </c>
      <c r="AP549" s="141">
        <f t="shared" si="319"/>
        <v>0</v>
      </c>
      <c r="AQ549" s="141">
        <f t="shared" si="319"/>
        <v>0</v>
      </c>
      <c r="AR549" s="141">
        <f t="shared" si="319"/>
        <v>0</v>
      </c>
      <c r="AS549" s="141">
        <f t="shared" si="319"/>
        <v>0</v>
      </c>
      <c r="AT549" s="141">
        <f t="shared" si="319"/>
        <v>0</v>
      </c>
      <c r="AU549" s="141">
        <f t="shared" si="319"/>
        <v>0</v>
      </c>
      <c r="AV549" s="141">
        <f t="shared" si="319"/>
        <v>0</v>
      </c>
      <c r="AW549" s="141">
        <f t="shared" si="319"/>
        <v>0</v>
      </c>
      <c r="AX549" s="141">
        <f t="shared" si="319"/>
        <v>0</v>
      </c>
      <c r="AY549" s="141">
        <f t="shared" si="319"/>
        <v>0</v>
      </c>
      <c r="AZ549" s="141">
        <f t="shared" si="319"/>
        <v>0</v>
      </c>
      <c r="BA549" s="141">
        <f t="shared" si="319"/>
        <v>0</v>
      </c>
      <c r="BB549" s="141">
        <f t="shared" si="319"/>
        <v>0</v>
      </c>
      <c r="BC549" s="141">
        <f t="shared" si="319"/>
        <v>0</v>
      </c>
      <c r="BD549" s="141">
        <f t="shared" si="319"/>
        <v>0</v>
      </c>
      <c r="BE549" s="141">
        <f t="shared" si="319"/>
        <v>0</v>
      </c>
      <c r="BF549" s="141">
        <f t="shared" si="319"/>
        <v>0</v>
      </c>
      <c r="BG549" s="141">
        <f t="shared" si="319"/>
        <v>0</v>
      </c>
      <c r="BH549" s="141">
        <f t="shared" si="319"/>
        <v>0</v>
      </c>
      <c r="BI549" s="141">
        <f t="shared" si="319"/>
        <v>0</v>
      </c>
      <c r="BJ549" s="142">
        <f t="shared" si="319"/>
        <v>0</v>
      </c>
      <c r="BK549" s="141"/>
      <c r="BL549" s="141"/>
    </row>
    <row r="550" spans="1:64" s="116" customFormat="1">
      <c r="A550" s="111" t="s">
        <v>133</v>
      </c>
      <c r="B550" s="155">
        <f>SUM(B551:B554)</f>
        <v>94394455.716016635</v>
      </c>
      <c r="C550" s="117">
        <f>SUM(C551:C554)</f>
        <v>668832.14970365108</v>
      </c>
      <c r="D550" s="118">
        <f>SUM(D551:D554)</f>
        <v>1435411.3338559021</v>
      </c>
      <c r="E550" s="118">
        <f>SUM(E551:E554)</f>
        <v>2639437.2021743259</v>
      </c>
      <c r="F550" s="118">
        <f t="shared" ref="F550:AJ550" si="320">SUM(F551:F554)</f>
        <v>3843463.0704927505</v>
      </c>
      <c r="G550" s="118">
        <f t="shared" si="320"/>
        <v>5047488.9388111755</v>
      </c>
      <c r="H550" s="118">
        <f t="shared" si="320"/>
        <v>5047488.9388111755</v>
      </c>
      <c r="I550" s="118">
        <f t="shared" si="320"/>
        <v>5047488.9388111755</v>
      </c>
      <c r="J550" s="118">
        <f t="shared" si="320"/>
        <v>5047488.9388111755</v>
      </c>
      <c r="K550" s="118">
        <f t="shared" si="320"/>
        <v>5047488.9388111755</v>
      </c>
      <c r="L550" s="118">
        <f t="shared" si="320"/>
        <v>5047488.9388111755</v>
      </c>
      <c r="M550" s="118">
        <f t="shared" si="320"/>
        <v>5047488.9388111755</v>
      </c>
      <c r="N550" s="118">
        <f t="shared" si="320"/>
        <v>5047488.9388111755</v>
      </c>
      <c r="O550" s="118">
        <f t="shared" si="320"/>
        <v>5047488.9388111755</v>
      </c>
      <c r="P550" s="118">
        <f t="shared" si="320"/>
        <v>5047488.9388111755</v>
      </c>
      <c r="Q550" s="118">
        <f t="shared" si="320"/>
        <v>5047488.9388111755</v>
      </c>
      <c r="R550" s="118">
        <f t="shared" si="320"/>
        <v>5047488.9388111755</v>
      </c>
      <c r="S550" s="118">
        <f t="shared" si="320"/>
        <v>5047488.9388111755</v>
      </c>
      <c r="T550" s="118">
        <f t="shared" si="320"/>
        <v>5047488.9388111755</v>
      </c>
      <c r="U550" s="118">
        <f t="shared" si="320"/>
        <v>5047488.9388111755</v>
      </c>
      <c r="V550" s="118">
        <f t="shared" si="320"/>
        <v>5047488.9388111755</v>
      </c>
      <c r="W550" s="118">
        <f t="shared" si="320"/>
        <v>5047488.9388111755</v>
      </c>
      <c r="X550" s="118">
        <f t="shared" si="320"/>
        <v>0</v>
      </c>
      <c r="Y550" s="118">
        <f t="shared" si="320"/>
        <v>0</v>
      </c>
      <c r="Z550" s="118">
        <f t="shared" si="320"/>
        <v>0</v>
      </c>
      <c r="AA550" s="118">
        <f t="shared" si="320"/>
        <v>0</v>
      </c>
      <c r="AB550" s="118">
        <f t="shared" si="320"/>
        <v>0</v>
      </c>
      <c r="AC550" s="118">
        <f t="shared" si="320"/>
        <v>0</v>
      </c>
      <c r="AD550" s="118">
        <f t="shared" si="320"/>
        <v>0</v>
      </c>
      <c r="AE550" s="118">
        <f t="shared" si="320"/>
        <v>0</v>
      </c>
      <c r="AF550" s="118">
        <f t="shared" si="320"/>
        <v>0</v>
      </c>
      <c r="AG550" s="118">
        <f t="shared" si="320"/>
        <v>0</v>
      </c>
      <c r="AH550" s="118">
        <f t="shared" si="320"/>
        <v>0</v>
      </c>
      <c r="AI550" s="118">
        <f t="shared" si="320"/>
        <v>0</v>
      </c>
      <c r="AJ550" s="118">
        <f t="shared" si="320"/>
        <v>0</v>
      </c>
      <c r="AK550" s="118"/>
      <c r="AL550" s="118"/>
      <c r="AM550" s="118"/>
      <c r="AN550" s="118"/>
      <c r="AO550" s="118"/>
      <c r="AP550" s="118"/>
      <c r="AQ550" s="118"/>
      <c r="AR550" s="118"/>
      <c r="AS550" s="118"/>
      <c r="AT550" s="118"/>
      <c r="AU550" s="118"/>
      <c r="AV550" s="118"/>
      <c r="AW550" s="118"/>
      <c r="AX550" s="118"/>
      <c r="AY550" s="118"/>
      <c r="AZ550" s="118"/>
      <c r="BA550" s="118"/>
      <c r="BB550" s="118"/>
      <c r="BC550" s="118"/>
      <c r="BD550" s="118"/>
      <c r="BE550" s="118"/>
      <c r="BF550" s="118"/>
      <c r="BG550" s="118"/>
      <c r="BH550" s="118"/>
      <c r="BI550" s="118"/>
      <c r="BJ550" s="119"/>
      <c r="BK550" s="118"/>
      <c r="BL550" s="118"/>
    </row>
    <row r="551" spans="1:64" s="143" customFormat="1" ht="12.75">
      <c r="A551" s="138" t="s">
        <v>126</v>
      </c>
      <c r="B551" s="139">
        <f t="shared" ref="B551:B557" si="321">SUM(C551:BJ551)</f>
        <v>34178800.665422149</v>
      </c>
      <c r="C551" s="227">
        <f>IF(AND(C518&gt;5,C519=0),0,C536)</f>
        <v>0</v>
      </c>
      <c r="D551" s="141">
        <f>IF(AND(D518&gt;5,D519=0),0,D536)</f>
        <v>0</v>
      </c>
      <c r="E551" s="141">
        <f t="shared" ref="E551:BJ551" si="322">IF(AND(E518&gt;5,E519=0),0,E536)</f>
        <v>632940.75306337303</v>
      </c>
      <c r="F551" s="141">
        <f t="shared" si="322"/>
        <v>1265881.5061267461</v>
      </c>
      <c r="G551" s="141">
        <f t="shared" si="322"/>
        <v>1898822.2591901191</v>
      </c>
      <c r="H551" s="141">
        <f t="shared" si="322"/>
        <v>1898822.2591901191</v>
      </c>
      <c r="I551" s="141">
        <f t="shared" si="322"/>
        <v>1898822.2591901191</v>
      </c>
      <c r="J551" s="141">
        <f t="shared" si="322"/>
        <v>1898822.2591901191</v>
      </c>
      <c r="K551" s="141">
        <f t="shared" si="322"/>
        <v>1898822.2591901191</v>
      </c>
      <c r="L551" s="141">
        <f t="shared" si="322"/>
        <v>1898822.2591901191</v>
      </c>
      <c r="M551" s="141">
        <f t="shared" si="322"/>
        <v>1898822.2591901191</v>
      </c>
      <c r="N551" s="141">
        <f t="shared" si="322"/>
        <v>1898822.2591901191</v>
      </c>
      <c r="O551" s="141">
        <f t="shared" si="322"/>
        <v>1898822.2591901191</v>
      </c>
      <c r="P551" s="141">
        <f t="shared" si="322"/>
        <v>1898822.2591901191</v>
      </c>
      <c r="Q551" s="141">
        <f t="shared" si="322"/>
        <v>1898822.2591901191</v>
      </c>
      <c r="R551" s="141">
        <f t="shared" si="322"/>
        <v>1898822.2591901191</v>
      </c>
      <c r="S551" s="141">
        <f t="shared" si="322"/>
        <v>1898822.2591901191</v>
      </c>
      <c r="T551" s="141">
        <f t="shared" si="322"/>
        <v>1898822.2591901191</v>
      </c>
      <c r="U551" s="141">
        <f t="shared" si="322"/>
        <v>1898822.2591901191</v>
      </c>
      <c r="V551" s="141">
        <f t="shared" si="322"/>
        <v>1898822.2591901191</v>
      </c>
      <c r="W551" s="141">
        <f t="shared" si="322"/>
        <v>1898822.2591901191</v>
      </c>
      <c r="X551" s="141">
        <f t="shared" si="322"/>
        <v>0</v>
      </c>
      <c r="Y551" s="141">
        <f t="shared" si="322"/>
        <v>0</v>
      </c>
      <c r="Z551" s="141">
        <f t="shared" si="322"/>
        <v>0</v>
      </c>
      <c r="AA551" s="141">
        <f t="shared" si="322"/>
        <v>0</v>
      </c>
      <c r="AB551" s="141">
        <f t="shared" si="322"/>
        <v>0</v>
      </c>
      <c r="AC551" s="141">
        <f t="shared" si="322"/>
        <v>0</v>
      </c>
      <c r="AD551" s="141">
        <f t="shared" si="322"/>
        <v>0</v>
      </c>
      <c r="AE551" s="141">
        <f t="shared" si="322"/>
        <v>0</v>
      </c>
      <c r="AF551" s="141">
        <f t="shared" si="322"/>
        <v>0</v>
      </c>
      <c r="AG551" s="141">
        <f t="shared" si="322"/>
        <v>0</v>
      </c>
      <c r="AH551" s="141">
        <f t="shared" si="322"/>
        <v>0</v>
      </c>
      <c r="AI551" s="141">
        <f t="shared" si="322"/>
        <v>0</v>
      </c>
      <c r="AJ551" s="141">
        <f t="shared" si="322"/>
        <v>0</v>
      </c>
      <c r="AK551" s="141">
        <f t="shared" si="322"/>
        <v>0</v>
      </c>
      <c r="AL551" s="141">
        <f t="shared" si="322"/>
        <v>0</v>
      </c>
      <c r="AM551" s="141">
        <f t="shared" si="322"/>
        <v>0</v>
      </c>
      <c r="AN551" s="141">
        <f t="shared" si="322"/>
        <v>0</v>
      </c>
      <c r="AO551" s="141">
        <f t="shared" si="322"/>
        <v>0</v>
      </c>
      <c r="AP551" s="141">
        <f t="shared" si="322"/>
        <v>0</v>
      </c>
      <c r="AQ551" s="141">
        <f t="shared" si="322"/>
        <v>0</v>
      </c>
      <c r="AR551" s="141">
        <f t="shared" si="322"/>
        <v>0</v>
      </c>
      <c r="AS551" s="141">
        <f t="shared" si="322"/>
        <v>0</v>
      </c>
      <c r="AT551" s="141">
        <f t="shared" si="322"/>
        <v>0</v>
      </c>
      <c r="AU551" s="141">
        <f t="shared" si="322"/>
        <v>0</v>
      </c>
      <c r="AV551" s="141">
        <f t="shared" si="322"/>
        <v>0</v>
      </c>
      <c r="AW551" s="141">
        <f t="shared" si="322"/>
        <v>0</v>
      </c>
      <c r="AX551" s="141">
        <f t="shared" si="322"/>
        <v>0</v>
      </c>
      <c r="AY551" s="141">
        <f t="shared" si="322"/>
        <v>0</v>
      </c>
      <c r="AZ551" s="141">
        <f t="shared" si="322"/>
        <v>0</v>
      </c>
      <c r="BA551" s="141">
        <f t="shared" si="322"/>
        <v>0</v>
      </c>
      <c r="BB551" s="141">
        <f t="shared" si="322"/>
        <v>0</v>
      </c>
      <c r="BC551" s="141">
        <f t="shared" si="322"/>
        <v>0</v>
      </c>
      <c r="BD551" s="141">
        <f t="shared" si="322"/>
        <v>0</v>
      </c>
      <c r="BE551" s="141">
        <f t="shared" si="322"/>
        <v>0</v>
      </c>
      <c r="BF551" s="141">
        <f t="shared" si="322"/>
        <v>0</v>
      </c>
      <c r="BG551" s="141">
        <f t="shared" si="322"/>
        <v>0</v>
      </c>
      <c r="BH551" s="141">
        <f t="shared" si="322"/>
        <v>0</v>
      </c>
      <c r="BI551" s="141">
        <f t="shared" si="322"/>
        <v>0</v>
      </c>
      <c r="BJ551" s="142">
        <f t="shared" si="322"/>
        <v>0</v>
      </c>
      <c r="BK551" s="141"/>
      <c r="BL551" s="141"/>
    </row>
    <row r="552" spans="1:64" s="143" customFormat="1" ht="12.75">
      <c r="A552" s="138" t="s">
        <v>127</v>
      </c>
      <c r="B552" s="139">
        <f t="shared" si="321"/>
        <v>0</v>
      </c>
      <c r="C552" s="227">
        <f>IF(AND(C518&gt;5,C519=0),0,C537)</f>
        <v>0</v>
      </c>
      <c r="D552" s="141">
        <f>IF(AND(D518&gt;5,D519=0),0,D537)</f>
        <v>0</v>
      </c>
      <c r="E552" s="141">
        <f t="shared" ref="E552:BJ552" si="323">IF(AND(E518&gt;5,E519=0),0,E537)</f>
        <v>0</v>
      </c>
      <c r="F552" s="141">
        <f t="shared" si="323"/>
        <v>0</v>
      </c>
      <c r="G552" s="141">
        <f t="shared" si="323"/>
        <v>0</v>
      </c>
      <c r="H552" s="141">
        <f t="shared" si="323"/>
        <v>0</v>
      </c>
      <c r="I552" s="141">
        <f t="shared" si="323"/>
        <v>0</v>
      </c>
      <c r="J552" s="141">
        <f t="shared" si="323"/>
        <v>0</v>
      </c>
      <c r="K552" s="141">
        <f t="shared" si="323"/>
        <v>0</v>
      </c>
      <c r="L552" s="141">
        <f t="shared" si="323"/>
        <v>0</v>
      </c>
      <c r="M552" s="141">
        <f t="shared" si="323"/>
        <v>0</v>
      </c>
      <c r="N552" s="141">
        <f t="shared" si="323"/>
        <v>0</v>
      </c>
      <c r="O552" s="141">
        <f t="shared" si="323"/>
        <v>0</v>
      </c>
      <c r="P552" s="141">
        <f t="shared" si="323"/>
        <v>0</v>
      </c>
      <c r="Q552" s="141">
        <f t="shared" si="323"/>
        <v>0</v>
      </c>
      <c r="R552" s="141">
        <f t="shared" si="323"/>
        <v>0</v>
      </c>
      <c r="S552" s="141">
        <f t="shared" si="323"/>
        <v>0</v>
      </c>
      <c r="T552" s="141">
        <f t="shared" si="323"/>
        <v>0</v>
      </c>
      <c r="U552" s="141">
        <f t="shared" si="323"/>
        <v>0</v>
      </c>
      <c r="V552" s="141">
        <f t="shared" si="323"/>
        <v>0</v>
      </c>
      <c r="W552" s="141">
        <f t="shared" si="323"/>
        <v>0</v>
      </c>
      <c r="X552" s="141">
        <f t="shared" si="323"/>
        <v>0</v>
      </c>
      <c r="Y552" s="141">
        <f t="shared" si="323"/>
        <v>0</v>
      </c>
      <c r="Z552" s="141">
        <f t="shared" si="323"/>
        <v>0</v>
      </c>
      <c r="AA552" s="141">
        <f t="shared" si="323"/>
        <v>0</v>
      </c>
      <c r="AB552" s="141">
        <f t="shared" si="323"/>
        <v>0</v>
      </c>
      <c r="AC552" s="141">
        <f t="shared" si="323"/>
        <v>0</v>
      </c>
      <c r="AD552" s="141">
        <f t="shared" si="323"/>
        <v>0</v>
      </c>
      <c r="AE552" s="141">
        <f t="shared" si="323"/>
        <v>0</v>
      </c>
      <c r="AF552" s="141">
        <f t="shared" si="323"/>
        <v>0</v>
      </c>
      <c r="AG552" s="141">
        <f t="shared" si="323"/>
        <v>0</v>
      </c>
      <c r="AH552" s="141">
        <f t="shared" si="323"/>
        <v>0</v>
      </c>
      <c r="AI552" s="141">
        <f t="shared" si="323"/>
        <v>0</v>
      </c>
      <c r="AJ552" s="141">
        <f t="shared" si="323"/>
        <v>0</v>
      </c>
      <c r="AK552" s="141">
        <f t="shared" si="323"/>
        <v>0</v>
      </c>
      <c r="AL552" s="141">
        <f t="shared" si="323"/>
        <v>0</v>
      </c>
      <c r="AM552" s="141">
        <f t="shared" si="323"/>
        <v>0</v>
      </c>
      <c r="AN552" s="141">
        <f t="shared" si="323"/>
        <v>0</v>
      </c>
      <c r="AO552" s="141">
        <f t="shared" si="323"/>
        <v>0</v>
      </c>
      <c r="AP552" s="141">
        <f t="shared" si="323"/>
        <v>0</v>
      </c>
      <c r="AQ552" s="141">
        <f t="shared" si="323"/>
        <v>0</v>
      </c>
      <c r="AR552" s="141">
        <f t="shared" si="323"/>
        <v>0</v>
      </c>
      <c r="AS552" s="141">
        <f t="shared" si="323"/>
        <v>0</v>
      </c>
      <c r="AT552" s="141">
        <f t="shared" si="323"/>
        <v>0</v>
      </c>
      <c r="AU552" s="141">
        <f t="shared" si="323"/>
        <v>0</v>
      </c>
      <c r="AV552" s="141">
        <f t="shared" si="323"/>
        <v>0</v>
      </c>
      <c r="AW552" s="141">
        <f t="shared" si="323"/>
        <v>0</v>
      </c>
      <c r="AX552" s="141">
        <f t="shared" si="323"/>
        <v>0</v>
      </c>
      <c r="AY552" s="141">
        <f t="shared" si="323"/>
        <v>0</v>
      </c>
      <c r="AZ552" s="141">
        <f t="shared" si="323"/>
        <v>0</v>
      </c>
      <c r="BA552" s="141">
        <f t="shared" si="323"/>
        <v>0</v>
      </c>
      <c r="BB552" s="141">
        <f t="shared" si="323"/>
        <v>0</v>
      </c>
      <c r="BC552" s="141">
        <f t="shared" si="323"/>
        <v>0</v>
      </c>
      <c r="BD552" s="141">
        <f t="shared" si="323"/>
        <v>0</v>
      </c>
      <c r="BE552" s="141">
        <f t="shared" si="323"/>
        <v>0</v>
      </c>
      <c r="BF552" s="141">
        <f t="shared" si="323"/>
        <v>0</v>
      </c>
      <c r="BG552" s="141">
        <f t="shared" si="323"/>
        <v>0</v>
      </c>
      <c r="BH552" s="141">
        <f t="shared" si="323"/>
        <v>0</v>
      </c>
      <c r="BI552" s="141">
        <f t="shared" si="323"/>
        <v>0</v>
      </c>
      <c r="BJ552" s="142">
        <f t="shared" si="323"/>
        <v>0</v>
      </c>
      <c r="BK552" s="141"/>
      <c r="BL552" s="141"/>
    </row>
    <row r="553" spans="1:64" s="143" customFormat="1" ht="12.75">
      <c r="A553" s="138" t="s">
        <v>128</v>
      </c>
      <c r="B553" s="139">
        <f t="shared" si="321"/>
        <v>54253085.949229881</v>
      </c>
      <c r="C553" s="227">
        <f>IF(AND(C518&gt;5,C519=0),0,C538)</f>
        <v>571085.11525505118</v>
      </c>
      <c r="D553" s="141">
        <f>IF(AND(D518&gt;5,D519=0),0,D538)</f>
        <v>1142170.2305101024</v>
      </c>
      <c r="E553" s="141">
        <f t="shared" ref="E553:BJ553" si="324">IF(AND(E518&gt;5,E519=0),0,E538)</f>
        <v>1713255.3457651534</v>
      </c>
      <c r="F553" s="141">
        <f t="shared" si="324"/>
        <v>2284340.4610202047</v>
      </c>
      <c r="G553" s="141">
        <f t="shared" si="324"/>
        <v>2855425.576275256</v>
      </c>
      <c r="H553" s="141">
        <f t="shared" si="324"/>
        <v>2855425.576275256</v>
      </c>
      <c r="I553" s="141">
        <f t="shared" si="324"/>
        <v>2855425.576275256</v>
      </c>
      <c r="J553" s="141">
        <f t="shared" si="324"/>
        <v>2855425.576275256</v>
      </c>
      <c r="K553" s="141">
        <f t="shared" si="324"/>
        <v>2855425.576275256</v>
      </c>
      <c r="L553" s="141">
        <f t="shared" si="324"/>
        <v>2855425.576275256</v>
      </c>
      <c r="M553" s="141">
        <f t="shared" si="324"/>
        <v>2855425.576275256</v>
      </c>
      <c r="N553" s="141">
        <f t="shared" si="324"/>
        <v>2855425.576275256</v>
      </c>
      <c r="O553" s="141">
        <f t="shared" si="324"/>
        <v>2855425.576275256</v>
      </c>
      <c r="P553" s="141">
        <f t="shared" si="324"/>
        <v>2855425.576275256</v>
      </c>
      <c r="Q553" s="141">
        <f t="shared" si="324"/>
        <v>2855425.576275256</v>
      </c>
      <c r="R553" s="141">
        <f t="shared" si="324"/>
        <v>2855425.576275256</v>
      </c>
      <c r="S553" s="141">
        <f t="shared" si="324"/>
        <v>2855425.576275256</v>
      </c>
      <c r="T553" s="141">
        <f t="shared" si="324"/>
        <v>2855425.576275256</v>
      </c>
      <c r="U553" s="141">
        <f t="shared" si="324"/>
        <v>2855425.576275256</v>
      </c>
      <c r="V553" s="141">
        <f t="shared" si="324"/>
        <v>2855425.576275256</v>
      </c>
      <c r="W553" s="141">
        <f t="shared" si="324"/>
        <v>2855425.576275256</v>
      </c>
      <c r="X553" s="141">
        <f t="shared" si="324"/>
        <v>0</v>
      </c>
      <c r="Y553" s="141">
        <f t="shared" si="324"/>
        <v>0</v>
      </c>
      <c r="Z553" s="141">
        <f t="shared" si="324"/>
        <v>0</v>
      </c>
      <c r="AA553" s="141">
        <f t="shared" si="324"/>
        <v>0</v>
      </c>
      <c r="AB553" s="141">
        <f t="shared" si="324"/>
        <v>0</v>
      </c>
      <c r="AC553" s="141">
        <f t="shared" si="324"/>
        <v>0</v>
      </c>
      <c r="AD553" s="141">
        <f t="shared" si="324"/>
        <v>0</v>
      </c>
      <c r="AE553" s="141">
        <f t="shared" si="324"/>
        <v>0</v>
      </c>
      <c r="AF553" s="141">
        <f t="shared" si="324"/>
        <v>0</v>
      </c>
      <c r="AG553" s="141">
        <f t="shared" si="324"/>
        <v>0</v>
      </c>
      <c r="AH553" s="141">
        <f t="shared" si="324"/>
        <v>0</v>
      </c>
      <c r="AI553" s="141">
        <f t="shared" si="324"/>
        <v>0</v>
      </c>
      <c r="AJ553" s="141">
        <f t="shared" si="324"/>
        <v>0</v>
      </c>
      <c r="AK553" s="141">
        <f t="shared" si="324"/>
        <v>0</v>
      </c>
      <c r="AL553" s="141">
        <f t="shared" si="324"/>
        <v>0</v>
      </c>
      <c r="AM553" s="141">
        <f t="shared" si="324"/>
        <v>0</v>
      </c>
      <c r="AN553" s="141">
        <f t="shared" si="324"/>
        <v>0</v>
      </c>
      <c r="AO553" s="141">
        <f t="shared" si="324"/>
        <v>0</v>
      </c>
      <c r="AP553" s="141">
        <f t="shared" si="324"/>
        <v>0</v>
      </c>
      <c r="AQ553" s="141">
        <f t="shared" si="324"/>
        <v>0</v>
      </c>
      <c r="AR553" s="141">
        <f t="shared" si="324"/>
        <v>0</v>
      </c>
      <c r="AS553" s="141">
        <f t="shared" si="324"/>
        <v>0</v>
      </c>
      <c r="AT553" s="141">
        <f t="shared" si="324"/>
        <v>0</v>
      </c>
      <c r="AU553" s="141">
        <f t="shared" si="324"/>
        <v>0</v>
      </c>
      <c r="AV553" s="141">
        <f t="shared" si="324"/>
        <v>0</v>
      </c>
      <c r="AW553" s="141">
        <f t="shared" si="324"/>
        <v>0</v>
      </c>
      <c r="AX553" s="141">
        <f t="shared" si="324"/>
        <v>0</v>
      </c>
      <c r="AY553" s="141">
        <f t="shared" si="324"/>
        <v>0</v>
      </c>
      <c r="AZ553" s="141">
        <f t="shared" si="324"/>
        <v>0</v>
      </c>
      <c r="BA553" s="141">
        <f t="shared" si="324"/>
        <v>0</v>
      </c>
      <c r="BB553" s="141">
        <f t="shared" si="324"/>
        <v>0</v>
      </c>
      <c r="BC553" s="141">
        <f t="shared" si="324"/>
        <v>0</v>
      </c>
      <c r="BD553" s="141">
        <f t="shared" si="324"/>
        <v>0</v>
      </c>
      <c r="BE553" s="141">
        <f t="shared" si="324"/>
        <v>0</v>
      </c>
      <c r="BF553" s="141">
        <f t="shared" si="324"/>
        <v>0</v>
      </c>
      <c r="BG553" s="141">
        <f t="shared" si="324"/>
        <v>0</v>
      </c>
      <c r="BH553" s="141">
        <f t="shared" si="324"/>
        <v>0</v>
      </c>
      <c r="BI553" s="141">
        <f t="shared" si="324"/>
        <v>0</v>
      </c>
      <c r="BJ553" s="142">
        <f t="shared" si="324"/>
        <v>0</v>
      </c>
      <c r="BK553" s="141"/>
      <c r="BL553" s="141"/>
    </row>
    <row r="554" spans="1:64" s="143" customFormat="1" ht="12.75">
      <c r="A554" s="228" t="s">
        <v>129</v>
      </c>
      <c r="B554" s="229">
        <f t="shared" si="321"/>
        <v>5962569.1013645977</v>
      </c>
      <c r="C554" s="230">
        <f>IF(AND(C518&gt;5,C519=0),0,C539)</f>
        <v>97747.034448599909</v>
      </c>
      <c r="D554" s="214">
        <f>IF(AND(D518&gt;5,D519=0),0,D539)</f>
        <v>293241.10334579973</v>
      </c>
      <c r="E554" s="214">
        <f t="shared" ref="E554:BJ554" si="325">IF(AND(E518&gt;5,E519=0),0,E539)</f>
        <v>293241.10334579973</v>
      </c>
      <c r="F554" s="214">
        <f t="shared" si="325"/>
        <v>293241.10334579973</v>
      </c>
      <c r="G554" s="214">
        <f t="shared" si="325"/>
        <v>293241.10334579973</v>
      </c>
      <c r="H554" s="214">
        <f t="shared" si="325"/>
        <v>293241.10334579973</v>
      </c>
      <c r="I554" s="214">
        <f t="shared" si="325"/>
        <v>293241.10334579973</v>
      </c>
      <c r="J554" s="214">
        <f t="shared" si="325"/>
        <v>293241.10334579973</v>
      </c>
      <c r="K554" s="214">
        <f t="shared" si="325"/>
        <v>293241.10334579973</v>
      </c>
      <c r="L554" s="214">
        <f t="shared" si="325"/>
        <v>293241.10334579973</v>
      </c>
      <c r="M554" s="214">
        <f t="shared" si="325"/>
        <v>293241.10334579973</v>
      </c>
      <c r="N554" s="214">
        <f t="shared" si="325"/>
        <v>293241.10334579973</v>
      </c>
      <c r="O554" s="214">
        <f t="shared" si="325"/>
        <v>293241.10334579973</v>
      </c>
      <c r="P554" s="214">
        <f t="shared" si="325"/>
        <v>293241.10334579973</v>
      </c>
      <c r="Q554" s="214">
        <f t="shared" si="325"/>
        <v>293241.10334579973</v>
      </c>
      <c r="R554" s="214">
        <f t="shared" si="325"/>
        <v>293241.10334579973</v>
      </c>
      <c r="S554" s="214">
        <f t="shared" si="325"/>
        <v>293241.10334579973</v>
      </c>
      <c r="T554" s="214">
        <f t="shared" si="325"/>
        <v>293241.10334579973</v>
      </c>
      <c r="U554" s="214">
        <f t="shared" si="325"/>
        <v>293241.10334579973</v>
      </c>
      <c r="V554" s="214">
        <f t="shared" si="325"/>
        <v>293241.10334579973</v>
      </c>
      <c r="W554" s="214">
        <f t="shared" si="325"/>
        <v>293241.10334579973</v>
      </c>
      <c r="X554" s="214">
        <f t="shared" si="325"/>
        <v>0</v>
      </c>
      <c r="Y554" s="214">
        <f t="shared" si="325"/>
        <v>0</v>
      </c>
      <c r="Z554" s="214">
        <f t="shared" si="325"/>
        <v>0</v>
      </c>
      <c r="AA554" s="214">
        <f t="shared" si="325"/>
        <v>0</v>
      </c>
      <c r="AB554" s="214">
        <f t="shared" si="325"/>
        <v>0</v>
      </c>
      <c r="AC554" s="214">
        <f t="shared" si="325"/>
        <v>0</v>
      </c>
      <c r="AD554" s="214">
        <f t="shared" si="325"/>
        <v>0</v>
      </c>
      <c r="AE554" s="214">
        <f t="shared" si="325"/>
        <v>0</v>
      </c>
      <c r="AF554" s="214">
        <f t="shared" si="325"/>
        <v>0</v>
      </c>
      <c r="AG554" s="214">
        <f t="shared" si="325"/>
        <v>0</v>
      </c>
      <c r="AH554" s="214">
        <f t="shared" si="325"/>
        <v>0</v>
      </c>
      <c r="AI554" s="214">
        <f t="shared" si="325"/>
        <v>0</v>
      </c>
      <c r="AJ554" s="214">
        <f t="shared" si="325"/>
        <v>0</v>
      </c>
      <c r="AK554" s="214">
        <f t="shared" si="325"/>
        <v>0</v>
      </c>
      <c r="AL554" s="214">
        <f t="shared" si="325"/>
        <v>0</v>
      </c>
      <c r="AM554" s="214">
        <f t="shared" si="325"/>
        <v>0</v>
      </c>
      <c r="AN554" s="214">
        <f t="shared" si="325"/>
        <v>0</v>
      </c>
      <c r="AO554" s="214">
        <f t="shared" si="325"/>
        <v>0</v>
      </c>
      <c r="AP554" s="214">
        <f t="shared" si="325"/>
        <v>0</v>
      </c>
      <c r="AQ554" s="214">
        <f t="shared" si="325"/>
        <v>0</v>
      </c>
      <c r="AR554" s="214">
        <f t="shared" si="325"/>
        <v>0</v>
      </c>
      <c r="AS554" s="214">
        <f t="shared" si="325"/>
        <v>0</v>
      </c>
      <c r="AT554" s="214">
        <f t="shared" si="325"/>
        <v>0</v>
      </c>
      <c r="AU554" s="214">
        <f t="shared" si="325"/>
        <v>0</v>
      </c>
      <c r="AV554" s="214">
        <f t="shared" si="325"/>
        <v>0</v>
      </c>
      <c r="AW554" s="214">
        <f t="shared" si="325"/>
        <v>0</v>
      </c>
      <c r="AX554" s="214">
        <f t="shared" si="325"/>
        <v>0</v>
      </c>
      <c r="AY554" s="214">
        <f t="shared" si="325"/>
        <v>0</v>
      </c>
      <c r="AZ554" s="214">
        <f t="shared" si="325"/>
        <v>0</v>
      </c>
      <c r="BA554" s="214">
        <f t="shared" si="325"/>
        <v>0</v>
      </c>
      <c r="BB554" s="214">
        <f t="shared" si="325"/>
        <v>0</v>
      </c>
      <c r="BC554" s="214">
        <f t="shared" si="325"/>
        <v>0</v>
      </c>
      <c r="BD554" s="214">
        <f t="shared" si="325"/>
        <v>0</v>
      </c>
      <c r="BE554" s="214">
        <f t="shared" si="325"/>
        <v>0</v>
      </c>
      <c r="BF554" s="214">
        <f t="shared" si="325"/>
        <v>0</v>
      </c>
      <c r="BG554" s="214">
        <f t="shared" si="325"/>
        <v>0</v>
      </c>
      <c r="BH554" s="214">
        <f t="shared" si="325"/>
        <v>0</v>
      </c>
      <c r="BI554" s="214">
        <f t="shared" si="325"/>
        <v>0</v>
      </c>
      <c r="BJ554" s="215">
        <f t="shared" si="325"/>
        <v>0</v>
      </c>
      <c r="BK554" s="141"/>
      <c r="BL554" s="141"/>
    </row>
    <row r="555" spans="1:64" s="160" customFormat="1">
      <c r="A555" s="131" t="s">
        <v>134</v>
      </c>
      <c r="B555" s="156">
        <f t="shared" si="321"/>
        <v>1711799609.5121751</v>
      </c>
      <c r="C555" s="156">
        <f>C529-C530-C550</f>
        <v>-17769602.99226027</v>
      </c>
      <c r="D555" s="157">
        <f t="shared" ref="D555:BJ555" si="326">D529-D530-D550</f>
        <v>-21468593.209870514</v>
      </c>
      <c r="E555" s="157">
        <f t="shared" si="326"/>
        <v>-35796019.603174135</v>
      </c>
      <c r="F555" s="157">
        <f t="shared" si="326"/>
        <v>-37000045.471492559</v>
      </c>
      <c r="G555" s="157">
        <f t="shared" si="326"/>
        <v>-38204071.339810982</v>
      </c>
      <c r="H555" s="157">
        <f t="shared" si="326"/>
        <v>24483037.091465224</v>
      </c>
      <c r="I555" s="157">
        <f t="shared" si="326"/>
        <v>54013563.121741623</v>
      </c>
      <c r="J555" s="157">
        <f t="shared" si="326"/>
        <v>83544089.152018011</v>
      </c>
      <c r="K555" s="157">
        <f t="shared" si="326"/>
        <v>113074615.18229443</v>
      </c>
      <c r="L555" s="157">
        <f t="shared" si="326"/>
        <v>163975916.62921816</v>
      </c>
      <c r="M555" s="157">
        <f t="shared" si="326"/>
        <v>163975916.62921816</v>
      </c>
      <c r="N555" s="157">
        <f t="shared" si="326"/>
        <v>163975916.62921816</v>
      </c>
      <c r="O555" s="157">
        <f t="shared" si="326"/>
        <v>163975916.62921816</v>
      </c>
      <c r="P555" s="157">
        <f t="shared" si="326"/>
        <v>163975916.62921816</v>
      </c>
      <c r="Q555" s="157">
        <f t="shared" si="326"/>
        <v>163975916.62921816</v>
      </c>
      <c r="R555" s="157">
        <f t="shared" si="326"/>
        <v>163975916.62921816</v>
      </c>
      <c r="S555" s="157">
        <f t="shared" si="326"/>
        <v>163975916.62921816</v>
      </c>
      <c r="T555" s="157">
        <f t="shared" si="326"/>
        <v>113074615.18229443</v>
      </c>
      <c r="U555" s="157">
        <f t="shared" si="326"/>
        <v>83544089.152018011</v>
      </c>
      <c r="V555" s="157">
        <f t="shared" si="326"/>
        <v>54013563.121741623</v>
      </c>
      <c r="W555" s="157">
        <f t="shared" si="326"/>
        <v>24483037.091465224</v>
      </c>
      <c r="X555" s="157">
        <f t="shared" si="326"/>
        <v>0</v>
      </c>
      <c r="Y555" s="157">
        <f t="shared" si="326"/>
        <v>0</v>
      </c>
      <c r="Z555" s="157">
        <f t="shared" si="326"/>
        <v>0</v>
      </c>
      <c r="AA555" s="157">
        <f t="shared" si="326"/>
        <v>0</v>
      </c>
      <c r="AB555" s="157">
        <f t="shared" si="326"/>
        <v>0</v>
      </c>
      <c r="AC555" s="157">
        <f t="shared" si="326"/>
        <v>0</v>
      </c>
      <c r="AD555" s="157">
        <f t="shared" si="326"/>
        <v>0</v>
      </c>
      <c r="AE555" s="157">
        <f t="shared" si="326"/>
        <v>0</v>
      </c>
      <c r="AF555" s="157">
        <f t="shared" si="326"/>
        <v>0</v>
      </c>
      <c r="AG555" s="157">
        <f t="shared" si="326"/>
        <v>0</v>
      </c>
      <c r="AH555" s="157">
        <f t="shared" si="326"/>
        <v>0</v>
      </c>
      <c r="AI555" s="157">
        <f t="shared" si="326"/>
        <v>0</v>
      </c>
      <c r="AJ555" s="157">
        <f t="shared" si="326"/>
        <v>0</v>
      </c>
      <c r="AK555" s="157">
        <f t="shared" si="326"/>
        <v>0</v>
      </c>
      <c r="AL555" s="157">
        <f t="shared" si="326"/>
        <v>0</v>
      </c>
      <c r="AM555" s="157">
        <f t="shared" si="326"/>
        <v>0</v>
      </c>
      <c r="AN555" s="157">
        <f t="shared" si="326"/>
        <v>0</v>
      </c>
      <c r="AO555" s="157">
        <f t="shared" si="326"/>
        <v>0</v>
      </c>
      <c r="AP555" s="157">
        <f t="shared" si="326"/>
        <v>0</v>
      </c>
      <c r="AQ555" s="157">
        <f t="shared" si="326"/>
        <v>0</v>
      </c>
      <c r="AR555" s="157">
        <f t="shared" si="326"/>
        <v>0</v>
      </c>
      <c r="AS555" s="157">
        <f t="shared" si="326"/>
        <v>0</v>
      </c>
      <c r="AT555" s="157">
        <f t="shared" si="326"/>
        <v>0</v>
      </c>
      <c r="AU555" s="157">
        <f t="shared" si="326"/>
        <v>0</v>
      </c>
      <c r="AV555" s="157">
        <f t="shared" si="326"/>
        <v>0</v>
      </c>
      <c r="AW555" s="157">
        <f t="shared" si="326"/>
        <v>0</v>
      </c>
      <c r="AX555" s="157">
        <f t="shared" si="326"/>
        <v>0</v>
      </c>
      <c r="AY555" s="157">
        <f t="shared" si="326"/>
        <v>0</v>
      </c>
      <c r="AZ555" s="157">
        <f t="shared" si="326"/>
        <v>0</v>
      </c>
      <c r="BA555" s="157">
        <f t="shared" si="326"/>
        <v>0</v>
      </c>
      <c r="BB555" s="157">
        <f t="shared" si="326"/>
        <v>0</v>
      </c>
      <c r="BC555" s="157">
        <f t="shared" si="326"/>
        <v>0</v>
      </c>
      <c r="BD555" s="157">
        <f t="shared" si="326"/>
        <v>0</v>
      </c>
      <c r="BE555" s="157">
        <f t="shared" si="326"/>
        <v>0</v>
      </c>
      <c r="BF555" s="157">
        <f t="shared" si="326"/>
        <v>0</v>
      </c>
      <c r="BG555" s="157">
        <f t="shared" si="326"/>
        <v>0</v>
      </c>
      <c r="BH555" s="157">
        <f t="shared" si="326"/>
        <v>0</v>
      </c>
      <c r="BI555" s="157">
        <f t="shared" si="326"/>
        <v>0</v>
      </c>
      <c r="BJ555" s="158">
        <f t="shared" si="326"/>
        <v>0</v>
      </c>
      <c r="BK555" s="159"/>
      <c r="BL555" s="159"/>
    </row>
    <row r="556" spans="1:64" s="160" customFormat="1">
      <c r="A556" s="131" t="s">
        <v>135</v>
      </c>
      <c r="B556" s="156">
        <f t="shared" si="321"/>
        <v>372407588.42575687</v>
      </c>
      <c r="C556" s="231">
        <f>IF(C555&lt;=0,0,C555*$K517)</f>
        <v>0</v>
      </c>
      <c r="D556" s="157">
        <f>IF(D555&lt;=0,0,D555*$K517)</f>
        <v>0</v>
      </c>
      <c r="E556" s="157">
        <f t="shared" ref="E556:BJ556" si="327">IF(E555&lt;=0,0,E555*$K517)</f>
        <v>0</v>
      </c>
      <c r="F556" s="157">
        <f t="shared" si="327"/>
        <v>0</v>
      </c>
      <c r="G556" s="157">
        <f t="shared" si="327"/>
        <v>0</v>
      </c>
      <c r="H556" s="157">
        <f t="shared" si="327"/>
        <v>4896607.4182930449</v>
      </c>
      <c r="I556" s="157">
        <f t="shared" si="327"/>
        <v>10802712.624348326</v>
      </c>
      <c r="J556" s="157">
        <f t="shared" si="327"/>
        <v>16708817.830403604</v>
      </c>
      <c r="K556" s="157">
        <f t="shared" si="327"/>
        <v>22614923.036458887</v>
      </c>
      <c r="L556" s="157">
        <f t="shared" si="327"/>
        <v>32795183.325843632</v>
      </c>
      <c r="M556" s="157">
        <f t="shared" si="327"/>
        <v>32795183.325843632</v>
      </c>
      <c r="N556" s="157">
        <f t="shared" si="327"/>
        <v>32795183.325843632</v>
      </c>
      <c r="O556" s="157">
        <f t="shared" si="327"/>
        <v>32795183.325843632</v>
      </c>
      <c r="P556" s="157">
        <f t="shared" si="327"/>
        <v>32795183.325843632</v>
      </c>
      <c r="Q556" s="157">
        <f t="shared" si="327"/>
        <v>32795183.325843632</v>
      </c>
      <c r="R556" s="157">
        <f t="shared" si="327"/>
        <v>32795183.325843632</v>
      </c>
      <c r="S556" s="157">
        <f t="shared" si="327"/>
        <v>32795183.325843632</v>
      </c>
      <c r="T556" s="157">
        <f t="shared" si="327"/>
        <v>22614923.036458887</v>
      </c>
      <c r="U556" s="157">
        <f t="shared" si="327"/>
        <v>16708817.830403604</v>
      </c>
      <c r="V556" s="157">
        <f t="shared" si="327"/>
        <v>10802712.624348326</v>
      </c>
      <c r="W556" s="157">
        <f t="shared" si="327"/>
        <v>4896607.4182930449</v>
      </c>
      <c r="X556" s="157">
        <f t="shared" si="327"/>
        <v>0</v>
      </c>
      <c r="Y556" s="157">
        <f t="shared" si="327"/>
        <v>0</v>
      </c>
      <c r="Z556" s="157">
        <f t="shared" si="327"/>
        <v>0</v>
      </c>
      <c r="AA556" s="157">
        <f t="shared" si="327"/>
        <v>0</v>
      </c>
      <c r="AB556" s="157">
        <f t="shared" si="327"/>
        <v>0</v>
      </c>
      <c r="AC556" s="157">
        <f t="shared" si="327"/>
        <v>0</v>
      </c>
      <c r="AD556" s="157">
        <f t="shared" si="327"/>
        <v>0</v>
      </c>
      <c r="AE556" s="157">
        <f t="shared" si="327"/>
        <v>0</v>
      </c>
      <c r="AF556" s="157">
        <f t="shared" si="327"/>
        <v>0</v>
      </c>
      <c r="AG556" s="157">
        <f t="shared" si="327"/>
        <v>0</v>
      </c>
      <c r="AH556" s="157">
        <f t="shared" si="327"/>
        <v>0</v>
      </c>
      <c r="AI556" s="157">
        <f t="shared" si="327"/>
        <v>0</v>
      </c>
      <c r="AJ556" s="157">
        <f t="shared" si="327"/>
        <v>0</v>
      </c>
      <c r="AK556" s="157">
        <f t="shared" si="327"/>
        <v>0</v>
      </c>
      <c r="AL556" s="157">
        <f t="shared" si="327"/>
        <v>0</v>
      </c>
      <c r="AM556" s="157">
        <f t="shared" si="327"/>
        <v>0</v>
      </c>
      <c r="AN556" s="157">
        <f t="shared" si="327"/>
        <v>0</v>
      </c>
      <c r="AO556" s="157">
        <f t="shared" si="327"/>
        <v>0</v>
      </c>
      <c r="AP556" s="157">
        <f t="shared" si="327"/>
        <v>0</v>
      </c>
      <c r="AQ556" s="157">
        <f t="shared" si="327"/>
        <v>0</v>
      </c>
      <c r="AR556" s="157">
        <f t="shared" si="327"/>
        <v>0</v>
      </c>
      <c r="AS556" s="157">
        <f t="shared" si="327"/>
        <v>0</v>
      </c>
      <c r="AT556" s="157">
        <f t="shared" si="327"/>
        <v>0</v>
      </c>
      <c r="AU556" s="157">
        <f t="shared" si="327"/>
        <v>0</v>
      </c>
      <c r="AV556" s="157">
        <f t="shared" si="327"/>
        <v>0</v>
      </c>
      <c r="AW556" s="157">
        <f t="shared" si="327"/>
        <v>0</v>
      </c>
      <c r="AX556" s="157">
        <f t="shared" si="327"/>
        <v>0</v>
      </c>
      <c r="AY556" s="157">
        <f t="shared" si="327"/>
        <v>0</v>
      </c>
      <c r="AZ556" s="157">
        <f t="shared" si="327"/>
        <v>0</v>
      </c>
      <c r="BA556" s="157">
        <f t="shared" si="327"/>
        <v>0</v>
      </c>
      <c r="BB556" s="157">
        <f t="shared" si="327"/>
        <v>0</v>
      </c>
      <c r="BC556" s="157">
        <f t="shared" si="327"/>
        <v>0</v>
      </c>
      <c r="BD556" s="157">
        <f t="shared" si="327"/>
        <v>0</v>
      </c>
      <c r="BE556" s="157">
        <f t="shared" si="327"/>
        <v>0</v>
      </c>
      <c r="BF556" s="157">
        <f t="shared" si="327"/>
        <v>0</v>
      </c>
      <c r="BG556" s="157">
        <f t="shared" si="327"/>
        <v>0</v>
      </c>
      <c r="BH556" s="157">
        <f t="shared" si="327"/>
        <v>0</v>
      </c>
      <c r="BI556" s="157">
        <f t="shared" si="327"/>
        <v>0</v>
      </c>
      <c r="BJ556" s="158">
        <f t="shared" si="327"/>
        <v>0</v>
      </c>
      <c r="BK556" s="159"/>
      <c r="BL556" s="159"/>
    </row>
    <row r="557" spans="1:64" s="105" customFormat="1">
      <c r="A557" s="164" t="s">
        <v>136</v>
      </c>
      <c r="B557" s="161">
        <f t="shared" si="321"/>
        <v>1339392021.0864191</v>
      </c>
      <c r="C557" s="133">
        <f>C555-C556</f>
        <v>-17769602.99226027</v>
      </c>
      <c r="D557" s="134">
        <f>D555-D556</f>
        <v>-21468593.209870514</v>
      </c>
      <c r="E557" s="134">
        <f>E555-E556</f>
        <v>-35796019.603174135</v>
      </c>
      <c r="F557" s="134">
        <f>F555-F556</f>
        <v>-37000045.471492559</v>
      </c>
      <c r="G557" s="134">
        <f t="shared" ref="G557:BJ557" si="328">G555-G556</f>
        <v>-38204071.339810982</v>
      </c>
      <c r="H557" s="134">
        <f t="shared" si="328"/>
        <v>19586429.67317218</v>
      </c>
      <c r="I557" s="134">
        <f t="shared" si="328"/>
        <v>43210850.497393295</v>
      </c>
      <c r="J557" s="134">
        <f t="shared" si="328"/>
        <v>66835271.321614407</v>
      </c>
      <c r="K557" s="134">
        <f t="shared" si="328"/>
        <v>90459692.145835549</v>
      </c>
      <c r="L557" s="134">
        <f t="shared" si="328"/>
        <v>131180733.30337453</v>
      </c>
      <c r="M557" s="134">
        <f t="shared" si="328"/>
        <v>131180733.30337453</v>
      </c>
      <c r="N557" s="134">
        <f t="shared" si="328"/>
        <v>131180733.30337453</v>
      </c>
      <c r="O557" s="134">
        <f t="shared" si="328"/>
        <v>131180733.30337453</v>
      </c>
      <c r="P557" s="134">
        <f t="shared" si="328"/>
        <v>131180733.30337453</v>
      </c>
      <c r="Q557" s="134">
        <f t="shared" si="328"/>
        <v>131180733.30337453</v>
      </c>
      <c r="R557" s="134">
        <f t="shared" si="328"/>
        <v>131180733.30337453</v>
      </c>
      <c r="S557" s="134">
        <f t="shared" si="328"/>
        <v>131180733.30337453</v>
      </c>
      <c r="T557" s="134">
        <f t="shared" si="328"/>
        <v>90459692.145835549</v>
      </c>
      <c r="U557" s="134">
        <f t="shared" si="328"/>
        <v>66835271.321614407</v>
      </c>
      <c r="V557" s="134">
        <f t="shared" si="328"/>
        <v>43210850.497393295</v>
      </c>
      <c r="W557" s="134">
        <f t="shared" si="328"/>
        <v>19586429.67317218</v>
      </c>
      <c r="X557" s="134">
        <f t="shared" si="328"/>
        <v>0</v>
      </c>
      <c r="Y557" s="134">
        <f t="shared" si="328"/>
        <v>0</v>
      </c>
      <c r="Z557" s="134">
        <f t="shared" si="328"/>
        <v>0</v>
      </c>
      <c r="AA557" s="134">
        <f t="shared" si="328"/>
        <v>0</v>
      </c>
      <c r="AB557" s="134">
        <f t="shared" si="328"/>
        <v>0</v>
      </c>
      <c r="AC557" s="134">
        <f t="shared" si="328"/>
        <v>0</v>
      </c>
      <c r="AD557" s="134">
        <f t="shared" si="328"/>
        <v>0</v>
      </c>
      <c r="AE557" s="134">
        <f t="shared" si="328"/>
        <v>0</v>
      </c>
      <c r="AF557" s="134">
        <f t="shared" si="328"/>
        <v>0</v>
      </c>
      <c r="AG557" s="134">
        <f t="shared" si="328"/>
        <v>0</v>
      </c>
      <c r="AH557" s="134">
        <f t="shared" si="328"/>
        <v>0</v>
      </c>
      <c r="AI557" s="134">
        <f t="shared" si="328"/>
        <v>0</v>
      </c>
      <c r="AJ557" s="134">
        <f t="shared" si="328"/>
        <v>0</v>
      </c>
      <c r="AK557" s="134">
        <f t="shared" si="328"/>
        <v>0</v>
      </c>
      <c r="AL557" s="134">
        <f t="shared" si="328"/>
        <v>0</v>
      </c>
      <c r="AM557" s="134">
        <f t="shared" si="328"/>
        <v>0</v>
      </c>
      <c r="AN557" s="134">
        <f t="shared" si="328"/>
        <v>0</v>
      </c>
      <c r="AO557" s="134">
        <f t="shared" si="328"/>
        <v>0</v>
      </c>
      <c r="AP557" s="134">
        <f t="shared" si="328"/>
        <v>0</v>
      </c>
      <c r="AQ557" s="134">
        <f t="shared" si="328"/>
        <v>0</v>
      </c>
      <c r="AR557" s="134">
        <f t="shared" si="328"/>
        <v>0</v>
      </c>
      <c r="AS557" s="134">
        <f t="shared" si="328"/>
        <v>0</v>
      </c>
      <c r="AT557" s="134">
        <f t="shared" si="328"/>
        <v>0</v>
      </c>
      <c r="AU557" s="134">
        <f t="shared" si="328"/>
        <v>0</v>
      </c>
      <c r="AV557" s="134">
        <f t="shared" si="328"/>
        <v>0</v>
      </c>
      <c r="AW557" s="134">
        <f t="shared" si="328"/>
        <v>0</v>
      </c>
      <c r="AX557" s="134">
        <f t="shared" si="328"/>
        <v>0</v>
      </c>
      <c r="AY557" s="134">
        <f t="shared" si="328"/>
        <v>0</v>
      </c>
      <c r="AZ557" s="134">
        <f t="shared" si="328"/>
        <v>0</v>
      </c>
      <c r="BA557" s="134">
        <f t="shared" si="328"/>
        <v>0</v>
      </c>
      <c r="BB557" s="134">
        <f t="shared" si="328"/>
        <v>0</v>
      </c>
      <c r="BC557" s="134">
        <f t="shared" si="328"/>
        <v>0</v>
      </c>
      <c r="BD557" s="134">
        <f t="shared" si="328"/>
        <v>0</v>
      </c>
      <c r="BE557" s="134">
        <f t="shared" si="328"/>
        <v>0</v>
      </c>
      <c r="BF557" s="134">
        <f t="shared" si="328"/>
        <v>0</v>
      </c>
      <c r="BG557" s="134">
        <f t="shared" si="328"/>
        <v>0</v>
      </c>
      <c r="BH557" s="134">
        <f t="shared" si="328"/>
        <v>0</v>
      </c>
      <c r="BI557" s="134">
        <f t="shared" si="328"/>
        <v>0</v>
      </c>
      <c r="BJ557" s="135">
        <f t="shared" si="328"/>
        <v>0</v>
      </c>
      <c r="BK557" s="109"/>
      <c r="BL557" s="109"/>
    </row>
    <row r="558" spans="1:64">
      <c r="A558" s="165" t="s">
        <v>137</v>
      </c>
      <c r="B558" s="161" t="e">
        <f>SUM(B559:B561)</f>
        <v>#REF!</v>
      </c>
      <c r="C558" s="166"/>
      <c r="D558" s="167"/>
      <c r="E558" s="168"/>
      <c r="F558" s="168"/>
      <c r="G558" s="168"/>
      <c r="H558" s="168"/>
      <c r="I558" s="168"/>
      <c r="J558" s="168"/>
      <c r="K558" s="168"/>
      <c r="L558" s="168"/>
      <c r="M558" s="168"/>
      <c r="N558" s="168"/>
      <c r="O558" s="168"/>
      <c r="P558" s="168"/>
      <c r="Q558" s="168"/>
      <c r="R558" s="168"/>
      <c r="S558" s="168"/>
      <c r="T558" s="168"/>
      <c r="U558" s="168"/>
      <c r="V558" s="168"/>
      <c r="W558" s="168"/>
      <c r="X558" s="168"/>
      <c r="Y558" s="168"/>
      <c r="Z558" s="168"/>
      <c r="AA558" s="168"/>
      <c r="AB558" s="168"/>
      <c r="AC558" s="168"/>
      <c r="AD558" s="168"/>
      <c r="AE558" s="168"/>
      <c r="AF558" s="168"/>
      <c r="AG558" s="168"/>
      <c r="AH558" s="168"/>
      <c r="AI558" s="168"/>
      <c r="AJ558" s="168"/>
      <c r="AK558" s="168"/>
      <c r="AL558" s="168"/>
      <c r="AM558" s="168"/>
      <c r="AN558" s="168"/>
      <c r="AO558" s="168"/>
      <c r="AP558" s="168"/>
      <c r="AQ558" s="168"/>
      <c r="AR558" s="168"/>
      <c r="AS558" s="168"/>
      <c r="AT558" s="168"/>
      <c r="AU558" s="168"/>
      <c r="AV558" s="168"/>
      <c r="AW558" s="168"/>
      <c r="AX558" s="168"/>
      <c r="AY558" s="168"/>
      <c r="AZ558" s="168"/>
      <c r="BA558" s="168"/>
      <c r="BB558" s="168"/>
      <c r="BC558" s="168"/>
      <c r="BD558" s="168"/>
      <c r="BE558" s="168"/>
      <c r="BF558" s="168"/>
      <c r="BG558" s="168"/>
      <c r="BH558" s="168"/>
      <c r="BI558" s="168"/>
      <c r="BJ558" s="169"/>
    </row>
    <row r="559" spans="1:64" s="174" customFormat="1" ht="12.75">
      <c r="A559" s="120" t="s">
        <v>138</v>
      </c>
      <c r="B559" s="170">
        <f>SUM(C559:BJ559)</f>
        <v>57030212.448318526</v>
      </c>
      <c r="C559" s="171">
        <f>C530-C535</f>
        <v>19396132.341405883</v>
      </c>
      <c r="D559" s="172">
        <f>IF(AND(D518&gt;5,D519=0),0,D530-D535)</f>
        <v>21561964.190711629</v>
      </c>
      <c r="E559" s="172">
        <f t="shared" ref="E559:BJ559" si="329">IF(AND(E518&gt;5,E519=0),0,E530-E535)</f>
        <v>33481338.847378399</v>
      </c>
      <c r="F559" s="172">
        <f t="shared" si="329"/>
        <v>32277312.979059972</v>
      </c>
      <c r="G559" s="172">
        <f t="shared" si="329"/>
        <v>31073287.110741548</v>
      </c>
      <c r="H559" s="172">
        <f t="shared" si="329"/>
        <v>-5047488.9388111755</v>
      </c>
      <c r="I559" s="172">
        <f t="shared" si="329"/>
        <v>-5047488.9388111755</v>
      </c>
      <c r="J559" s="172">
        <f t="shared" si="329"/>
        <v>-5047488.9388111755</v>
      </c>
      <c r="K559" s="172">
        <f t="shared" si="329"/>
        <v>-5047488.9388111755</v>
      </c>
      <c r="L559" s="172">
        <f t="shared" si="329"/>
        <v>-5047488.9388111755</v>
      </c>
      <c r="M559" s="172">
        <f t="shared" si="329"/>
        <v>-5047488.9388111755</v>
      </c>
      <c r="N559" s="172">
        <f t="shared" si="329"/>
        <v>-5047488.9388111755</v>
      </c>
      <c r="O559" s="172">
        <f t="shared" si="329"/>
        <v>-5047488.9388111755</v>
      </c>
      <c r="P559" s="172">
        <f t="shared" si="329"/>
        <v>-5047488.9388111755</v>
      </c>
      <c r="Q559" s="172">
        <f t="shared" si="329"/>
        <v>-5047488.9388111755</v>
      </c>
      <c r="R559" s="172">
        <f t="shared" si="329"/>
        <v>-5047488.9388111755</v>
      </c>
      <c r="S559" s="172">
        <f t="shared" si="329"/>
        <v>-5047488.9388111755</v>
      </c>
      <c r="T559" s="172">
        <f t="shared" si="329"/>
        <v>-5047488.9388111755</v>
      </c>
      <c r="U559" s="172">
        <f t="shared" si="329"/>
        <v>-5047488.9388111755</v>
      </c>
      <c r="V559" s="172">
        <f t="shared" si="329"/>
        <v>-5047488.9388111755</v>
      </c>
      <c r="W559" s="172">
        <f t="shared" si="329"/>
        <v>-5047488.9388111755</v>
      </c>
      <c r="X559" s="172">
        <f t="shared" si="329"/>
        <v>0</v>
      </c>
      <c r="Y559" s="172">
        <f t="shared" si="329"/>
        <v>0</v>
      </c>
      <c r="Z559" s="172">
        <f t="shared" si="329"/>
        <v>0</v>
      </c>
      <c r="AA559" s="172">
        <f t="shared" si="329"/>
        <v>0</v>
      </c>
      <c r="AB559" s="172">
        <f t="shared" si="329"/>
        <v>0</v>
      </c>
      <c r="AC559" s="172">
        <f t="shared" si="329"/>
        <v>0</v>
      </c>
      <c r="AD559" s="172">
        <f t="shared" si="329"/>
        <v>0</v>
      </c>
      <c r="AE559" s="172">
        <f t="shared" si="329"/>
        <v>0</v>
      </c>
      <c r="AF559" s="172">
        <f t="shared" si="329"/>
        <v>0</v>
      </c>
      <c r="AG559" s="172">
        <f t="shared" si="329"/>
        <v>0</v>
      </c>
      <c r="AH559" s="172">
        <f t="shared" si="329"/>
        <v>0</v>
      </c>
      <c r="AI559" s="172">
        <f t="shared" si="329"/>
        <v>0</v>
      </c>
      <c r="AJ559" s="172">
        <f t="shared" si="329"/>
        <v>0</v>
      </c>
      <c r="AK559" s="172">
        <f t="shared" si="329"/>
        <v>0</v>
      </c>
      <c r="AL559" s="172">
        <f t="shared" si="329"/>
        <v>0</v>
      </c>
      <c r="AM559" s="172">
        <f t="shared" si="329"/>
        <v>0</v>
      </c>
      <c r="AN559" s="172">
        <f t="shared" si="329"/>
        <v>0</v>
      </c>
      <c r="AO559" s="172">
        <f t="shared" si="329"/>
        <v>0</v>
      </c>
      <c r="AP559" s="172">
        <f t="shared" si="329"/>
        <v>0</v>
      </c>
      <c r="AQ559" s="172">
        <f t="shared" si="329"/>
        <v>0</v>
      </c>
      <c r="AR559" s="172">
        <f t="shared" si="329"/>
        <v>0</v>
      </c>
      <c r="AS559" s="172">
        <f t="shared" si="329"/>
        <v>0</v>
      </c>
      <c r="AT559" s="172">
        <f t="shared" si="329"/>
        <v>0</v>
      </c>
      <c r="AU559" s="172">
        <f t="shared" si="329"/>
        <v>0</v>
      </c>
      <c r="AV559" s="172">
        <f t="shared" si="329"/>
        <v>0</v>
      </c>
      <c r="AW559" s="172">
        <f t="shared" si="329"/>
        <v>0</v>
      </c>
      <c r="AX559" s="172">
        <f t="shared" si="329"/>
        <v>0</v>
      </c>
      <c r="AY559" s="172">
        <f t="shared" si="329"/>
        <v>0</v>
      </c>
      <c r="AZ559" s="172">
        <f t="shared" si="329"/>
        <v>0</v>
      </c>
      <c r="BA559" s="172">
        <f t="shared" si="329"/>
        <v>0</v>
      </c>
      <c r="BB559" s="172">
        <f t="shared" si="329"/>
        <v>0</v>
      </c>
      <c r="BC559" s="172">
        <f t="shared" si="329"/>
        <v>0</v>
      </c>
      <c r="BD559" s="172">
        <f t="shared" si="329"/>
        <v>0</v>
      </c>
      <c r="BE559" s="172">
        <f t="shared" si="329"/>
        <v>0</v>
      </c>
      <c r="BF559" s="172">
        <f t="shared" si="329"/>
        <v>0</v>
      </c>
      <c r="BG559" s="172">
        <f t="shared" si="329"/>
        <v>0</v>
      </c>
      <c r="BH559" s="172">
        <f t="shared" si="329"/>
        <v>0</v>
      </c>
      <c r="BI559" s="172">
        <f t="shared" si="329"/>
        <v>0</v>
      </c>
      <c r="BJ559" s="173">
        <f t="shared" si="329"/>
        <v>0</v>
      </c>
      <c r="BK559" s="172"/>
      <c r="BL559" s="172"/>
    </row>
    <row r="560" spans="1:64" s="174" customFormat="1" ht="12.75">
      <c r="A560" s="120" t="s">
        <v>139</v>
      </c>
      <c r="B560" s="170">
        <f>SUM(C560:BJ560)</f>
        <v>94394455.71601665</v>
      </c>
      <c r="C560" s="171">
        <f>C550</f>
        <v>668832.14970365108</v>
      </c>
      <c r="D560" s="172">
        <f>D550</f>
        <v>1435411.3338559021</v>
      </c>
      <c r="E560" s="172">
        <f t="shared" ref="E560:BJ560" si="330">E550</f>
        <v>2639437.2021743259</v>
      </c>
      <c r="F560" s="172">
        <f t="shared" si="330"/>
        <v>3843463.0704927505</v>
      </c>
      <c r="G560" s="172">
        <f t="shared" si="330"/>
        <v>5047488.9388111755</v>
      </c>
      <c r="H560" s="172">
        <f t="shared" si="330"/>
        <v>5047488.9388111755</v>
      </c>
      <c r="I560" s="172">
        <f t="shared" si="330"/>
        <v>5047488.9388111755</v>
      </c>
      <c r="J560" s="172">
        <f t="shared" si="330"/>
        <v>5047488.9388111755</v>
      </c>
      <c r="K560" s="172">
        <f t="shared" si="330"/>
        <v>5047488.9388111755</v>
      </c>
      <c r="L560" s="172">
        <f t="shared" si="330"/>
        <v>5047488.9388111755</v>
      </c>
      <c r="M560" s="172">
        <f t="shared" si="330"/>
        <v>5047488.9388111755</v>
      </c>
      <c r="N560" s="172">
        <f t="shared" si="330"/>
        <v>5047488.9388111755</v>
      </c>
      <c r="O560" s="172">
        <f t="shared" si="330"/>
        <v>5047488.9388111755</v>
      </c>
      <c r="P560" s="172">
        <f t="shared" si="330"/>
        <v>5047488.9388111755</v>
      </c>
      <c r="Q560" s="172">
        <f t="shared" si="330"/>
        <v>5047488.9388111755</v>
      </c>
      <c r="R560" s="172">
        <f t="shared" si="330"/>
        <v>5047488.9388111755</v>
      </c>
      <c r="S560" s="172">
        <f t="shared" si="330"/>
        <v>5047488.9388111755</v>
      </c>
      <c r="T560" s="172">
        <f t="shared" si="330"/>
        <v>5047488.9388111755</v>
      </c>
      <c r="U560" s="172">
        <f t="shared" si="330"/>
        <v>5047488.9388111755</v>
      </c>
      <c r="V560" s="172">
        <f t="shared" si="330"/>
        <v>5047488.9388111755</v>
      </c>
      <c r="W560" s="172">
        <f t="shared" si="330"/>
        <v>5047488.9388111755</v>
      </c>
      <c r="X560" s="172">
        <f t="shared" si="330"/>
        <v>0</v>
      </c>
      <c r="Y560" s="172">
        <f t="shared" si="330"/>
        <v>0</v>
      </c>
      <c r="Z560" s="172">
        <f t="shared" si="330"/>
        <v>0</v>
      </c>
      <c r="AA560" s="172">
        <f t="shared" si="330"/>
        <v>0</v>
      </c>
      <c r="AB560" s="172">
        <f t="shared" si="330"/>
        <v>0</v>
      </c>
      <c r="AC560" s="172">
        <f t="shared" si="330"/>
        <v>0</v>
      </c>
      <c r="AD560" s="172">
        <f t="shared" si="330"/>
        <v>0</v>
      </c>
      <c r="AE560" s="172">
        <f t="shared" si="330"/>
        <v>0</v>
      </c>
      <c r="AF560" s="172">
        <f t="shared" si="330"/>
        <v>0</v>
      </c>
      <c r="AG560" s="172">
        <f t="shared" si="330"/>
        <v>0</v>
      </c>
      <c r="AH560" s="172">
        <f t="shared" si="330"/>
        <v>0</v>
      </c>
      <c r="AI560" s="172">
        <f t="shared" si="330"/>
        <v>0</v>
      </c>
      <c r="AJ560" s="172">
        <f t="shared" si="330"/>
        <v>0</v>
      </c>
      <c r="AK560" s="172">
        <f t="shared" si="330"/>
        <v>0</v>
      </c>
      <c r="AL560" s="172">
        <f t="shared" si="330"/>
        <v>0</v>
      </c>
      <c r="AM560" s="172">
        <f t="shared" si="330"/>
        <v>0</v>
      </c>
      <c r="AN560" s="172">
        <f t="shared" si="330"/>
        <v>0</v>
      </c>
      <c r="AO560" s="172">
        <f t="shared" si="330"/>
        <v>0</v>
      </c>
      <c r="AP560" s="172">
        <f t="shared" si="330"/>
        <v>0</v>
      </c>
      <c r="AQ560" s="172">
        <f t="shared" si="330"/>
        <v>0</v>
      </c>
      <c r="AR560" s="172">
        <f t="shared" si="330"/>
        <v>0</v>
      </c>
      <c r="AS560" s="172">
        <f t="shared" si="330"/>
        <v>0</v>
      </c>
      <c r="AT560" s="172">
        <f t="shared" si="330"/>
        <v>0</v>
      </c>
      <c r="AU560" s="172">
        <f t="shared" si="330"/>
        <v>0</v>
      </c>
      <c r="AV560" s="172">
        <f t="shared" si="330"/>
        <v>0</v>
      </c>
      <c r="AW560" s="172">
        <f t="shared" si="330"/>
        <v>0</v>
      </c>
      <c r="AX560" s="172">
        <f t="shared" si="330"/>
        <v>0</v>
      </c>
      <c r="AY560" s="172">
        <f t="shared" si="330"/>
        <v>0</v>
      </c>
      <c r="AZ560" s="172">
        <f t="shared" si="330"/>
        <v>0</v>
      </c>
      <c r="BA560" s="172">
        <f t="shared" si="330"/>
        <v>0</v>
      </c>
      <c r="BB560" s="172">
        <f t="shared" si="330"/>
        <v>0</v>
      </c>
      <c r="BC560" s="172">
        <f t="shared" si="330"/>
        <v>0</v>
      </c>
      <c r="BD560" s="172">
        <f t="shared" si="330"/>
        <v>0</v>
      </c>
      <c r="BE560" s="172">
        <f t="shared" si="330"/>
        <v>0</v>
      </c>
      <c r="BF560" s="172">
        <f t="shared" si="330"/>
        <v>0</v>
      </c>
      <c r="BG560" s="172">
        <f t="shared" si="330"/>
        <v>0</v>
      </c>
      <c r="BH560" s="172">
        <f t="shared" si="330"/>
        <v>0</v>
      </c>
      <c r="BI560" s="172">
        <f t="shared" si="330"/>
        <v>0</v>
      </c>
      <c r="BJ560" s="173">
        <f t="shared" si="330"/>
        <v>0</v>
      </c>
      <c r="BK560" s="172"/>
      <c r="BL560" s="172"/>
    </row>
    <row r="561" spans="1:64" s="174" customFormat="1" ht="12.75">
      <c r="A561" s="120" t="s">
        <v>140</v>
      </c>
      <c r="B561" s="170" t="e">
        <f>SUM(C561:BJ561)</f>
        <v>#REF!</v>
      </c>
      <c r="C561" s="171">
        <f>-C530</f>
        <v>-20064964.491109535</v>
      </c>
      <c r="D561" s="172">
        <f>IF(AND(D518&gt;5,E519=0,D519&lt;&gt;0),SUM(D$71:$BJ535)-D530,-D530)</f>
        <v>-22997375.52456753</v>
      </c>
      <c r="E561" s="172">
        <f>IF(AND(E518&gt;5,F519=0,E519&lt;&gt;0),SUM(E$71:$BJ535)-E530,-E530)</f>
        <v>-36120776.049552724</v>
      </c>
      <c r="F561" s="172">
        <f>IF(AND(F518&gt;5,G519=0,F519&lt;&gt;0),SUM(F$71:$BJ535)-F530,-F530)</f>
        <v>-36120776.049552724</v>
      </c>
      <c r="G561" s="172">
        <f>IF(AND(G518&gt;5,H519=0,G519&lt;&gt;0),SUM(G$71:$BJ535)-G530,-G530)</f>
        <v>-36120776.049552724</v>
      </c>
      <c r="H561" s="172">
        <f>IF(AND(H518&gt;5,I519=0,H519&lt;&gt;0),SUM(H$71:$BJ535)-H530,-H530)</f>
        <v>0</v>
      </c>
      <c r="I561" s="172">
        <f>IF(AND(I518&gt;5,J519=0,I519&lt;&gt;0),SUM(I$71:$BJ535)-I530,-I530)</f>
        <v>0</v>
      </c>
      <c r="J561" s="172">
        <f>IF(AND(J518&gt;5,K519=0,J519&lt;&gt;0),SUM(J$71:$BJ535)-J530,-J530)</f>
        <v>0</v>
      </c>
      <c r="K561" s="172">
        <f>IF(AND(K518&gt;5,L519=0,K519&lt;&gt;0),SUM(K$71:$BJ535)-K530,-K530)</f>
        <v>0</v>
      </c>
      <c r="L561" s="172">
        <f>IF(AND(L518&gt;5,M519=0,L519&lt;&gt;0),SUM(L$71:$BJ535)-L530,-L530)</f>
        <v>0</v>
      </c>
      <c r="M561" s="172">
        <f>IF(AND(M518&gt;5,N519=0,M519&lt;&gt;0),SUM(M$71:$BJ535)-M530,-M530)</f>
        <v>0</v>
      </c>
      <c r="N561" s="172">
        <f>IF(AND(N518&gt;5,O519=0,N519&lt;&gt;0),SUM(N$71:$BJ535)-N530,-N530)</f>
        <v>0</v>
      </c>
      <c r="O561" s="172">
        <f>IF(AND(O518&gt;5,P519=0,O519&lt;&gt;0),SUM(O$71:$BJ535)-O530,-O530)</f>
        <v>0</v>
      </c>
      <c r="P561" s="172">
        <f>IF(AND(P518&gt;5,Q519=0,P519&lt;&gt;0),SUM(P$71:$BJ535)-P530,-P530)</f>
        <v>0</v>
      </c>
      <c r="Q561" s="172">
        <f>IF(AND(Q518&gt;5,R519=0,Q519&lt;&gt;0),SUM(Q$71:$BJ535)-Q530,-Q530)</f>
        <v>0</v>
      </c>
      <c r="R561" s="172">
        <f>IF(AND(R518&gt;5,S519=0,R519&lt;&gt;0),SUM(R$71:$BJ535)-R530,-R530)</f>
        <v>0</v>
      </c>
      <c r="S561" s="172">
        <f>IF(AND(S518&gt;5,T519=0,S519&lt;&gt;0),SUM(S$71:$BJ535)-S530,-S530)</f>
        <v>0</v>
      </c>
      <c r="T561" s="172">
        <f>IF(AND(T518&gt;5,U519=0,T519&lt;&gt;0),SUM(T$71:$BJ535)-T530,-T530)</f>
        <v>0</v>
      </c>
      <c r="U561" s="172">
        <f>IF(AND(U518&gt;5,V519=0,U519&lt;&gt;0),SUM(U$71:$BJ535)-U530,-U530)</f>
        <v>0</v>
      </c>
      <c r="V561" s="172">
        <f>IF(AND(V518&gt;5,W519=0,V519&lt;&gt;0),SUM(V$71:$BJ535)-V530,-V530)</f>
        <v>0</v>
      </c>
      <c r="W561" s="172" t="e">
        <f>IF(AND(W518&gt;5,X519=0,W519&lt;&gt;0),SUM(W$71:$BJ535)-W530,-W530)</f>
        <v>#REF!</v>
      </c>
      <c r="X561" s="172">
        <f>IF(AND(X518&gt;5,Y519=0,X519&lt;&gt;0),SUM(X$71:$BJ535)-X530,-X530)</f>
        <v>0</v>
      </c>
      <c r="Y561" s="172">
        <f>IF(AND(Y518&gt;5,Z519=0,Y519&lt;&gt;0),SUM(Y$71:$BJ535)-Y530,-Y530)</f>
        <v>0</v>
      </c>
      <c r="Z561" s="175">
        <f>IF(AND(Z518&gt;5,AA519=0,Z519&lt;&gt;0),SUM(Z$71:$BJ535)-Z530,-Z530)</f>
        <v>0</v>
      </c>
      <c r="AA561" s="172">
        <f>IF(AND(AA518&gt;5,AB519=0,AA519&lt;&gt;0),SUM(AA$71:$BJ535)-AA530,-AA530)</f>
        <v>0</v>
      </c>
      <c r="AB561" s="172">
        <f>IF(AND(AB518&gt;5,AC519=0,AB519&lt;&gt;0),SUM(AB$71:$BJ535)-AB530,-AB530)</f>
        <v>0</v>
      </c>
      <c r="AC561" s="172">
        <f>IF(AND(AC518&gt;5,AD519=0,AC519&lt;&gt;0),SUM(AC$71:$BJ535)-AC530,-AC530)</f>
        <v>0</v>
      </c>
      <c r="AD561" s="172">
        <f>IF(AND(AD518&gt;5,AE519=0,AD519&lt;&gt;0),SUM(AD$71:$BJ535)-AD530,-AD530)</f>
        <v>0</v>
      </c>
      <c r="AE561" s="172">
        <f>IF(AND(AE518&gt;5,AF519=0,AE519&lt;&gt;0),SUM(AE$71:$BJ535)-AE530,-AE530)</f>
        <v>0</v>
      </c>
      <c r="AF561" s="172">
        <f>IF(AND(AF518&gt;5,AG519=0,AF519&lt;&gt;0),SUM(AF$71:$BJ535)-AF530,-AF530)</f>
        <v>0</v>
      </c>
      <c r="AG561" s="172">
        <f>IF(AND(AG518&gt;5,AH519=0,AG519&lt;&gt;0),SUM(AG$71:$BJ535)-AG530,-AG530)</f>
        <v>0</v>
      </c>
      <c r="AH561" s="172">
        <f>IF(AND(AH518&gt;5,AI519=0,AH519&lt;&gt;0),SUM(AH$71:$BJ535)-AH530,-AH530)</f>
        <v>0</v>
      </c>
      <c r="AI561" s="172">
        <f>IF(AND(AI518&gt;5,AJ519=0,AI519&lt;&gt;0),SUM(AI$71:$BJ535)-AI530,-AI530)</f>
        <v>0</v>
      </c>
      <c r="AJ561" s="172">
        <f>IF(AND(AJ518&gt;5,AK519=0,AJ519&lt;&gt;0),SUM(AJ$71:$BJ535)-AJ530,-AJ530)</f>
        <v>0</v>
      </c>
      <c r="AK561" s="172">
        <f>IF(AND(AK518&gt;5,AL519=0,AK519&lt;&gt;0),SUM(AK$71:$BJ535)-AK530,-AK530)</f>
        <v>0</v>
      </c>
      <c r="AL561" s="172">
        <f>IF(AND(AL518&gt;5,AM519=0,AL519&lt;&gt;0),SUM(AL$71:$BJ535)-AL530,-AL530)</f>
        <v>0</v>
      </c>
      <c r="AM561" s="172">
        <f>IF(AND(AM518&gt;5,AN519=0,AM519&lt;&gt;0),SUM(AM$71:$BJ535)-AM530,-AM530)</f>
        <v>0</v>
      </c>
      <c r="AN561" s="172">
        <f>IF(AND(AN518&gt;5,AO519=0,AN519&lt;&gt;0),SUM(AN$71:$BJ535)-AN530,-AN530)</f>
        <v>0</v>
      </c>
      <c r="AO561" s="172">
        <f>IF(AND(AO518&gt;5,AP519=0,AO519&lt;&gt;0),SUM(AO$71:$BJ535)-AO530,-AO530)</f>
        <v>0</v>
      </c>
      <c r="AP561" s="172">
        <f>IF(AND(AP518&gt;5,AQ519=0,AP519&lt;&gt;0),SUM(AP$71:$BJ535)-AP530,-AP530)</f>
        <v>0</v>
      </c>
      <c r="AQ561" s="172">
        <f>IF(AND(AQ518&gt;5,AR519=0,AQ519&lt;&gt;0),SUM(AQ$71:$BJ535)-AQ530,-AQ530)</f>
        <v>0</v>
      </c>
      <c r="AR561" s="172">
        <f>IF(AND(AR518&gt;5,AS519=0,AR519&lt;&gt;0),SUM(AR$71:$BJ535)-AR530,-AR530)</f>
        <v>0</v>
      </c>
      <c r="AS561" s="172">
        <f>IF(AND(AS518&gt;5,AT519=0,AS519&lt;&gt;0),SUM(AS$71:$BJ535)-AS530,-AS530)</f>
        <v>0</v>
      </c>
      <c r="AT561" s="172">
        <f>IF(AND(AT518&gt;5,AU519=0,AT519&lt;&gt;0),SUM(AT$71:$BJ535)-AT530,-AT530)</f>
        <v>0</v>
      </c>
      <c r="AU561" s="172">
        <f>IF(AND(AU518&gt;5,AV519=0,AU519&lt;&gt;0),SUM(AU$71:$BJ535)-AU530,-AU530)</f>
        <v>0</v>
      </c>
      <c r="AV561" s="172">
        <f>IF(AND(AV518&gt;5,AW519=0,AV519&lt;&gt;0),SUM(AV$71:$BJ535)-AV530,-AV530)</f>
        <v>0</v>
      </c>
      <c r="AW561" s="172">
        <f>IF(AND(AW518&gt;5,AX519=0,AW519&lt;&gt;0),SUM(AW$71:$BJ535)-AW530,-AW530)</f>
        <v>0</v>
      </c>
      <c r="AX561" s="172">
        <f>IF(AND(AX518&gt;5,AY519=0,AX519&lt;&gt;0),SUM(AX$71:$BJ535)-AX530,-AX530)</f>
        <v>0</v>
      </c>
      <c r="AY561" s="172">
        <f>IF(AND(AY518&gt;5,AZ519=0,AY519&lt;&gt;0),SUM(AY$71:$BJ535)-AY530,-AY530)</f>
        <v>0</v>
      </c>
      <c r="AZ561" s="172">
        <f>IF(AND(AZ518&gt;5,BA519=0,AZ519&lt;&gt;0),SUM(AZ$71:$BJ535)-AZ530,-AZ530)</f>
        <v>0</v>
      </c>
      <c r="BA561" s="172">
        <f>IF(AND(BA518&gt;5,BB519=0,BA519&lt;&gt;0),SUM(BA$71:$BJ535)-BA530,-BA530)</f>
        <v>0</v>
      </c>
      <c r="BB561" s="172">
        <f>IF(AND(BB518&gt;5,BC519=0,BB519&lt;&gt;0),SUM(BB$71:$BJ535)-BB530,-BB530)</f>
        <v>0</v>
      </c>
      <c r="BC561" s="172">
        <f>IF(AND(BC518&gt;5,BD519=0,BC519&lt;&gt;0),SUM(BC$71:$BJ535)-BC530,-BC530)</f>
        <v>0</v>
      </c>
      <c r="BD561" s="172">
        <f>IF(AND(BD518&gt;5,BE519=0,BD519&lt;&gt;0),SUM(BD$71:$BJ535)-BD530,-BD530)</f>
        <v>0</v>
      </c>
      <c r="BE561" s="172">
        <f>IF(AND(BE518&gt;5,BF519=0,BE519&lt;&gt;0),SUM(BE$71:$BJ535)-BE530,-BE530)</f>
        <v>0</v>
      </c>
      <c r="BF561" s="172">
        <f>IF(AND(BF518&gt;5,BG519=0,BF519&lt;&gt;0),SUM(BF$71:$BJ535)-BF530,-BF530)</f>
        <v>0</v>
      </c>
      <c r="BG561" s="172">
        <f>IF(AND(BG518&gt;5,BH519=0,BG519&lt;&gt;0),SUM(BG$71:$BJ535)-BG530,-BG530)</f>
        <v>0</v>
      </c>
      <c r="BH561" s="172">
        <f>IF(AND(BH518&gt;5,BI519=0,BH519&lt;&gt;0),SUM(BH$71:$BJ535)-BH530,-BH530)</f>
        <v>0</v>
      </c>
      <c r="BI561" s="172">
        <f>IF(AND(BI518&gt;5,BJ519=0,BI519&lt;&gt;0),SUM(BI$71:$BJ535)-BI530,-BI530)</f>
        <v>0</v>
      </c>
      <c r="BJ561" s="173">
        <f>IF(AND(BJ518&gt;5,BK519=0,BJ519&lt;&gt;0),SUM(BJ$71:$BJ535)-BJ530,-BJ530)</f>
        <v>0</v>
      </c>
      <c r="BK561" s="172"/>
      <c r="BL561" s="172"/>
    </row>
    <row r="562" spans="1:64" s="160" customFormat="1">
      <c r="A562" s="176" t="s">
        <v>141</v>
      </c>
      <c r="B562" s="177">
        <f>SUM(C562:BJ562)</f>
        <v>1433786476.8024352</v>
      </c>
      <c r="C562" s="178">
        <f>C557+C560</f>
        <v>-17100770.842556618</v>
      </c>
      <c r="D562" s="179">
        <f t="shared" ref="D562:BJ562" si="331">D557+D560</f>
        <v>-20033181.876014613</v>
      </c>
      <c r="E562" s="179">
        <f t="shared" si="331"/>
        <v>-33156582.400999811</v>
      </c>
      <c r="F562" s="179">
        <f t="shared" si="331"/>
        <v>-33156582.400999807</v>
      </c>
      <c r="G562" s="179">
        <f t="shared" si="331"/>
        <v>-33156582.400999807</v>
      </c>
      <c r="H562" s="179">
        <f t="shared" si="331"/>
        <v>24633918.611983355</v>
      </c>
      <c r="I562" s="179">
        <f t="shared" si="331"/>
        <v>48258339.436204471</v>
      </c>
      <c r="J562" s="179">
        <f t="shared" si="331"/>
        <v>71882760.260425583</v>
      </c>
      <c r="K562" s="179">
        <f t="shared" si="331"/>
        <v>95507181.084646732</v>
      </c>
      <c r="L562" s="179">
        <f t="shared" si="331"/>
        <v>136228222.24218571</v>
      </c>
      <c r="M562" s="179">
        <f t="shared" si="331"/>
        <v>136228222.24218571</v>
      </c>
      <c r="N562" s="179">
        <f t="shared" si="331"/>
        <v>136228222.24218571</v>
      </c>
      <c r="O562" s="179">
        <f t="shared" si="331"/>
        <v>136228222.24218571</v>
      </c>
      <c r="P562" s="179">
        <f t="shared" si="331"/>
        <v>136228222.24218571</v>
      </c>
      <c r="Q562" s="179">
        <f t="shared" si="331"/>
        <v>136228222.24218571</v>
      </c>
      <c r="R562" s="179">
        <f t="shared" si="331"/>
        <v>136228222.24218571</v>
      </c>
      <c r="S562" s="179">
        <f t="shared" si="331"/>
        <v>136228222.24218571</v>
      </c>
      <c r="T562" s="179">
        <f t="shared" si="331"/>
        <v>95507181.084646732</v>
      </c>
      <c r="U562" s="179">
        <f t="shared" si="331"/>
        <v>71882760.260425583</v>
      </c>
      <c r="V562" s="179">
        <f t="shared" si="331"/>
        <v>48258339.436204471</v>
      </c>
      <c r="W562" s="179">
        <f t="shared" si="331"/>
        <v>24633918.611983355</v>
      </c>
      <c r="X562" s="179">
        <f t="shared" si="331"/>
        <v>0</v>
      </c>
      <c r="Y562" s="179">
        <f t="shared" si="331"/>
        <v>0</v>
      </c>
      <c r="Z562" s="179">
        <f t="shared" si="331"/>
        <v>0</v>
      </c>
      <c r="AA562" s="179">
        <f t="shared" si="331"/>
        <v>0</v>
      </c>
      <c r="AB562" s="179">
        <f t="shared" si="331"/>
        <v>0</v>
      </c>
      <c r="AC562" s="179">
        <f t="shared" si="331"/>
        <v>0</v>
      </c>
      <c r="AD562" s="179">
        <f t="shared" si="331"/>
        <v>0</v>
      </c>
      <c r="AE562" s="179">
        <f t="shared" si="331"/>
        <v>0</v>
      </c>
      <c r="AF562" s="179">
        <f t="shared" si="331"/>
        <v>0</v>
      </c>
      <c r="AG562" s="179">
        <f t="shared" si="331"/>
        <v>0</v>
      </c>
      <c r="AH562" s="179">
        <f t="shared" si="331"/>
        <v>0</v>
      </c>
      <c r="AI562" s="179">
        <f t="shared" si="331"/>
        <v>0</v>
      </c>
      <c r="AJ562" s="179">
        <f t="shared" si="331"/>
        <v>0</v>
      </c>
      <c r="AK562" s="179">
        <f t="shared" si="331"/>
        <v>0</v>
      </c>
      <c r="AL562" s="179">
        <f t="shared" si="331"/>
        <v>0</v>
      </c>
      <c r="AM562" s="179">
        <f t="shared" si="331"/>
        <v>0</v>
      </c>
      <c r="AN562" s="179">
        <f t="shared" si="331"/>
        <v>0</v>
      </c>
      <c r="AO562" s="179">
        <f t="shared" si="331"/>
        <v>0</v>
      </c>
      <c r="AP562" s="179">
        <f t="shared" si="331"/>
        <v>0</v>
      </c>
      <c r="AQ562" s="179">
        <f t="shared" si="331"/>
        <v>0</v>
      </c>
      <c r="AR562" s="179">
        <f t="shared" si="331"/>
        <v>0</v>
      </c>
      <c r="AS562" s="179">
        <f t="shared" si="331"/>
        <v>0</v>
      </c>
      <c r="AT562" s="179">
        <f t="shared" si="331"/>
        <v>0</v>
      </c>
      <c r="AU562" s="179">
        <f t="shared" si="331"/>
        <v>0</v>
      </c>
      <c r="AV562" s="179">
        <f t="shared" si="331"/>
        <v>0</v>
      </c>
      <c r="AW562" s="179">
        <f t="shared" si="331"/>
        <v>0</v>
      </c>
      <c r="AX562" s="179">
        <f t="shared" si="331"/>
        <v>0</v>
      </c>
      <c r="AY562" s="179">
        <f t="shared" si="331"/>
        <v>0</v>
      </c>
      <c r="AZ562" s="179">
        <f t="shared" si="331"/>
        <v>0</v>
      </c>
      <c r="BA562" s="179">
        <f t="shared" si="331"/>
        <v>0</v>
      </c>
      <c r="BB562" s="179">
        <f t="shared" si="331"/>
        <v>0</v>
      </c>
      <c r="BC562" s="179">
        <f t="shared" si="331"/>
        <v>0</v>
      </c>
      <c r="BD562" s="179">
        <f t="shared" si="331"/>
        <v>0</v>
      </c>
      <c r="BE562" s="179">
        <f t="shared" si="331"/>
        <v>0</v>
      </c>
      <c r="BF562" s="179">
        <f t="shared" si="331"/>
        <v>0</v>
      </c>
      <c r="BG562" s="179">
        <f t="shared" si="331"/>
        <v>0</v>
      </c>
      <c r="BH562" s="179">
        <f t="shared" si="331"/>
        <v>0</v>
      </c>
      <c r="BI562" s="179">
        <f t="shared" si="331"/>
        <v>0</v>
      </c>
      <c r="BJ562" s="180">
        <f t="shared" si="331"/>
        <v>0</v>
      </c>
    </row>
    <row r="563" spans="1:64" s="80" customFormat="1">
      <c r="A563" s="176" t="s">
        <v>142</v>
      </c>
      <c r="B563" s="177">
        <f>SUM(C563:BJ563)</f>
        <v>308160934.73731869</v>
      </c>
      <c r="C563" s="232">
        <f>C562*(1+$C517)^-(C518-1)</f>
        <v>-17100770.842556618</v>
      </c>
      <c r="D563" s="182">
        <f>D562*(1+$C517)^-(D518-1)</f>
        <v>-17886769.532155901</v>
      </c>
      <c r="E563" s="182">
        <f t="shared" ref="E563:BJ563" si="332">E562*(1+$C517)^-(E518-1)</f>
        <v>-26432224.49059296</v>
      </c>
      <c r="F563" s="182">
        <f t="shared" si="332"/>
        <v>-23600200.43802942</v>
      </c>
      <c r="G563" s="182">
        <f t="shared" si="332"/>
        <v>-21071607.53395484</v>
      </c>
      <c r="H563" s="182">
        <f t="shared" si="332"/>
        <v>13977946.982025594</v>
      </c>
      <c r="I563" s="182">
        <f t="shared" si="332"/>
        <v>24449176.614719979</v>
      </c>
      <c r="J563" s="182">
        <f t="shared" si="332"/>
        <v>32516110.200053539</v>
      </c>
      <c r="K563" s="182">
        <f t="shared" si="332"/>
        <v>38573748.591677263</v>
      </c>
      <c r="L563" s="182">
        <f t="shared" si="332"/>
        <v>49125262.625950761</v>
      </c>
      <c r="M563" s="182">
        <f t="shared" si="332"/>
        <v>43861841.630313173</v>
      </c>
      <c r="N563" s="182">
        <f t="shared" si="332"/>
        <v>39162358.598493904</v>
      </c>
      <c r="O563" s="182">
        <f t="shared" si="332"/>
        <v>34966391.605798133</v>
      </c>
      <c r="P563" s="182">
        <f t="shared" si="332"/>
        <v>31219992.505176894</v>
      </c>
      <c r="Q563" s="182">
        <f t="shared" si="332"/>
        <v>27874993.308193654</v>
      </c>
      <c r="R563" s="182">
        <f t="shared" si="332"/>
        <v>24888386.882315762</v>
      </c>
      <c r="S563" s="182">
        <f t="shared" si="332"/>
        <v>22221774.00206764</v>
      </c>
      <c r="T563" s="182">
        <f t="shared" si="332"/>
        <v>13910080.443277908</v>
      </c>
      <c r="U563" s="182">
        <f t="shared" si="332"/>
        <v>9347604.6807598043</v>
      </c>
      <c r="V563" s="182">
        <f t="shared" si="332"/>
        <v>5603120.2500191797</v>
      </c>
      <c r="W563" s="182">
        <f t="shared" si="332"/>
        <v>2553718.6537652737</v>
      </c>
      <c r="X563" s="182">
        <f t="shared" si="332"/>
        <v>0</v>
      </c>
      <c r="Y563" s="182">
        <f t="shared" si="332"/>
        <v>0</v>
      </c>
      <c r="Z563" s="182">
        <f t="shared" si="332"/>
        <v>0</v>
      </c>
      <c r="AA563" s="182">
        <f t="shared" si="332"/>
        <v>0</v>
      </c>
      <c r="AB563" s="182">
        <f t="shared" si="332"/>
        <v>0</v>
      </c>
      <c r="AC563" s="182">
        <f t="shared" si="332"/>
        <v>0</v>
      </c>
      <c r="AD563" s="182">
        <f t="shared" si="332"/>
        <v>0</v>
      </c>
      <c r="AE563" s="182">
        <f t="shared" si="332"/>
        <v>0</v>
      </c>
      <c r="AF563" s="182">
        <f t="shared" si="332"/>
        <v>0</v>
      </c>
      <c r="AG563" s="182">
        <f t="shared" si="332"/>
        <v>0</v>
      </c>
      <c r="AH563" s="182">
        <f t="shared" si="332"/>
        <v>0</v>
      </c>
      <c r="AI563" s="182">
        <f t="shared" si="332"/>
        <v>0</v>
      </c>
      <c r="AJ563" s="182">
        <f t="shared" si="332"/>
        <v>0</v>
      </c>
      <c r="AK563" s="182">
        <f t="shared" si="332"/>
        <v>0</v>
      </c>
      <c r="AL563" s="182">
        <f t="shared" si="332"/>
        <v>0</v>
      </c>
      <c r="AM563" s="182">
        <f t="shared" si="332"/>
        <v>0</v>
      </c>
      <c r="AN563" s="182">
        <f t="shared" si="332"/>
        <v>0</v>
      </c>
      <c r="AO563" s="182">
        <f t="shared" si="332"/>
        <v>0</v>
      </c>
      <c r="AP563" s="182">
        <f t="shared" si="332"/>
        <v>0</v>
      </c>
      <c r="AQ563" s="182">
        <f t="shared" si="332"/>
        <v>0</v>
      </c>
      <c r="AR563" s="182">
        <f t="shared" si="332"/>
        <v>0</v>
      </c>
      <c r="AS563" s="182">
        <f t="shared" si="332"/>
        <v>0</v>
      </c>
      <c r="AT563" s="182">
        <f t="shared" si="332"/>
        <v>0</v>
      </c>
      <c r="AU563" s="182">
        <f t="shared" si="332"/>
        <v>0</v>
      </c>
      <c r="AV563" s="182">
        <f t="shared" si="332"/>
        <v>0</v>
      </c>
      <c r="AW563" s="182">
        <f t="shared" si="332"/>
        <v>0</v>
      </c>
      <c r="AX563" s="182">
        <f t="shared" si="332"/>
        <v>0</v>
      </c>
      <c r="AY563" s="182">
        <f t="shared" si="332"/>
        <v>0</v>
      </c>
      <c r="AZ563" s="182">
        <f t="shared" si="332"/>
        <v>0</v>
      </c>
      <c r="BA563" s="182">
        <f t="shared" si="332"/>
        <v>0</v>
      </c>
      <c r="BB563" s="182">
        <f t="shared" si="332"/>
        <v>0</v>
      </c>
      <c r="BC563" s="182">
        <f t="shared" si="332"/>
        <v>0</v>
      </c>
      <c r="BD563" s="182">
        <f t="shared" si="332"/>
        <v>0</v>
      </c>
      <c r="BE563" s="182">
        <f t="shared" si="332"/>
        <v>0</v>
      </c>
      <c r="BF563" s="182">
        <f t="shared" si="332"/>
        <v>0</v>
      </c>
      <c r="BG563" s="182">
        <f t="shared" si="332"/>
        <v>0</v>
      </c>
      <c r="BH563" s="182">
        <f t="shared" si="332"/>
        <v>0</v>
      </c>
      <c r="BI563" s="182">
        <f t="shared" si="332"/>
        <v>0</v>
      </c>
      <c r="BJ563" s="183">
        <f t="shared" si="332"/>
        <v>0</v>
      </c>
    </row>
    <row r="564" spans="1:64" s="80" customFormat="1">
      <c r="A564" s="184" t="s">
        <v>143</v>
      </c>
      <c r="B564" s="177"/>
      <c r="C564" s="181">
        <f>C563</f>
        <v>-17100770.842556618</v>
      </c>
      <c r="D564" s="182">
        <f t="shared" ref="D564:BJ564" si="333">IF(D563=0, 0, C564+D563)</f>
        <v>-34987540.374712519</v>
      </c>
      <c r="E564" s="182">
        <f t="shared" si="333"/>
        <v>-61419764.865305483</v>
      </c>
      <c r="F564" s="182">
        <f t="shared" si="333"/>
        <v>-85019965.303334907</v>
      </c>
      <c r="G564" s="182">
        <f t="shared" si="333"/>
        <v>-106091572.83728975</v>
      </c>
      <c r="H564" s="182">
        <f t="shared" si="333"/>
        <v>-92113625.855264157</v>
      </c>
      <c r="I564" s="182">
        <f t="shared" si="333"/>
        <v>-67664449.24054417</v>
      </c>
      <c r="J564" s="182">
        <f t="shared" si="333"/>
        <v>-35148339.040490627</v>
      </c>
      <c r="K564" s="182">
        <f t="shared" si="333"/>
        <v>3425409.5511866361</v>
      </c>
      <c r="L564" s="182">
        <f t="shared" si="333"/>
        <v>52550672.177137397</v>
      </c>
      <c r="M564" s="182">
        <f t="shared" si="333"/>
        <v>96412513.807450563</v>
      </c>
      <c r="N564" s="182">
        <f t="shared" si="333"/>
        <v>135574872.40594447</v>
      </c>
      <c r="O564" s="182">
        <f t="shared" si="333"/>
        <v>170541264.01174259</v>
      </c>
      <c r="P564" s="182">
        <f t="shared" si="333"/>
        <v>201761256.51691949</v>
      </c>
      <c r="Q564" s="182">
        <f t="shared" si="333"/>
        <v>229636249.82511315</v>
      </c>
      <c r="R564" s="182">
        <f t="shared" si="333"/>
        <v>254524636.7074289</v>
      </c>
      <c r="S564" s="182">
        <f t="shared" si="333"/>
        <v>276746410.70949656</v>
      </c>
      <c r="T564" s="182">
        <f t="shared" si="333"/>
        <v>290656491.15277445</v>
      </c>
      <c r="U564" s="182">
        <f t="shared" si="333"/>
        <v>300004095.83353424</v>
      </c>
      <c r="V564" s="182">
        <f t="shared" si="333"/>
        <v>305607216.08355343</v>
      </c>
      <c r="W564" s="182">
        <f t="shared" si="333"/>
        <v>308160934.73731869</v>
      </c>
      <c r="X564" s="182">
        <f t="shared" si="333"/>
        <v>0</v>
      </c>
      <c r="Y564" s="182">
        <f t="shared" si="333"/>
        <v>0</v>
      </c>
      <c r="Z564" s="182">
        <f t="shared" si="333"/>
        <v>0</v>
      </c>
      <c r="AA564" s="182">
        <f t="shared" si="333"/>
        <v>0</v>
      </c>
      <c r="AB564" s="182">
        <f t="shared" si="333"/>
        <v>0</v>
      </c>
      <c r="AC564" s="182">
        <f t="shared" si="333"/>
        <v>0</v>
      </c>
      <c r="AD564" s="182">
        <f t="shared" si="333"/>
        <v>0</v>
      </c>
      <c r="AE564" s="182">
        <f t="shared" si="333"/>
        <v>0</v>
      </c>
      <c r="AF564" s="182">
        <f t="shared" si="333"/>
        <v>0</v>
      </c>
      <c r="AG564" s="182">
        <f t="shared" si="333"/>
        <v>0</v>
      </c>
      <c r="AH564" s="182">
        <f t="shared" si="333"/>
        <v>0</v>
      </c>
      <c r="AI564" s="182">
        <f t="shared" si="333"/>
        <v>0</v>
      </c>
      <c r="AJ564" s="182">
        <f t="shared" si="333"/>
        <v>0</v>
      </c>
      <c r="AK564" s="182">
        <f t="shared" si="333"/>
        <v>0</v>
      </c>
      <c r="AL564" s="182">
        <f t="shared" si="333"/>
        <v>0</v>
      </c>
      <c r="AM564" s="182">
        <f t="shared" si="333"/>
        <v>0</v>
      </c>
      <c r="AN564" s="182">
        <f t="shared" si="333"/>
        <v>0</v>
      </c>
      <c r="AO564" s="182">
        <f t="shared" si="333"/>
        <v>0</v>
      </c>
      <c r="AP564" s="182">
        <f t="shared" si="333"/>
        <v>0</v>
      </c>
      <c r="AQ564" s="182">
        <f t="shared" si="333"/>
        <v>0</v>
      </c>
      <c r="AR564" s="182">
        <f t="shared" si="333"/>
        <v>0</v>
      </c>
      <c r="AS564" s="182">
        <f t="shared" si="333"/>
        <v>0</v>
      </c>
      <c r="AT564" s="182">
        <f t="shared" si="333"/>
        <v>0</v>
      </c>
      <c r="AU564" s="182">
        <f t="shared" si="333"/>
        <v>0</v>
      </c>
      <c r="AV564" s="182">
        <f t="shared" si="333"/>
        <v>0</v>
      </c>
      <c r="AW564" s="182">
        <f t="shared" si="333"/>
        <v>0</v>
      </c>
      <c r="AX564" s="182">
        <f t="shared" si="333"/>
        <v>0</v>
      </c>
      <c r="AY564" s="182">
        <f t="shared" si="333"/>
        <v>0</v>
      </c>
      <c r="AZ564" s="182">
        <f t="shared" si="333"/>
        <v>0</v>
      </c>
      <c r="BA564" s="182">
        <f t="shared" si="333"/>
        <v>0</v>
      </c>
      <c r="BB564" s="182">
        <f t="shared" si="333"/>
        <v>0</v>
      </c>
      <c r="BC564" s="182">
        <f t="shared" si="333"/>
        <v>0</v>
      </c>
      <c r="BD564" s="182">
        <f t="shared" si="333"/>
        <v>0</v>
      </c>
      <c r="BE564" s="182">
        <f t="shared" si="333"/>
        <v>0</v>
      </c>
      <c r="BF564" s="182">
        <f t="shared" si="333"/>
        <v>0</v>
      </c>
      <c r="BG564" s="182">
        <f t="shared" si="333"/>
        <v>0</v>
      </c>
      <c r="BH564" s="182">
        <f t="shared" si="333"/>
        <v>0</v>
      </c>
      <c r="BI564" s="182">
        <f t="shared" si="333"/>
        <v>0</v>
      </c>
      <c r="BJ564" s="183">
        <f t="shared" si="333"/>
        <v>0</v>
      </c>
    </row>
    <row r="565" spans="1:64" s="83" customFormat="1">
      <c r="A565" s="78"/>
      <c r="B565" s="81"/>
      <c r="C565" s="82"/>
      <c r="D565" s="82"/>
      <c r="E565" s="82"/>
      <c r="F565" s="82"/>
      <c r="G565" s="82"/>
      <c r="H565" s="82"/>
      <c r="I565" s="82"/>
      <c r="J565" s="82"/>
      <c r="K565" s="82"/>
      <c r="L565" s="82"/>
      <c r="M565" s="82"/>
      <c r="N565" s="82"/>
      <c r="O565" s="82"/>
      <c r="P565" s="82"/>
      <c r="Q565" s="82"/>
      <c r="R565" s="82"/>
      <c r="S565" s="82"/>
      <c r="T565" s="82"/>
      <c r="U565" s="82"/>
      <c r="V565" s="82"/>
      <c r="W565" s="82"/>
      <c r="X565" s="82"/>
      <c r="Y565" s="82"/>
      <c r="Z565" s="82"/>
      <c r="AA565" s="82"/>
      <c r="AB565" s="82"/>
      <c r="AC565" s="82"/>
      <c r="AD565" s="82"/>
      <c r="AE565" s="82"/>
      <c r="AF565" s="82"/>
      <c r="AG565" s="82"/>
      <c r="AH565" s="82"/>
      <c r="AI565" s="82"/>
      <c r="AJ565" s="82"/>
      <c r="AK565" s="82"/>
      <c r="AL565" s="82"/>
      <c r="AM565" s="82"/>
      <c r="AN565" s="82"/>
      <c r="AO565" s="82"/>
      <c r="AP565" s="82"/>
      <c r="AQ565" s="82"/>
      <c r="AR565" s="82"/>
      <c r="AS565" s="82"/>
      <c r="AT565" s="82"/>
      <c r="AU565" s="82"/>
      <c r="AV565" s="82"/>
      <c r="AW565" s="82"/>
      <c r="AX565" s="82"/>
      <c r="AY565" s="82"/>
      <c r="AZ565" s="82"/>
      <c r="BA565" s="82"/>
      <c r="BB565" s="82"/>
      <c r="BC565" s="82"/>
      <c r="BD565" s="82"/>
      <c r="BE565" s="82"/>
      <c r="BF565" s="82"/>
      <c r="BG565" s="82"/>
      <c r="BH565" s="82"/>
      <c r="BI565" s="82"/>
      <c r="BJ565" s="82"/>
    </row>
    <row r="566" spans="1:64" ht="21">
      <c r="A566" s="185" t="s">
        <v>157</v>
      </c>
      <c r="B566" s="93"/>
      <c r="C566" s="186"/>
      <c r="D566" s="186"/>
      <c r="E566" s="186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86"/>
      <c r="AD566" s="186"/>
      <c r="AE566" s="186"/>
      <c r="AF566" s="186"/>
      <c r="AG566" s="186"/>
      <c r="AH566" s="186"/>
      <c r="AI566" s="186"/>
      <c r="AJ566" s="186"/>
      <c r="AK566" s="186"/>
      <c r="AL566" s="186"/>
      <c r="AM566" s="186"/>
      <c r="AN566" s="186"/>
      <c r="AO566" s="186"/>
      <c r="AP566" s="186"/>
      <c r="AQ566" s="186"/>
      <c r="AR566" s="186"/>
      <c r="AS566" s="186"/>
      <c r="AT566" s="186"/>
      <c r="AU566" s="186"/>
      <c r="AV566" s="186"/>
      <c r="AW566" s="186"/>
      <c r="AX566" s="186"/>
      <c r="AY566" s="186"/>
      <c r="AZ566" s="186"/>
      <c r="BA566" s="186"/>
      <c r="BB566" s="186"/>
      <c r="BC566" s="186"/>
      <c r="BD566" s="186"/>
      <c r="BE566" s="186"/>
      <c r="BF566" s="186"/>
      <c r="BG566" s="186"/>
      <c r="BH566" s="186"/>
      <c r="BI566" s="186"/>
      <c r="BJ566" s="186"/>
    </row>
    <row r="567" spans="1:64">
      <c r="A567" s="187" t="s">
        <v>158</v>
      </c>
      <c r="B567" s="188">
        <f>SUM(C567:BJ567)</f>
        <v>843.68702817511667</v>
      </c>
      <c r="C567" s="233">
        <f>(C519*(1-$K517))/(1+$C517)^(C518-1)</f>
        <v>0</v>
      </c>
      <c r="D567" s="190">
        <f>(D519*(1-$K517))/(1+$C517)^(D518-1)</f>
        <v>0</v>
      </c>
      <c r="E567" s="190">
        <f t="shared" ref="E567:BJ567" si="334">(E519*(1-$K517))/(1+$C517)^(E518-1)</f>
        <v>0</v>
      </c>
      <c r="F567" s="190">
        <f t="shared" si="334"/>
        <v>0</v>
      </c>
      <c r="G567" s="190">
        <f t="shared" si="334"/>
        <v>0</v>
      </c>
      <c r="H567" s="190">
        <f t="shared" si="334"/>
        <v>27.599642262152663</v>
      </c>
      <c r="I567" s="190">
        <f t="shared" si="334"/>
        <v>49.285075468129747</v>
      </c>
      <c r="J567" s="190">
        <f t="shared" si="334"/>
        <v>66.006797501959468</v>
      </c>
      <c r="K567" s="190">
        <f t="shared" si="334"/>
        <v>78.579520835666045</v>
      </c>
      <c r="L567" s="190">
        <f t="shared" si="334"/>
        <v>100.39383095487176</v>
      </c>
      <c r="M567" s="190">
        <f t="shared" si="334"/>
        <v>89.637349066849779</v>
      </c>
      <c r="N567" s="190">
        <f t="shared" si="334"/>
        <v>80.03334738111586</v>
      </c>
      <c r="O567" s="190">
        <f t="shared" si="334"/>
        <v>71.458345875996315</v>
      </c>
      <c r="P567" s="190">
        <f t="shared" si="334"/>
        <v>63.802094532139549</v>
      </c>
      <c r="Q567" s="190">
        <f t="shared" si="334"/>
        <v>56.966155832267454</v>
      </c>
      <c r="R567" s="190">
        <f t="shared" si="334"/>
        <v>50.862639135953088</v>
      </c>
      <c r="S567" s="190">
        <f t="shared" si="334"/>
        <v>45.41307065710096</v>
      </c>
      <c r="T567" s="190">
        <f t="shared" si="334"/>
        <v>28.33656297159008</v>
      </c>
      <c r="U567" s="190">
        <f t="shared" si="334"/>
        <v>18.975376989904067</v>
      </c>
      <c r="V567" s="190">
        <f t="shared" si="334"/>
        <v>11.294867255895278</v>
      </c>
      <c r="W567" s="190">
        <f t="shared" si="334"/>
        <v>5.0423514535246783</v>
      </c>
      <c r="X567" s="190">
        <f t="shared" si="334"/>
        <v>0</v>
      </c>
      <c r="Y567" s="190">
        <f t="shared" si="334"/>
        <v>0</v>
      </c>
      <c r="Z567" s="190">
        <f t="shared" si="334"/>
        <v>0</v>
      </c>
      <c r="AA567" s="190">
        <f t="shared" si="334"/>
        <v>0</v>
      </c>
      <c r="AB567" s="190">
        <f t="shared" si="334"/>
        <v>0</v>
      </c>
      <c r="AC567" s="190">
        <f t="shared" si="334"/>
        <v>0</v>
      </c>
      <c r="AD567" s="190">
        <f t="shared" si="334"/>
        <v>0</v>
      </c>
      <c r="AE567" s="190">
        <f t="shared" si="334"/>
        <v>0</v>
      </c>
      <c r="AF567" s="190">
        <f t="shared" si="334"/>
        <v>0</v>
      </c>
      <c r="AG567" s="190">
        <f t="shared" si="334"/>
        <v>0</v>
      </c>
      <c r="AH567" s="190">
        <f t="shared" si="334"/>
        <v>0</v>
      </c>
      <c r="AI567" s="190">
        <f t="shared" si="334"/>
        <v>0</v>
      </c>
      <c r="AJ567" s="190">
        <f t="shared" si="334"/>
        <v>0</v>
      </c>
      <c r="AK567" s="190">
        <f t="shared" si="334"/>
        <v>0</v>
      </c>
      <c r="AL567" s="190">
        <f t="shared" si="334"/>
        <v>0</v>
      </c>
      <c r="AM567" s="190">
        <f t="shared" si="334"/>
        <v>0</v>
      </c>
      <c r="AN567" s="190">
        <f t="shared" si="334"/>
        <v>0</v>
      </c>
      <c r="AO567" s="190">
        <f t="shared" si="334"/>
        <v>0</v>
      </c>
      <c r="AP567" s="190">
        <f t="shared" si="334"/>
        <v>0</v>
      </c>
      <c r="AQ567" s="190">
        <f t="shared" si="334"/>
        <v>0</v>
      </c>
      <c r="AR567" s="190">
        <f t="shared" si="334"/>
        <v>0</v>
      </c>
      <c r="AS567" s="190">
        <f t="shared" si="334"/>
        <v>0</v>
      </c>
      <c r="AT567" s="190">
        <f t="shared" si="334"/>
        <v>0</v>
      </c>
      <c r="AU567" s="190">
        <f t="shared" si="334"/>
        <v>0</v>
      </c>
      <c r="AV567" s="190">
        <f t="shared" si="334"/>
        <v>0</v>
      </c>
      <c r="AW567" s="190">
        <f t="shared" si="334"/>
        <v>0</v>
      </c>
      <c r="AX567" s="190">
        <f t="shared" si="334"/>
        <v>0</v>
      </c>
      <c r="AY567" s="190">
        <f t="shared" si="334"/>
        <v>0</v>
      </c>
      <c r="AZ567" s="190">
        <f t="shared" si="334"/>
        <v>0</v>
      </c>
      <c r="BA567" s="190">
        <f t="shared" si="334"/>
        <v>0</v>
      </c>
      <c r="BB567" s="190">
        <f t="shared" si="334"/>
        <v>0</v>
      </c>
      <c r="BC567" s="190">
        <f t="shared" si="334"/>
        <v>0</v>
      </c>
      <c r="BD567" s="190">
        <f t="shared" si="334"/>
        <v>0</v>
      </c>
      <c r="BE567" s="190">
        <f t="shared" si="334"/>
        <v>0</v>
      </c>
      <c r="BF567" s="190">
        <f t="shared" si="334"/>
        <v>0</v>
      </c>
      <c r="BG567" s="190">
        <f t="shared" si="334"/>
        <v>0</v>
      </c>
      <c r="BH567" s="190">
        <f t="shared" si="334"/>
        <v>0</v>
      </c>
      <c r="BI567" s="190">
        <f t="shared" si="334"/>
        <v>0</v>
      </c>
      <c r="BJ567" s="191">
        <f t="shared" si="334"/>
        <v>0</v>
      </c>
    </row>
    <row r="568" spans="1:64">
      <c r="A568" s="192" t="s">
        <v>159</v>
      </c>
      <c r="B568" s="193">
        <f>SUM(C568:BJ568)</f>
        <v>365740852.99522388</v>
      </c>
      <c r="C568" s="234">
        <f>(((C521+C550)*(1-$K517))-(C560-C530))/(1+$C517)^(C518-1)</f>
        <v>29416617.736538135</v>
      </c>
      <c r="D568" s="186">
        <f>(((D521+D550)*(1-$K517))-(D560-D530))/(1+$C517)^(D518-1)</f>
        <v>28746172.261755072</v>
      </c>
      <c r="E568" s="186">
        <f>(((E521+E550)*(1-$K517))-(E560-E530))/(1+$C517)^(E518-1)</f>
        <v>35936151.374750622</v>
      </c>
      <c r="F568" s="186">
        <f t="shared" ref="F568:BJ568" si="335">(((F521+F550)*(1-$K517))-(F560-F530))/(1+$C517)^(F518-1)</f>
        <v>31914449.075556535</v>
      </c>
      <c r="G568" s="186">
        <f t="shared" si="335"/>
        <v>28342007.776224509</v>
      </c>
      <c r="H568" s="186">
        <f t="shared" si="335"/>
        <v>6488628.1455942495</v>
      </c>
      <c r="I568" s="186">
        <f t="shared" si="335"/>
        <v>12098278.970315451</v>
      </c>
      <c r="J568" s="186">
        <f t="shared" si="335"/>
        <v>16431374.958476054</v>
      </c>
      <c r="K568" s="186">
        <f t="shared" si="335"/>
        <v>19697067.07323892</v>
      </c>
      <c r="L568" s="186">
        <f t="shared" si="335"/>
        <v>25322002.453462232</v>
      </c>
      <c r="M568" s="186">
        <f t="shared" si="335"/>
        <v>22608930.762019847</v>
      </c>
      <c r="N568" s="186">
        <f t="shared" si="335"/>
        <v>20186545.323232003</v>
      </c>
      <c r="O568" s="186">
        <f t="shared" si="335"/>
        <v>18023701.181457147</v>
      </c>
      <c r="P568" s="186">
        <f t="shared" si="335"/>
        <v>16092590.340586737</v>
      </c>
      <c r="Q568" s="186">
        <f t="shared" si="335"/>
        <v>14368384.232666727</v>
      </c>
      <c r="R568" s="186">
        <f t="shared" si="335"/>
        <v>12828914.493452437</v>
      </c>
      <c r="S568" s="186">
        <f t="shared" si="335"/>
        <v>11454387.940582531</v>
      </c>
      <c r="T568" s="186">
        <f t="shared" si="335"/>
        <v>7102959.8493445348</v>
      </c>
      <c r="U568" s="186">
        <f t="shared" si="335"/>
        <v>4723627.6580498638</v>
      </c>
      <c r="V568" s="186">
        <f t="shared" si="335"/>
        <v>2772613.2849865742</v>
      </c>
      <c r="W568" s="186">
        <f t="shared" si="335"/>
        <v>1185448.1029337237</v>
      </c>
      <c r="X568" s="186">
        <f t="shared" si="335"/>
        <v>0</v>
      </c>
      <c r="Y568" s="186">
        <f t="shared" si="335"/>
        <v>0</v>
      </c>
      <c r="Z568" s="186">
        <f t="shared" si="335"/>
        <v>0</v>
      </c>
      <c r="AA568" s="186">
        <f t="shared" si="335"/>
        <v>0</v>
      </c>
      <c r="AB568" s="186">
        <f t="shared" si="335"/>
        <v>0</v>
      </c>
      <c r="AC568" s="186">
        <f t="shared" si="335"/>
        <v>0</v>
      </c>
      <c r="AD568" s="186">
        <f t="shared" si="335"/>
        <v>0</v>
      </c>
      <c r="AE568" s="186">
        <f t="shared" si="335"/>
        <v>0</v>
      </c>
      <c r="AF568" s="186">
        <f t="shared" si="335"/>
        <v>0</v>
      </c>
      <c r="AG568" s="186">
        <f t="shared" si="335"/>
        <v>0</v>
      </c>
      <c r="AH568" s="186">
        <f t="shared" si="335"/>
        <v>0</v>
      </c>
      <c r="AI568" s="186">
        <f t="shared" si="335"/>
        <v>0</v>
      </c>
      <c r="AJ568" s="186">
        <f t="shared" si="335"/>
        <v>0</v>
      </c>
      <c r="AK568" s="186">
        <f t="shared" si="335"/>
        <v>0</v>
      </c>
      <c r="AL568" s="186">
        <f t="shared" si="335"/>
        <v>0</v>
      </c>
      <c r="AM568" s="186">
        <f t="shared" si="335"/>
        <v>0</v>
      </c>
      <c r="AN568" s="186">
        <f t="shared" si="335"/>
        <v>0</v>
      </c>
      <c r="AO568" s="186">
        <f t="shared" si="335"/>
        <v>0</v>
      </c>
      <c r="AP568" s="186">
        <f t="shared" si="335"/>
        <v>0</v>
      </c>
      <c r="AQ568" s="186">
        <f t="shared" si="335"/>
        <v>0</v>
      </c>
      <c r="AR568" s="186">
        <f t="shared" si="335"/>
        <v>0</v>
      </c>
      <c r="AS568" s="186">
        <f t="shared" si="335"/>
        <v>0</v>
      </c>
      <c r="AT568" s="186">
        <f t="shared" si="335"/>
        <v>0</v>
      </c>
      <c r="AU568" s="186">
        <f t="shared" si="335"/>
        <v>0</v>
      </c>
      <c r="AV568" s="186">
        <f t="shared" si="335"/>
        <v>0</v>
      </c>
      <c r="AW568" s="186">
        <f t="shared" si="335"/>
        <v>0</v>
      </c>
      <c r="AX568" s="186">
        <f t="shared" si="335"/>
        <v>0</v>
      </c>
      <c r="AY568" s="186">
        <f t="shared" si="335"/>
        <v>0</v>
      </c>
      <c r="AZ568" s="186">
        <f t="shared" si="335"/>
        <v>0</v>
      </c>
      <c r="BA568" s="186">
        <f t="shared" si="335"/>
        <v>0</v>
      </c>
      <c r="BB568" s="186">
        <f t="shared" si="335"/>
        <v>0</v>
      </c>
      <c r="BC568" s="186">
        <f t="shared" si="335"/>
        <v>0</v>
      </c>
      <c r="BD568" s="186">
        <f t="shared" si="335"/>
        <v>0</v>
      </c>
      <c r="BE568" s="186">
        <f t="shared" si="335"/>
        <v>0</v>
      </c>
      <c r="BF568" s="186">
        <f t="shared" si="335"/>
        <v>0</v>
      </c>
      <c r="BG568" s="186">
        <f t="shared" si="335"/>
        <v>0</v>
      </c>
      <c r="BH568" s="186">
        <f t="shared" si="335"/>
        <v>0</v>
      </c>
      <c r="BI568" s="186">
        <f t="shared" si="335"/>
        <v>0</v>
      </c>
      <c r="BJ568" s="195">
        <f t="shared" si="335"/>
        <v>0</v>
      </c>
    </row>
    <row r="569" spans="1:64">
      <c r="A569" s="196" t="s">
        <v>160</v>
      </c>
      <c r="B569" s="197">
        <f>B568/B567</f>
        <v>433502.99433466018</v>
      </c>
      <c r="C569" s="166"/>
      <c r="D569" s="167"/>
      <c r="E569" s="167"/>
      <c r="F569" s="167"/>
      <c r="G569" s="167"/>
      <c r="H569" s="167"/>
      <c r="I569" s="167"/>
      <c r="J569" s="167"/>
      <c r="K569" s="167"/>
      <c r="L569" s="167"/>
      <c r="M569" s="167"/>
      <c r="N569" s="167"/>
      <c r="O569" s="167"/>
      <c r="P569" s="167"/>
      <c r="Q569" s="167"/>
      <c r="R569" s="167"/>
      <c r="S569" s="167"/>
      <c r="T569" s="167"/>
      <c r="U569" s="167"/>
      <c r="V569" s="167"/>
      <c r="W569" s="167"/>
      <c r="X569" s="167"/>
      <c r="Y569" s="167"/>
      <c r="Z569" s="167"/>
      <c r="AA569" s="167"/>
      <c r="AB569" s="167"/>
      <c r="AC569" s="167"/>
      <c r="AD569" s="167"/>
      <c r="AE569" s="167"/>
      <c r="AF569" s="167"/>
      <c r="AG569" s="167"/>
      <c r="AH569" s="167"/>
      <c r="AI569" s="167"/>
      <c r="AJ569" s="167"/>
      <c r="AK569" s="167"/>
      <c r="AL569" s="167"/>
      <c r="AM569" s="167"/>
      <c r="AN569" s="167"/>
      <c r="AO569" s="167"/>
      <c r="AP569" s="167"/>
      <c r="AQ569" s="167"/>
      <c r="AR569" s="167"/>
      <c r="AS569" s="167"/>
      <c r="AT569" s="167"/>
      <c r="AU569" s="167"/>
      <c r="AV569" s="167"/>
      <c r="AW569" s="167"/>
      <c r="AX569" s="167"/>
      <c r="AY569" s="167"/>
      <c r="AZ569" s="167"/>
      <c r="BA569" s="167"/>
      <c r="BB569" s="167"/>
      <c r="BC569" s="167"/>
      <c r="BD569" s="167"/>
      <c r="BE569" s="167"/>
      <c r="BF569" s="167"/>
      <c r="BG569" s="167"/>
      <c r="BH569" s="167"/>
      <c r="BI569" s="167"/>
      <c r="BJ569" s="198"/>
    </row>
    <row r="570" spans="1:64">
      <c r="A570" s="187" t="s">
        <v>158</v>
      </c>
      <c r="B570" s="188">
        <f>SUM(C570:BJ570)</f>
        <v>3200.0000000000005</v>
      </c>
      <c r="C570" s="234">
        <f>(C519*(1-$K517))/(1)^(C518-1)</f>
        <v>0</v>
      </c>
      <c r="D570" s="186">
        <f>(D519*(1-$K517))/(1)^(D518-1)</f>
        <v>0</v>
      </c>
      <c r="E570" s="186">
        <f t="shared" ref="E570:BJ570" si="336">(E519*(1-$K517))/(1)^(E518-1)</f>
        <v>0</v>
      </c>
      <c r="F570" s="186">
        <f t="shared" si="336"/>
        <v>0</v>
      </c>
      <c r="G570" s="186">
        <f t="shared" si="336"/>
        <v>0</v>
      </c>
      <c r="H570" s="186">
        <f t="shared" si="336"/>
        <v>48.639999999999993</v>
      </c>
      <c r="I570" s="186">
        <f t="shared" si="336"/>
        <v>97.279999999999987</v>
      </c>
      <c r="J570" s="186">
        <f t="shared" si="336"/>
        <v>145.91999999999996</v>
      </c>
      <c r="K570" s="186">
        <f t="shared" si="336"/>
        <v>194.55999999999997</v>
      </c>
      <c r="L570" s="186">
        <f t="shared" si="336"/>
        <v>278.40000000000003</v>
      </c>
      <c r="M570" s="186">
        <f t="shared" si="336"/>
        <v>278.40000000000003</v>
      </c>
      <c r="N570" s="186">
        <f t="shared" si="336"/>
        <v>278.40000000000003</v>
      </c>
      <c r="O570" s="186">
        <f t="shared" si="336"/>
        <v>278.40000000000003</v>
      </c>
      <c r="P570" s="186">
        <f t="shared" si="336"/>
        <v>278.40000000000003</v>
      </c>
      <c r="Q570" s="186">
        <f t="shared" si="336"/>
        <v>278.40000000000003</v>
      </c>
      <c r="R570" s="186">
        <f t="shared" si="336"/>
        <v>278.40000000000003</v>
      </c>
      <c r="S570" s="186">
        <f t="shared" si="336"/>
        <v>278.40000000000003</v>
      </c>
      <c r="T570" s="186">
        <f t="shared" si="336"/>
        <v>194.55999999999997</v>
      </c>
      <c r="U570" s="186">
        <f t="shared" si="336"/>
        <v>145.91999999999996</v>
      </c>
      <c r="V570" s="186">
        <f t="shared" si="336"/>
        <v>97.279999999999987</v>
      </c>
      <c r="W570" s="186">
        <f t="shared" si="336"/>
        <v>48.639999999999993</v>
      </c>
      <c r="X570" s="186">
        <f t="shared" si="336"/>
        <v>0</v>
      </c>
      <c r="Y570" s="186">
        <f t="shared" si="336"/>
        <v>0</v>
      </c>
      <c r="Z570" s="186">
        <f t="shared" si="336"/>
        <v>0</v>
      </c>
      <c r="AA570" s="186">
        <f t="shared" si="336"/>
        <v>0</v>
      </c>
      <c r="AB570" s="186">
        <f t="shared" si="336"/>
        <v>0</v>
      </c>
      <c r="AC570" s="186">
        <f t="shared" si="336"/>
        <v>0</v>
      </c>
      <c r="AD570" s="186">
        <f t="shared" si="336"/>
        <v>0</v>
      </c>
      <c r="AE570" s="186">
        <f t="shared" si="336"/>
        <v>0</v>
      </c>
      <c r="AF570" s="186">
        <f t="shared" si="336"/>
        <v>0</v>
      </c>
      <c r="AG570" s="186">
        <f t="shared" si="336"/>
        <v>0</v>
      </c>
      <c r="AH570" s="186">
        <f t="shared" si="336"/>
        <v>0</v>
      </c>
      <c r="AI570" s="186">
        <f t="shared" si="336"/>
        <v>0</v>
      </c>
      <c r="AJ570" s="186">
        <f t="shared" si="336"/>
        <v>0</v>
      </c>
      <c r="AK570" s="186">
        <f t="shared" si="336"/>
        <v>0</v>
      </c>
      <c r="AL570" s="186">
        <f t="shared" si="336"/>
        <v>0</v>
      </c>
      <c r="AM570" s="186">
        <f t="shared" si="336"/>
        <v>0</v>
      </c>
      <c r="AN570" s="186">
        <f t="shared" si="336"/>
        <v>0</v>
      </c>
      <c r="AO570" s="186">
        <f t="shared" si="336"/>
        <v>0</v>
      </c>
      <c r="AP570" s="186">
        <f t="shared" si="336"/>
        <v>0</v>
      </c>
      <c r="AQ570" s="186">
        <f t="shared" si="336"/>
        <v>0</v>
      </c>
      <c r="AR570" s="186">
        <f t="shared" si="336"/>
        <v>0</v>
      </c>
      <c r="AS570" s="186">
        <f t="shared" si="336"/>
        <v>0</v>
      </c>
      <c r="AT570" s="186">
        <f t="shared" si="336"/>
        <v>0</v>
      </c>
      <c r="AU570" s="186">
        <f t="shared" si="336"/>
        <v>0</v>
      </c>
      <c r="AV570" s="186">
        <f t="shared" si="336"/>
        <v>0</v>
      </c>
      <c r="AW570" s="186">
        <f t="shared" si="336"/>
        <v>0</v>
      </c>
      <c r="AX570" s="186">
        <f t="shared" si="336"/>
        <v>0</v>
      </c>
      <c r="AY570" s="186">
        <f t="shared" si="336"/>
        <v>0</v>
      </c>
      <c r="AZ570" s="186">
        <f t="shared" si="336"/>
        <v>0</v>
      </c>
      <c r="BA570" s="186">
        <f t="shared" si="336"/>
        <v>0</v>
      </c>
      <c r="BB570" s="186">
        <f t="shared" si="336"/>
        <v>0</v>
      </c>
      <c r="BC570" s="186">
        <f t="shared" si="336"/>
        <v>0</v>
      </c>
      <c r="BD570" s="186">
        <f t="shared" si="336"/>
        <v>0</v>
      </c>
      <c r="BE570" s="186">
        <f t="shared" si="336"/>
        <v>0</v>
      </c>
      <c r="BF570" s="186">
        <f t="shared" si="336"/>
        <v>0</v>
      </c>
      <c r="BG570" s="186">
        <f t="shared" si="336"/>
        <v>0</v>
      </c>
      <c r="BH570" s="186">
        <f t="shared" si="336"/>
        <v>0</v>
      </c>
      <c r="BI570" s="186">
        <f t="shared" si="336"/>
        <v>0</v>
      </c>
      <c r="BJ570" s="195">
        <f t="shared" si="336"/>
        <v>0</v>
      </c>
    </row>
    <row r="571" spans="1:64">
      <c r="A571" s="192" t="s">
        <v>159</v>
      </c>
      <c r="B571" s="193">
        <f>SUM(C571:BJ571)</f>
        <v>998701667.20901191</v>
      </c>
      <c r="C571" s="234">
        <f>(((C521+C550)*(1-$K517))-(C560-C530))/(1)^(C518-1)</f>
        <v>29416617.736538135</v>
      </c>
      <c r="D571" s="186">
        <f>(((D521+D550)*(1-$K517))-(D560-D530))/(1)^(D518-1)</f>
        <v>32195712.933165684</v>
      </c>
      <c r="E571" s="186">
        <f t="shared" ref="E571:BJ571" si="337">(((E521+E550)*(1-$K517))-(E560-E530))/(1)^(E518-1)</f>
        <v>45078308.284487188</v>
      </c>
      <c r="F571" s="186">
        <f t="shared" si="337"/>
        <v>44837503.110823505</v>
      </c>
      <c r="G571" s="186">
        <f t="shared" si="337"/>
        <v>44596697.937159821</v>
      </c>
      <c r="H571" s="186">
        <f t="shared" si="337"/>
        <v>11435179.847765468</v>
      </c>
      <c r="I571" s="186">
        <f t="shared" si="337"/>
        <v>23879857.483293172</v>
      </c>
      <c r="J571" s="186">
        <f t="shared" si="337"/>
        <v>36324535.118820876</v>
      </c>
      <c r="K571" s="186">
        <f t="shared" si="337"/>
        <v>48769212.754348576</v>
      </c>
      <c r="L571" s="186">
        <f t="shared" si="337"/>
        <v>70219907.099797666</v>
      </c>
      <c r="M571" s="186">
        <f t="shared" si="337"/>
        <v>70219907.099797666</v>
      </c>
      <c r="N571" s="186">
        <f t="shared" si="337"/>
        <v>70219907.099797666</v>
      </c>
      <c r="O571" s="186">
        <f t="shared" si="337"/>
        <v>70219907.099797666</v>
      </c>
      <c r="P571" s="186">
        <f t="shared" si="337"/>
        <v>70219907.099797666</v>
      </c>
      <c r="Q571" s="186">
        <f t="shared" si="337"/>
        <v>70219907.099797666</v>
      </c>
      <c r="R571" s="186">
        <f t="shared" si="337"/>
        <v>70219907.099797666</v>
      </c>
      <c r="S571" s="186">
        <f t="shared" si="337"/>
        <v>70219907.099797666</v>
      </c>
      <c r="T571" s="186">
        <f t="shared" si="337"/>
        <v>48769212.754348576</v>
      </c>
      <c r="U571" s="186">
        <f t="shared" si="337"/>
        <v>36324535.118820876</v>
      </c>
      <c r="V571" s="186">
        <f t="shared" si="337"/>
        <v>23879857.483293172</v>
      </c>
      <c r="W571" s="186">
        <f t="shared" si="337"/>
        <v>11435179.847765468</v>
      </c>
      <c r="X571" s="186">
        <f t="shared" si="337"/>
        <v>0</v>
      </c>
      <c r="Y571" s="186">
        <f t="shared" si="337"/>
        <v>0</v>
      </c>
      <c r="Z571" s="186">
        <f t="shared" si="337"/>
        <v>0</v>
      </c>
      <c r="AA571" s="186">
        <f t="shared" si="337"/>
        <v>0</v>
      </c>
      <c r="AB571" s="186">
        <f t="shared" si="337"/>
        <v>0</v>
      </c>
      <c r="AC571" s="186">
        <f t="shared" si="337"/>
        <v>0</v>
      </c>
      <c r="AD571" s="186">
        <f t="shared" si="337"/>
        <v>0</v>
      </c>
      <c r="AE571" s="186">
        <f t="shared" si="337"/>
        <v>0</v>
      </c>
      <c r="AF571" s="186">
        <f t="shared" si="337"/>
        <v>0</v>
      </c>
      <c r="AG571" s="186">
        <f t="shared" si="337"/>
        <v>0</v>
      </c>
      <c r="AH571" s="186">
        <f t="shared" si="337"/>
        <v>0</v>
      </c>
      <c r="AI571" s="186">
        <f t="shared" si="337"/>
        <v>0</v>
      </c>
      <c r="AJ571" s="186">
        <f t="shared" si="337"/>
        <v>0</v>
      </c>
      <c r="AK571" s="186">
        <f t="shared" si="337"/>
        <v>0</v>
      </c>
      <c r="AL571" s="186">
        <f t="shared" si="337"/>
        <v>0</v>
      </c>
      <c r="AM571" s="186">
        <f t="shared" si="337"/>
        <v>0</v>
      </c>
      <c r="AN571" s="186">
        <f t="shared" si="337"/>
        <v>0</v>
      </c>
      <c r="AO571" s="186">
        <f t="shared" si="337"/>
        <v>0</v>
      </c>
      <c r="AP571" s="186">
        <f t="shared" si="337"/>
        <v>0</v>
      </c>
      <c r="AQ571" s="186">
        <f t="shared" si="337"/>
        <v>0</v>
      </c>
      <c r="AR571" s="186">
        <f t="shared" si="337"/>
        <v>0</v>
      </c>
      <c r="AS571" s="186">
        <f t="shared" si="337"/>
        <v>0</v>
      </c>
      <c r="AT571" s="186">
        <f t="shared" si="337"/>
        <v>0</v>
      </c>
      <c r="AU571" s="186">
        <f t="shared" si="337"/>
        <v>0</v>
      </c>
      <c r="AV571" s="186">
        <f t="shared" si="337"/>
        <v>0</v>
      </c>
      <c r="AW571" s="186">
        <f t="shared" si="337"/>
        <v>0</v>
      </c>
      <c r="AX571" s="186">
        <f t="shared" si="337"/>
        <v>0</v>
      </c>
      <c r="AY571" s="186">
        <f t="shared" si="337"/>
        <v>0</v>
      </c>
      <c r="AZ571" s="186">
        <f t="shared" si="337"/>
        <v>0</v>
      </c>
      <c r="BA571" s="186">
        <f t="shared" si="337"/>
        <v>0</v>
      </c>
      <c r="BB571" s="186">
        <f t="shared" si="337"/>
        <v>0</v>
      </c>
      <c r="BC571" s="186">
        <f t="shared" si="337"/>
        <v>0</v>
      </c>
      <c r="BD571" s="186">
        <f t="shared" si="337"/>
        <v>0</v>
      </c>
      <c r="BE571" s="186">
        <f t="shared" si="337"/>
        <v>0</v>
      </c>
      <c r="BF571" s="186">
        <f t="shared" si="337"/>
        <v>0</v>
      </c>
      <c r="BG571" s="186">
        <f t="shared" si="337"/>
        <v>0</v>
      </c>
      <c r="BH571" s="186">
        <f t="shared" si="337"/>
        <v>0</v>
      </c>
      <c r="BI571" s="186">
        <f t="shared" si="337"/>
        <v>0</v>
      </c>
      <c r="BJ571" s="195">
        <f t="shared" si="337"/>
        <v>0</v>
      </c>
      <c r="BK571" s="186"/>
    </row>
    <row r="572" spans="1:64">
      <c r="A572" s="196" t="s">
        <v>161</v>
      </c>
      <c r="B572" s="197">
        <f>B571/B570</f>
        <v>312094.27100281615</v>
      </c>
      <c r="C572" s="166"/>
      <c r="D572" s="167"/>
      <c r="E572" s="167"/>
      <c r="F572" s="167"/>
      <c r="G572" s="167"/>
      <c r="H572" s="167"/>
      <c r="I572" s="167"/>
      <c r="J572" s="167"/>
      <c r="K572" s="167"/>
      <c r="L572" s="167"/>
      <c r="M572" s="167"/>
      <c r="N572" s="167"/>
      <c r="O572" s="167"/>
      <c r="P572" s="167"/>
      <c r="Q572" s="167"/>
      <c r="R572" s="167"/>
      <c r="S572" s="167"/>
      <c r="T572" s="167"/>
      <c r="U572" s="167"/>
      <c r="V572" s="167"/>
      <c r="W572" s="167"/>
      <c r="X572" s="167"/>
      <c r="Y572" s="167"/>
      <c r="Z572" s="167"/>
      <c r="AA572" s="167"/>
      <c r="AB572" s="167"/>
      <c r="AC572" s="167"/>
      <c r="AD572" s="167"/>
      <c r="AE572" s="167"/>
      <c r="AF572" s="167"/>
      <c r="AG572" s="167"/>
      <c r="AH572" s="167"/>
      <c r="AI572" s="167"/>
      <c r="AJ572" s="167"/>
      <c r="AK572" s="167"/>
      <c r="AL572" s="167"/>
      <c r="AM572" s="167"/>
      <c r="AN572" s="167"/>
      <c r="AO572" s="167"/>
      <c r="AP572" s="167"/>
      <c r="AQ572" s="167"/>
      <c r="AR572" s="167"/>
      <c r="AS572" s="167"/>
      <c r="AT572" s="167"/>
      <c r="AU572" s="167"/>
      <c r="AV572" s="167"/>
      <c r="AW572" s="167"/>
      <c r="AX572" s="167"/>
      <c r="AY572" s="167"/>
      <c r="AZ572" s="167"/>
      <c r="BA572" s="167"/>
      <c r="BB572" s="167"/>
      <c r="BC572" s="167"/>
      <c r="BD572" s="167"/>
      <c r="BE572" s="167"/>
      <c r="BF572" s="167"/>
      <c r="BG572" s="167"/>
      <c r="BH572" s="167"/>
      <c r="BI572" s="167"/>
      <c r="BJ572" s="198"/>
    </row>
    <row r="573" spans="1:64">
      <c r="A573" s="199"/>
      <c r="B573" s="200"/>
      <c r="C573" s="201"/>
      <c r="D573" s="201"/>
      <c r="E573" s="201"/>
      <c r="F573" s="201"/>
      <c r="G573" s="201"/>
      <c r="H573" s="201"/>
      <c r="I573" s="202"/>
      <c r="J573" s="201"/>
      <c r="K573" s="201"/>
      <c r="L573" s="201"/>
      <c r="M573" s="201"/>
      <c r="N573" s="201"/>
      <c r="O573" s="201"/>
      <c r="P573" s="201"/>
      <c r="Q573" s="201"/>
      <c r="R573" s="201"/>
      <c r="S573" s="201"/>
      <c r="T573" s="201"/>
      <c r="U573" s="201"/>
      <c r="V573" s="201"/>
      <c r="W573" s="201"/>
      <c r="X573" s="201"/>
      <c r="Y573" s="201"/>
      <c r="Z573" s="201"/>
      <c r="AA573" s="201"/>
      <c r="AB573" s="201"/>
      <c r="AC573" s="201"/>
      <c r="AD573" s="201"/>
      <c r="AE573" s="201"/>
      <c r="AF573" s="201"/>
      <c r="AG573" s="201"/>
      <c r="AH573" s="201"/>
      <c r="AI573" s="201"/>
      <c r="AJ573" s="201"/>
      <c r="AK573" s="201"/>
      <c r="AL573" s="201"/>
      <c r="AM573" s="201"/>
      <c r="AN573" s="201"/>
      <c r="AO573" s="201"/>
      <c r="AP573" s="201"/>
      <c r="AQ573" s="201"/>
      <c r="AR573" s="201"/>
      <c r="AS573" s="201"/>
      <c r="AT573" s="201"/>
      <c r="AU573" s="201"/>
      <c r="AV573" s="201"/>
      <c r="AW573" s="201"/>
      <c r="AX573" s="201"/>
      <c r="AY573" s="201"/>
      <c r="AZ573" s="201"/>
      <c r="BA573" s="201"/>
      <c r="BB573" s="201"/>
      <c r="BC573" s="201"/>
      <c r="BD573" s="201"/>
      <c r="BE573" s="201"/>
      <c r="BF573" s="201"/>
      <c r="BG573" s="201"/>
      <c r="BH573" s="201"/>
      <c r="BI573" s="201"/>
      <c r="BJ573" s="201"/>
    </row>
    <row r="574" spans="1:64" ht="21">
      <c r="A574" s="203" t="s">
        <v>162</v>
      </c>
      <c r="B574" s="89"/>
      <c r="D574" s="204"/>
      <c r="E574" s="204"/>
    </row>
    <row r="575" spans="1:64" s="94" customFormat="1">
      <c r="A575" s="90" t="s">
        <v>154</v>
      </c>
      <c r="B575" s="91" t="s">
        <v>155</v>
      </c>
      <c r="C575" s="91">
        <v>1</v>
      </c>
      <c r="D575" s="92">
        <v>2</v>
      </c>
      <c r="E575" s="92">
        <v>3</v>
      </c>
      <c r="F575" s="92">
        <v>4</v>
      </c>
      <c r="G575" s="92">
        <v>5</v>
      </c>
      <c r="H575" s="92">
        <v>6</v>
      </c>
      <c r="I575" s="92">
        <v>7</v>
      </c>
      <c r="J575" s="92">
        <v>8</v>
      </c>
      <c r="K575" s="92">
        <v>9</v>
      </c>
      <c r="L575" s="92">
        <v>10</v>
      </c>
      <c r="M575" s="92">
        <v>11</v>
      </c>
      <c r="N575" s="92">
        <v>12</v>
      </c>
      <c r="O575" s="92">
        <v>13</v>
      </c>
      <c r="P575" s="92">
        <v>14</v>
      </c>
      <c r="Q575" s="92">
        <v>15</v>
      </c>
      <c r="R575" s="92">
        <v>16</v>
      </c>
      <c r="S575" s="92">
        <v>17</v>
      </c>
      <c r="T575" s="92">
        <v>18</v>
      </c>
      <c r="U575" s="92">
        <v>19</v>
      </c>
      <c r="V575" s="92">
        <v>20</v>
      </c>
      <c r="W575" s="92">
        <v>21</v>
      </c>
      <c r="X575" s="92">
        <v>22</v>
      </c>
      <c r="Y575" s="92">
        <v>23</v>
      </c>
      <c r="Z575" s="92">
        <v>24</v>
      </c>
      <c r="AA575" s="92">
        <v>25</v>
      </c>
      <c r="AB575" s="92">
        <v>26</v>
      </c>
      <c r="AC575" s="92">
        <v>27</v>
      </c>
      <c r="AD575" s="92">
        <v>28</v>
      </c>
      <c r="AE575" s="92">
        <v>29</v>
      </c>
      <c r="AF575" s="92">
        <v>30</v>
      </c>
      <c r="AG575" s="92">
        <v>31</v>
      </c>
      <c r="AH575" s="92">
        <v>32</v>
      </c>
      <c r="AI575" s="92">
        <v>33</v>
      </c>
      <c r="AJ575" s="92">
        <v>34</v>
      </c>
      <c r="AK575" s="92">
        <v>35</v>
      </c>
      <c r="AL575" s="92">
        <v>36</v>
      </c>
      <c r="AM575" s="92">
        <v>37</v>
      </c>
      <c r="AN575" s="92">
        <v>38</v>
      </c>
      <c r="AO575" s="92">
        <v>39</v>
      </c>
      <c r="AP575" s="92">
        <v>40</v>
      </c>
      <c r="AQ575" s="92">
        <v>41</v>
      </c>
      <c r="AR575" s="92">
        <v>42</v>
      </c>
      <c r="AS575" s="92">
        <v>43</v>
      </c>
      <c r="AT575" s="92">
        <v>44</v>
      </c>
      <c r="AU575" s="92">
        <v>45</v>
      </c>
      <c r="AV575" s="92">
        <v>46</v>
      </c>
      <c r="AW575" s="92">
        <v>47</v>
      </c>
      <c r="AX575" s="92">
        <v>48</v>
      </c>
      <c r="AY575" s="92">
        <v>49</v>
      </c>
      <c r="AZ575" s="92">
        <v>50</v>
      </c>
      <c r="BA575" s="92">
        <v>51</v>
      </c>
      <c r="BB575" s="92">
        <v>52</v>
      </c>
      <c r="BC575" s="92">
        <v>53</v>
      </c>
      <c r="BD575" s="92">
        <v>54</v>
      </c>
      <c r="BE575" s="92">
        <v>55</v>
      </c>
      <c r="BF575" s="92">
        <v>56</v>
      </c>
      <c r="BG575" s="92">
        <v>57</v>
      </c>
      <c r="BH575" s="92">
        <v>58</v>
      </c>
      <c r="BI575" s="92">
        <v>59</v>
      </c>
      <c r="BJ575" s="93">
        <v>60</v>
      </c>
    </row>
    <row r="576" spans="1:64" s="100" customFormat="1">
      <c r="A576" s="95" t="s">
        <v>156</v>
      </c>
      <c r="B576" s="96">
        <f>SUM(C576:BJ576)</f>
        <v>4000</v>
      </c>
      <c r="C576" s="96">
        <f t="shared" ref="C576:BJ576" si="338">C519</f>
        <v>0</v>
      </c>
      <c r="D576" s="205">
        <f t="shared" si="338"/>
        <v>0</v>
      </c>
      <c r="E576" s="205">
        <f t="shared" si="338"/>
        <v>0</v>
      </c>
      <c r="F576" s="205">
        <f t="shared" si="338"/>
        <v>0</v>
      </c>
      <c r="G576" s="205">
        <f t="shared" si="338"/>
        <v>0</v>
      </c>
      <c r="H576" s="205">
        <f t="shared" si="338"/>
        <v>60.79999999999999</v>
      </c>
      <c r="I576" s="205">
        <f t="shared" si="338"/>
        <v>121.59999999999998</v>
      </c>
      <c r="J576" s="205">
        <f t="shared" si="338"/>
        <v>182.39999999999995</v>
      </c>
      <c r="K576" s="205">
        <f t="shared" si="338"/>
        <v>243.19999999999996</v>
      </c>
      <c r="L576" s="205">
        <f t="shared" si="338"/>
        <v>348</v>
      </c>
      <c r="M576" s="205">
        <f t="shared" si="338"/>
        <v>348</v>
      </c>
      <c r="N576" s="205">
        <f t="shared" si="338"/>
        <v>348</v>
      </c>
      <c r="O576" s="205">
        <f t="shared" si="338"/>
        <v>348</v>
      </c>
      <c r="P576" s="205">
        <f t="shared" si="338"/>
        <v>348</v>
      </c>
      <c r="Q576" s="205">
        <f t="shared" si="338"/>
        <v>348</v>
      </c>
      <c r="R576" s="205">
        <f t="shared" si="338"/>
        <v>348</v>
      </c>
      <c r="S576" s="205">
        <f t="shared" si="338"/>
        <v>348</v>
      </c>
      <c r="T576" s="205">
        <f t="shared" si="338"/>
        <v>243.19999999999996</v>
      </c>
      <c r="U576" s="205">
        <f t="shared" si="338"/>
        <v>182.39999999999995</v>
      </c>
      <c r="V576" s="205">
        <f t="shared" si="338"/>
        <v>121.59999999999998</v>
      </c>
      <c r="W576" s="205">
        <f t="shared" si="338"/>
        <v>60.79999999999999</v>
      </c>
      <c r="X576" s="205">
        <f t="shared" si="338"/>
        <v>0</v>
      </c>
      <c r="Y576" s="205">
        <f t="shared" si="338"/>
        <v>0</v>
      </c>
      <c r="Z576" s="205">
        <f t="shared" si="338"/>
        <v>0</v>
      </c>
      <c r="AA576" s="205">
        <f t="shared" si="338"/>
        <v>0</v>
      </c>
      <c r="AB576" s="205">
        <f t="shared" si="338"/>
        <v>0</v>
      </c>
      <c r="AC576" s="205">
        <f t="shared" si="338"/>
        <v>0</v>
      </c>
      <c r="AD576" s="205">
        <f t="shared" si="338"/>
        <v>0</v>
      </c>
      <c r="AE576" s="205">
        <f t="shared" si="338"/>
        <v>0</v>
      </c>
      <c r="AF576" s="205">
        <f t="shared" si="338"/>
        <v>0</v>
      </c>
      <c r="AG576" s="205">
        <f t="shared" si="338"/>
        <v>0</v>
      </c>
      <c r="AH576" s="205">
        <f t="shared" si="338"/>
        <v>0</v>
      </c>
      <c r="AI576" s="205">
        <f t="shared" si="338"/>
        <v>0</v>
      </c>
      <c r="AJ576" s="205">
        <f t="shared" si="338"/>
        <v>0</v>
      </c>
      <c r="AK576" s="205">
        <f t="shared" si="338"/>
        <v>0</v>
      </c>
      <c r="AL576" s="205">
        <f t="shared" si="338"/>
        <v>0</v>
      </c>
      <c r="AM576" s="205">
        <f t="shared" si="338"/>
        <v>0</v>
      </c>
      <c r="AN576" s="205">
        <f t="shared" si="338"/>
        <v>0</v>
      </c>
      <c r="AO576" s="205">
        <f t="shared" si="338"/>
        <v>0</v>
      </c>
      <c r="AP576" s="205">
        <f t="shared" si="338"/>
        <v>0</v>
      </c>
      <c r="AQ576" s="205">
        <f t="shared" si="338"/>
        <v>0</v>
      </c>
      <c r="AR576" s="205">
        <f t="shared" si="338"/>
        <v>0</v>
      </c>
      <c r="AS576" s="205">
        <f t="shared" si="338"/>
        <v>0</v>
      </c>
      <c r="AT576" s="205">
        <f t="shared" si="338"/>
        <v>0</v>
      </c>
      <c r="AU576" s="205">
        <f t="shared" si="338"/>
        <v>0</v>
      </c>
      <c r="AV576" s="205">
        <f t="shared" si="338"/>
        <v>0</v>
      </c>
      <c r="AW576" s="205">
        <f t="shared" si="338"/>
        <v>0</v>
      </c>
      <c r="AX576" s="205">
        <f t="shared" si="338"/>
        <v>0</v>
      </c>
      <c r="AY576" s="205">
        <f t="shared" si="338"/>
        <v>0</v>
      </c>
      <c r="AZ576" s="205">
        <f t="shared" si="338"/>
        <v>0</v>
      </c>
      <c r="BA576" s="205">
        <f t="shared" si="338"/>
        <v>0</v>
      </c>
      <c r="BB576" s="205">
        <f t="shared" si="338"/>
        <v>0</v>
      </c>
      <c r="BC576" s="205">
        <f t="shared" si="338"/>
        <v>0</v>
      </c>
      <c r="BD576" s="205">
        <f t="shared" si="338"/>
        <v>0</v>
      </c>
      <c r="BE576" s="205">
        <f t="shared" si="338"/>
        <v>0</v>
      </c>
      <c r="BF576" s="205">
        <f t="shared" si="338"/>
        <v>0</v>
      </c>
      <c r="BG576" s="205">
        <f t="shared" si="338"/>
        <v>0</v>
      </c>
      <c r="BH576" s="205">
        <f t="shared" si="338"/>
        <v>0</v>
      </c>
      <c r="BI576" s="205">
        <f t="shared" si="338"/>
        <v>0</v>
      </c>
      <c r="BJ576" s="206">
        <f t="shared" si="338"/>
        <v>0</v>
      </c>
    </row>
    <row r="577" spans="1:64" s="105" customFormat="1">
      <c r="A577" s="101" t="s">
        <v>115</v>
      </c>
      <c r="B577" s="102">
        <f>SUM(C577:BJ577)</f>
        <v>4971925309.6851168</v>
      </c>
      <c r="C577" s="207">
        <f>C520*(1+$G517)^(C403-1)</f>
        <v>14250931.00265825</v>
      </c>
      <c r="D577" s="208">
        <f>D520*(1+$G517)^(D518-1)</f>
        <v>15413806.972475166</v>
      </c>
      <c r="E577" s="208">
        <f t="shared" ref="E577:BJ577" si="339">E520*(1+$G517)^(E518-1)</f>
        <v>16030359.251374172</v>
      </c>
      <c r="F577" s="208">
        <f t="shared" si="339"/>
        <v>16671573.62142914</v>
      </c>
      <c r="G577" s="208">
        <f t="shared" si="339"/>
        <v>17338436.566286307</v>
      </c>
      <c r="H577" s="208">
        <f t="shared" si="339"/>
        <v>54854466.660005987</v>
      </c>
      <c r="I577" s="208">
        <f t="shared" si="339"/>
        <v>114097290.65281245</v>
      </c>
      <c r="J577" s="208">
        <f t="shared" si="339"/>
        <v>177991773.41838738</v>
      </c>
      <c r="K577" s="208">
        <f t="shared" si="339"/>
        <v>246815259.1401639</v>
      </c>
      <c r="L577" s="208">
        <f t="shared" si="339"/>
        <v>367300076.43095446</v>
      </c>
      <c r="M577" s="208">
        <f t="shared" si="339"/>
        <v>381992079.48819262</v>
      </c>
      <c r="N577" s="208">
        <f t="shared" si="339"/>
        <v>397271762.66772032</v>
      </c>
      <c r="O577" s="208">
        <f t="shared" si="339"/>
        <v>413162633.17442924</v>
      </c>
      <c r="P577" s="208">
        <f t="shared" si="339"/>
        <v>429689138.50140643</v>
      </c>
      <c r="Q577" s="208">
        <f t="shared" si="339"/>
        <v>446876704.04146266</v>
      </c>
      <c r="R577" s="208">
        <f t="shared" si="339"/>
        <v>464751772.20312113</v>
      </c>
      <c r="S577" s="208">
        <f t="shared" si="339"/>
        <v>483341843.09124607</v>
      </c>
      <c r="T577" s="208">
        <f t="shared" si="339"/>
        <v>351295073.8200652</v>
      </c>
      <c r="U577" s="208">
        <f t="shared" si="339"/>
        <v>274010157.57965088</v>
      </c>
      <c r="V577" s="208">
        <f t="shared" si="339"/>
        <v>189980375.92189127</v>
      </c>
      <c r="W577" s="208">
        <f t="shared" si="339"/>
        <v>98789795.479383469</v>
      </c>
      <c r="X577" s="208">
        <f t="shared" si="339"/>
        <v>0</v>
      </c>
      <c r="Y577" s="208">
        <f t="shared" si="339"/>
        <v>0</v>
      </c>
      <c r="Z577" s="208">
        <f t="shared" si="339"/>
        <v>0</v>
      </c>
      <c r="AA577" s="208">
        <f t="shared" si="339"/>
        <v>0</v>
      </c>
      <c r="AB577" s="208">
        <f t="shared" si="339"/>
        <v>0</v>
      </c>
      <c r="AC577" s="208">
        <f t="shared" si="339"/>
        <v>0</v>
      </c>
      <c r="AD577" s="208">
        <f t="shared" si="339"/>
        <v>0</v>
      </c>
      <c r="AE577" s="208">
        <f t="shared" si="339"/>
        <v>0</v>
      </c>
      <c r="AF577" s="208">
        <f t="shared" si="339"/>
        <v>0</v>
      </c>
      <c r="AG577" s="208">
        <f t="shared" si="339"/>
        <v>0</v>
      </c>
      <c r="AH577" s="208">
        <f t="shared" si="339"/>
        <v>0</v>
      </c>
      <c r="AI577" s="208">
        <f t="shared" si="339"/>
        <v>0</v>
      </c>
      <c r="AJ577" s="208">
        <f t="shared" si="339"/>
        <v>0</v>
      </c>
      <c r="AK577" s="208">
        <f t="shared" si="339"/>
        <v>0</v>
      </c>
      <c r="AL577" s="208">
        <f t="shared" si="339"/>
        <v>0</v>
      </c>
      <c r="AM577" s="208">
        <f t="shared" si="339"/>
        <v>0</v>
      </c>
      <c r="AN577" s="208">
        <f t="shared" si="339"/>
        <v>0</v>
      </c>
      <c r="AO577" s="208">
        <f t="shared" si="339"/>
        <v>0</v>
      </c>
      <c r="AP577" s="208">
        <f t="shared" si="339"/>
        <v>0</v>
      </c>
      <c r="AQ577" s="208">
        <f t="shared" si="339"/>
        <v>0</v>
      </c>
      <c r="AR577" s="208">
        <f t="shared" si="339"/>
        <v>0</v>
      </c>
      <c r="AS577" s="208">
        <f t="shared" si="339"/>
        <v>0</v>
      </c>
      <c r="AT577" s="208">
        <f t="shared" si="339"/>
        <v>0</v>
      </c>
      <c r="AU577" s="208">
        <f t="shared" si="339"/>
        <v>0</v>
      </c>
      <c r="AV577" s="208">
        <f t="shared" si="339"/>
        <v>0</v>
      </c>
      <c r="AW577" s="208">
        <f t="shared" si="339"/>
        <v>0</v>
      </c>
      <c r="AX577" s="208">
        <f t="shared" si="339"/>
        <v>0</v>
      </c>
      <c r="AY577" s="208">
        <f t="shared" si="339"/>
        <v>0</v>
      </c>
      <c r="AZ577" s="208">
        <f t="shared" si="339"/>
        <v>0</v>
      </c>
      <c r="BA577" s="208">
        <f t="shared" si="339"/>
        <v>0</v>
      </c>
      <c r="BB577" s="208">
        <f t="shared" si="339"/>
        <v>0</v>
      </c>
      <c r="BC577" s="208">
        <f t="shared" si="339"/>
        <v>0</v>
      </c>
      <c r="BD577" s="208">
        <f t="shared" si="339"/>
        <v>0</v>
      </c>
      <c r="BE577" s="208">
        <f t="shared" si="339"/>
        <v>0</v>
      </c>
      <c r="BF577" s="208">
        <f t="shared" si="339"/>
        <v>0</v>
      </c>
      <c r="BG577" s="208">
        <f t="shared" si="339"/>
        <v>0</v>
      </c>
      <c r="BH577" s="208">
        <f t="shared" si="339"/>
        <v>0</v>
      </c>
      <c r="BI577" s="208">
        <f t="shared" si="339"/>
        <v>0</v>
      </c>
      <c r="BJ577" s="209">
        <f t="shared" si="339"/>
        <v>0</v>
      </c>
    </row>
    <row r="578" spans="1:64" s="105" customFormat="1">
      <c r="A578" s="106" t="s">
        <v>116</v>
      </c>
      <c r="B578" s="210">
        <f>SUM(B585,B579:B580)</f>
        <v>1752149837.8155913</v>
      </c>
      <c r="C578" s="102">
        <f>SUM(C579:C580,C585)</f>
        <v>11856774.594211664</v>
      </c>
      <c r="D578" s="103">
        <f t="shared" ref="D578:BJ578" si="340">SUM(D579:D580,D585)</f>
        <v>12331045.577980131</v>
      </c>
      <c r="E578" s="103">
        <f t="shared" si="340"/>
        <v>12824287.401099337</v>
      </c>
      <c r="F578" s="103">
        <f t="shared" si="340"/>
        <v>13337258.89714331</v>
      </c>
      <c r="G578" s="103">
        <f t="shared" si="340"/>
        <v>13870749.253029045</v>
      </c>
      <c r="H578" s="103">
        <f t="shared" si="340"/>
        <v>18926066.45587144</v>
      </c>
      <c r="I578" s="103">
        <f t="shared" si="340"/>
        <v>39366218.228212595</v>
      </c>
      <c r="J578" s="103">
        <f t="shared" si="340"/>
        <v>61411300.43601165</v>
      </c>
      <c r="K578" s="103">
        <f t="shared" si="340"/>
        <v>85157003.2712695</v>
      </c>
      <c r="L578" s="103">
        <f t="shared" si="340"/>
        <v>126727066.71027084</v>
      </c>
      <c r="M578" s="103">
        <f t="shared" si="340"/>
        <v>131796149.37868167</v>
      </c>
      <c r="N578" s="103">
        <f t="shared" si="340"/>
        <v>137067995.35382894</v>
      </c>
      <c r="O578" s="103">
        <f t="shared" si="340"/>
        <v>142550715.1679821</v>
      </c>
      <c r="P578" s="103">
        <f t="shared" si="340"/>
        <v>148252743.77470139</v>
      </c>
      <c r="Q578" s="103">
        <f t="shared" si="340"/>
        <v>154182853.52568945</v>
      </c>
      <c r="R578" s="103">
        <f t="shared" si="340"/>
        <v>160350167.66671702</v>
      </c>
      <c r="S578" s="103">
        <f t="shared" si="340"/>
        <v>166764174.37338573</v>
      </c>
      <c r="T578" s="103">
        <f t="shared" si="340"/>
        <v>121204968.66641293</v>
      </c>
      <c r="U578" s="103">
        <f t="shared" si="340"/>
        <v>94539875.5598021</v>
      </c>
      <c r="V578" s="103">
        <f t="shared" si="340"/>
        <v>65547647.054796115</v>
      </c>
      <c r="W578" s="103">
        <f t="shared" si="340"/>
        <v>34084776.468493983</v>
      </c>
      <c r="X578" s="103">
        <f t="shared" si="340"/>
        <v>0</v>
      </c>
      <c r="Y578" s="103">
        <f t="shared" si="340"/>
        <v>0</v>
      </c>
      <c r="Z578" s="103">
        <f t="shared" si="340"/>
        <v>0</v>
      </c>
      <c r="AA578" s="103">
        <f t="shared" si="340"/>
        <v>0</v>
      </c>
      <c r="AB578" s="103">
        <f t="shared" si="340"/>
        <v>0</v>
      </c>
      <c r="AC578" s="103">
        <f t="shared" si="340"/>
        <v>0</v>
      </c>
      <c r="AD578" s="103">
        <f t="shared" si="340"/>
        <v>0</v>
      </c>
      <c r="AE578" s="103">
        <f t="shared" si="340"/>
        <v>0</v>
      </c>
      <c r="AF578" s="103">
        <f t="shared" si="340"/>
        <v>0</v>
      </c>
      <c r="AG578" s="103">
        <f t="shared" si="340"/>
        <v>0</v>
      </c>
      <c r="AH578" s="103">
        <f t="shared" si="340"/>
        <v>0</v>
      </c>
      <c r="AI578" s="103">
        <f t="shared" si="340"/>
        <v>0</v>
      </c>
      <c r="AJ578" s="103">
        <f t="shared" si="340"/>
        <v>0</v>
      </c>
      <c r="AK578" s="103">
        <f t="shared" si="340"/>
        <v>0</v>
      </c>
      <c r="AL578" s="103">
        <f t="shared" si="340"/>
        <v>0</v>
      </c>
      <c r="AM578" s="103">
        <f t="shared" si="340"/>
        <v>0</v>
      </c>
      <c r="AN578" s="103">
        <f t="shared" si="340"/>
        <v>0</v>
      </c>
      <c r="AO578" s="103">
        <f t="shared" si="340"/>
        <v>0</v>
      </c>
      <c r="AP578" s="103">
        <f t="shared" si="340"/>
        <v>0</v>
      </c>
      <c r="AQ578" s="103">
        <f t="shared" si="340"/>
        <v>0</v>
      </c>
      <c r="AR578" s="103">
        <f t="shared" si="340"/>
        <v>0</v>
      </c>
      <c r="AS578" s="103">
        <f t="shared" si="340"/>
        <v>0</v>
      </c>
      <c r="AT578" s="103">
        <f t="shared" si="340"/>
        <v>0</v>
      </c>
      <c r="AU578" s="103">
        <f t="shared" si="340"/>
        <v>0</v>
      </c>
      <c r="AV578" s="103">
        <f t="shared" si="340"/>
        <v>0</v>
      </c>
      <c r="AW578" s="103">
        <f t="shared" si="340"/>
        <v>0</v>
      </c>
      <c r="AX578" s="103">
        <f t="shared" si="340"/>
        <v>0</v>
      </c>
      <c r="AY578" s="103">
        <f t="shared" si="340"/>
        <v>0</v>
      </c>
      <c r="AZ578" s="103">
        <f t="shared" si="340"/>
        <v>0</v>
      </c>
      <c r="BA578" s="103">
        <f t="shared" si="340"/>
        <v>0</v>
      </c>
      <c r="BB578" s="103">
        <f t="shared" si="340"/>
        <v>0</v>
      </c>
      <c r="BC578" s="103">
        <f t="shared" si="340"/>
        <v>0</v>
      </c>
      <c r="BD578" s="103">
        <f t="shared" si="340"/>
        <v>0</v>
      </c>
      <c r="BE578" s="103">
        <f t="shared" si="340"/>
        <v>0</v>
      </c>
      <c r="BF578" s="103">
        <f t="shared" si="340"/>
        <v>0</v>
      </c>
      <c r="BG578" s="103">
        <f t="shared" si="340"/>
        <v>0</v>
      </c>
      <c r="BH578" s="103">
        <f t="shared" si="340"/>
        <v>0</v>
      </c>
      <c r="BI578" s="103">
        <f t="shared" si="340"/>
        <v>0</v>
      </c>
      <c r="BJ578" s="104">
        <f t="shared" si="340"/>
        <v>0</v>
      </c>
    </row>
    <row r="579" spans="1:64" s="116" customFormat="1">
      <c r="A579" s="111" t="s">
        <v>117</v>
      </c>
      <c r="B579" s="155">
        <f>SUM(C579:BJ579)</f>
        <v>1468686102.3809173</v>
      </c>
      <c r="C579" s="108">
        <f>C522*(1+$G517)^(C403-1)</f>
        <v>0</v>
      </c>
      <c r="D579" s="109">
        <f>D522*(1+$G517)^(D518-1)</f>
        <v>0</v>
      </c>
      <c r="E579" s="109">
        <f t="shared" ref="E579:BJ579" si="341">E522*(1+$G517)^(E518-1)</f>
        <v>0</v>
      </c>
      <c r="F579" s="109">
        <f t="shared" si="341"/>
        <v>0</v>
      </c>
      <c r="G579" s="109">
        <f t="shared" si="341"/>
        <v>0</v>
      </c>
      <c r="H579" s="109">
        <f t="shared" si="341"/>
        <v>16467777.308893735</v>
      </c>
      <c r="I579" s="109">
        <f t="shared" si="341"/>
        <v>34252976.802498966</v>
      </c>
      <c r="J579" s="109">
        <f t="shared" si="341"/>
        <v>53434643.811898388</v>
      </c>
      <c r="K579" s="109">
        <f t="shared" si="341"/>
        <v>74096039.419165775</v>
      </c>
      <c r="L579" s="109">
        <f t="shared" si="341"/>
        <v>110266606.03036384</v>
      </c>
      <c r="M579" s="109">
        <f t="shared" si="341"/>
        <v>114677270.2715784</v>
      </c>
      <c r="N579" s="109">
        <f t="shared" si="341"/>
        <v>119264361.08244152</v>
      </c>
      <c r="O579" s="109">
        <f t="shared" si="341"/>
        <v>124034935.52573921</v>
      </c>
      <c r="P579" s="109">
        <f t="shared" si="341"/>
        <v>128996332.94676878</v>
      </c>
      <c r="Q579" s="109">
        <f t="shared" si="341"/>
        <v>134156186.26463953</v>
      </c>
      <c r="R579" s="109">
        <f t="shared" si="341"/>
        <v>139522433.7152251</v>
      </c>
      <c r="S579" s="109">
        <f t="shared" si="341"/>
        <v>145103331.06383413</v>
      </c>
      <c r="T579" s="109">
        <f t="shared" si="341"/>
        <v>105461768.15894665</v>
      </c>
      <c r="U579" s="109">
        <f t="shared" si="341"/>
        <v>82260179.163978398</v>
      </c>
      <c r="V579" s="109">
        <f t="shared" si="341"/>
        <v>57033724.220358349</v>
      </c>
      <c r="W579" s="109">
        <f t="shared" si="341"/>
        <v>29657536.594586343</v>
      </c>
      <c r="X579" s="109">
        <f t="shared" si="341"/>
        <v>0</v>
      </c>
      <c r="Y579" s="109">
        <f t="shared" si="341"/>
        <v>0</v>
      </c>
      <c r="Z579" s="109">
        <f t="shared" si="341"/>
        <v>0</v>
      </c>
      <c r="AA579" s="109">
        <f t="shared" si="341"/>
        <v>0</v>
      </c>
      <c r="AB579" s="109">
        <f t="shared" si="341"/>
        <v>0</v>
      </c>
      <c r="AC579" s="109">
        <f t="shared" si="341"/>
        <v>0</v>
      </c>
      <c r="AD579" s="109">
        <f t="shared" si="341"/>
        <v>0</v>
      </c>
      <c r="AE579" s="109">
        <f t="shared" si="341"/>
        <v>0</v>
      </c>
      <c r="AF579" s="109">
        <f t="shared" si="341"/>
        <v>0</v>
      </c>
      <c r="AG579" s="109">
        <f t="shared" si="341"/>
        <v>0</v>
      </c>
      <c r="AH579" s="109">
        <f t="shared" si="341"/>
        <v>0</v>
      </c>
      <c r="AI579" s="109">
        <f t="shared" si="341"/>
        <v>0</v>
      </c>
      <c r="AJ579" s="109">
        <f t="shared" si="341"/>
        <v>0</v>
      </c>
      <c r="AK579" s="109">
        <f t="shared" si="341"/>
        <v>0</v>
      </c>
      <c r="AL579" s="109">
        <f t="shared" si="341"/>
        <v>0</v>
      </c>
      <c r="AM579" s="109">
        <f t="shared" si="341"/>
        <v>0</v>
      </c>
      <c r="AN579" s="109">
        <f t="shared" si="341"/>
        <v>0</v>
      </c>
      <c r="AO579" s="109">
        <f t="shared" si="341"/>
        <v>0</v>
      </c>
      <c r="AP579" s="109">
        <f t="shared" si="341"/>
        <v>0</v>
      </c>
      <c r="AQ579" s="109">
        <f t="shared" si="341"/>
        <v>0</v>
      </c>
      <c r="AR579" s="109">
        <f t="shared" si="341"/>
        <v>0</v>
      </c>
      <c r="AS579" s="109">
        <f t="shared" si="341"/>
        <v>0</v>
      </c>
      <c r="AT579" s="109">
        <f t="shared" si="341"/>
        <v>0</v>
      </c>
      <c r="AU579" s="109">
        <f t="shared" si="341"/>
        <v>0</v>
      </c>
      <c r="AV579" s="109">
        <f t="shared" si="341"/>
        <v>0</v>
      </c>
      <c r="AW579" s="109">
        <f t="shared" si="341"/>
        <v>0</v>
      </c>
      <c r="AX579" s="109">
        <f t="shared" si="341"/>
        <v>0</v>
      </c>
      <c r="AY579" s="109">
        <f t="shared" si="341"/>
        <v>0</v>
      </c>
      <c r="AZ579" s="109">
        <f t="shared" si="341"/>
        <v>0</v>
      </c>
      <c r="BA579" s="109">
        <f t="shared" si="341"/>
        <v>0</v>
      </c>
      <c r="BB579" s="109">
        <f t="shared" si="341"/>
        <v>0</v>
      </c>
      <c r="BC579" s="109">
        <f t="shared" si="341"/>
        <v>0</v>
      </c>
      <c r="BD579" s="109">
        <f t="shared" si="341"/>
        <v>0</v>
      </c>
      <c r="BE579" s="109">
        <f t="shared" si="341"/>
        <v>0</v>
      </c>
      <c r="BF579" s="109">
        <f t="shared" si="341"/>
        <v>0</v>
      </c>
      <c r="BG579" s="109">
        <f t="shared" si="341"/>
        <v>0</v>
      </c>
      <c r="BH579" s="109">
        <f t="shared" si="341"/>
        <v>0</v>
      </c>
      <c r="BI579" s="109">
        <f t="shared" si="341"/>
        <v>0</v>
      </c>
      <c r="BJ579" s="110">
        <f t="shared" si="341"/>
        <v>0</v>
      </c>
    </row>
    <row r="580" spans="1:64" s="116" customFormat="1">
      <c r="A580" s="111" t="s">
        <v>118</v>
      </c>
      <c r="B580" s="155">
        <f>SUM(B581:B584)</f>
        <v>219243619.71121037</v>
      </c>
      <c r="C580" s="108">
        <f>C523*(1+$G517)^(C518-1)</f>
        <v>0</v>
      </c>
      <c r="D580" s="109">
        <f>D523*(1+$G517)^(D518-1)</f>
        <v>0</v>
      </c>
      <c r="E580" s="109">
        <f t="shared" ref="E580:BJ580" si="342">E523*(1+$G517)^(E518-1)</f>
        <v>0</v>
      </c>
      <c r="F580" s="109">
        <f t="shared" si="342"/>
        <v>0</v>
      </c>
      <c r="G580" s="109">
        <f t="shared" si="342"/>
        <v>0</v>
      </c>
      <c r="H580" s="109">
        <f t="shared" si="342"/>
        <v>2458289.1469777063</v>
      </c>
      <c r="I580" s="109">
        <f t="shared" si="342"/>
        <v>5113241.4257136295</v>
      </c>
      <c r="J580" s="109">
        <f t="shared" si="342"/>
        <v>7976656.6241132589</v>
      </c>
      <c r="K580" s="109">
        <f t="shared" si="342"/>
        <v>11060963.852103725</v>
      </c>
      <c r="L580" s="109">
        <f t="shared" si="342"/>
        <v>16460460.679906992</v>
      </c>
      <c r="M580" s="109">
        <f t="shared" si="342"/>
        <v>17118879.107103273</v>
      </c>
      <c r="N580" s="109">
        <f t="shared" si="342"/>
        <v>17803634.271387402</v>
      </c>
      <c r="O580" s="109">
        <f t="shared" si="342"/>
        <v>18515779.642242901</v>
      </c>
      <c r="P580" s="109">
        <f t="shared" si="342"/>
        <v>19256410.827932619</v>
      </c>
      <c r="Q580" s="109">
        <f t="shared" si="342"/>
        <v>20026667.261049923</v>
      </c>
      <c r="R580" s="109">
        <f t="shared" si="342"/>
        <v>20827733.951491918</v>
      </c>
      <c r="S580" s="109">
        <f t="shared" si="342"/>
        <v>21660843.3095516</v>
      </c>
      <c r="T580" s="109">
        <f t="shared" si="342"/>
        <v>15743200.507466285</v>
      </c>
      <c r="U580" s="109">
        <f t="shared" si="342"/>
        <v>12279696.395823698</v>
      </c>
      <c r="V580" s="109">
        <f t="shared" si="342"/>
        <v>8513922.834437767</v>
      </c>
      <c r="W580" s="109">
        <f t="shared" si="342"/>
        <v>4427239.8739076387</v>
      </c>
      <c r="X580" s="109">
        <f t="shared" si="342"/>
        <v>0</v>
      </c>
      <c r="Y580" s="109">
        <f t="shared" si="342"/>
        <v>0</v>
      </c>
      <c r="Z580" s="109">
        <f t="shared" si="342"/>
        <v>0</v>
      </c>
      <c r="AA580" s="109">
        <f t="shared" si="342"/>
        <v>0</v>
      </c>
      <c r="AB580" s="109">
        <f t="shared" si="342"/>
        <v>0</v>
      </c>
      <c r="AC580" s="109">
        <f t="shared" si="342"/>
        <v>0</v>
      </c>
      <c r="AD580" s="109">
        <f t="shared" si="342"/>
        <v>0</v>
      </c>
      <c r="AE580" s="109">
        <f t="shared" si="342"/>
        <v>0</v>
      </c>
      <c r="AF580" s="109">
        <f t="shared" si="342"/>
        <v>0</v>
      </c>
      <c r="AG580" s="109">
        <f t="shared" si="342"/>
        <v>0</v>
      </c>
      <c r="AH580" s="109">
        <f t="shared" si="342"/>
        <v>0</v>
      </c>
      <c r="AI580" s="109">
        <f t="shared" si="342"/>
        <v>0</v>
      </c>
      <c r="AJ580" s="109">
        <f t="shared" si="342"/>
        <v>0</v>
      </c>
      <c r="AK580" s="109">
        <f t="shared" si="342"/>
        <v>0</v>
      </c>
      <c r="AL580" s="109">
        <f t="shared" si="342"/>
        <v>0</v>
      </c>
      <c r="AM580" s="109">
        <f t="shared" si="342"/>
        <v>0</v>
      </c>
      <c r="AN580" s="109">
        <f t="shared" si="342"/>
        <v>0</v>
      </c>
      <c r="AO580" s="109">
        <f t="shared" si="342"/>
        <v>0</v>
      </c>
      <c r="AP580" s="109">
        <f t="shared" si="342"/>
        <v>0</v>
      </c>
      <c r="AQ580" s="109">
        <f t="shared" si="342"/>
        <v>0</v>
      </c>
      <c r="AR580" s="109">
        <f t="shared" si="342"/>
        <v>0</v>
      </c>
      <c r="AS580" s="109">
        <f t="shared" si="342"/>
        <v>0</v>
      </c>
      <c r="AT580" s="109">
        <f t="shared" si="342"/>
        <v>0</v>
      </c>
      <c r="AU580" s="109">
        <f t="shared" si="342"/>
        <v>0</v>
      </c>
      <c r="AV580" s="109">
        <f t="shared" si="342"/>
        <v>0</v>
      </c>
      <c r="AW580" s="109">
        <f t="shared" si="342"/>
        <v>0</v>
      </c>
      <c r="AX580" s="109">
        <f t="shared" si="342"/>
        <v>0</v>
      </c>
      <c r="AY580" s="109">
        <f t="shared" si="342"/>
        <v>0</v>
      </c>
      <c r="AZ580" s="109">
        <f t="shared" si="342"/>
        <v>0</v>
      </c>
      <c r="BA580" s="109">
        <f t="shared" si="342"/>
        <v>0</v>
      </c>
      <c r="BB580" s="109">
        <f t="shared" si="342"/>
        <v>0</v>
      </c>
      <c r="BC580" s="109">
        <f t="shared" si="342"/>
        <v>0</v>
      </c>
      <c r="BD580" s="109">
        <f t="shared" si="342"/>
        <v>0</v>
      </c>
      <c r="BE580" s="109">
        <f t="shared" si="342"/>
        <v>0</v>
      </c>
      <c r="BF580" s="109">
        <f t="shared" si="342"/>
        <v>0</v>
      </c>
      <c r="BG580" s="109">
        <f t="shared" si="342"/>
        <v>0</v>
      </c>
      <c r="BH580" s="109">
        <f t="shared" si="342"/>
        <v>0</v>
      </c>
      <c r="BI580" s="109">
        <f t="shared" si="342"/>
        <v>0</v>
      </c>
      <c r="BJ580" s="110">
        <f t="shared" si="342"/>
        <v>0</v>
      </c>
    </row>
    <row r="581" spans="1:64" s="125" customFormat="1" ht="12.75">
      <c r="A581" s="120" t="s">
        <v>119</v>
      </c>
      <c r="B581" s="211">
        <f t="shared" ref="B581:B586" si="343">SUM(C581:BJ581)</f>
        <v>94112398.526538372</v>
      </c>
      <c r="C581" s="122">
        <f>C524*(1+$G517)^(C518-1)</f>
        <v>0</v>
      </c>
      <c r="D581" s="123">
        <f>D524*(1+$G517)^(D518-1)</f>
        <v>0</v>
      </c>
      <c r="E581" s="123">
        <f t="shared" ref="E581:BJ581" si="344">E524*(1+$G517)^(E518-1)</f>
        <v>0</v>
      </c>
      <c r="F581" s="123">
        <f t="shared" si="344"/>
        <v>0</v>
      </c>
      <c r="G581" s="123">
        <f t="shared" si="344"/>
        <v>0</v>
      </c>
      <c r="H581" s="123">
        <f t="shared" si="344"/>
        <v>1055243.8798382068</v>
      </c>
      <c r="I581" s="123">
        <f t="shared" si="344"/>
        <v>2194907.2700634701</v>
      </c>
      <c r="J581" s="123">
        <f t="shared" si="344"/>
        <v>3424055.3412990128</v>
      </c>
      <c r="K581" s="123">
        <f t="shared" si="344"/>
        <v>4748023.4066012986</v>
      </c>
      <c r="L581" s="123">
        <f t="shared" si="344"/>
        <v>7065808.5169290397</v>
      </c>
      <c r="M581" s="123">
        <f t="shared" si="344"/>
        <v>7348440.8576062005</v>
      </c>
      <c r="N581" s="123">
        <f t="shared" si="344"/>
        <v>7642378.4919104483</v>
      </c>
      <c r="O581" s="123">
        <f t="shared" si="344"/>
        <v>7948073.6315868683</v>
      </c>
      <c r="P581" s="123">
        <f t="shared" si="344"/>
        <v>8265996.5768503426</v>
      </c>
      <c r="Q581" s="123">
        <f t="shared" si="344"/>
        <v>8596636.4399243575</v>
      </c>
      <c r="R581" s="123">
        <f t="shared" si="344"/>
        <v>8940501.89752133</v>
      </c>
      <c r="S581" s="123">
        <f t="shared" si="344"/>
        <v>9298121.9734221846</v>
      </c>
      <c r="T581" s="123">
        <f t="shared" si="344"/>
        <v>6757917.8002693281</v>
      </c>
      <c r="U581" s="123">
        <f t="shared" si="344"/>
        <v>5271175.8842100762</v>
      </c>
      <c r="V581" s="123">
        <f t="shared" si="344"/>
        <v>3654681.9463856532</v>
      </c>
      <c r="W581" s="123">
        <f t="shared" si="344"/>
        <v>1900434.6121205396</v>
      </c>
      <c r="X581" s="123">
        <f t="shared" si="344"/>
        <v>0</v>
      </c>
      <c r="Y581" s="123">
        <f t="shared" si="344"/>
        <v>0</v>
      </c>
      <c r="Z581" s="123">
        <f t="shared" si="344"/>
        <v>0</v>
      </c>
      <c r="AA581" s="123">
        <f t="shared" si="344"/>
        <v>0</v>
      </c>
      <c r="AB581" s="123">
        <f t="shared" si="344"/>
        <v>0</v>
      </c>
      <c r="AC581" s="123">
        <f t="shared" si="344"/>
        <v>0</v>
      </c>
      <c r="AD581" s="123">
        <f t="shared" si="344"/>
        <v>0</v>
      </c>
      <c r="AE581" s="123">
        <f t="shared" si="344"/>
        <v>0</v>
      </c>
      <c r="AF581" s="123">
        <f t="shared" si="344"/>
        <v>0</v>
      </c>
      <c r="AG581" s="123">
        <f t="shared" si="344"/>
        <v>0</v>
      </c>
      <c r="AH581" s="123">
        <f t="shared" si="344"/>
        <v>0</v>
      </c>
      <c r="AI581" s="123">
        <f t="shared" si="344"/>
        <v>0</v>
      </c>
      <c r="AJ581" s="123">
        <f t="shared" si="344"/>
        <v>0</v>
      </c>
      <c r="AK581" s="123">
        <f t="shared" si="344"/>
        <v>0</v>
      </c>
      <c r="AL581" s="123">
        <f t="shared" si="344"/>
        <v>0</v>
      </c>
      <c r="AM581" s="123">
        <f t="shared" si="344"/>
        <v>0</v>
      </c>
      <c r="AN581" s="123">
        <f t="shared" si="344"/>
        <v>0</v>
      </c>
      <c r="AO581" s="123">
        <f t="shared" si="344"/>
        <v>0</v>
      </c>
      <c r="AP581" s="123">
        <f t="shared" si="344"/>
        <v>0</v>
      </c>
      <c r="AQ581" s="123">
        <f t="shared" si="344"/>
        <v>0</v>
      </c>
      <c r="AR581" s="123">
        <f t="shared" si="344"/>
        <v>0</v>
      </c>
      <c r="AS581" s="123">
        <f t="shared" si="344"/>
        <v>0</v>
      </c>
      <c r="AT581" s="123">
        <f t="shared" si="344"/>
        <v>0</v>
      </c>
      <c r="AU581" s="123">
        <f t="shared" si="344"/>
        <v>0</v>
      </c>
      <c r="AV581" s="123">
        <f t="shared" si="344"/>
        <v>0</v>
      </c>
      <c r="AW581" s="123">
        <f t="shared" si="344"/>
        <v>0</v>
      </c>
      <c r="AX581" s="123">
        <f t="shared" si="344"/>
        <v>0</v>
      </c>
      <c r="AY581" s="123">
        <f t="shared" si="344"/>
        <v>0</v>
      </c>
      <c r="AZ581" s="123">
        <f t="shared" si="344"/>
        <v>0</v>
      </c>
      <c r="BA581" s="123">
        <f t="shared" si="344"/>
        <v>0</v>
      </c>
      <c r="BB581" s="123">
        <f t="shared" si="344"/>
        <v>0</v>
      </c>
      <c r="BC581" s="123">
        <f t="shared" si="344"/>
        <v>0</v>
      </c>
      <c r="BD581" s="123">
        <f t="shared" si="344"/>
        <v>0</v>
      </c>
      <c r="BE581" s="123">
        <f t="shared" si="344"/>
        <v>0</v>
      </c>
      <c r="BF581" s="123">
        <f t="shared" si="344"/>
        <v>0</v>
      </c>
      <c r="BG581" s="123">
        <f t="shared" si="344"/>
        <v>0</v>
      </c>
      <c r="BH581" s="123">
        <f t="shared" si="344"/>
        <v>0</v>
      </c>
      <c r="BI581" s="123">
        <f t="shared" si="344"/>
        <v>0</v>
      </c>
      <c r="BJ581" s="124">
        <f t="shared" si="344"/>
        <v>0</v>
      </c>
    </row>
    <row r="582" spans="1:64" s="125" customFormat="1" ht="12.75">
      <c r="A582" s="120" t="s">
        <v>120</v>
      </c>
      <c r="B582" s="211">
        <f t="shared" si="343"/>
        <v>100347427.71059178</v>
      </c>
      <c r="C582" s="122">
        <f>C525*(1+$G517)^(C518-1)</f>
        <v>0</v>
      </c>
      <c r="D582" s="123">
        <f>D525*(1+$G517)^(D518-1)</f>
        <v>0</v>
      </c>
      <c r="E582" s="123">
        <f t="shared" ref="E582:BJ582" si="345">E525*(1+$G517)^(E518-1)</f>
        <v>0</v>
      </c>
      <c r="F582" s="123">
        <f t="shared" si="345"/>
        <v>0</v>
      </c>
      <c r="G582" s="123">
        <f t="shared" si="345"/>
        <v>0</v>
      </c>
      <c r="H582" s="123">
        <f t="shared" si="345"/>
        <v>1125154.7150745403</v>
      </c>
      <c r="I582" s="123">
        <f t="shared" si="345"/>
        <v>2340321.8073550439</v>
      </c>
      <c r="J582" s="123">
        <f t="shared" si="345"/>
        <v>3650902.019473868</v>
      </c>
      <c r="K582" s="123">
        <f t="shared" si="345"/>
        <v>5062584.1336704316</v>
      </c>
      <c r="L582" s="123">
        <f t="shared" si="345"/>
        <v>7533924.5462911306</v>
      </c>
      <c r="M582" s="123">
        <f t="shared" si="345"/>
        <v>7835281.5281427763</v>
      </c>
      <c r="N582" s="123">
        <f t="shared" si="345"/>
        <v>8148692.7892684862</v>
      </c>
      <c r="O582" s="123">
        <f t="shared" si="345"/>
        <v>8474640.5008392278</v>
      </c>
      <c r="P582" s="123">
        <f t="shared" si="345"/>
        <v>8813626.1208727974</v>
      </c>
      <c r="Q582" s="123">
        <f t="shared" si="345"/>
        <v>9166171.1657077093</v>
      </c>
      <c r="R582" s="123">
        <f t="shared" si="345"/>
        <v>9532818.0123360176</v>
      </c>
      <c r="S582" s="123">
        <f t="shared" si="345"/>
        <v>9914130.732829459</v>
      </c>
      <c r="T582" s="123">
        <f t="shared" si="345"/>
        <v>7205635.7988307159</v>
      </c>
      <c r="U582" s="123">
        <f t="shared" si="345"/>
        <v>5620395.9230879582</v>
      </c>
      <c r="V582" s="123">
        <f t="shared" si="345"/>
        <v>3896807.8400076516</v>
      </c>
      <c r="W582" s="123">
        <f t="shared" si="345"/>
        <v>2026340.0768039788</v>
      </c>
      <c r="X582" s="123">
        <f t="shared" si="345"/>
        <v>0</v>
      </c>
      <c r="Y582" s="123">
        <f t="shared" si="345"/>
        <v>0</v>
      </c>
      <c r="Z582" s="123">
        <f t="shared" si="345"/>
        <v>0</v>
      </c>
      <c r="AA582" s="123">
        <f t="shared" si="345"/>
        <v>0</v>
      </c>
      <c r="AB582" s="123">
        <f t="shared" si="345"/>
        <v>0</v>
      </c>
      <c r="AC582" s="123">
        <f t="shared" si="345"/>
        <v>0</v>
      </c>
      <c r="AD582" s="123">
        <f t="shared" si="345"/>
        <v>0</v>
      </c>
      <c r="AE582" s="123">
        <f t="shared" si="345"/>
        <v>0</v>
      </c>
      <c r="AF582" s="123">
        <f t="shared" si="345"/>
        <v>0</v>
      </c>
      <c r="AG582" s="123">
        <f t="shared" si="345"/>
        <v>0</v>
      </c>
      <c r="AH582" s="123">
        <f t="shared" si="345"/>
        <v>0</v>
      </c>
      <c r="AI582" s="123">
        <f t="shared" si="345"/>
        <v>0</v>
      </c>
      <c r="AJ582" s="123">
        <f t="shared" si="345"/>
        <v>0</v>
      </c>
      <c r="AK582" s="123">
        <f t="shared" si="345"/>
        <v>0</v>
      </c>
      <c r="AL582" s="123">
        <f t="shared" si="345"/>
        <v>0</v>
      </c>
      <c r="AM582" s="123">
        <f t="shared" si="345"/>
        <v>0</v>
      </c>
      <c r="AN582" s="123">
        <f t="shared" si="345"/>
        <v>0</v>
      </c>
      <c r="AO582" s="123">
        <f t="shared" si="345"/>
        <v>0</v>
      </c>
      <c r="AP582" s="123">
        <f t="shared" si="345"/>
        <v>0</v>
      </c>
      <c r="AQ582" s="123">
        <f t="shared" si="345"/>
        <v>0</v>
      </c>
      <c r="AR582" s="123">
        <f t="shared" si="345"/>
        <v>0</v>
      </c>
      <c r="AS582" s="123">
        <f t="shared" si="345"/>
        <v>0</v>
      </c>
      <c r="AT582" s="123">
        <f t="shared" si="345"/>
        <v>0</v>
      </c>
      <c r="AU582" s="123">
        <f t="shared" si="345"/>
        <v>0</v>
      </c>
      <c r="AV582" s="123">
        <f t="shared" si="345"/>
        <v>0</v>
      </c>
      <c r="AW582" s="123">
        <f t="shared" si="345"/>
        <v>0</v>
      </c>
      <c r="AX582" s="123">
        <f t="shared" si="345"/>
        <v>0</v>
      </c>
      <c r="AY582" s="123">
        <f t="shared" si="345"/>
        <v>0</v>
      </c>
      <c r="AZ582" s="123">
        <f t="shared" si="345"/>
        <v>0</v>
      </c>
      <c r="BA582" s="123">
        <f t="shared" si="345"/>
        <v>0</v>
      </c>
      <c r="BB582" s="123">
        <f t="shared" si="345"/>
        <v>0</v>
      </c>
      <c r="BC582" s="123">
        <f t="shared" si="345"/>
        <v>0</v>
      </c>
      <c r="BD582" s="123">
        <f t="shared" si="345"/>
        <v>0</v>
      </c>
      <c r="BE582" s="123">
        <f t="shared" si="345"/>
        <v>0</v>
      </c>
      <c r="BF582" s="123">
        <f t="shared" si="345"/>
        <v>0</v>
      </c>
      <c r="BG582" s="123">
        <f t="shared" si="345"/>
        <v>0</v>
      </c>
      <c r="BH582" s="123">
        <f t="shared" si="345"/>
        <v>0</v>
      </c>
      <c r="BI582" s="123">
        <f t="shared" si="345"/>
        <v>0</v>
      </c>
      <c r="BJ582" s="124">
        <f t="shared" si="345"/>
        <v>0</v>
      </c>
    </row>
    <row r="583" spans="1:64" s="125" customFormat="1" ht="12.75">
      <c r="A583" s="120" t="s">
        <v>121</v>
      </c>
      <c r="B583" s="211">
        <f t="shared" si="343"/>
        <v>20697995.490419406</v>
      </c>
      <c r="C583" s="122">
        <f>C526*(1+$G517)^(C518-1)</f>
        <v>0</v>
      </c>
      <c r="D583" s="123">
        <f>D526*(1+$G517)^(D518-1)</f>
        <v>0</v>
      </c>
      <c r="E583" s="123">
        <f t="shared" ref="E583:BJ583" si="346">E526*(1+$G517)^(E518-1)</f>
        <v>0</v>
      </c>
      <c r="F583" s="123">
        <f t="shared" si="346"/>
        <v>0</v>
      </c>
      <c r="G583" s="123">
        <f t="shared" si="346"/>
        <v>0</v>
      </c>
      <c r="H583" s="123">
        <f t="shared" si="346"/>
        <v>232078.16831939423</v>
      </c>
      <c r="I583" s="123">
        <f t="shared" si="346"/>
        <v>482722.59010433999</v>
      </c>
      <c r="J583" s="123">
        <f t="shared" si="346"/>
        <v>753047.24056277028</v>
      </c>
      <c r="K583" s="123">
        <f t="shared" si="346"/>
        <v>1044225.5069137084</v>
      </c>
      <c r="L583" s="123">
        <f t="shared" si="346"/>
        <v>1553972.4319992166</v>
      </c>
      <c r="M583" s="123">
        <f t="shared" si="346"/>
        <v>1616131.329279185</v>
      </c>
      <c r="N583" s="123">
        <f t="shared" si="346"/>
        <v>1680776.5824503524</v>
      </c>
      <c r="O583" s="123">
        <f t="shared" si="346"/>
        <v>1748007.6457483668</v>
      </c>
      <c r="P583" s="123">
        <f t="shared" si="346"/>
        <v>1817927.9515783016</v>
      </c>
      <c r="Q583" s="123">
        <f t="shared" si="346"/>
        <v>1890645.0696414337</v>
      </c>
      <c r="R583" s="123">
        <f t="shared" si="346"/>
        <v>1966270.872427091</v>
      </c>
      <c r="S583" s="123">
        <f t="shared" si="346"/>
        <v>2044921.7073241749</v>
      </c>
      <c r="T583" s="123">
        <f t="shared" si="346"/>
        <v>1486258.4988220944</v>
      </c>
      <c r="U583" s="123">
        <f t="shared" si="346"/>
        <v>1159281.6290812336</v>
      </c>
      <c r="V583" s="123">
        <f t="shared" si="346"/>
        <v>803768.59616298869</v>
      </c>
      <c r="W583" s="123">
        <f t="shared" si="346"/>
        <v>417959.67000475415</v>
      </c>
      <c r="X583" s="123">
        <f t="shared" si="346"/>
        <v>0</v>
      </c>
      <c r="Y583" s="123">
        <f t="shared" si="346"/>
        <v>0</v>
      </c>
      <c r="Z583" s="123">
        <f t="shared" si="346"/>
        <v>0</v>
      </c>
      <c r="AA583" s="123">
        <f t="shared" si="346"/>
        <v>0</v>
      </c>
      <c r="AB583" s="123">
        <f t="shared" si="346"/>
        <v>0</v>
      </c>
      <c r="AC583" s="123">
        <f t="shared" si="346"/>
        <v>0</v>
      </c>
      <c r="AD583" s="123">
        <f t="shared" si="346"/>
        <v>0</v>
      </c>
      <c r="AE583" s="123">
        <f t="shared" si="346"/>
        <v>0</v>
      </c>
      <c r="AF583" s="123">
        <f t="shared" si="346"/>
        <v>0</v>
      </c>
      <c r="AG583" s="123">
        <f t="shared" si="346"/>
        <v>0</v>
      </c>
      <c r="AH583" s="123">
        <f t="shared" si="346"/>
        <v>0</v>
      </c>
      <c r="AI583" s="123">
        <f t="shared" si="346"/>
        <v>0</v>
      </c>
      <c r="AJ583" s="123">
        <f t="shared" si="346"/>
        <v>0</v>
      </c>
      <c r="AK583" s="123">
        <f t="shared" si="346"/>
        <v>0</v>
      </c>
      <c r="AL583" s="123">
        <f t="shared" si="346"/>
        <v>0</v>
      </c>
      <c r="AM583" s="123">
        <f t="shared" si="346"/>
        <v>0</v>
      </c>
      <c r="AN583" s="123">
        <f t="shared" si="346"/>
        <v>0</v>
      </c>
      <c r="AO583" s="123">
        <f t="shared" si="346"/>
        <v>0</v>
      </c>
      <c r="AP583" s="123">
        <f t="shared" si="346"/>
        <v>0</v>
      </c>
      <c r="AQ583" s="123">
        <f t="shared" si="346"/>
        <v>0</v>
      </c>
      <c r="AR583" s="123">
        <f t="shared" si="346"/>
        <v>0</v>
      </c>
      <c r="AS583" s="123">
        <f t="shared" si="346"/>
        <v>0</v>
      </c>
      <c r="AT583" s="123">
        <f t="shared" si="346"/>
        <v>0</v>
      </c>
      <c r="AU583" s="123">
        <f t="shared" si="346"/>
        <v>0</v>
      </c>
      <c r="AV583" s="123">
        <f t="shared" si="346"/>
        <v>0</v>
      </c>
      <c r="AW583" s="123">
        <f t="shared" si="346"/>
        <v>0</v>
      </c>
      <c r="AX583" s="123">
        <f t="shared" si="346"/>
        <v>0</v>
      </c>
      <c r="AY583" s="123">
        <f t="shared" si="346"/>
        <v>0</v>
      </c>
      <c r="AZ583" s="123">
        <f t="shared" si="346"/>
        <v>0</v>
      </c>
      <c r="BA583" s="123">
        <f t="shared" si="346"/>
        <v>0</v>
      </c>
      <c r="BB583" s="123">
        <f t="shared" si="346"/>
        <v>0</v>
      </c>
      <c r="BC583" s="123">
        <f t="shared" si="346"/>
        <v>0</v>
      </c>
      <c r="BD583" s="123">
        <f t="shared" si="346"/>
        <v>0</v>
      </c>
      <c r="BE583" s="123">
        <f t="shared" si="346"/>
        <v>0</v>
      </c>
      <c r="BF583" s="123">
        <f t="shared" si="346"/>
        <v>0</v>
      </c>
      <c r="BG583" s="123">
        <f t="shared" si="346"/>
        <v>0</v>
      </c>
      <c r="BH583" s="123">
        <f t="shared" si="346"/>
        <v>0</v>
      </c>
      <c r="BI583" s="123">
        <f t="shared" si="346"/>
        <v>0</v>
      </c>
      <c r="BJ583" s="124">
        <f t="shared" si="346"/>
        <v>0</v>
      </c>
    </row>
    <row r="584" spans="1:64" s="125" customFormat="1" ht="12.75">
      <c r="A584" s="120" t="s">
        <v>122</v>
      </c>
      <c r="B584" s="211">
        <f t="shared" si="343"/>
        <v>4085797.983660779</v>
      </c>
      <c r="C584" s="122">
        <f>C527*(1+$G517)^(C518-1)</f>
        <v>0</v>
      </c>
      <c r="D584" s="123">
        <f>D527*(1+$G517)^(D518-1)</f>
        <v>0</v>
      </c>
      <c r="E584" s="123">
        <f t="shared" ref="E584:BJ584" si="347">E527*(1+$G517)^(E518-1)</f>
        <v>0</v>
      </c>
      <c r="F584" s="123">
        <f t="shared" si="347"/>
        <v>0</v>
      </c>
      <c r="G584" s="123">
        <f t="shared" si="347"/>
        <v>0</v>
      </c>
      <c r="H584" s="123">
        <f t="shared" si="347"/>
        <v>45812.383745565014</v>
      </c>
      <c r="I584" s="123">
        <f t="shared" si="347"/>
        <v>95289.758190775217</v>
      </c>
      <c r="J584" s="123">
        <f t="shared" si="347"/>
        <v>148652.02277760929</v>
      </c>
      <c r="K584" s="123">
        <f t="shared" si="347"/>
        <v>206130.80491828499</v>
      </c>
      <c r="L584" s="123">
        <f t="shared" si="347"/>
        <v>306755.18468760577</v>
      </c>
      <c r="M584" s="123">
        <f t="shared" si="347"/>
        <v>319025.39207510999</v>
      </c>
      <c r="N584" s="123">
        <f t="shared" si="347"/>
        <v>331786.40775811434</v>
      </c>
      <c r="O584" s="123">
        <f t="shared" si="347"/>
        <v>345057.864068439</v>
      </c>
      <c r="P584" s="123">
        <f t="shared" si="347"/>
        <v>358860.17863117659</v>
      </c>
      <c r="Q584" s="123">
        <f t="shared" si="347"/>
        <v>373214.58577642363</v>
      </c>
      <c r="R584" s="123">
        <f t="shared" si="347"/>
        <v>388143.16920748056</v>
      </c>
      <c r="S584" s="123">
        <f t="shared" si="347"/>
        <v>403668.89597577986</v>
      </c>
      <c r="T584" s="123">
        <f t="shared" si="347"/>
        <v>293388.40954414377</v>
      </c>
      <c r="U584" s="123">
        <f t="shared" si="347"/>
        <v>228842.95944443211</v>
      </c>
      <c r="V584" s="123">
        <f t="shared" si="347"/>
        <v>158664.45188147298</v>
      </c>
      <c r="W584" s="123">
        <f t="shared" si="347"/>
        <v>82505.514978365944</v>
      </c>
      <c r="X584" s="123">
        <f t="shared" si="347"/>
        <v>0</v>
      </c>
      <c r="Y584" s="123">
        <f t="shared" si="347"/>
        <v>0</v>
      </c>
      <c r="Z584" s="123">
        <f t="shared" si="347"/>
        <v>0</v>
      </c>
      <c r="AA584" s="123">
        <f t="shared" si="347"/>
        <v>0</v>
      </c>
      <c r="AB584" s="123">
        <f t="shared" si="347"/>
        <v>0</v>
      </c>
      <c r="AC584" s="123">
        <f t="shared" si="347"/>
        <v>0</v>
      </c>
      <c r="AD584" s="123">
        <f t="shared" si="347"/>
        <v>0</v>
      </c>
      <c r="AE584" s="123">
        <f t="shared" si="347"/>
        <v>0</v>
      </c>
      <c r="AF584" s="123">
        <f t="shared" si="347"/>
        <v>0</v>
      </c>
      <c r="AG584" s="123">
        <f t="shared" si="347"/>
        <v>0</v>
      </c>
      <c r="AH584" s="123">
        <f t="shared" si="347"/>
        <v>0</v>
      </c>
      <c r="AI584" s="123">
        <f t="shared" si="347"/>
        <v>0</v>
      </c>
      <c r="AJ584" s="123">
        <f t="shared" si="347"/>
        <v>0</v>
      </c>
      <c r="AK584" s="123">
        <f t="shared" si="347"/>
        <v>0</v>
      </c>
      <c r="AL584" s="123">
        <f t="shared" si="347"/>
        <v>0</v>
      </c>
      <c r="AM584" s="123">
        <f t="shared" si="347"/>
        <v>0</v>
      </c>
      <c r="AN584" s="123">
        <f t="shared" si="347"/>
        <v>0</v>
      </c>
      <c r="AO584" s="123">
        <f t="shared" si="347"/>
        <v>0</v>
      </c>
      <c r="AP584" s="123">
        <f t="shared" si="347"/>
        <v>0</v>
      </c>
      <c r="AQ584" s="123">
        <f t="shared" si="347"/>
        <v>0</v>
      </c>
      <c r="AR584" s="123">
        <f t="shared" si="347"/>
        <v>0</v>
      </c>
      <c r="AS584" s="123">
        <f t="shared" si="347"/>
        <v>0</v>
      </c>
      <c r="AT584" s="123">
        <f t="shared" si="347"/>
        <v>0</v>
      </c>
      <c r="AU584" s="123">
        <f t="shared" si="347"/>
        <v>0</v>
      </c>
      <c r="AV584" s="123">
        <f t="shared" si="347"/>
        <v>0</v>
      </c>
      <c r="AW584" s="123">
        <f t="shared" si="347"/>
        <v>0</v>
      </c>
      <c r="AX584" s="123">
        <f t="shared" si="347"/>
        <v>0</v>
      </c>
      <c r="AY584" s="123">
        <f t="shared" si="347"/>
        <v>0</v>
      </c>
      <c r="AZ584" s="123">
        <f t="shared" si="347"/>
        <v>0</v>
      </c>
      <c r="BA584" s="123">
        <f t="shared" si="347"/>
        <v>0</v>
      </c>
      <c r="BB584" s="123">
        <f t="shared" si="347"/>
        <v>0</v>
      </c>
      <c r="BC584" s="123">
        <f t="shared" si="347"/>
        <v>0</v>
      </c>
      <c r="BD584" s="123">
        <f t="shared" si="347"/>
        <v>0</v>
      </c>
      <c r="BE584" s="123">
        <f t="shared" si="347"/>
        <v>0</v>
      </c>
      <c r="BF584" s="123">
        <f t="shared" si="347"/>
        <v>0</v>
      </c>
      <c r="BG584" s="123">
        <f t="shared" si="347"/>
        <v>0</v>
      </c>
      <c r="BH584" s="123">
        <f t="shared" si="347"/>
        <v>0</v>
      </c>
      <c r="BI584" s="123">
        <f t="shared" si="347"/>
        <v>0</v>
      </c>
      <c r="BJ584" s="124">
        <f t="shared" si="347"/>
        <v>0</v>
      </c>
    </row>
    <row r="585" spans="1:64" s="116" customFormat="1">
      <c r="A585" s="212" t="s">
        <v>123</v>
      </c>
      <c r="B585" s="197">
        <f t="shared" si="343"/>
        <v>64220115.723463491</v>
      </c>
      <c r="C585" s="133">
        <f>C528*(1+$G517)^(C518-1)</f>
        <v>11856774.594211664</v>
      </c>
      <c r="D585" s="134">
        <f>D528*(1+$G517)^(D518-1)</f>
        <v>12331045.577980131</v>
      </c>
      <c r="E585" s="134">
        <f t="shared" ref="E585:BJ585" si="348">E528*(1+$G517)^(E518-1)</f>
        <v>12824287.401099337</v>
      </c>
      <c r="F585" s="134">
        <f t="shared" si="348"/>
        <v>13337258.89714331</v>
      </c>
      <c r="G585" s="134">
        <f t="shared" si="348"/>
        <v>13870749.253029045</v>
      </c>
      <c r="H585" s="134">
        <f t="shared" si="348"/>
        <v>0</v>
      </c>
      <c r="I585" s="134">
        <f t="shared" si="348"/>
        <v>0</v>
      </c>
      <c r="J585" s="134">
        <f t="shared" si="348"/>
        <v>0</v>
      </c>
      <c r="K585" s="134">
        <f t="shared" si="348"/>
        <v>0</v>
      </c>
      <c r="L585" s="134">
        <f t="shared" si="348"/>
        <v>0</v>
      </c>
      <c r="M585" s="134">
        <f t="shared" si="348"/>
        <v>0</v>
      </c>
      <c r="N585" s="134">
        <f t="shared" si="348"/>
        <v>0</v>
      </c>
      <c r="O585" s="134">
        <f t="shared" si="348"/>
        <v>0</v>
      </c>
      <c r="P585" s="134">
        <f t="shared" si="348"/>
        <v>0</v>
      </c>
      <c r="Q585" s="134">
        <f t="shared" si="348"/>
        <v>0</v>
      </c>
      <c r="R585" s="134">
        <f t="shared" si="348"/>
        <v>0</v>
      </c>
      <c r="S585" s="134">
        <f t="shared" si="348"/>
        <v>0</v>
      </c>
      <c r="T585" s="134">
        <f t="shared" si="348"/>
        <v>0</v>
      </c>
      <c r="U585" s="134">
        <f t="shared" si="348"/>
        <v>0</v>
      </c>
      <c r="V585" s="134">
        <f t="shared" si="348"/>
        <v>0</v>
      </c>
      <c r="W585" s="134">
        <f t="shared" si="348"/>
        <v>0</v>
      </c>
      <c r="X585" s="134">
        <f t="shared" si="348"/>
        <v>0</v>
      </c>
      <c r="Y585" s="134">
        <f t="shared" si="348"/>
        <v>0</v>
      </c>
      <c r="Z585" s="134">
        <f t="shared" si="348"/>
        <v>0</v>
      </c>
      <c r="AA585" s="134">
        <f t="shared" si="348"/>
        <v>0</v>
      </c>
      <c r="AB585" s="134">
        <f t="shared" si="348"/>
        <v>0</v>
      </c>
      <c r="AC585" s="134">
        <f t="shared" si="348"/>
        <v>0</v>
      </c>
      <c r="AD585" s="134">
        <f t="shared" si="348"/>
        <v>0</v>
      </c>
      <c r="AE585" s="134">
        <f t="shared" si="348"/>
        <v>0</v>
      </c>
      <c r="AF585" s="134">
        <f t="shared" si="348"/>
        <v>0</v>
      </c>
      <c r="AG585" s="134">
        <f t="shared" si="348"/>
        <v>0</v>
      </c>
      <c r="AH585" s="134">
        <f t="shared" si="348"/>
        <v>0</v>
      </c>
      <c r="AI585" s="134">
        <f t="shared" si="348"/>
        <v>0</v>
      </c>
      <c r="AJ585" s="134">
        <f t="shared" si="348"/>
        <v>0</v>
      </c>
      <c r="AK585" s="134">
        <f t="shared" si="348"/>
        <v>0</v>
      </c>
      <c r="AL585" s="134">
        <f t="shared" si="348"/>
        <v>0</v>
      </c>
      <c r="AM585" s="134">
        <f t="shared" si="348"/>
        <v>0</v>
      </c>
      <c r="AN585" s="134">
        <f t="shared" si="348"/>
        <v>0</v>
      </c>
      <c r="AO585" s="134">
        <f t="shared" si="348"/>
        <v>0</v>
      </c>
      <c r="AP585" s="134">
        <f t="shared" si="348"/>
        <v>0</v>
      </c>
      <c r="AQ585" s="134">
        <f t="shared" si="348"/>
        <v>0</v>
      </c>
      <c r="AR585" s="134">
        <f t="shared" si="348"/>
        <v>0</v>
      </c>
      <c r="AS585" s="134">
        <f t="shared" si="348"/>
        <v>0</v>
      </c>
      <c r="AT585" s="134">
        <f t="shared" si="348"/>
        <v>0</v>
      </c>
      <c r="AU585" s="134">
        <f t="shared" si="348"/>
        <v>0</v>
      </c>
      <c r="AV585" s="134">
        <f t="shared" si="348"/>
        <v>0</v>
      </c>
      <c r="AW585" s="134">
        <f t="shared" si="348"/>
        <v>0</v>
      </c>
      <c r="AX585" s="134">
        <f t="shared" si="348"/>
        <v>0</v>
      </c>
      <c r="AY585" s="134">
        <f t="shared" si="348"/>
        <v>0</v>
      </c>
      <c r="AZ585" s="134">
        <f t="shared" si="348"/>
        <v>0</v>
      </c>
      <c r="BA585" s="134">
        <f t="shared" si="348"/>
        <v>0</v>
      </c>
      <c r="BB585" s="134">
        <f t="shared" si="348"/>
        <v>0</v>
      </c>
      <c r="BC585" s="134">
        <f t="shared" si="348"/>
        <v>0</v>
      </c>
      <c r="BD585" s="134">
        <f t="shared" si="348"/>
        <v>0</v>
      </c>
      <c r="BE585" s="134">
        <f t="shared" si="348"/>
        <v>0</v>
      </c>
      <c r="BF585" s="134">
        <f t="shared" si="348"/>
        <v>0</v>
      </c>
      <c r="BG585" s="134">
        <f t="shared" si="348"/>
        <v>0</v>
      </c>
      <c r="BH585" s="134">
        <f t="shared" si="348"/>
        <v>0</v>
      </c>
      <c r="BI585" s="134">
        <f t="shared" si="348"/>
        <v>0</v>
      </c>
      <c r="BJ585" s="135">
        <f t="shared" si="348"/>
        <v>0</v>
      </c>
    </row>
    <row r="586" spans="1:64" s="105" customFormat="1" ht="22.5" customHeight="1">
      <c r="A586" s="131" t="s">
        <v>124</v>
      </c>
      <c r="B586" s="132">
        <f t="shared" si="343"/>
        <v>3219775471.8695254</v>
      </c>
      <c r="C586" s="133">
        <f>C577-C579-C580-C585</f>
        <v>2394156.4084465858</v>
      </c>
      <c r="D586" s="134">
        <f>D577-D579-D580-D585</f>
        <v>3082761.3944950346</v>
      </c>
      <c r="E586" s="134">
        <f t="shared" ref="E586:BJ586" si="349">E577-E579-E580-E585</f>
        <v>3206071.8502748348</v>
      </c>
      <c r="F586" s="134">
        <f t="shared" si="349"/>
        <v>3334314.7242858298</v>
      </c>
      <c r="G586" s="134">
        <f t="shared" si="349"/>
        <v>3467687.3132572621</v>
      </c>
      <c r="H586" s="134">
        <f t="shared" si="349"/>
        <v>35928400.204134546</v>
      </c>
      <c r="I586" s="134">
        <f t="shared" si="349"/>
        <v>74731072.424599856</v>
      </c>
      <c r="J586" s="134">
        <f t="shared" si="349"/>
        <v>116580472.98237574</v>
      </c>
      <c r="K586" s="134">
        <f t="shared" si="349"/>
        <v>161658255.8688944</v>
      </c>
      <c r="L586" s="134">
        <f t="shared" si="349"/>
        <v>240573009.7206836</v>
      </c>
      <c r="M586" s="134">
        <f t="shared" si="349"/>
        <v>250195930.10951096</v>
      </c>
      <c r="N586" s="134">
        <f t="shared" si="349"/>
        <v>260203767.31389141</v>
      </c>
      <c r="O586" s="134">
        <f t="shared" si="349"/>
        <v>270611918.00644714</v>
      </c>
      <c r="P586" s="134">
        <f t="shared" si="349"/>
        <v>281436394.72670507</v>
      </c>
      <c r="Q586" s="134">
        <f t="shared" si="349"/>
        <v>292693850.51577324</v>
      </c>
      <c r="R586" s="134">
        <f t="shared" si="349"/>
        <v>304401604.53640413</v>
      </c>
      <c r="S586" s="134">
        <f t="shared" si="349"/>
        <v>316577668.71786034</v>
      </c>
      <c r="T586" s="134">
        <f t="shared" si="349"/>
        <v>230090105.15365228</v>
      </c>
      <c r="U586" s="134">
        <f t="shared" si="349"/>
        <v>179470282.01984879</v>
      </c>
      <c r="V586" s="134">
        <f t="shared" si="349"/>
        <v>124432728.86709516</v>
      </c>
      <c r="W586" s="134">
        <f t="shared" si="349"/>
        <v>64705019.010889485</v>
      </c>
      <c r="X586" s="134">
        <f t="shared" si="349"/>
        <v>0</v>
      </c>
      <c r="Y586" s="134">
        <f t="shared" si="349"/>
        <v>0</v>
      </c>
      <c r="Z586" s="134">
        <f t="shared" si="349"/>
        <v>0</v>
      </c>
      <c r="AA586" s="134">
        <f t="shared" si="349"/>
        <v>0</v>
      </c>
      <c r="AB586" s="134">
        <f t="shared" si="349"/>
        <v>0</v>
      </c>
      <c r="AC586" s="134">
        <f t="shared" si="349"/>
        <v>0</v>
      </c>
      <c r="AD586" s="134">
        <f t="shared" si="349"/>
        <v>0</v>
      </c>
      <c r="AE586" s="134">
        <f t="shared" si="349"/>
        <v>0</v>
      </c>
      <c r="AF586" s="134">
        <f t="shared" si="349"/>
        <v>0</v>
      </c>
      <c r="AG586" s="134">
        <f t="shared" si="349"/>
        <v>0</v>
      </c>
      <c r="AH586" s="134">
        <f t="shared" si="349"/>
        <v>0</v>
      </c>
      <c r="AI586" s="134">
        <f t="shared" si="349"/>
        <v>0</v>
      </c>
      <c r="AJ586" s="134">
        <f t="shared" si="349"/>
        <v>0</v>
      </c>
      <c r="AK586" s="134">
        <f t="shared" si="349"/>
        <v>0</v>
      </c>
      <c r="AL586" s="134">
        <f t="shared" si="349"/>
        <v>0</v>
      </c>
      <c r="AM586" s="134">
        <f t="shared" si="349"/>
        <v>0</v>
      </c>
      <c r="AN586" s="134">
        <f t="shared" si="349"/>
        <v>0</v>
      </c>
      <c r="AO586" s="134">
        <f t="shared" si="349"/>
        <v>0</v>
      </c>
      <c r="AP586" s="134">
        <f t="shared" si="349"/>
        <v>0</v>
      </c>
      <c r="AQ586" s="134">
        <f t="shared" si="349"/>
        <v>0</v>
      </c>
      <c r="AR586" s="134">
        <f t="shared" si="349"/>
        <v>0</v>
      </c>
      <c r="AS586" s="134">
        <f t="shared" si="349"/>
        <v>0</v>
      </c>
      <c r="AT586" s="134">
        <f t="shared" si="349"/>
        <v>0</v>
      </c>
      <c r="AU586" s="134">
        <f t="shared" si="349"/>
        <v>0</v>
      </c>
      <c r="AV586" s="134">
        <f t="shared" si="349"/>
        <v>0</v>
      </c>
      <c r="AW586" s="134">
        <f t="shared" si="349"/>
        <v>0</v>
      </c>
      <c r="AX586" s="134">
        <f t="shared" si="349"/>
        <v>0</v>
      </c>
      <c r="AY586" s="134">
        <f t="shared" si="349"/>
        <v>0</v>
      </c>
      <c r="AZ586" s="134">
        <f t="shared" si="349"/>
        <v>0</v>
      </c>
      <c r="BA586" s="134">
        <f t="shared" si="349"/>
        <v>0</v>
      </c>
      <c r="BB586" s="134">
        <f t="shared" si="349"/>
        <v>0</v>
      </c>
      <c r="BC586" s="134">
        <f t="shared" si="349"/>
        <v>0</v>
      </c>
      <c r="BD586" s="134">
        <f t="shared" si="349"/>
        <v>0</v>
      </c>
      <c r="BE586" s="134">
        <f t="shared" si="349"/>
        <v>0</v>
      </c>
      <c r="BF586" s="134">
        <f t="shared" si="349"/>
        <v>0</v>
      </c>
      <c r="BG586" s="134">
        <f t="shared" si="349"/>
        <v>0</v>
      </c>
      <c r="BH586" s="134">
        <f t="shared" si="349"/>
        <v>0</v>
      </c>
      <c r="BI586" s="134">
        <f t="shared" si="349"/>
        <v>0</v>
      </c>
      <c r="BJ586" s="135">
        <f t="shared" si="349"/>
        <v>0</v>
      </c>
      <c r="BK586" s="109"/>
      <c r="BL586" s="109"/>
    </row>
    <row r="587" spans="1:64" s="116" customFormat="1">
      <c r="A587" s="136" t="s">
        <v>125</v>
      </c>
      <c r="B587" s="137">
        <f t="shared" ref="B587:G587" si="350">SUM(B588:B591)</f>
        <v>165937626.09747234</v>
      </c>
      <c r="C587" s="113">
        <f t="shared" si="350"/>
        <v>20064964.491109535</v>
      </c>
      <c r="D587" s="114">
        <f t="shared" si="350"/>
        <v>23917270.545550235</v>
      </c>
      <c r="E587" s="114">
        <f t="shared" si="350"/>
        <v>39068231.375196233</v>
      </c>
      <c r="F587" s="114">
        <f t="shared" si="350"/>
        <v>40630960.630204082</v>
      </c>
      <c r="G587" s="114">
        <f t="shared" si="350"/>
        <v>42256199.055412248</v>
      </c>
      <c r="H587" s="114"/>
      <c r="I587" s="114"/>
      <c r="J587" s="114"/>
      <c r="K587" s="114"/>
      <c r="L587" s="114"/>
      <c r="M587" s="114"/>
      <c r="N587" s="114"/>
      <c r="O587" s="114"/>
      <c r="P587" s="114"/>
      <c r="Q587" s="114"/>
      <c r="R587" s="114"/>
      <c r="S587" s="114"/>
      <c r="T587" s="114"/>
      <c r="U587" s="114"/>
      <c r="V587" s="114"/>
      <c r="W587" s="114"/>
      <c r="X587" s="114"/>
      <c r="Y587" s="114"/>
      <c r="Z587" s="114"/>
      <c r="AA587" s="114"/>
      <c r="AB587" s="114"/>
      <c r="AC587" s="114"/>
      <c r="AD587" s="114"/>
      <c r="AE587" s="114"/>
      <c r="AF587" s="114"/>
      <c r="AG587" s="114"/>
      <c r="AH587" s="114"/>
      <c r="AI587" s="114"/>
      <c r="AJ587" s="114"/>
      <c r="AK587" s="114"/>
      <c r="AL587" s="114"/>
      <c r="AM587" s="114"/>
      <c r="AN587" s="114"/>
      <c r="AO587" s="114"/>
      <c r="AP587" s="114"/>
      <c r="AQ587" s="114"/>
      <c r="AR587" s="114"/>
      <c r="AS587" s="114"/>
      <c r="AT587" s="114"/>
      <c r="AU587" s="114"/>
      <c r="AV587" s="114"/>
      <c r="AW587" s="114"/>
      <c r="AX587" s="114"/>
      <c r="AY587" s="114"/>
      <c r="AZ587" s="114"/>
      <c r="BA587" s="114"/>
      <c r="BB587" s="114"/>
      <c r="BC587" s="114"/>
      <c r="BD587" s="114"/>
      <c r="BE587" s="114"/>
      <c r="BF587" s="114"/>
      <c r="BG587" s="114"/>
      <c r="BH587" s="114"/>
      <c r="BI587" s="114"/>
      <c r="BJ587" s="115"/>
    </row>
    <row r="588" spans="1:64" s="143" customFormat="1" ht="12.75">
      <c r="A588" s="138" t="s">
        <v>126</v>
      </c>
      <c r="B588" s="139">
        <f>SUM(C588:BJ588)</f>
        <v>64110364.311337672</v>
      </c>
      <c r="C588" s="140">
        <f>C531*(1+$G517)^(C518-1)</f>
        <v>0</v>
      </c>
      <c r="D588" s="141">
        <f>D531*(1+$G517)^(D518-1)</f>
        <v>0</v>
      </c>
      <c r="E588" s="141">
        <f>E531*(1+$G517)^(E518-1)</f>
        <v>20537661.555400331</v>
      </c>
      <c r="F588" s="141">
        <f>F531*(1+$G517)^(F518-1)</f>
        <v>21359168.017616343</v>
      </c>
      <c r="G588" s="141">
        <f>G531*(1+$G517)^(G518-1)</f>
        <v>22213534.738320999</v>
      </c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  <c r="AH588" s="141"/>
      <c r="AI588" s="141"/>
      <c r="AJ588" s="141"/>
      <c r="AK588" s="141"/>
      <c r="AL588" s="141"/>
      <c r="AM588" s="141"/>
      <c r="AN588" s="141"/>
      <c r="AO588" s="141"/>
      <c r="AP588" s="141"/>
      <c r="AQ588" s="141"/>
      <c r="AR588" s="141"/>
      <c r="AS588" s="141"/>
      <c r="AT588" s="141"/>
      <c r="AU588" s="141"/>
      <c r="AV588" s="141"/>
      <c r="AW588" s="141"/>
      <c r="AX588" s="141"/>
      <c r="AY588" s="141"/>
      <c r="AZ588" s="141"/>
      <c r="BA588" s="141"/>
      <c r="BB588" s="141"/>
      <c r="BC588" s="141"/>
      <c r="BD588" s="141"/>
      <c r="BE588" s="141"/>
      <c r="BF588" s="141"/>
      <c r="BG588" s="141"/>
      <c r="BH588" s="141"/>
      <c r="BI588" s="141"/>
      <c r="BJ588" s="142"/>
      <c r="BK588" s="141"/>
      <c r="BL588" s="141"/>
    </row>
    <row r="589" spans="1:64" s="143" customFormat="1" ht="12.75">
      <c r="A589" s="138" t="s">
        <v>127</v>
      </c>
      <c r="B589" s="139">
        <f>SUM(C589:BJ589)</f>
        <v>0</v>
      </c>
      <c r="C589" s="140">
        <f>C532*(1+$G517)^(C518-1)</f>
        <v>0</v>
      </c>
      <c r="D589" s="141">
        <f>D532*(1+$G517)^(D518-1)</f>
        <v>0</v>
      </c>
      <c r="E589" s="141">
        <f>E532*(1+$G517)^(E518-1)</f>
        <v>0</v>
      </c>
      <c r="F589" s="141">
        <f>F532*(1+$G517)^(F518-1)</f>
        <v>0</v>
      </c>
      <c r="G589" s="141">
        <f>G532*(1+$G517)^(G518-1)</f>
        <v>0</v>
      </c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  <c r="AH589" s="141"/>
      <c r="AI589" s="141"/>
      <c r="AJ589" s="141"/>
      <c r="AK589" s="141"/>
      <c r="AL589" s="141"/>
      <c r="AM589" s="141"/>
      <c r="AN589" s="141"/>
      <c r="AO589" s="141"/>
      <c r="AP589" s="141"/>
      <c r="AQ589" s="141"/>
      <c r="AR589" s="141"/>
      <c r="AS589" s="141"/>
      <c r="AT589" s="141"/>
      <c r="AU589" s="141"/>
      <c r="AV589" s="141"/>
      <c r="AW589" s="141"/>
      <c r="AX589" s="141"/>
      <c r="AY589" s="141"/>
      <c r="AZ589" s="141"/>
      <c r="BA589" s="141"/>
      <c r="BB589" s="141"/>
      <c r="BC589" s="141"/>
      <c r="BD589" s="141"/>
      <c r="BE589" s="141"/>
      <c r="BF589" s="141"/>
      <c r="BG589" s="141"/>
      <c r="BH589" s="141"/>
      <c r="BI589" s="141"/>
      <c r="BJ589" s="142"/>
      <c r="BK589" s="141"/>
      <c r="BL589" s="141"/>
    </row>
    <row r="590" spans="1:64" s="143" customFormat="1" ht="12.75">
      <c r="A590" s="138" t="s">
        <v>128</v>
      </c>
      <c r="B590" s="139">
        <f>SUM(C590:BJ590)</f>
        <v>92795435.803084031</v>
      </c>
      <c r="C590" s="140">
        <f>C533*(1+$G517)^(C518-1)</f>
        <v>17132553.457651537</v>
      </c>
      <c r="D590" s="141">
        <f>D533*(1+$G517)^(D518-1)</f>
        <v>17817855.5959576</v>
      </c>
      <c r="E590" s="141">
        <f>E533*(1+$G517)^(E518-1)</f>
        <v>18530569.819795903</v>
      </c>
      <c r="F590" s="141">
        <f>F533*(1+$G517)^(F518-1)</f>
        <v>19271792.612587739</v>
      </c>
      <c r="G590" s="141">
        <f>G533*(1+$G517)^(G518-1)</f>
        <v>20042664.317091253</v>
      </c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  <c r="AH590" s="141"/>
      <c r="AI590" s="141"/>
      <c r="AJ590" s="141"/>
      <c r="AK590" s="141"/>
      <c r="AL590" s="141"/>
      <c r="AM590" s="141"/>
      <c r="AN590" s="141"/>
      <c r="AO590" s="141"/>
      <c r="AP590" s="141"/>
      <c r="AQ590" s="141"/>
      <c r="AR590" s="141"/>
      <c r="AS590" s="141"/>
      <c r="AT590" s="141"/>
      <c r="AU590" s="141"/>
      <c r="AV590" s="141"/>
      <c r="AW590" s="141"/>
      <c r="AX590" s="141"/>
      <c r="AY590" s="141"/>
      <c r="AZ590" s="141"/>
      <c r="BA590" s="141"/>
      <c r="BB590" s="141"/>
      <c r="BC590" s="141"/>
      <c r="BD590" s="141"/>
      <c r="BE590" s="141"/>
      <c r="BF590" s="141"/>
      <c r="BG590" s="141"/>
      <c r="BH590" s="141"/>
      <c r="BI590" s="141"/>
      <c r="BJ590" s="142"/>
      <c r="BK590" s="141"/>
      <c r="BL590" s="141"/>
    </row>
    <row r="591" spans="1:64" s="143" customFormat="1" ht="12.75">
      <c r="A591" s="138" t="s">
        <v>129</v>
      </c>
      <c r="B591" s="139">
        <f>SUM(C591:BJ591)</f>
        <v>9031825.9830506314</v>
      </c>
      <c r="C591" s="140">
        <f>C534*(1+$G517)^(C518-1)</f>
        <v>2932411.0334579973</v>
      </c>
      <c r="D591" s="141">
        <f>D534*(1+$G517)^(D518-1)</f>
        <v>6099414.9495926341</v>
      </c>
      <c r="E591" s="141">
        <f>E534*(1+$G517)^(E518-1)</f>
        <v>0</v>
      </c>
      <c r="F591" s="141">
        <f>F534*(1+$G517)^(F518-1)</f>
        <v>0</v>
      </c>
      <c r="G591" s="141">
        <f>G534*(1+$G517)^(G518-1)</f>
        <v>0</v>
      </c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  <c r="AH591" s="141"/>
      <c r="AI591" s="141"/>
      <c r="AJ591" s="141"/>
      <c r="AK591" s="141"/>
      <c r="AL591" s="141"/>
      <c r="AM591" s="141"/>
      <c r="AN591" s="141"/>
      <c r="AO591" s="141"/>
      <c r="AP591" s="141"/>
      <c r="AQ591" s="141"/>
      <c r="AR591" s="141"/>
      <c r="AS591" s="141"/>
      <c r="AT591" s="141"/>
      <c r="AU591" s="141"/>
      <c r="AV591" s="141"/>
      <c r="AW591" s="141"/>
      <c r="AX591" s="141"/>
      <c r="AY591" s="141"/>
      <c r="AZ591" s="141"/>
      <c r="BA591" s="141"/>
      <c r="BB591" s="141"/>
      <c r="BC591" s="141"/>
      <c r="BD591" s="141"/>
      <c r="BE591" s="141"/>
      <c r="BF591" s="141"/>
      <c r="BG591" s="141"/>
      <c r="BH591" s="141"/>
      <c r="BI591" s="141"/>
      <c r="BJ591" s="142"/>
      <c r="BK591" s="141"/>
      <c r="BL591" s="141"/>
    </row>
    <row r="592" spans="1:64" s="116" customFormat="1">
      <c r="A592" s="111" t="s">
        <v>130</v>
      </c>
      <c r="B592" s="137">
        <f>SUM(B593:B596)</f>
        <v>310220047.67245865</v>
      </c>
      <c r="C592" s="117">
        <f>SUM(C593:C596)</f>
        <v>668832.14970365108</v>
      </c>
      <c r="D592" s="118">
        <f>SUM(D593:D596)</f>
        <v>1492827.7872101383</v>
      </c>
      <c r="E592" s="118">
        <f t="shared" ref="E592:BJ592" si="351">SUM(E593:E596)</f>
        <v>2854815.2778717512</v>
      </c>
      <c r="F592" s="118">
        <f t="shared" si="351"/>
        <v>4323373.243326758</v>
      </c>
      <c r="G592" s="118">
        <f t="shared" si="351"/>
        <v>5904848.1415735697</v>
      </c>
      <c r="H592" s="118">
        <f t="shared" si="351"/>
        <v>6141042.0672365138</v>
      </c>
      <c r="I592" s="118">
        <f t="shared" si="351"/>
        <v>6386683.7499259738</v>
      </c>
      <c r="J592" s="118">
        <f t="shared" si="351"/>
        <v>6642151.0999230128</v>
      </c>
      <c r="K592" s="118">
        <f t="shared" si="351"/>
        <v>6907837.1439199345</v>
      </c>
      <c r="L592" s="118">
        <f t="shared" si="351"/>
        <v>7184150.6296767322</v>
      </c>
      <c r="M592" s="118">
        <f t="shared" si="351"/>
        <v>7471516.6548638018</v>
      </c>
      <c r="N592" s="118">
        <f t="shared" si="351"/>
        <v>7770377.3210583534</v>
      </c>
      <c r="O592" s="118">
        <f t="shared" si="351"/>
        <v>8081192.4139006892</v>
      </c>
      <c r="P592" s="118">
        <f t="shared" si="351"/>
        <v>8404440.1104567163</v>
      </c>
      <c r="Q592" s="118">
        <f t="shared" si="351"/>
        <v>8740617.7148749847</v>
      </c>
      <c r="R592" s="118">
        <f t="shared" si="351"/>
        <v>9090242.423469983</v>
      </c>
      <c r="S592" s="118">
        <f t="shared" si="351"/>
        <v>9453852.1204087846</v>
      </c>
      <c r="T592" s="118">
        <f t="shared" si="351"/>
        <v>9832006.205225138</v>
      </c>
      <c r="U592" s="118">
        <f t="shared" si="351"/>
        <v>10225286.453434145</v>
      </c>
      <c r="V592" s="118">
        <f t="shared" si="351"/>
        <v>10634297.911571508</v>
      </c>
      <c r="W592" s="118">
        <f t="shared" si="351"/>
        <v>11059669.828034369</v>
      </c>
      <c r="X592" s="118">
        <f t="shared" si="351"/>
        <v>11502056.621155746</v>
      </c>
      <c r="Y592" s="118">
        <f t="shared" si="351"/>
        <v>11962138.886001978</v>
      </c>
      <c r="Z592" s="118">
        <f t="shared" si="351"/>
        <v>12440624.441442054</v>
      </c>
      <c r="AA592" s="118">
        <f t="shared" si="351"/>
        <v>12938249.419099737</v>
      </c>
      <c r="AB592" s="118">
        <f t="shared" si="351"/>
        <v>13455779.39586373</v>
      </c>
      <c r="AC592" s="118">
        <f t="shared" si="351"/>
        <v>13994010.571698276</v>
      </c>
      <c r="AD592" s="118">
        <f t="shared" si="351"/>
        <v>14553770.994566211</v>
      </c>
      <c r="AE592" s="118">
        <f t="shared" si="351"/>
        <v>15135921.834348861</v>
      </c>
      <c r="AF592" s="118">
        <f t="shared" si="351"/>
        <v>15741358.707722817</v>
      </c>
      <c r="AG592" s="118">
        <f t="shared" si="351"/>
        <v>14201724.527056536</v>
      </c>
      <c r="AH592" s="118">
        <f t="shared" si="351"/>
        <v>12184019.650335707</v>
      </c>
      <c r="AI592" s="118">
        <f t="shared" si="351"/>
        <v>8447586.9575660918</v>
      </c>
      <c r="AJ592" s="118">
        <f t="shared" si="351"/>
        <v>4392745.2179343672</v>
      </c>
      <c r="AK592" s="118">
        <f t="shared" si="351"/>
        <v>0</v>
      </c>
      <c r="AL592" s="118">
        <f t="shared" si="351"/>
        <v>0</v>
      </c>
      <c r="AM592" s="118">
        <f t="shared" si="351"/>
        <v>0</v>
      </c>
      <c r="AN592" s="118">
        <f t="shared" si="351"/>
        <v>0</v>
      </c>
      <c r="AO592" s="118">
        <f t="shared" si="351"/>
        <v>0</v>
      </c>
      <c r="AP592" s="118">
        <f t="shared" si="351"/>
        <v>0</v>
      </c>
      <c r="AQ592" s="118">
        <f t="shared" si="351"/>
        <v>0</v>
      </c>
      <c r="AR592" s="118">
        <f t="shared" si="351"/>
        <v>0</v>
      </c>
      <c r="AS592" s="118">
        <f t="shared" si="351"/>
        <v>0</v>
      </c>
      <c r="AT592" s="118">
        <f t="shared" si="351"/>
        <v>0</v>
      </c>
      <c r="AU592" s="118">
        <f t="shared" si="351"/>
        <v>0</v>
      </c>
      <c r="AV592" s="118">
        <f t="shared" si="351"/>
        <v>0</v>
      </c>
      <c r="AW592" s="118">
        <f t="shared" si="351"/>
        <v>0</v>
      </c>
      <c r="AX592" s="118">
        <f t="shared" si="351"/>
        <v>0</v>
      </c>
      <c r="AY592" s="118">
        <f t="shared" si="351"/>
        <v>0</v>
      </c>
      <c r="AZ592" s="118">
        <f t="shared" si="351"/>
        <v>0</v>
      </c>
      <c r="BA592" s="118">
        <f t="shared" si="351"/>
        <v>0</v>
      </c>
      <c r="BB592" s="118">
        <f t="shared" si="351"/>
        <v>0</v>
      </c>
      <c r="BC592" s="118">
        <f t="shared" si="351"/>
        <v>0</v>
      </c>
      <c r="BD592" s="118">
        <f t="shared" si="351"/>
        <v>0</v>
      </c>
      <c r="BE592" s="118">
        <f t="shared" si="351"/>
        <v>0</v>
      </c>
      <c r="BF592" s="118">
        <f t="shared" si="351"/>
        <v>0</v>
      </c>
      <c r="BG592" s="118">
        <f t="shared" si="351"/>
        <v>0</v>
      </c>
      <c r="BH592" s="118">
        <f t="shared" si="351"/>
        <v>0</v>
      </c>
      <c r="BI592" s="118">
        <f t="shared" si="351"/>
        <v>0</v>
      </c>
      <c r="BJ592" s="119">
        <f t="shared" si="351"/>
        <v>0</v>
      </c>
      <c r="BK592" s="118"/>
      <c r="BL592" s="118"/>
    </row>
    <row r="593" spans="1:64" s="143" customFormat="1" ht="12.75">
      <c r="A593" s="138" t="s">
        <v>126</v>
      </c>
      <c r="B593" s="139">
        <f>SUM(C593:BJ593)</f>
        <v>119854193.05251114</v>
      </c>
      <c r="C593" s="140">
        <f>C536*(1+$G517)^(C518-1)</f>
        <v>0</v>
      </c>
      <c r="D593" s="141">
        <f t="shared" ref="D593:AJ593" si="352">D536*(1+$G517)^(D518-1)</f>
        <v>0</v>
      </c>
      <c r="E593" s="141">
        <f t="shared" si="352"/>
        <v>684588.7185133443</v>
      </c>
      <c r="F593" s="141">
        <f t="shared" si="352"/>
        <v>1423944.5345077561</v>
      </c>
      <c r="G593" s="141">
        <f t="shared" si="352"/>
        <v>2221353.4738320997</v>
      </c>
      <c r="H593" s="141">
        <f t="shared" si="352"/>
        <v>2310207.6127853841</v>
      </c>
      <c r="I593" s="141">
        <f t="shared" si="352"/>
        <v>2402615.9172967994</v>
      </c>
      <c r="J593" s="141">
        <f t="shared" si="352"/>
        <v>2498720.5539886714</v>
      </c>
      <c r="K593" s="141">
        <f t="shared" si="352"/>
        <v>2598669.3761482188</v>
      </c>
      <c r="L593" s="141">
        <f t="shared" si="352"/>
        <v>2702616.1511941478</v>
      </c>
      <c r="M593" s="141">
        <f t="shared" si="352"/>
        <v>2810720.7972419136</v>
      </c>
      <c r="N593" s="141">
        <f t="shared" si="352"/>
        <v>2923149.6291315896</v>
      </c>
      <c r="O593" s="141">
        <f t="shared" si="352"/>
        <v>3040075.614296854</v>
      </c>
      <c r="P593" s="141">
        <f t="shared" si="352"/>
        <v>3161678.6388687282</v>
      </c>
      <c r="Q593" s="141">
        <f t="shared" si="352"/>
        <v>3288145.7844234775</v>
      </c>
      <c r="R593" s="141">
        <f t="shared" si="352"/>
        <v>3419671.6158004166</v>
      </c>
      <c r="S593" s="141">
        <f t="shared" si="352"/>
        <v>3556458.4804324335</v>
      </c>
      <c r="T593" s="141">
        <f t="shared" si="352"/>
        <v>3698716.8196497313</v>
      </c>
      <c r="U593" s="141">
        <f t="shared" si="352"/>
        <v>3846665.4924357207</v>
      </c>
      <c r="V593" s="141">
        <f t="shared" si="352"/>
        <v>4000532.1121331495</v>
      </c>
      <c r="W593" s="141">
        <f t="shared" si="352"/>
        <v>4160553.3966184757</v>
      </c>
      <c r="X593" s="141">
        <f t="shared" si="352"/>
        <v>4326975.5324832154</v>
      </c>
      <c r="Y593" s="141">
        <f t="shared" si="352"/>
        <v>4500054.5537825441</v>
      </c>
      <c r="Z593" s="141">
        <f t="shared" si="352"/>
        <v>4680056.7359338449</v>
      </c>
      <c r="AA593" s="141">
        <f t="shared" si="352"/>
        <v>4867259.0053711999</v>
      </c>
      <c r="AB593" s="141">
        <f t="shared" si="352"/>
        <v>5061949.3655860489</v>
      </c>
      <c r="AC593" s="141">
        <f t="shared" si="352"/>
        <v>5264427.3402094897</v>
      </c>
      <c r="AD593" s="141">
        <f t="shared" si="352"/>
        <v>5475004.43381787</v>
      </c>
      <c r="AE593" s="141">
        <f t="shared" si="352"/>
        <v>5694004.6111705853</v>
      </c>
      <c r="AF593" s="141">
        <f t="shared" si="352"/>
        <v>5921764.7956174091</v>
      </c>
      <c r="AG593" s="141">
        <f t="shared" si="352"/>
        <v>6158635.3874421045</v>
      </c>
      <c r="AH593" s="141">
        <f t="shared" si="352"/>
        <v>6404980.8029397894</v>
      </c>
      <c r="AI593" s="141">
        <f t="shared" si="352"/>
        <v>4440786.6900382545</v>
      </c>
      <c r="AJ593" s="141">
        <f t="shared" si="352"/>
        <v>2309209.0788198924</v>
      </c>
      <c r="AK593" s="141"/>
      <c r="AL593" s="141"/>
      <c r="AM593" s="141"/>
      <c r="AN593" s="141"/>
      <c r="AO593" s="141"/>
      <c r="AP593" s="141"/>
      <c r="AQ593" s="141"/>
      <c r="AR593" s="141"/>
      <c r="AS593" s="141"/>
      <c r="AT593" s="141"/>
      <c r="AU593" s="141"/>
      <c r="AV593" s="141"/>
      <c r="AW593" s="141"/>
      <c r="AX593" s="141"/>
      <c r="AY593" s="141"/>
      <c r="AZ593" s="141"/>
      <c r="BA593" s="141"/>
      <c r="BB593" s="141"/>
      <c r="BC593" s="141"/>
      <c r="BD593" s="141"/>
      <c r="BE593" s="141"/>
      <c r="BF593" s="141"/>
      <c r="BG593" s="141"/>
      <c r="BH593" s="141"/>
      <c r="BI593" s="141"/>
      <c r="BJ593" s="142"/>
      <c r="BK593" s="141"/>
      <c r="BL593" s="141"/>
    </row>
    <row r="594" spans="1:64" s="143" customFormat="1" ht="12.75">
      <c r="A594" s="138" t="s">
        <v>127</v>
      </c>
      <c r="B594" s="139">
        <f>SUM(C594:BJ594)</f>
        <v>0</v>
      </c>
      <c r="C594" s="140">
        <f>C537*(1+$G517)^(C518-1)</f>
        <v>0</v>
      </c>
      <c r="D594" s="141">
        <f t="shared" ref="D594:AJ594" si="353">D537*(1+$G517)^(D518-1)</f>
        <v>0</v>
      </c>
      <c r="E594" s="141">
        <f t="shared" si="353"/>
        <v>0</v>
      </c>
      <c r="F594" s="141">
        <f t="shared" si="353"/>
        <v>0</v>
      </c>
      <c r="G594" s="141">
        <f t="shared" si="353"/>
        <v>0</v>
      </c>
      <c r="H594" s="141">
        <f t="shared" si="353"/>
        <v>0</v>
      </c>
      <c r="I594" s="141">
        <f t="shared" si="353"/>
        <v>0</v>
      </c>
      <c r="J594" s="141">
        <f t="shared" si="353"/>
        <v>0</v>
      </c>
      <c r="K594" s="141">
        <f t="shared" si="353"/>
        <v>0</v>
      </c>
      <c r="L594" s="141">
        <f t="shared" si="353"/>
        <v>0</v>
      </c>
      <c r="M594" s="141">
        <f t="shared" si="353"/>
        <v>0</v>
      </c>
      <c r="N594" s="141">
        <f t="shared" si="353"/>
        <v>0</v>
      </c>
      <c r="O594" s="141">
        <f t="shared" si="353"/>
        <v>0</v>
      </c>
      <c r="P594" s="141">
        <f t="shared" si="353"/>
        <v>0</v>
      </c>
      <c r="Q594" s="141">
        <f t="shared" si="353"/>
        <v>0</v>
      </c>
      <c r="R594" s="141">
        <f t="shared" si="353"/>
        <v>0</v>
      </c>
      <c r="S594" s="141">
        <f t="shared" si="353"/>
        <v>0</v>
      </c>
      <c r="T594" s="141">
        <f t="shared" si="353"/>
        <v>0</v>
      </c>
      <c r="U594" s="141">
        <f t="shared" si="353"/>
        <v>0</v>
      </c>
      <c r="V594" s="141">
        <f t="shared" si="353"/>
        <v>0</v>
      </c>
      <c r="W594" s="141">
        <f t="shared" si="353"/>
        <v>0</v>
      </c>
      <c r="X594" s="141">
        <f t="shared" si="353"/>
        <v>0</v>
      </c>
      <c r="Y594" s="141">
        <f t="shared" si="353"/>
        <v>0</v>
      </c>
      <c r="Z594" s="141">
        <f t="shared" si="353"/>
        <v>0</v>
      </c>
      <c r="AA594" s="141">
        <f t="shared" si="353"/>
        <v>0</v>
      </c>
      <c r="AB594" s="141">
        <f t="shared" si="353"/>
        <v>0</v>
      </c>
      <c r="AC594" s="141">
        <f t="shared" si="353"/>
        <v>0</v>
      </c>
      <c r="AD594" s="141">
        <f t="shared" si="353"/>
        <v>0</v>
      </c>
      <c r="AE594" s="141">
        <f t="shared" si="353"/>
        <v>0</v>
      </c>
      <c r="AF594" s="141">
        <f t="shared" si="353"/>
        <v>0</v>
      </c>
      <c r="AG594" s="141">
        <f t="shared" si="353"/>
        <v>0</v>
      </c>
      <c r="AH594" s="141">
        <f t="shared" si="353"/>
        <v>0</v>
      </c>
      <c r="AI594" s="141">
        <f t="shared" si="353"/>
        <v>0</v>
      </c>
      <c r="AJ594" s="141">
        <f t="shared" si="353"/>
        <v>0</v>
      </c>
      <c r="AK594" s="141"/>
      <c r="AL594" s="141"/>
      <c r="AM594" s="141"/>
      <c r="AN594" s="141"/>
      <c r="AO594" s="141"/>
      <c r="AP594" s="141"/>
      <c r="AQ594" s="141"/>
      <c r="AR594" s="141"/>
      <c r="AS594" s="141"/>
      <c r="AT594" s="141"/>
      <c r="AU594" s="141"/>
      <c r="AV594" s="141"/>
      <c r="AW594" s="141"/>
      <c r="AX594" s="141"/>
      <c r="AY594" s="141"/>
      <c r="AZ594" s="141"/>
      <c r="BA594" s="141"/>
      <c r="BB594" s="141"/>
      <c r="BC594" s="141"/>
      <c r="BD594" s="141"/>
      <c r="BE594" s="141"/>
      <c r="BF594" s="141"/>
      <c r="BG594" s="141"/>
      <c r="BH594" s="141"/>
      <c r="BI594" s="141"/>
      <c r="BJ594" s="142"/>
      <c r="BK594" s="141"/>
      <c r="BL594" s="141"/>
    </row>
    <row r="595" spans="1:64" s="143" customFormat="1" ht="12.75">
      <c r="A595" s="138" t="s">
        <v>128</v>
      </c>
      <c r="B595" s="139">
        <f>SUM(C595:BJ595)</f>
        <v>173480874.68546599</v>
      </c>
      <c r="C595" s="140">
        <f>C538*(1+$G517)^(C518-1)</f>
        <v>571085.11525505118</v>
      </c>
      <c r="D595" s="141">
        <f t="shared" ref="D595:AJ595" si="354">D538*(1+$G517)^(D518-1)</f>
        <v>1187857.0397305065</v>
      </c>
      <c r="E595" s="141">
        <f t="shared" si="354"/>
        <v>1853056.9819795901</v>
      </c>
      <c r="F595" s="141">
        <f t="shared" si="354"/>
        <v>2569572.348345032</v>
      </c>
      <c r="G595" s="141">
        <f t="shared" si="354"/>
        <v>3340444.0528485416</v>
      </c>
      <c r="H595" s="141">
        <f t="shared" si="354"/>
        <v>3474061.8149624839</v>
      </c>
      <c r="I595" s="141">
        <f t="shared" si="354"/>
        <v>3613024.2875609831</v>
      </c>
      <c r="J595" s="141">
        <f t="shared" si="354"/>
        <v>3757545.2590634222</v>
      </c>
      <c r="K595" s="141">
        <f t="shared" si="354"/>
        <v>3907847.0694259596</v>
      </c>
      <c r="L595" s="141">
        <f t="shared" si="354"/>
        <v>4064160.9522029986</v>
      </c>
      <c r="M595" s="141">
        <f t="shared" si="354"/>
        <v>4226727.3902911181</v>
      </c>
      <c r="N595" s="141">
        <f t="shared" si="354"/>
        <v>4395796.485902763</v>
      </c>
      <c r="O595" s="141">
        <f t="shared" si="354"/>
        <v>4571628.3453388745</v>
      </c>
      <c r="P595" s="141">
        <f t="shared" si="354"/>
        <v>4754493.4791524289</v>
      </c>
      <c r="Q595" s="141">
        <f t="shared" si="354"/>
        <v>4944673.2183185266</v>
      </c>
      <c r="R595" s="141">
        <f t="shared" si="354"/>
        <v>5142460.1470512673</v>
      </c>
      <c r="S595" s="141">
        <f t="shared" si="354"/>
        <v>5348158.5529333185</v>
      </c>
      <c r="T595" s="141">
        <f t="shared" si="354"/>
        <v>5562084.8950506523</v>
      </c>
      <c r="U595" s="141">
        <f t="shared" si="354"/>
        <v>5784568.2908526789</v>
      </c>
      <c r="V595" s="141">
        <f t="shared" si="354"/>
        <v>6015951.0224867854</v>
      </c>
      <c r="W595" s="141">
        <f t="shared" si="354"/>
        <v>6256589.0633862568</v>
      </c>
      <c r="X595" s="141">
        <f t="shared" si="354"/>
        <v>6506852.6259217085</v>
      </c>
      <c r="Y595" s="141">
        <f t="shared" si="354"/>
        <v>6767126.7309585772</v>
      </c>
      <c r="Z595" s="141">
        <f t="shared" si="354"/>
        <v>7037811.8001969196</v>
      </c>
      <c r="AA595" s="141">
        <f t="shared" si="354"/>
        <v>7319324.2722047968</v>
      </c>
      <c r="AB595" s="141">
        <f t="shared" si="354"/>
        <v>7612097.2430929905</v>
      </c>
      <c r="AC595" s="141">
        <f t="shared" si="354"/>
        <v>7916581.1328167086</v>
      </c>
      <c r="AD595" s="141">
        <f t="shared" si="354"/>
        <v>8233244.378129378</v>
      </c>
      <c r="AE595" s="141">
        <f t="shared" si="354"/>
        <v>8562574.1532545537</v>
      </c>
      <c r="AF595" s="141">
        <f t="shared" si="354"/>
        <v>8905077.1193847377</v>
      </c>
      <c r="AG595" s="141">
        <f t="shared" si="354"/>
        <v>7409024.1633281</v>
      </c>
      <c r="AH595" s="141">
        <f t="shared" si="354"/>
        <v>5779038.8473959174</v>
      </c>
      <c r="AI595" s="141">
        <f t="shared" si="354"/>
        <v>4006800.2675278368</v>
      </c>
      <c r="AJ595" s="141">
        <f t="shared" si="354"/>
        <v>2083536.1391144751</v>
      </c>
      <c r="AK595" s="141"/>
      <c r="AL595" s="141"/>
      <c r="AM595" s="141"/>
      <c r="AN595" s="141"/>
      <c r="AO595" s="141"/>
      <c r="AP595" s="141"/>
      <c r="AQ595" s="141"/>
      <c r="AR595" s="141"/>
      <c r="AS595" s="141"/>
      <c r="AT595" s="141"/>
      <c r="AU595" s="141"/>
      <c r="AV595" s="141"/>
      <c r="AW595" s="141"/>
      <c r="AX595" s="141"/>
      <c r="AY595" s="141"/>
      <c r="AZ595" s="141"/>
      <c r="BA595" s="141"/>
      <c r="BB595" s="141"/>
      <c r="BC595" s="141"/>
      <c r="BD595" s="141"/>
      <c r="BE595" s="141"/>
      <c r="BF595" s="141"/>
      <c r="BG595" s="141"/>
      <c r="BH595" s="141"/>
      <c r="BI595" s="141"/>
      <c r="BJ595" s="142"/>
      <c r="BK595" s="141"/>
      <c r="BL595" s="141"/>
    </row>
    <row r="596" spans="1:64" s="143" customFormat="1" ht="12.75">
      <c r="A596" s="138" t="s">
        <v>129</v>
      </c>
      <c r="B596" s="139">
        <f>SUM(C596:BJ596)</f>
        <v>16884979.934481524</v>
      </c>
      <c r="C596" s="140">
        <f>C539*(1+$G517)^(C518-1)</f>
        <v>97747.034448599909</v>
      </c>
      <c r="D596" s="141">
        <f t="shared" ref="D596:AJ596" si="355">D539*(1+$G517)^(D518-1)</f>
        <v>304970.74747963174</v>
      </c>
      <c r="E596" s="141">
        <f t="shared" si="355"/>
        <v>317169.57737881702</v>
      </c>
      <c r="F596" s="141">
        <f t="shared" si="355"/>
        <v>329856.36047396966</v>
      </c>
      <c r="G596" s="141">
        <f t="shared" si="355"/>
        <v>343050.61489292851</v>
      </c>
      <c r="H596" s="141">
        <f t="shared" si="355"/>
        <v>356772.63948864571</v>
      </c>
      <c r="I596" s="141">
        <f t="shared" si="355"/>
        <v>371043.54506819154</v>
      </c>
      <c r="J596" s="141">
        <f t="shared" si="355"/>
        <v>385885.28687091917</v>
      </c>
      <c r="K596" s="141">
        <f t="shared" si="355"/>
        <v>401320.69834575598</v>
      </c>
      <c r="L596" s="141">
        <f t="shared" si="355"/>
        <v>417373.52627958625</v>
      </c>
      <c r="M596" s="141">
        <f t="shared" si="355"/>
        <v>434068.46733076969</v>
      </c>
      <c r="N596" s="141">
        <f t="shared" si="355"/>
        <v>451431.20602400048</v>
      </c>
      <c r="O596" s="141">
        <f t="shared" si="355"/>
        <v>469488.4542649606</v>
      </c>
      <c r="P596" s="141">
        <f t="shared" si="355"/>
        <v>488267.99243555899</v>
      </c>
      <c r="Q596" s="141">
        <f t="shared" si="355"/>
        <v>507798.71213298134</v>
      </c>
      <c r="R596" s="141">
        <f t="shared" si="355"/>
        <v>528110.66061830055</v>
      </c>
      <c r="S596" s="141">
        <f t="shared" si="355"/>
        <v>549235.08704303275</v>
      </c>
      <c r="T596" s="141">
        <f t="shared" si="355"/>
        <v>571204.49052475404</v>
      </c>
      <c r="U596" s="141">
        <f t="shared" si="355"/>
        <v>594052.67014574423</v>
      </c>
      <c r="V596" s="141">
        <f t="shared" si="355"/>
        <v>617814.77695157402</v>
      </c>
      <c r="W596" s="141">
        <f t="shared" si="355"/>
        <v>642527.36802963703</v>
      </c>
      <c r="X596" s="141">
        <f t="shared" si="355"/>
        <v>668228.46275082265</v>
      </c>
      <c r="Y596" s="141">
        <f t="shared" si="355"/>
        <v>694957.60126085556</v>
      </c>
      <c r="Z596" s="141">
        <f t="shared" si="355"/>
        <v>722755.90531128971</v>
      </c>
      <c r="AA596" s="141">
        <f t="shared" si="355"/>
        <v>751666.1415237413</v>
      </c>
      <c r="AB596" s="141">
        <f t="shared" si="355"/>
        <v>781732.78718469117</v>
      </c>
      <c r="AC596" s="141">
        <f t="shared" si="355"/>
        <v>813002.09867207869</v>
      </c>
      <c r="AD596" s="141">
        <f t="shared" si="355"/>
        <v>845522.1826189619</v>
      </c>
      <c r="AE596" s="141">
        <f t="shared" si="355"/>
        <v>879343.06992372056</v>
      </c>
      <c r="AF596" s="141">
        <f t="shared" si="355"/>
        <v>914516.79272066941</v>
      </c>
      <c r="AG596" s="141">
        <f t="shared" si="355"/>
        <v>634064.97628633073</v>
      </c>
      <c r="AH596" s="141">
        <f t="shared" si="355"/>
        <v>0</v>
      </c>
      <c r="AI596" s="141">
        <f t="shared" si="355"/>
        <v>0</v>
      </c>
      <c r="AJ596" s="141">
        <f t="shared" si="355"/>
        <v>0</v>
      </c>
      <c r="AK596" s="141"/>
      <c r="AL596" s="141"/>
      <c r="AM596" s="141"/>
      <c r="AN596" s="141"/>
      <c r="AO596" s="141"/>
      <c r="AP596" s="141"/>
      <c r="AQ596" s="141"/>
      <c r="AR596" s="141"/>
      <c r="AS596" s="141"/>
      <c r="AT596" s="141"/>
      <c r="AU596" s="141"/>
      <c r="AV596" s="141"/>
      <c r="AW596" s="141"/>
      <c r="AX596" s="141"/>
      <c r="AY596" s="141"/>
      <c r="AZ596" s="141"/>
      <c r="BA596" s="141"/>
      <c r="BB596" s="141"/>
      <c r="BC596" s="141"/>
      <c r="BD596" s="141"/>
      <c r="BE596" s="141"/>
      <c r="BF596" s="141"/>
      <c r="BG596" s="141"/>
      <c r="BH596" s="141"/>
      <c r="BI596" s="141"/>
      <c r="BJ596" s="142"/>
      <c r="BK596" s="141"/>
      <c r="BL596" s="141"/>
    </row>
    <row r="597" spans="1:64" s="148" customFormat="1">
      <c r="A597" s="111" t="s">
        <v>131</v>
      </c>
      <c r="B597" s="144"/>
      <c r="C597" s="140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  <c r="AH597" s="146"/>
      <c r="AI597" s="146"/>
      <c r="AJ597" s="146"/>
      <c r="AK597" s="146"/>
      <c r="AL597" s="146"/>
      <c r="AM597" s="146"/>
      <c r="AN597" s="146"/>
      <c r="AO597" s="146"/>
      <c r="AP597" s="146"/>
      <c r="AQ597" s="146"/>
      <c r="AR597" s="146"/>
      <c r="AS597" s="146"/>
      <c r="AT597" s="146"/>
      <c r="AU597" s="146"/>
      <c r="AV597" s="146"/>
      <c r="AW597" s="146"/>
      <c r="AX597" s="146"/>
      <c r="AY597" s="146"/>
      <c r="AZ597" s="146"/>
      <c r="BA597" s="146"/>
      <c r="BB597" s="146"/>
      <c r="BC597" s="146"/>
      <c r="BD597" s="146"/>
      <c r="BE597" s="146"/>
      <c r="BF597" s="146"/>
      <c r="BG597" s="146"/>
      <c r="BH597" s="146"/>
      <c r="BI597" s="146"/>
      <c r="BJ597" s="147"/>
      <c r="BK597" s="146"/>
      <c r="BL597" s="146"/>
    </row>
    <row r="598" spans="1:64" s="153" customFormat="1" ht="12.75">
      <c r="A598" s="138" t="s">
        <v>126</v>
      </c>
      <c r="B598" s="144"/>
      <c r="C598" s="140">
        <f>C541*(1+$G517)^(C518-1)</f>
        <v>0</v>
      </c>
      <c r="D598" s="141">
        <f t="shared" ref="D598:AJ598" si="356">D541*(1+$G517)^(D518-1)</f>
        <v>0</v>
      </c>
      <c r="E598" s="141">
        <f t="shared" si="356"/>
        <v>60928395.947687648</v>
      </c>
      <c r="F598" s="141">
        <f t="shared" si="356"/>
        <v>61941587.25108739</v>
      </c>
      <c r="G598" s="141">
        <f t="shared" si="356"/>
        <v>62197897.267298795</v>
      </c>
      <c r="H598" s="141">
        <f t="shared" si="356"/>
        <v>62375605.54520537</v>
      </c>
      <c r="I598" s="141">
        <f t="shared" si="356"/>
        <v>62468013.849716783</v>
      </c>
      <c r="J598" s="141">
        <f t="shared" si="356"/>
        <v>62468013.849716775</v>
      </c>
      <c r="K598" s="141">
        <f t="shared" si="356"/>
        <v>62368065.027557239</v>
      </c>
      <c r="L598" s="141">
        <f t="shared" si="356"/>
        <v>62160171.477465384</v>
      </c>
      <c r="M598" s="141">
        <f t="shared" si="356"/>
        <v>61835857.539322086</v>
      </c>
      <c r="N598" s="141">
        <f t="shared" si="356"/>
        <v>61386142.211763375</v>
      </c>
      <c r="O598" s="141">
        <f t="shared" si="356"/>
        <v>60801512.285937063</v>
      </c>
      <c r="P598" s="141">
        <f t="shared" si="356"/>
        <v>60071894.138505824</v>
      </c>
      <c r="Q598" s="141">
        <f t="shared" si="356"/>
        <v>59186624.119622573</v>
      </c>
      <c r="R598" s="141">
        <f t="shared" si="356"/>
        <v>58134417.468607061</v>
      </c>
      <c r="S598" s="141">
        <f t="shared" si="356"/>
        <v>56903335.686918914</v>
      </c>
      <c r="T598" s="141">
        <f t="shared" si="356"/>
        <v>55480752.294745944</v>
      </c>
      <c r="U598" s="141">
        <f t="shared" si="356"/>
        <v>53853316.894100063</v>
      </c>
      <c r="V598" s="141">
        <f t="shared" si="356"/>
        <v>52006917.457730912</v>
      </c>
      <c r="W598" s="141">
        <f t="shared" si="356"/>
        <v>49926640.759421676</v>
      </c>
      <c r="X598" s="141">
        <f t="shared" si="356"/>
        <v>47596730.857315339</v>
      </c>
      <c r="Y598" s="141">
        <f t="shared" si="356"/>
        <v>45000545.537825406</v>
      </c>
      <c r="Z598" s="141">
        <f t="shared" si="356"/>
        <v>42120510.62340457</v>
      </c>
      <c r="AA598" s="141">
        <f t="shared" si="356"/>
        <v>38938072.042969555</v>
      </c>
      <c r="AB598" s="141">
        <f t="shared" si="356"/>
        <v>35433645.559102289</v>
      </c>
      <c r="AC598" s="141">
        <f t="shared" si="356"/>
        <v>31586564.04125689</v>
      </c>
      <c r="AD598" s="141">
        <f t="shared" si="356"/>
        <v>27375022.169089295</v>
      </c>
      <c r="AE598" s="141">
        <f t="shared" si="356"/>
        <v>22776018.444682285</v>
      </c>
      <c r="AF598" s="141">
        <f t="shared" si="356"/>
        <v>17765294.386852171</v>
      </c>
      <c r="AG598" s="141">
        <f t="shared" si="356"/>
        <v>12317270.774884151</v>
      </c>
      <c r="AH598" s="141">
        <f t="shared" si="356"/>
        <v>6404980.8029397279</v>
      </c>
      <c r="AI598" s="141">
        <f t="shared" si="356"/>
        <v>2220393.3450190634</v>
      </c>
      <c r="AJ598" s="141">
        <f t="shared" si="356"/>
        <v>-6.6257483685419538E-8</v>
      </c>
      <c r="AK598" s="151"/>
      <c r="AL598" s="151"/>
      <c r="AM598" s="151"/>
      <c r="AN598" s="151"/>
      <c r="AO598" s="151"/>
      <c r="AP598" s="151"/>
      <c r="AQ598" s="151"/>
      <c r="AR598" s="151"/>
      <c r="AS598" s="151"/>
      <c r="AT598" s="151"/>
      <c r="AU598" s="151"/>
      <c r="AV598" s="151"/>
      <c r="AW598" s="151"/>
      <c r="AX598" s="151"/>
      <c r="AY598" s="151"/>
      <c r="AZ598" s="151"/>
      <c r="BA598" s="151"/>
      <c r="BB598" s="151"/>
      <c r="BC598" s="151"/>
      <c r="BD598" s="151"/>
      <c r="BE598" s="151"/>
      <c r="BF598" s="151"/>
      <c r="BG598" s="151"/>
      <c r="BH598" s="151"/>
      <c r="BI598" s="151"/>
      <c r="BJ598" s="152"/>
      <c r="BK598" s="151"/>
      <c r="BL598" s="151"/>
    </row>
    <row r="599" spans="1:64" s="153" customFormat="1" ht="12.75">
      <c r="A599" s="138" t="s">
        <v>127</v>
      </c>
      <c r="B599" s="144"/>
      <c r="C599" s="140">
        <f>C542*(1+$G517)^(C518-1)</f>
        <v>0</v>
      </c>
      <c r="D599" s="141">
        <f t="shared" ref="D599:AJ599" si="357">D542*(1+$G517)^(D518-1)</f>
        <v>0</v>
      </c>
      <c r="E599" s="141">
        <f t="shared" si="357"/>
        <v>0</v>
      </c>
      <c r="F599" s="141">
        <f t="shared" si="357"/>
        <v>0</v>
      </c>
      <c r="G599" s="141">
        <f t="shared" si="357"/>
        <v>0</v>
      </c>
      <c r="H599" s="141">
        <f t="shared" si="357"/>
        <v>0</v>
      </c>
      <c r="I599" s="141">
        <f t="shared" si="357"/>
        <v>0</v>
      </c>
      <c r="J599" s="141">
        <f t="shared" si="357"/>
        <v>0</v>
      </c>
      <c r="K599" s="141">
        <f t="shared" si="357"/>
        <v>0</v>
      </c>
      <c r="L599" s="141">
        <f t="shared" si="357"/>
        <v>0</v>
      </c>
      <c r="M599" s="141">
        <f t="shared" si="357"/>
        <v>0</v>
      </c>
      <c r="N599" s="141">
        <f t="shared" si="357"/>
        <v>0</v>
      </c>
      <c r="O599" s="141">
        <f t="shared" si="357"/>
        <v>0</v>
      </c>
      <c r="P599" s="141">
        <f t="shared" si="357"/>
        <v>0</v>
      </c>
      <c r="Q599" s="141">
        <f t="shared" si="357"/>
        <v>0</v>
      </c>
      <c r="R599" s="141">
        <f t="shared" si="357"/>
        <v>0</v>
      </c>
      <c r="S599" s="141">
        <f t="shared" si="357"/>
        <v>0</v>
      </c>
      <c r="T599" s="141">
        <f t="shared" si="357"/>
        <v>0</v>
      </c>
      <c r="U599" s="141">
        <f t="shared" si="357"/>
        <v>0</v>
      </c>
      <c r="V599" s="141">
        <f t="shared" si="357"/>
        <v>0</v>
      </c>
      <c r="W599" s="141">
        <f t="shared" si="357"/>
        <v>0</v>
      </c>
      <c r="X599" s="141">
        <f t="shared" si="357"/>
        <v>0</v>
      </c>
      <c r="Y599" s="141">
        <f t="shared" si="357"/>
        <v>0</v>
      </c>
      <c r="Z599" s="141">
        <f t="shared" si="357"/>
        <v>0</v>
      </c>
      <c r="AA599" s="141">
        <f t="shared" si="357"/>
        <v>0</v>
      </c>
      <c r="AB599" s="141">
        <f t="shared" si="357"/>
        <v>0</v>
      </c>
      <c r="AC599" s="141">
        <f t="shared" si="357"/>
        <v>0</v>
      </c>
      <c r="AD599" s="141">
        <f t="shared" si="357"/>
        <v>0</v>
      </c>
      <c r="AE599" s="141">
        <f t="shared" si="357"/>
        <v>0</v>
      </c>
      <c r="AF599" s="141">
        <f t="shared" si="357"/>
        <v>0</v>
      </c>
      <c r="AG599" s="141">
        <f t="shared" si="357"/>
        <v>0</v>
      </c>
      <c r="AH599" s="141">
        <f t="shared" si="357"/>
        <v>0</v>
      </c>
      <c r="AI599" s="141">
        <f t="shared" si="357"/>
        <v>0</v>
      </c>
      <c r="AJ599" s="141">
        <f t="shared" si="357"/>
        <v>0</v>
      </c>
      <c r="AK599" s="151"/>
      <c r="AL599" s="151"/>
      <c r="AM599" s="151"/>
      <c r="AN599" s="151"/>
      <c r="AO599" s="151"/>
      <c r="AP599" s="151"/>
      <c r="AQ599" s="151"/>
      <c r="AR599" s="151"/>
      <c r="AS599" s="151"/>
      <c r="AT599" s="151"/>
      <c r="AU599" s="151"/>
      <c r="AV599" s="151"/>
      <c r="AW599" s="151"/>
      <c r="AX599" s="151"/>
      <c r="AY599" s="151"/>
      <c r="AZ599" s="151"/>
      <c r="BA599" s="151"/>
      <c r="BB599" s="151"/>
      <c r="BC599" s="151"/>
      <c r="BD599" s="151"/>
      <c r="BE599" s="151"/>
      <c r="BF599" s="151"/>
      <c r="BG599" s="151"/>
      <c r="BH599" s="151"/>
      <c r="BI599" s="151"/>
      <c r="BJ599" s="152"/>
      <c r="BK599" s="151"/>
      <c r="BL599" s="151"/>
    </row>
    <row r="600" spans="1:64" s="153" customFormat="1" ht="12.75">
      <c r="A600" s="138" t="s">
        <v>128</v>
      </c>
      <c r="B600" s="144"/>
      <c r="C600" s="140">
        <f>C543*(1+$G517)^(C518-1)</f>
        <v>85091682.17300263</v>
      </c>
      <c r="D600" s="141">
        <f t="shared" ref="D600:AJ600" si="358">D543*(1+$G517)^(D518-1)</f>
        <v>87307492.420192227</v>
      </c>
      <c r="E600" s="141">
        <f t="shared" si="358"/>
        <v>88946735.135020331</v>
      </c>
      <c r="F600" s="141">
        <f t="shared" si="358"/>
        <v>89935032.192076117</v>
      </c>
      <c r="G600" s="141">
        <f t="shared" si="358"/>
        <v>90191989.426910624</v>
      </c>
      <c r="H600" s="141">
        <f t="shared" si="358"/>
        <v>90325607.189024568</v>
      </c>
      <c r="I600" s="141">
        <f t="shared" si="358"/>
        <v>90325607.189024568</v>
      </c>
      <c r="J600" s="141">
        <f t="shared" si="358"/>
        <v>90181086.217522115</v>
      </c>
      <c r="K600" s="141">
        <f t="shared" si="358"/>
        <v>89880482.596797049</v>
      </c>
      <c r="L600" s="141">
        <f t="shared" si="358"/>
        <v>89411540.948465943</v>
      </c>
      <c r="M600" s="141">
        <f t="shared" si="358"/>
        <v>88761275.196113452</v>
      </c>
      <c r="N600" s="141">
        <f t="shared" si="358"/>
        <v>87915929.718055218</v>
      </c>
      <c r="O600" s="141">
        <f t="shared" si="358"/>
        <v>86860938.56143856</v>
      </c>
      <c r="P600" s="141">
        <f t="shared" si="358"/>
        <v>85580882.62474367</v>
      </c>
      <c r="Q600" s="141">
        <f t="shared" si="358"/>
        <v>84059444.711414889</v>
      </c>
      <c r="R600" s="141">
        <f t="shared" si="358"/>
        <v>82279362.352820218</v>
      </c>
      <c r="S600" s="141">
        <f t="shared" si="358"/>
        <v>80222378.293999702</v>
      </c>
      <c r="T600" s="141">
        <f t="shared" si="358"/>
        <v>77869188.530709043</v>
      </c>
      <c r="U600" s="141">
        <f t="shared" si="358"/>
        <v>75199387.781084731</v>
      </c>
      <c r="V600" s="141">
        <f t="shared" si="358"/>
        <v>72191412.269841328</v>
      </c>
      <c r="W600" s="141">
        <f t="shared" si="358"/>
        <v>68822479.697248712</v>
      </c>
      <c r="X600" s="141">
        <f t="shared" si="358"/>
        <v>65068526.259216979</v>
      </c>
      <c r="Y600" s="141">
        <f t="shared" si="358"/>
        <v>60904140.57862708</v>
      </c>
      <c r="Z600" s="141">
        <f t="shared" si="358"/>
        <v>56302494.401575238</v>
      </c>
      <c r="AA600" s="141">
        <f t="shared" si="358"/>
        <v>51235269.905433454</v>
      </c>
      <c r="AB600" s="141">
        <f t="shared" si="358"/>
        <v>45672583.458557814</v>
      </c>
      <c r="AC600" s="141">
        <f t="shared" si="358"/>
        <v>39582905.664083414</v>
      </c>
      <c r="AD600" s="141">
        <f t="shared" si="358"/>
        <v>32932977.512517378</v>
      </c>
      <c r="AE600" s="141">
        <f t="shared" si="358"/>
        <v>25687722.459763527</v>
      </c>
      <c r="AF600" s="141">
        <f t="shared" si="358"/>
        <v>17810154.23876933</v>
      </c>
      <c r="AG600" s="141">
        <f t="shared" si="358"/>
        <v>11113536.244992003</v>
      </c>
      <c r="AH600" s="141">
        <f t="shared" si="358"/>
        <v>5779038.8473957656</v>
      </c>
      <c r="AI600" s="141">
        <f t="shared" si="358"/>
        <v>2003400.1337637596</v>
      </c>
      <c r="AJ600" s="141">
        <f t="shared" si="358"/>
        <v>-1.6521898175402693E-7</v>
      </c>
      <c r="AK600" s="151"/>
      <c r="AL600" s="151"/>
      <c r="AM600" s="151"/>
      <c r="AN600" s="151"/>
      <c r="AO600" s="151"/>
      <c r="AP600" s="151"/>
      <c r="AQ600" s="151"/>
      <c r="AR600" s="151"/>
      <c r="AS600" s="151"/>
      <c r="AT600" s="151"/>
      <c r="AU600" s="151"/>
      <c r="AV600" s="151"/>
      <c r="AW600" s="151"/>
      <c r="AX600" s="151"/>
      <c r="AY600" s="151"/>
      <c r="AZ600" s="151"/>
      <c r="BA600" s="151"/>
      <c r="BB600" s="151"/>
      <c r="BC600" s="151"/>
      <c r="BD600" s="151"/>
      <c r="BE600" s="151"/>
      <c r="BF600" s="151"/>
      <c r="BG600" s="151"/>
      <c r="BH600" s="151"/>
      <c r="BI600" s="151"/>
      <c r="BJ600" s="152"/>
      <c r="BK600" s="151"/>
      <c r="BL600" s="151"/>
    </row>
    <row r="601" spans="1:64" s="153" customFormat="1" ht="12.75">
      <c r="A601" s="138" t="s">
        <v>129</v>
      </c>
      <c r="B601" s="144"/>
      <c r="C601" s="140">
        <f>C544*(1+$G517)^(C518-1)</f>
        <v>8699486.0659253914</v>
      </c>
      <c r="D601" s="141">
        <f t="shared" ref="D601:AJ601" si="359">D544*(1+$G517)^(D518-1)</f>
        <v>8742494.7610827759</v>
      </c>
      <c r="E601" s="141">
        <f t="shared" si="359"/>
        <v>8775024.9741472695</v>
      </c>
      <c r="F601" s="141">
        <f t="shared" si="359"/>
        <v>8796169.6126391888</v>
      </c>
      <c r="G601" s="141">
        <f t="shared" si="359"/>
        <v>8804965.7822518293</v>
      </c>
      <c r="H601" s="141">
        <f t="shared" si="359"/>
        <v>8800391.774053257</v>
      </c>
      <c r="I601" s="141">
        <f t="shared" si="359"/>
        <v>8781363.8999471944</v>
      </c>
      <c r="J601" s="141">
        <f t="shared" si="359"/>
        <v>8746733.1690741628</v>
      </c>
      <c r="K601" s="141">
        <f t="shared" si="359"/>
        <v>8695281.7974913735</v>
      </c>
      <c r="L601" s="141">
        <f t="shared" si="359"/>
        <v>8625719.5431114417</v>
      </c>
      <c r="M601" s="141">
        <f t="shared" si="359"/>
        <v>8536679.8575051297</v>
      </c>
      <c r="N601" s="141">
        <f t="shared" si="359"/>
        <v>8426715.8457813337</v>
      </c>
      <c r="O601" s="141">
        <f t="shared" si="359"/>
        <v>8294296.0253476268</v>
      </c>
      <c r="P601" s="141">
        <f t="shared" si="359"/>
        <v>8137799.8739259727</v>
      </c>
      <c r="Q601" s="141">
        <f t="shared" si="359"/>
        <v>7955513.156750029</v>
      </c>
      <c r="R601" s="141">
        <f t="shared" si="359"/>
        <v>7745623.0224017287</v>
      </c>
      <c r="S601" s="141">
        <f t="shared" si="359"/>
        <v>7506212.8562547667</v>
      </c>
      <c r="T601" s="141">
        <f t="shared" si="359"/>
        <v>7235256.8799802037</v>
      </c>
      <c r="U601" s="141">
        <f t="shared" si="359"/>
        <v>6930614.4850336686</v>
      </c>
      <c r="V601" s="141">
        <f t="shared" si="359"/>
        <v>6590024.2874834407</v>
      </c>
      <c r="W601" s="141">
        <f t="shared" si="359"/>
        <v>6211097.8909531413</v>
      </c>
      <c r="X601" s="141">
        <f t="shared" si="359"/>
        <v>5791313.3438404463</v>
      </c>
      <c r="Y601" s="141">
        <f t="shared" si="359"/>
        <v>5328008.2763332082</v>
      </c>
      <c r="Z601" s="141">
        <f t="shared" si="359"/>
        <v>4818372.7020752458</v>
      </c>
      <c r="AA601" s="141">
        <f t="shared" si="359"/>
        <v>4259441.4686345151</v>
      </c>
      <c r="AB601" s="141">
        <f t="shared" si="359"/>
        <v>3648086.3401952055</v>
      </c>
      <c r="AC601" s="141">
        <f t="shared" si="359"/>
        <v>2981007.6951309345</v>
      </c>
      <c r="AD601" s="141">
        <f t="shared" si="359"/>
        <v>2254725.8203172102</v>
      </c>
      <c r="AE601" s="141">
        <f t="shared" si="359"/>
        <v>1465571.7832061786</v>
      </c>
      <c r="AF601" s="141">
        <f t="shared" si="359"/>
        <v>609677.8618137564</v>
      </c>
      <c r="AG601" s="141">
        <f t="shared" si="359"/>
        <v>-2.4165194556322264E-8</v>
      </c>
      <c r="AH601" s="141">
        <f t="shared" si="359"/>
        <v>-2.5131802338575155E-8</v>
      </c>
      <c r="AI601" s="141">
        <f t="shared" si="359"/>
        <v>-2.6137074432118164E-8</v>
      </c>
      <c r="AJ601" s="141">
        <f t="shared" si="359"/>
        <v>-2.718255740940289E-8</v>
      </c>
      <c r="AK601" s="151"/>
      <c r="AL601" s="151"/>
      <c r="AM601" s="151"/>
      <c r="AN601" s="151"/>
      <c r="AO601" s="151"/>
      <c r="AP601" s="151"/>
      <c r="AQ601" s="151"/>
      <c r="AR601" s="151"/>
      <c r="AS601" s="151"/>
      <c r="AT601" s="151"/>
      <c r="AU601" s="151"/>
      <c r="AV601" s="151"/>
      <c r="AW601" s="151"/>
      <c r="AX601" s="151"/>
      <c r="AY601" s="151"/>
      <c r="AZ601" s="151"/>
      <c r="BA601" s="151"/>
      <c r="BB601" s="151"/>
      <c r="BC601" s="151"/>
      <c r="BD601" s="151"/>
      <c r="BE601" s="151"/>
      <c r="BF601" s="151"/>
      <c r="BG601" s="151"/>
      <c r="BH601" s="151"/>
      <c r="BI601" s="151"/>
      <c r="BJ601" s="152"/>
      <c r="BK601" s="151"/>
      <c r="BL601" s="151"/>
    </row>
    <row r="602" spans="1:64" s="116" customFormat="1">
      <c r="A602" s="111" t="s">
        <v>132</v>
      </c>
      <c r="B602" s="155">
        <f>SUM(B603:B606)</f>
        <v>322816262.23067242</v>
      </c>
      <c r="C602" s="117">
        <f>SUM(C603:C606)</f>
        <v>9446000.0388631672</v>
      </c>
      <c r="D602" s="118">
        <f t="shared" ref="D602:AJ602" si="360">SUM(D603:D606)</f>
        <v>9754281.4968485143</v>
      </c>
      <c r="E602" s="118">
        <f t="shared" si="360"/>
        <v>16150497.133472703</v>
      </c>
      <c r="F602" s="118">
        <f t="shared" si="360"/>
        <v>16499616.229912946</v>
      </c>
      <c r="G602" s="118">
        <f t="shared" si="360"/>
        <v>16709970.061803482</v>
      </c>
      <c r="H602" s="118">
        <f t="shared" si="360"/>
        <v>16764264.657551972</v>
      </c>
      <c r="I602" s="118">
        <f t="shared" si="360"/>
        <v>16796166.868861455</v>
      </c>
      <c r="J602" s="118">
        <f t="shared" si="360"/>
        <v>16803798.433623608</v>
      </c>
      <c r="K602" s="118">
        <f t="shared" si="360"/>
        <v>16785166.656576563</v>
      </c>
      <c r="L602" s="118">
        <f t="shared" si="360"/>
        <v>16738158.259871952</v>
      </c>
      <c r="M602" s="118">
        <f t="shared" si="360"/>
        <v>16660532.924780447</v>
      </c>
      <c r="N602" s="118">
        <f t="shared" si="360"/>
        <v>16549916.50966583</v>
      </c>
      <c r="O602" s="118">
        <f t="shared" si="360"/>
        <v>16403793.928662397</v>
      </c>
      <c r="P602" s="118">
        <f t="shared" si="360"/>
        <v>16219501.674763221</v>
      </c>
      <c r="Q602" s="118">
        <f t="shared" si="360"/>
        <v>15994219.970266251</v>
      </c>
      <c r="R602" s="118">
        <f t="shared" si="360"/>
        <v>15724964.526729899</v>
      </c>
      <c r="S602" s="118">
        <f t="shared" si="360"/>
        <v>15408577.895758217</v>
      </c>
      <c r="T602" s="118">
        <f t="shared" si="360"/>
        <v>15041720.391066035</v>
      </c>
      <c r="U602" s="118">
        <f t="shared" si="360"/>
        <v>14620860.561365264</v>
      </c>
      <c r="V602" s="118">
        <f t="shared" si="360"/>
        <v>14142265.192662721</v>
      </c>
      <c r="W602" s="118">
        <f t="shared" si="360"/>
        <v>13601988.817565791</v>
      </c>
      <c r="X602" s="118">
        <f t="shared" si="360"/>
        <v>0</v>
      </c>
      <c r="Y602" s="118">
        <f t="shared" si="360"/>
        <v>0</v>
      </c>
      <c r="Z602" s="118">
        <f t="shared" si="360"/>
        <v>0</v>
      </c>
      <c r="AA602" s="118">
        <f t="shared" si="360"/>
        <v>0</v>
      </c>
      <c r="AB602" s="118">
        <f t="shared" si="360"/>
        <v>0</v>
      </c>
      <c r="AC602" s="118">
        <f t="shared" si="360"/>
        <v>0</v>
      </c>
      <c r="AD602" s="118">
        <f t="shared" si="360"/>
        <v>0</v>
      </c>
      <c r="AE602" s="118">
        <f t="shared" si="360"/>
        <v>0</v>
      </c>
      <c r="AF602" s="118">
        <f t="shared" si="360"/>
        <v>0</v>
      </c>
      <c r="AG602" s="118">
        <f t="shared" si="360"/>
        <v>0</v>
      </c>
      <c r="AH602" s="118">
        <f t="shared" si="360"/>
        <v>0</v>
      </c>
      <c r="AI602" s="118">
        <f t="shared" si="360"/>
        <v>0</v>
      </c>
      <c r="AJ602" s="118">
        <f t="shared" si="360"/>
        <v>0</v>
      </c>
      <c r="AK602" s="118"/>
      <c r="AL602" s="118"/>
      <c r="AM602" s="118"/>
      <c r="AN602" s="118"/>
      <c r="AO602" s="118"/>
      <c r="AP602" s="118"/>
      <c r="AQ602" s="118"/>
      <c r="AR602" s="118"/>
      <c r="AS602" s="118"/>
      <c r="AT602" s="118"/>
      <c r="AU602" s="118"/>
      <c r="AV602" s="118"/>
      <c r="AW602" s="118"/>
      <c r="AX602" s="118"/>
      <c r="AY602" s="118"/>
      <c r="AZ602" s="118"/>
      <c r="BA602" s="118"/>
      <c r="BB602" s="118"/>
      <c r="BC602" s="118"/>
      <c r="BD602" s="118"/>
      <c r="BE602" s="118"/>
      <c r="BF602" s="118"/>
      <c r="BG602" s="118"/>
      <c r="BH602" s="118"/>
      <c r="BI602" s="118"/>
      <c r="BJ602" s="119"/>
      <c r="BK602" s="118"/>
      <c r="BL602" s="118"/>
    </row>
    <row r="603" spans="1:64" s="143" customFormat="1" ht="12.75">
      <c r="A603" s="138" t="s">
        <v>126</v>
      </c>
      <c r="B603" s="139">
        <f>SUM(C603:BJ603)</f>
        <v>118124424.579171</v>
      </c>
      <c r="C603" s="140">
        <f>C546*(1+$G517)^(C518-1)</f>
        <v>0</v>
      </c>
      <c r="D603" s="141">
        <f t="shared" ref="D603:BJ603" si="361">D546*(1+$G517)^(D518-1)</f>
        <v>0</v>
      </c>
      <c r="E603" s="141">
        <f t="shared" si="361"/>
        <v>6161298.4666200997</v>
      </c>
      <c r="F603" s="141">
        <f t="shared" si="361"/>
        <v>6336553.1785595156</v>
      </c>
      <c r="G603" s="141">
        <f t="shared" si="361"/>
        <v>6441925.0741130896</v>
      </c>
      <c r="H603" s="141">
        <f t="shared" si="361"/>
        <v>6468581.3157990761</v>
      </c>
      <c r="I603" s="141">
        <f t="shared" si="361"/>
        <v>6487062.9767013583</v>
      </c>
      <c r="J603" s="141">
        <f t="shared" si="361"/>
        <v>6496673.4403705448</v>
      </c>
      <c r="K603" s="141">
        <f t="shared" si="361"/>
        <v>6496673.4403705467</v>
      </c>
      <c r="L603" s="141">
        <f t="shared" si="361"/>
        <v>6486278.7628659541</v>
      </c>
      <c r="M603" s="141">
        <f t="shared" si="361"/>
        <v>6464657.8336564004</v>
      </c>
      <c r="N603" s="141">
        <f t="shared" si="361"/>
        <v>6430929.1840894967</v>
      </c>
      <c r="O603" s="141">
        <f t="shared" si="361"/>
        <v>6384158.790023393</v>
      </c>
      <c r="P603" s="141">
        <f t="shared" si="361"/>
        <v>6323357.2777374554</v>
      </c>
      <c r="Q603" s="141">
        <f t="shared" si="361"/>
        <v>6247476.9904046059</v>
      </c>
      <c r="R603" s="141">
        <f t="shared" si="361"/>
        <v>6155408.9084407482</v>
      </c>
      <c r="S603" s="141">
        <f t="shared" si="361"/>
        <v>6045979.416735136</v>
      </c>
      <c r="T603" s="141">
        <f t="shared" si="361"/>
        <v>5917946.9114395678</v>
      </c>
      <c r="U603" s="141">
        <f t="shared" si="361"/>
        <v>5769998.2386535797</v>
      </c>
      <c r="V603" s="141">
        <f t="shared" si="361"/>
        <v>5600744.9569864077</v>
      </c>
      <c r="W603" s="141">
        <f t="shared" si="361"/>
        <v>5408719.4156040149</v>
      </c>
      <c r="X603" s="141">
        <f t="shared" si="361"/>
        <v>0</v>
      </c>
      <c r="Y603" s="141">
        <f t="shared" si="361"/>
        <v>0</v>
      </c>
      <c r="Z603" s="141">
        <f t="shared" si="361"/>
        <v>0</v>
      </c>
      <c r="AA603" s="141">
        <f t="shared" si="361"/>
        <v>0</v>
      </c>
      <c r="AB603" s="141">
        <f t="shared" si="361"/>
        <v>0</v>
      </c>
      <c r="AC603" s="141">
        <f t="shared" si="361"/>
        <v>0</v>
      </c>
      <c r="AD603" s="141">
        <f t="shared" si="361"/>
        <v>0</v>
      </c>
      <c r="AE603" s="141">
        <f t="shared" si="361"/>
        <v>0</v>
      </c>
      <c r="AF603" s="141">
        <f t="shared" si="361"/>
        <v>0</v>
      </c>
      <c r="AG603" s="141">
        <f t="shared" si="361"/>
        <v>0</v>
      </c>
      <c r="AH603" s="141">
        <f t="shared" si="361"/>
        <v>0</v>
      </c>
      <c r="AI603" s="141">
        <f t="shared" si="361"/>
        <v>0</v>
      </c>
      <c r="AJ603" s="141">
        <f t="shared" si="361"/>
        <v>0</v>
      </c>
      <c r="AK603" s="141">
        <f t="shared" si="361"/>
        <v>0</v>
      </c>
      <c r="AL603" s="141">
        <f t="shared" si="361"/>
        <v>0</v>
      </c>
      <c r="AM603" s="141">
        <f t="shared" si="361"/>
        <v>0</v>
      </c>
      <c r="AN603" s="141">
        <f t="shared" si="361"/>
        <v>0</v>
      </c>
      <c r="AO603" s="141">
        <f t="shared" si="361"/>
        <v>0</v>
      </c>
      <c r="AP603" s="141">
        <f t="shared" si="361"/>
        <v>0</v>
      </c>
      <c r="AQ603" s="141">
        <f t="shared" si="361"/>
        <v>0</v>
      </c>
      <c r="AR603" s="141">
        <f t="shared" si="361"/>
        <v>0</v>
      </c>
      <c r="AS603" s="141">
        <f t="shared" si="361"/>
        <v>0</v>
      </c>
      <c r="AT603" s="141">
        <f t="shared" si="361"/>
        <v>0</v>
      </c>
      <c r="AU603" s="141">
        <f t="shared" si="361"/>
        <v>0</v>
      </c>
      <c r="AV603" s="141">
        <f t="shared" si="361"/>
        <v>0</v>
      </c>
      <c r="AW603" s="141">
        <f t="shared" si="361"/>
        <v>0</v>
      </c>
      <c r="AX603" s="141">
        <f t="shared" si="361"/>
        <v>0</v>
      </c>
      <c r="AY603" s="141">
        <f t="shared" si="361"/>
        <v>0</v>
      </c>
      <c r="AZ603" s="141">
        <f t="shared" si="361"/>
        <v>0</v>
      </c>
      <c r="BA603" s="141">
        <f t="shared" si="361"/>
        <v>0</v>
      </c>
      <c r="BB603" s="141">
        <f t="shared" si="361"/>
        <v>0</v>
      </c>
      <c r="BC603" s="141">
        <f t="shared" si="361"/>
        <v>0</v>
      </c>
      <c r="BD603" s="141">
        <f t="shared" si="361"/>
        <v>0</v>
      </c>
      <c r="BE603" s="141">
        <f t="shared" si="361"/>
        <v>0</v>
      </c>
      <c r="BF603" s="141">
        <f t="shared" si="361"/>
        <v>0</v>
      </c>
      <c r="BG603" s="141">
        <f t="shared" si="361"/>
        <v>0</v>
      </c>
      <c r="BH603" s="141">
        <f t="shared" si="361"/>
        <v>0</v>
      </c>
      <c r="BI603" s="141">
        <f t="shared" si="361"/>
        <v>0</v>
      </c>
      <c r="BJ603" s="142">
        <f t="shared" si="361"/>
        <v>0</v>
      </c>
      <c r="BK603" s="141"/>
      <c r="BL603" s="141"/>
    </row>
    <row r="604" spans="1:64" s="143" customFormat="1" ht="12.75">
      <c r="A604" s="138" t="s">
        <v>127</v>
      </c>
      <c r="B604" s="139">
        <f>SUM(C604:BJ604)</f>
        <v>0</v>
      </c>
      <c r="C604" s="140">
        <f>C547*(1+$G517)^(C518-1)</f>
        <v>0</v>
      </c>
      <c r="D604" s="141">
        <f t="shared" ref="D604:BJ604" si="362">D547*(1+$G517)^(D518-1)</f>
        <v>0</v>
      </c>
      <c r="E604" s="141">
        <f t="shared" si="362"/>
        <v>0</v>
      </c>
      <c r="F604" s="141">
        <f t="shared" si="362"/>
        <v>0</v>
      </c>
      <c r="G604" s="141">
        <f t="shared" si="362"/>
        <v>0</v>
      </c>
      <c r="H604" s="141">
        <f t="shared" si="362"/>
        <v>0</v>
      </c>
      <c r="I604" s="141">
        <f t="shared" si="362"/>
        <v>0</v>
      </c>
      <c r="J604" s="141">
        <f t="shared" si="362"/>
        <v>0</v>
      </c>
      <c r="K604" s="141">
        <f t="shared" si="362"/>
        <v>0</v>
      </c>
      <c r="L604" s="141">
        <f t="shared" si="362"/>
        <v>0</v>
      </c>
      <c r="M604" s="141">
        <f t="shared" si="362"/>
        <v>0</v>
      </c>
      <c r="N604" s="141">
        <f t="shared" si="362"/>
        <v>0</v>
      </c>
      <c r="O604" s="141">
        <f t="shared" si="362"/>
        <v>0</v>
      </c>
      <c r="P604" s="141">
        <f t="shared" si="362"/>
        <v>0</v>
      </c>
      <c r="Q604" s="141">
        <f t="shared" si="362"/>
        <v>0</v>
      </c>
      <c r="R604" s="141">
        <f t="shared" si="362"/>
        <v>0</v>
      </c>
      <c r="S604" s="141">
        <f t="shared" si="362"/>
        <v>0</v>
      </c>
      <c r="T604" s="141">
        <f t="shared" si="362"/>
        <v>0</v>
      </c>
      <c r="U604" s="141">
        <f t="shared" si="362"/>
        <v>0</v>
      </c>
      <c r="V604" s="141">
        <f t="shared" si="362"/>
        <v>0</v>
      </c>
      <c r="W604" s="141">
        <f t="shared" si="362"/>
        <v>0</v>
      </c>
      <c r="X604" s="141">
        <f t="shared" si="362"/>
        <v>0</v>
      </c>
      <c r="Y604" s="141">
        <f t="shared" si="362"/>
        <v>0</v>
      </c>
      <c r="Z604" s="141">
        <f t="shared" si="362"/>
        <v>0</v>
      </c>
      <c r="AA604" s="141">
        <f t="shared" si="362"/>
        <v>0</v>
      </c>
      <c r="AB604" s="141">
        <f t="shared" si="362"/>
        <v>0</v>
      </c>
      <c r="AC604" s="141">
        <f t="shared" si="362"/>
        <v>0</v>
      </c>
      <c r="AD604" s="141">
        <f t="shared" si="362"/>
        <v>0</v>
      </c>
      <c r="AE604" s="141">
        <f t="shared" si="362"/>
        <v>0</v>
      </c>
      <c r="AF604" s="141">
        <f t="shared" si="362"/>
        <v>0</v>
      </c>
      <c r="AG604" s="141">
        <f t="shared" si="362"/>
        <v>0</v>
      </c>
      <c r="AH604" s="141">
        <f t="shared" si="362"/>
        <v>0</v>
      </c>
      <c r="AI604" s="141">
        <f t="shared" si="362"/>
        <v>0</v>
      </c>
      <c r="AJ604" s="141">
        <f t="shared" si="362"/>
        <v>0</v>
      </c>
      <c r="AK604" s="141">
        <f t="shared" si="362"/>
        <v>0</v>
      </c>
      <c r="AL604" s="141">
        <f t="shared" si="362"/>
        <v>0</v>
      </c>
      <c r="AM604" s="141">
        <f t="shared" si="362"/>
        <v>0</v>
      </c>
      <c r="AN604" s="141">
        <f t="shared" si="362"/>
        <v>0</v>
      </c>
      <c r="AO604" s="141">
        <f t="shared" si="362"/>
        <v>0</v>
      </c>
      <c r="AP604" s="141">
        <f t="shared" si="362"/>
        <v>0</v>
      </c>
      <c r="AQ604" s="141">
        <f t="shared" si="362"/>
        <v>0</v>
      </c>
      <c r="AR604" s="141">
        <f t="shared" si="362"/>
        <v>0</v>
      </c>
      <c r="AS604" s="141">
        <f t="shared" si="362"/>
        <v>0</v>
      </c>
      <c r="AT604" s="141">
        <f t="shared" si="362"/>
        <v>0</v>
      </c>
      <c r="AU604" s="141">
        <f t="shared" si="362"/>
        <v>0</v>
      </c>
      <c r="AV604" s="141">
        <f t="shared" si="362"/>
        <v>0</v>
      </c>
      <c r="AW604" s="141">
        <f t="shared" si="362"/>
        <v>0</v>
      </c>
      <c r="AX604" s="141">
        <f t="shared" si="362"/>
        <v>0</v>
      </c>
      <c r="AY604" s="141">
        <f t="shared" si="362"/>
        <v>0</v>
      </c>
      <c r="AZ604" s="141">
        <f t="shared" si="362"/>
        <v>0</v>
      </c>
      <c r="BA604" s="141">
        <f t="shared" si="362"/>
        <v>0</v>
      </c>
      <c r="BB604" s="141">
        <f t="shared" si="362"/>
        <v>0</v>
      </c>
      <c r="BC604" s="141">
        <f t="shared" si="362"/>
        <v>0</v>
      </c>
      <c r="BD604" s="141">
        <f t="shared" si="362"/>
        <v>0</v>
      </c>
      <c r="BE604" s="141">
        <f t="shared" si="362"/>
        <v>0</v>
      </c>
      <c r="BF604" s="141">
        <f t="shared" si="362"/>
        <v>0</v>
      </c>
      <c r="BG604" s="141">
        <f t="shared" si="362"/>
        <v>0</v>
      </c>
      <c r="BH604" s="141">
        <f t="shared" si="362"/>
        <v>0</v>
      </c>
      <c r="BI604" s="141">
        <f t="shared" si="362"/>
        <v>0</v>
      </c>
      <c r="BJ604" s="142">
        <f t="shared" si="362"/>
        <v>0</v>
      </c>
      <c r="BK604" s="141"/>
      <c r="BL604" s="141"/>
    </row>
    <row r="605" spans="1:64" s="143" customFormat="1" ht="12.75">
      <c r="A605" s="138" t="s">
        <v>128</v>
      </c>
      <c r="B605" s="139">
        <f>SUM(C605:BJ605)</f>
        <v>186670172.1037645</v>
      </c>
      <c r="C605" s="140">
        <f>C548*(1+$G517)^(C518-1)</f>
        <v>8566276.7288257685</v>
      </c>
      <c r="D605" s="141">
        <f t="shared" ref="D605:BJ605" si="363">D548*(1+$G517)^(D518-1)</f>
        <v>8849534.9459922742</v>
      </c>
      <c r="E605" s="141">
        <f t="shared" si="363"/>
        <v>9079979.2116999943</v>
      </c>
      <c r="F605" s="141">
        <f t="shared" si="363"/>
        <v>9250460.4540421143</v>
      </c>
      <c r="G605" s="141">
        <f t="shared" si="363"/>
        <v>9353243.3479759172</v>
      </c>
      <c r="H605" s="141">
        <f t="shared" si="363"/>
        <v>9379966.9003987052</v>
      </c>
      <c r="I605" s="141">
        <f t="shared" si="363"/>
        <v>9393863.1476585567</v>
      </c>
      <c r="J605" s="141">
        <f t="shared" si="363"/>
        <v>9393863.1476585548</v>
      </c>
      <c r="K605" s="141">
        <f t="shared" si="363"/>
        <v>9378832.9666223023</v>
      </c>
      <c r="L605" s="141">
        <f t="shared" si="363"/>
        <v>9347570.1900668945</v>
      </c>
      <c r="M605" s="141">
        <f t="shared" si="363"/>
        <v>9298800.2586404569</v>
      </c>
      <c r="N605" s="141">
        <f t="shared" si="363"/>
        <v>9231172.6203958001</v>
      </c>
      <c r="O605" s="141">
        <f t="shared" si="363"/>
        <v>9143256.6906777453</v>
      </c>
      <c r="P605" s="141">
        <f t="shared" si="363"/>
        <v>9033537.6103896126</v>
      </c>
      <c r="Q605" s="141">
        <f t="shared" si="363"/>
        <v>8900411.7929733433</v>
      </c>
      <c r="R605" s="141">
        <f t="shared" si="363"/>
        <v>8742182.2499871477</v>
      </c>
      <c r="S605" s="141">
        <f t="shared" si="363"/>
        <v>8557053.684693303</v>
      </c>
      <c r="T605" s="141">
        <f t="shared" si="363"/>
        <v>8343127.342575971</v>
      </c>
      <c r="U605" s="141">
        <f t="shared" si="363"/>
        <v>8098395.6071937419</v>
      </c>
      <c r="V605" s="141">
        <f t="shared" si="363"/>
        <v>7820736.3292328119</v>
      </c>
      <c r="W605" s="141">
        <f t="shared" si="363"/>
        <v>7507906.8760634977</v>
      </c>
      <c r="X605" s="141">
        <f t="shared" si="363"/>
        <v>0</v>
      </c>
      <c r="Y605" s="141">
        <f t="shared" si="363"/>
        <v>0</v>
      </c>
      <c r="Z605" s="141">
        <f t="shared" si="363"/>
        <v>0</v>
      </c>
      <c r="AA605" s="141">
        <f t="shared" si="363"/>
        <v>0</v>
      </c>
      <c r="AB605" s="141">
        <f t="shared" si="363"/>
        <v>0</v>
      </c>
      <c r="AC605" s="141">
        <f t="shared" si="363"/>
        <v>0</v>
      </c>
      <c r="AD605" s="141">
        <f t="shared" si="363"/>
        <v>0</v>
      </c>
      <c r="AE605" s="141">
        <f t="shared" si="363"/>
        <v>0</v>
      </c>
      <c r="AF605" s="141">
        <f t="shared" si="363"/>
        <v>0</v>
      </c>
      <c r="AG605" s="141">
        <f t="shared" si="363"/>
        <v>0</v>
      </c>
      <c r="AH605" s="141">
        <f t="shared" si="363"/>
        <v>0</v>
      </c>
      <c r="AI605" s="141">
        <f t="shared" si="363"/>
        <v>0</v>
      </c>
      <c r="AJ605" s="141">
        <f t="shared" si="363"/>
        <v>0</v>
      </c>
      <c r="AK605" s="141">
        <f t="shared" si="363"/>
        <v>0</v>
      </c>
      <c r="AL605" s="141">
        <f t="shared" si="363"/>
        <v>0</v>
      </c>
      <c r="AM605" s="141">
        <f t="shared" si="363"/>
        <v>0</v>
      </c>
      <c r="AN605" s="141">
        <f t="shared" si="363"/>
        <v>0</v>
      </c>
      <c r="AO605" s="141">
        <f t="shared" si="363"/>
        <v>0</v>
      </c>
      <c r="AP605" s="141">
        <f t="shared" si="363"/>
        <v>0</v>
      </c>
      <c r="AQ605" s="141">
        <f t="shared" si="363"/>
        <v>0</v>
      </c>
      <c r="AR605" s="141">
        <f t="shared" si="363"/>
        <v>0</v>
      </c>
      <c r="AS605" s="141">
        <f t="shared" si="363"/>
        <v>0</v>
      </c>
      <c r="AT605" s="141">
        <f t="shared" si="363"/>
        <v>0</v>
      </c>
      <c r="AU605" s="141">
        <f t="shared" si="363"/>
        <v>0</v>
      </c>
      <c r="AV605" s="141">
        <f t="shared" si="363"/>
        <v>0</v>
      </c>
      <c r="AW605" s="141">
        <f t="shared" si="363"/>
        <v>0</v>
      </c>
      <c r="AX605" s="141">
        <f t="shared" si="363"/>
        <v>0</v>
      </c>
      <c r="AY605" s="141">
        <f t="shared" si="363"/>
        <v>0</v>
      </c>
      <c r="AZ605" s="141">
        <f t="shared" si="363"/>
        <v>0</v>
      </c>
      <c r="BA605" s="141">
        <f t="shared" si="363"/>
        <v>0</v>
      </c>
      <c r="BB605" s="141">
        <f t="shared" si="363"/>
        <v>0</v>
      </c>
      <c r="BC605" s="141">
        <f t="shared" si="363"/>
        <v>0</v>
      </c>
      <c r="BD605" s="141">
        <f t="shared" si="363"/>
        <v>0</v>
      </c>
      <c r="BE605" s="141">
        <f t="shared" si="363"/>
        <v>0</v>
      </c>
      <c r="BF605" s="141">
        <f t="shared" si="363"/>
        <v>0</v>
      </c>
      <c r="BG605" s="141">
        <f t="shared" si="363"/>
        <v>0</v>
      </c>
      <c r="BH605" s="141">
        <f t="shared" si="363"/>
        <v>0</v>
      </c>
      <c r="BI605" s="141">
        <f t="shared" si="363"/>
        <v>0</v>
      </c>
      <c r="BJ605" s="142">
        <f t="shared" si="363"/>
        <v>0</v>
      </c>
      <c r="BK605" s="141"/>
      <c r="BL605" s="141"/>
    </row>
    <row r="606" spans="1:64" s="143" customFormat="1" ht="12.75">
      <c r="A606" s="138" t="s">
        <v>129</v>
      </c>
      <c r="B606" s="139">
        <f>SUM(C606:BJ606)</f>
        <v>18021665.547736932</v>
      </c>
      <c r="C606" s="140">
        <f>C549*(1+$G517)^(C518-1)</f>
        <v>879723.31003739918</v>
      </c>
      <c r="D606" s="141">
        <f t="shared" ref="D606:BJ606" si="364">D549*(1+$G517)^(D518-1)</f>
        <v>904746.55085624079</v>
      </c>
      <c r="E606" s="141">
        <f t="shared" si="364"/>
        <v>909219.45515260869</v>
      </c>
      <c r="F606" s="141">
        <f t="shared" si="364"/>
        <v>912602.59731131594</v>
      </c>
      <c r="G606" s="141">
        <f t="shared" si="364"/>
        <v>914801.63971447584</v>
      </c>
      <c r="H606" s="141">
        <f t="shared" si="364"/>
        <v>915716.44135419035</v>
      </c>
      <c r="I606" s="141">
        <f t="shared" si="364"/>
        <v>915240.74450153881</v>
      </c>
      <c r="J606" s="141">
        <f t="shared" si="364"/>
        <v>913261.84559450822</v>
      </c>
      <c r="K606" s="141">
        <f t="shared" si="364"/>
        <v>909660.24958371301</v>
      </c>
      <c r="L606" s="141">
        <f t="shared" si="364"/>
        <v>904309.30693910306</v>
      </c>
      <c r="M606" s="141">
        <f t="shared" si="364"/>
        <v>897074.83248359011</v>
      </c>
      <c r="N606" s="141">
        <f t="shared" si="364"/>
        <v>887814.70518053335</v>
      </c>
      <c r="O606" s="141">
        <f t="shared" si="364"/>
        <v>876378.44796125893</v>
      </c>
      <c r="P606" s="141">
        <f t="shared" si="364"/>
        <v>862606.78663615324</v>
      </c>
      <c r="Q606" s="141">
        <f t="shared" si="364"/>
        <v>846331.18688830116</v>
      </c>
      <c r="R606" s="141">
        <f t="shared" si="364"/>
        <v>827373.36830200301</v>
      </c>
      <c r="S606" s="141">
        <f t="shared" si="364"/>
        <v>805544.79432978004</v>
      </c>
      <c r="T606" s="141">
        <f t="shared" si="364"/>
        <v>780646.13705049572</v>
      </c>
      <c r="U606" s="141">
        <f t="shared" si="364"/>
        <v>752466.71551794128</v>
      </c>
      <c r="V606" s="141">
        <f t="shared" si="364"/>
        <v>720783.90644350159</v>
      </c>
      <c r="W606" s="141">
        <f t="shared" si="364"/>
        <v>685362.52589827788</v>
      </c>
      <c r="X606" s="141">
        <f t="shared" si="364"/>
        <v>0</v>
      </c>
      <c r="Y606" s="141">
        <f t="shared" si="364"/>
        <v>0</v>
      </c>
      <c r="Z606" s="141">
        <f t="shared" si="364"/>
        <v>0</v>
      </c>
      <c r="AA606" s="141">
        <f t="shared" si="364"/>
        <v>0</v>
      </c>
      <c r="AB606" s="141">
        <f t="shared" si="364"/>
        <v>0</v>
      </c>
      <c r="AC606" s="141">
        <f t="shared" si="364"/>
        <v>0</v>
      </c>
      <c r="AD606" s="141">
        <f t="shared" si="364"/>
        <v>0</v>
      </c>
      <c r="AE606" s="141">
        <f t="shared" si="364"/>
        <v>0</v>
      </c>
      <c r="AF606" s="141">
        <f t="shared" si="364"/>
        <v>0</v>
      </c>
      <c r="AG606" s="141">
        <f t="shared" si="364"/>
        <v>0</v>
      </c>
      <c r="AH606" s="141">
        <f t="shared" si="364"/>
        <v>0</v>
      </c>
      <c r="AI606" s="141">
        <f t="shared" si="364"/>
        <v>0</v>
      </c>
      <c r="AJ606" s="141">
        <f t="shared" si="364"/>
        <v>0</v>
      </c>
      <c r="AK606" s="141">
        <f t="shared" si="364"/>
        <v>0</v>
      </c>
      <c r="AL606" s="141">
        <f t="shared" si="364"/>
        <v>0</v>
      </c>
      <c r="AM606" s="141">
        <f t="shared" si="364"/>
        <v>0</v>
      </c>
      <c r="AN606" s="141">
        <f t="shared" si="364"/>
        <v>0</v>
      </c>
      <c r="AO606" s="141">
        <f t="shared" si="364"/>
        <v>0</v>
      </c>
      <c r="AP606" s="141">
        <f t="shared" si="364"/>
        <v>0</v>
      </c>
      <c r="AQ606" s="141">
        <f t="shared" si="364"/>
        <v>0</v>
      </c>
      <c r="AR606" s="141">
        <f t="shared" si="364"/>
        <v>0</v>
      </c>
      <c r="AS606" s="141">
        <f t="shared" si="364"/>
        <v>0</v>
      </c>
      <c r="AT606" s="141">
        <f t="shared" si="364"/>
        <v>0</v>
      </c>
      <c r="AU606" s="141">
        <f t="shared" si="364"/>
        <v>0</v>
      </c>
      <c r="AV606" s="141">
        <f t="shared" si="364"/>
        <v>0</v>
      </c>
      <c r="AW606" s="141">
        <f t="shared" si="364"/>
        <v>0</v>
      </c>
      <c r="AX606" s="141">
        <f t="shared" si="364"/>
        <v>0</v>
      </c>
      <c r="AY606" s="141">
        <f t="shared" si="364"/>
        <v>0</v>
      </c>
      <c r="AZ606" s="141">
        <f t="shared" si="364"/>
        <v>0</v>
      </c>
      <c r="BA606" s="141">
        <f t="shared" si="364"/>
        <v>0</v>
      </c>
      <c r="BB606" s="141">
        <f t="shared" si="364"/>
        <v>0</v>
      </c>
      <c r="BC606" s="141">
        <f t="shared" si="364"/>
        <v>0</v>
      </c>
      <c r="BD606" s="141">
        <f t="shared" si="364"/>
        <v>0</v>
      </c>
      <c r="BE606" s="141">
        <f t="shared" si="364"/>
        <v>0</v>
      </c>
      <c r="BF606" s="141">
        <f t="shared" si="364"/>
        <v>0</v>
      </c>
      <c r="BG606" s="141">
        <f t="shared" si="364"/>
        <v>0</v>
      </c>
      <c r="BH606" s="141">
        <f t="shared" si="364"/>
        <v>0</v>
      </c>
      <c r="BI606" s="141">
        <f t="shared" si="364"/>
        <v>0</v>
      </c>
      <c r="BJ606" s="142">
        <f t="shared" si="364"/>
        <v>0</v>
      </c>
      <c r="BK606" s="141"/>
      <c r="BL606" s="141"/>
    </row>
    <row r="607" spans="1:64" s="116" customFormat="1">
      <c r="A607" s="111" t="s">
        <v>133</v>
      </c>
      <c r="B607" s="155">
        <f>SUM(B608:B611)</f>
        <v>149270060.44766653</v>
      </c>
      <c r="C607" s="117">
        <f>SUM(C608:C611)</f>
        <v>668832.14970365108</v>
      </c>
      <c r="D607" s="118">
        <f>SUM(D608:D611)</f>
        <v>1492827.7872101383</v>
      </c>
      <c r="E607" s="118">
        <f>SUM(E608:E611)</f>
        <v>2854815.2778717512</v>
      </c>
      <c r="F607" s="118">
        <f t="shared" ref="F607:AJ607" si="365">SUM(F608:F611)</f>
        <v>4323373.243326758</v>
      </c>
      <c r="G607" s="118">
        <f t="shared" si="365"/>
        <v>5904848.1415735697</v>
      </c>
      <c r="H607" s="118">
        <f t="shared" si="365"/>
        <v>6141042.0672365138</v>
      </c>
      <c r="I607" s="118">
        <f t="shared" si="365"/>
        <v>6386683.7499259738</v>
      </c>
      <c r="J607" s="118">
        <f t="shared" si="365"/>
        <v>6642151.0999230128</v>
      </c>
      <c r="K607" s="118">
        <f t="shared" si="365"/>
        <v>6907837.1439199345</v>
      </c>
      <c r="L607" s="118">
        <f t="shared" si="365"/>
        <v>7184150.6296767322</v>
      </c>
      <c r="M607" s="118">
        <f t="shared" si="365"/>
        <v>7471516.6548638018</v>
      </c>
      <c r="N607" s="118">
        <f t="shared" si="365"/>
        <v>7770377.3210583534</v>
      </c>
      <c r="O607" s="118">
        <f t="shared" si="365"/>
        <v>8081192.4139006892</v>
      </c>
      <c r="P607" s="118">
        <f t="shared" si="365"/>
        <v>8404440.1104567163</v>
      </c>
      <c r="Q607" s="118">
        <f t="shared" si="365"/>
        <v>8740617.7148749847</v>
      </c>
      <c r="R607" s="118">
        <f t="shared" si="365"/>
        <v>9090242.423469983</v>
      </c>
      <c r="S607" s="118">
        <f t="shared" si="365"/>
        <v>9453852.1204087846</v>
      </c>
      <c r="T607" s="118">
        <f t="shared" si="365"/>
        <v>9832006.205225138</v>
      </c>
      <c r="U607" s="118">
        <f t="shared" si="365"/>
        <v>10225286.453434145</v>
      </c>
      <c r="V607" s="118">
        <f t="shared" si="365"/>
        <v>10634297.911571508</v>
      </c>
      <c r="W607" s="118">
        <f t="shared" si="365"/>
        <v>11059669.828034369</v>
      </c>
      <c r="X607" s="118">
        <f t="shared" si="365"/>
        <v>0</v>
      </c>
      <c r="Y607" s="118">
        <f t="shared" si="365"/>
        <v>0</v>
      </c>
      <c r="Z607" s="118">
        <f t="shared" si="365"/>
        <v>0</v>
      </c>
      <c r="AA607" s="118">
        <f t="shared" si="365"/>
        <v>0</v>
      </c>
      <c r="AB607" s="118">
        <f t="shared" si="365"/>
        <v>0</v>
      </c>
      <c r="AC607" s="118">
        <f t="shared" si="365"/>
        <v>0</v>
      </c>
      <c r="AD607" s="118">
        <f t="shared" si="365"/>
        <v>0</v>
      </c>
      <c r="AE607" s="118">
        <f t="shared" si="365"/>
        <v>0</v>
      </c>
      <c r="AF607" s="118">
        <f t="shared" si="365"/>
        <v>0</v>
      </c>
      <c r="AG607" s="118">
        <f t="shared" si="365"/>
        <v>0</v>
      </c>
      <c r="AH607" s="118">
        <f t="shared" si="365"/>
        <v>0</v>
      </c>
      <c r="AI607" s="118">
        <f t="shared" si="365"/>
        <v>0</v>
      </c>
      <c r="AJ607" s="118">
        <f t="shared" si="365"/>
        <v>0</v>
      </c>
      <c r="AK607" s="118"/>
      <c r="AL607" s="118"/>
      <c r="AM607" s="118"/>
      <c r="AN607" s="118"/>
      <c r="AO607" s="118"/>
      <c r="AP607" s="118"/>
      <c r="AQ607" s="118"/>
      <c r="AR607" s="118"/>
      <c r="AS607" s="118"/>
      <c r="AT607" s="118"/>
      <c r="AU607" s="118"/>
      <c r="AV607" s="118"/>
      <c r="AW607" s="118"/>
      <c r="AX607" s="118"/>
      <c r="AY607" s="118"/>
      <c r="AZ607" s="118"/>
      <c r="BA607" s="118"/>
      <c r="BB607" s="118"/>
      <c r="BC607" s="118"/>
      <c r="BD607" s="118"/>
      <c r="BE607" s="118"/>
      <c r="BF607" s="118"/>
      <c r="BG607" s="118"/>
      <c r="BH607" s="118"/>
      <c r="BI607" s="118"/>
      <c r="BJ607" s="119"/>
      <c r="BK607" s="118"/>
      <c r="BL607" s="118"/>
    </row>
    <row r="608" spans="1:64" s="143" customFormat="1" ht="12.75">
      <c r="A608" s="138" t="s">
        <v>126</v>
      </c>
      <c r="B608" s="139">
        <f t="shared" ref="B608:B614" si="366">SUM(C608:BJ608)</f>
        <v>54749084.719298922</v>
      </c>
      <c r="C608" s="140">
        <f>C551*(1+$G517)^(C518-1)</f>
        <v>0</v>
      </c>
      <c r="D608" s="141">
        <f>D551*(1+$G517)^(D518-1)</f>
        <v>0</v>
      </c>
      <c r="E608" s="141">
        <f t="shared" ref="E608:BJ608" si="367">E551*(1+$G517)^(E518-1)</f>
        <v>684588.7185133443</v>
      </c>
      <c r="F608" s="141">
        <f t="shared" si="367"/>
        <v>1423944.5345077561</v>
      </c>
      <c r="G608" s="141">
        <f t="shared" si="367"/>
        <v>2221353.4738320997</v>
      </c>
      <c r="H608" s="141">
        <f t="shared" si="367"/>
        <v>2310207.6127853841</v>
      </c>
      <c r="I608" s="141">
        <f t="shared" si="367"/>
        <v>2402615.9172967994</v>
      </c>
      <c r="J608" s="141">
        <f t="shared" si="367"/>
        <v>2498720.5539886714</v>
      </c>
      <c r="K608" s="141">
        <f t="shared" si="367"/>
        <v>2598669.3761482188</v>
      </c>
      <c r="L608" s="141">
        <f t="shared" si="367"/>
        <v>2702616.1511941478</v>
      </c>
      <c r="M608" s="141">
        <f t="shared" si="367"/>
        <v>2810720.7972419136</v>
      </c>
      <c r="N608" s="141">
        <f t="shared" si="367"/>
        <v>2923149.6291315896</v>
      </c>
      <c r="O608" s="141">
        <f t="shared" si="367"/>
        <v>3040075.614296854</v>
      </c>
      <c r="P608" s="141">
        <f t="shared" si="367"/>
        <v>3161678.6388687282</v>
      </c>
      <c r="Q608" s="141">
        <f t="shared" si="367"/>
        <v>3288145.7844234775</v>
      </c>
      <c r="R608" s="141">
        <f t="shared" si="367"/>
        <v>3419671.6158004166</v>
      </c>
      <c r="S608" s="141">
        <f t="shared" si="367"/>
        <v>3556458.4804324335</v>
      </c>
      <c r="T608" s="141">
        <f t="shared" si="367"/>
        <v>3698716.8196497313</v>
      </c>
      <c r="U608" s="141">
        <f t="shared" si="367"/>
        <v>3846665.4924357207</v>
      </c>
      <c r="V608" s="141">
        <f t="shared" si="367"/>
        <v>4000532.1121331495</v>
      </c>
      <c r="W608" s="141">
        <f t="shared" si="367"/>
        <v>4160553.3966184757</v>
      </c>
      <c r="X608" s="141">
        <f t="shared" si="367"/>
        <v>0</v>
      </c>
      <c r="Y608" s="141">
        <f t="shared" si="367"/>
        <v>0</v>
      </c>
      <c r="Z608" s="141">
        <f t="shared" si="367"/>
        <v>0</v>
      </c>
      <c r="AA608" s="141">
        <f t="shared" si="367"/>
        <v>0</v>
      </c>
      <c r="AB608" s="141">
        <f t="shared" si="367"/>
        <v>0</v>
      </c>
      <c r="AC608" s="141">
        <f t="shared" si="367"/>
        <v>0</v>
      </c>
      <c r="AD608" s="141">
        <f t="shared" si="367"/>
        <v>0</v>
      </c>
      <c r="AE608" s="141">
        <f t="shared" si="367"/>
        <v>0</v>
      </c>
      <c r="AF608" s="141">
        <f t="shared" si="367"/>
        <v>0</v>
      </c>
      <c r="AG608" s="141">
        <f t="shared" si="367"/>
        <v>0</v>
      </c>
      <c r="AH608" s="141">
        <f t="shared" si="367"/>
        <v>0</v>
      </c>
      <c r="AI608" s="141">
        <f t="shared" si="367"/>
        <v>0</v>
      </c>
      <c r="AJ608" s="141">
        <f t="shared" si="367"/>
        <v>0</v>
      </c>
      <c r="AK608" s="141">
        <f t="shared" si="367"/>
        <v>0</v>
      </c>
      <c r="AL608" s="141">
        <f t="shared" si="367"/>
        <v>0</v>
      </c>
      <c r="AM608" s="141">
        <f t="shared" si="367"/>
        <v>0</v>
      </c>
      <c r="AN608" s="141">
        <f t="shared" si="367"/>
        <v>0</v>
      </c>
      <c r="AO608" s="141">
        <f t="shared" si="367"/>
        <v>0</v>
      </c>
      <c r="AP608" s="141">
        <f t="shared" si="367"/>
        <v>0</v>
      </c>
      <c r="AQ608" s="141">
        <f t="shared" si="367"/>
        <v>0</v>
      </c>
      <c r="AR608" s="141">
        <f t="shared" si="367"/>
        <v>0</v>
      </c>
      <c r="AS608" s="141">
        <f t="shared" si="367"/>
        <v>0</v>
      </c>
      <c r="AT608" s="141">
        <f t="shared" si="367"/>
        <v>0</v>
      </c>
      <c r="AU608" s="141">
        <f t="shared" si="367"/>
        <v>0</v>
      </c>
      <c r="AV608" s="141">
        <f t="shared" si="367"/>
        <v>0</v>
      </c>
      <c r="AW608" s="141">
        <f t="shared" si="367"/>
        <v>0</v>
      </c>
      <c r="AX608" s="141">
        <f t="shared" si="367"/>
        <v>0</v>
      </c>
      <c r="AY608" s="141">
        <f t="shared" si="367"/>
        <v>0</v>
      </c>
      <c r="AZ608" s="141">
        <f t="shared" si="367"/>
        <v>0</v>
      </c>
      <c r="BA608" s="141">
        <f t="shared" si="367"/>
        <v>0</v>
      </c>
      <c r="BB608" s="141">
        <f t="shared" si="367"/>
        <v>0</v>
      </c>
      <c r="BC608" s="141">
        <f t="shared" si="367"/>
        <v>0</v>
      </c>
      <c r="BD608" s="141">
        <f t="shared" si="367"/>
        <v>0</v>
      </c>
      <c r="BE608" s="141">
        <f t="shared" si="367"/>
        <v>0</v>
      </c>
      <c r="BF608" s="141">
        <f t="shared" si="367"/>
        <v>0</v>
      </c>
      <c r="BG608" s="141">
        <f t="shared" si="367"/>
        <v>0</v>
      </c>
      <c r="BH608" s="141">
        <f t="shared" si="367"/>
        <v>0</v>
      </c>
      <c r="BI608" s="141">
        <f t="shared" si="367"/>
        <v>0</v>
      </c>
      <c r="BJ608" s="142">
        <f t="shared" si="367"/>
        <v>0</v>
      </c>
      <c r="BK608" s="141"/>
      <c r="BL608" s="141"/>
    </row>
    <row r="609" spans="1:64" s="143" customFormat="1" ht="12.75">
      <c r="A609" s="138" t="s">
        <v>127</v>
      </c>
      <c r="B609" s="139">
        <f t="shared" si="366"/>
        <v>0</v>
      </c>
      <c r="C609" s="140">
        <f>C552*(1+$G517)^(C518-1)</f>
        <v>0</v>
      </c>
      <c r="D609" s="141">
        <f>D552*(1+$G517)^(D518-1)</f>
        <v>0</v>
      </c>
      <c r="E609" s="141">
        <f t="shared" ref="E609:BJ609" si="368">E552*(1+$G517)^(E518-1)</f>
        <v>0</v>
      </c>
      <c r="F609" s="141">
        <f t="shared" si="368"/>
        <v>0</v>
      </c>
      <c r="G609" s="141">
        <f t="shared" si="368"/>
        <v>0</v>
      </c>
      <c r="H609" s="141">
        <f t="shared" si="368"/>
        <v>0</v>
      </c>
      <c r="I609" s="141">
        <f t="shared" si="368"/>
        <v>0</v>
      </c>
      <c r="J609" s="141">
        <f t="shared" si="368"/>
        <v>0</v>
      </c>
      <c r="K609" s="141">
        <f t="shared" si="368"/>
        <v>0</v>
      </c>
      <c r="L609" s="141">
        <f t="shared" si="368"/>
        <v>0</v>
      </c>
      <c r="M609" s="141">
        <f t="shared" si="368"/>
        <v>0</v>
      </c>
      <c r="N609" s="141">
        <f t="shared" si="368"/>
        <v>0</v>
      </c>
      <c r="O609" s="141">
        <f t="shared" si="368"/>
        <v>0</v>
      </c>
      <c r="P609" s="141">
        <f t="shared" si="368"/>
        <v>0</v>
      </c>
      <c r="Q609" s="141">
        <f t="shared" si="368"/>
        <v>0</v>
      </c>
      <c r="R609" s="141">
        <f t="shared" si="368"/>
        <v>0</v>
      </c>
      <c r="S609" s="141">
        <f t="shared" si="368"/>
        <v>0</v>
      </c>
      <c r="T609" s="141">
        <f t="shared" si="368"/>
        <v>0</v>
      </c>
      <c r="U609" s="141">
        <f t="shared" si="368"/>
        <v>0</v>
      </c>
      <c r="V609" s="141">
        <f t="shared" si="368"/>
        <v>0</v>
      </c>
      <c r="W609" s="141">
        <f t="shared" si="368"/>
        <v>0</v>
      </c>
      <c r="X609" s="141">
        <f t="shared" si="368"/>
        <v>0</v>
      </c>
      <c r="Y609" s="141">
        <f t="shared" si="368"/>
        <v>0</v>
      </c>
      <c r="Z609" s="141">
        <f t="shared" si="368"/>
        <v>0</v>
      </c>
      <c r="AA609" s="141">
        <f t="shared" si="368"/>
        <v>0</v>
      </c>
      <c r="AB609" s="141">
        <f t="shared" si="368"/>
        <v>0</v>
      </c>
      <c r="AC609" s="141">
        <f t="shared" si="368"/>
        <v>0</v>
      </c>
      <c r="AD609" s="141">
        <f t="shared" si="368"/>
        <v>0</v>
      </c>
      <c r="AE609" s="141">
        <f t="shared" si="368"/>
        <v>0</v>
      </c>
      <c r="AF609" s="141">
        <f t="shared" si="368"/>
        <v>0</v>
      </c>
      <c r="AG609" s="141">
        <f t="shared" si="368"/>
        <v>0</v>
      </c>
      <c r="AH609" s="141">
        <f t="shared" si="368"/>
        <v>0</v>
      </c>
      <c r="AI609" s="141">
        <f t="shared" si="368"/>
        <v>0</v>
      </c>
      <c r="AJ609" s="141">
        <f t="shared" si="368"/>
        <v>0</v>
      </c>
      <c r="AK609" s="141">
        <f t="shared" si="368"/>
        <v>0</v>
      </c>
      <c r="AL609" s="141">
        <f t="shared" si="368"/>
        <v>0</v>
      </c>
      <c r="AM609" s="141">
        <f t="shared" si="368"/>
        <v>0</v>
      </c>
      <c r="AN609" s="141">
        <f t="shared" si="368"/>
        <v>0</v>
      </c>
      <c r="AO609" s="141">
        <f t="shared" si="368"/>
        <v>0</v>
      </c>
      <c r="AP609" s="141">
        <f t="shared" si="368"/>
        <v>0</v>
      </c>
      <c r="AQ609" s="141">
        <f t="shared" si="368"/>
        <v>0</v>
      </c>
      <c r="AR609" s="141">
        <f t="shared" si="368"/>
        <v>0</v>
      </c>
      <c r="AS609" s="141">
        <f t="shared" si="368"/>
        <v>0</v>
      </c>
      <c r="AT609" s="141">
        <f t="shared" si="368"/>
        <v>0</v>
      </c>
      <c r="AU609" s="141">
        <f t="shared" si="368"/>
        <v>0</v>
      </c>
      <c r="AV609" s="141">
        <f t="shared" si="368"/>
        <v>0</v>
      </c>
      <c r="AW609" s="141">
        <f t="shared" si="368"/>
        <v>0</v>
      </c>
      <c r="AX609" s="141">
        <f t="shared" si="368"/>
        <v>0</v>
      </c>
      <c r="AY609" s="141">
        <f t="shared" si="368"/>
        <v>0</v>
      </c>
      <c r="AZ609" s="141">
        <f t="shared" si="368"/>
        <v>0</v>
      </c>
      <c r="BA609" s="141">
        <f t="shared" si="368"/>
        <v>0</v>
      </c>
      <c r="BB609" s="141">
        <f t="shared" si="368"/>
        <v>0</v>
      </c>
      <c r="BC609" s="141">
        <f t="shared" si="368"/>
        <v>0</v>
      </c>
      <c r="BD609" s="141">
        <f t="shared" si="368"/>
        <v>0</v>
      </c>
      <c r="BE609" s="141">
        <f t="shared" si="368"/>
        <v>0</v>
      </c>
      <c r="BF609" s="141">
        <f t="shared" si="368"/>
        <v>0</v>
      </c>
      <c r="BG609" s="141">
        <f t="shared" si="368"/>
        <v>0</v>
      </c>
      <c r="BH609" s="141">
        <f t="shared" si="368"/>
        <v>0</v>
      </c>
      <c r="BI609" s="141">
        <f t="shared" si="368"/>
        <v>0</v>
      </c>
      <c r="BJ609" s="142">
        <f t="shared" si="368"/>
        <v>0</v>
      </c>
      <c r="BK609" s="141"/>
      <c r="BL609" s="141"/>
    </row>
    <row r="610" spans="1:64" s="143" customFormat="1" ht="12.75">
      <c r="A610" s="138" t="s">
        <v>128</v>
      </c>
      <c r="B610" s="139">
        <f t="shared" si="366"/>
        <v>85341785.812139243</v>
      </c>
      <c r="C610" s="140">
        <f>C553*(1+$G517)^(C518-1)</f>
        <v>571085.11525505118</v>
      </c>
      <c r="D610" s="141">
        <f>D553*(1+$G517)^(D518-1)</f>
        <v>1187857.0397305065</v>
      </c>
      <c r="E610" s="141">
        <f t="shared" ref="E610:BJ610" si="369">E553*(1+$G517)^(E518-1)</f>
        <v>1853056.9819795901</v>
      </c>
      <c r="F610" s="141">
        <f t="shared" si="369"/>
        <v>2569572.348345032</v>
      </c>
      <c r="G610" s="141">
        <f t="shared" si="369"/>
        <v>3340444.0528485416</v>
      </c>
      <c r="H610" s="141">
        <f t="shared" si="369"/>
        <v>3474061.8149624839</v>
      </c>
      <c r="I610" s="141">
        <f t="shared" si="369"/>
        <v>3613024.2875609831</v>
      </c>
      <c r="J610" s="141">
        <f t="shared" si="369"/>
        <v>3757545.2590634222</v>
      </c>
      <c r="K610" s="141">
        <f t="shared" si="369"/>
        <v>3907847.0694259596</v>
      </c>
      <c r="L610" s="141">
        <f t="shared" si="369"/>
        <v>4064160.9522029986</v>
      </c>
      <c r="M610" s="141">
        <f t="shared" si="369"/>
        <v>4226727.3902911181</v>
      </c>
      <c r="N610" s="141">
        <f t="shared" si="369"/>
        <v>4395796.485902763</v>
      </c>
      <c r="O610" s="141">
        <f t="shared" si="369"/>
        <v>4571628.3453388745</v>
      </c>
      <c r="P610" s="141">
        <f t="shared" si="369"/>
        <v>4754493.4791524289</v>
      </c>
      <c r="Q610" s="141">
        <f t="shared" si="369"/>
        <v>4944673.2183185266</v>
      </c>
      <c r="R610" s="141">
        <f t="shared" si="369"/>
        <v>5142460.1470512673</v>
      </c>
      <c r="S610" s="141">
        <f t="shared" si="369"/>
        <v>5348158.5529333185</v>
      </c>
      <c r="T610" s="141">
        <f t="shared" si="369"/>
        <v>5562084.8950506523</v>
      </c>
      <c r="U610" s="141">
        <f t="shared" si="369"/>
        <v>5784568.2908526789</v>
      </c>
      <c r="V610" s="141">
        <f t="shared" si="369"/>
        <v>6015951.0224867854</v>
      </c>
      <c r="W610" s="141">
        <f t="shared" si="369"/>
        <v>6256589.0633862568</v>
      </c>
      <c r="X610" s="141">
        <f t="shared" si="369"/>
        <v>0</v>
      </c>
      <c r="Y610" s="141">
        <f t="shared" si="369"/>
        <v>0</v>
      </c>
      <c r="Z610" s="141">
        <f t="shared" si="369"/>
        <v>0</v>
      </c>
      <c r="AA610" s="141">
        <f t="shared" si="369"/>
        <v>0</v>
      </c>
      <c r="AB610" s="141">
        <f t="shared" si="369"/>
        <v>0</v>
      </c>
      <c r="AC610" s="141">
        <f t="shared" si="369"/>
        <v>0</v>
      </c>
      <c r="AD610" s="141">
        <f t="shared" si="369"/>
        <v>0</v>
      </c>
      <c r="AE610" s="141">
        <f t="shared" si="369"/>
        <v>0</v>
      </c>
      <c r="AF610" s="141">
        <f t="shared" si="369"/>
        <v>0</v>
      </c>
      <c r="AG610" s="141">
        <f t="shared" si="369"/>
        <v>0</v>
      </c>
      <c r="AH610" s="141">
        <f t="shared" si="369"/>
        <v>0</v>
      </c>
      <c r="AI610" s="141">
        <f t="shared" si="369"/>
        <v>0</v>
      </c>
      <c r="AJ610" s="141">
        <f t="shared" si="369"/>
        <v>0</v>
      </c>
      <c r="AK610" s="141">
        <f t="shared" si="369"/>
        <v>0</v>
      </c>
      <c r="AL610" s="141">
        <f t="shared" si="369"/>
        <v>0</v>
      </c>
      <c r="AM610" s="141">
        <f t="shared" si="369"/>
        <v>0</v>
      </c>
      <c r="AN610" s="141">
        <f t="shared" si="369"/>
        <v>0</v>
      </c>
      <c r="AO610" s="141">
        <f t="shared" si="369"/>
        <v>0</v>
      </c>
      <c r="AP610" s="141">
        <f t="shared" si="369"/>
        <v>0</v>
      </c>
      <c r="AQ610" s="141">
        <f t="shared" si="369"/>
        <v>0</v>
      </c>
      <c r="AR610" s="141">
        <f t="shared" si="369"/>
        <v>0</v>
      </c>
      <c r="AS610" s="141">
        <f t="shared" si="369"/>
        <v>0</v>
      </c>
      <c r="AT610" s="141">
        <f t="shared" si="369"/>
        <v>0</v>
      </c>
      <c r="AU610" s="141">
        <f t="shared" si="369"/>
        <v>0</v>
      </c>
      <c r="AV610" s="141">
        <f t="shared" si="369"/>
        <v>0</v>
      </c>
      <c r="AW610" s="141">
        <f t="shared" si="369"/>
        <v>0</v>
      </c>
      <c r="AX610" s="141">
        <f t="shared" si="369"/>
        <v>0</v>
      </c>
      <c r="AY610" s="141">
        <f t="shared" si="369"/>
        <v>0</v>
      </c>
      <c r="AZ610" s="141">
        <f t="shared" si="369"/>
        <v>0</v>
      </c>
      <c r="BA610" s="141">
        <f t="shared" si="369"/>
        <v>0</v>
      </c>
      <c r="BB610" s="141">
        <f t="shared" si="369"/>
        <v>0</v>
      </c>
      <c r="BC610" s="141">
        <f t="shared" si="369"/>
        <v>0</v>
      </c>
      <c r="BD610" s="141">
        <f t="shared" si="369"/>
        <v>0</v>
      </c>
      <c r="BE610" s="141">
        <f t="shared" si="369"/>
        <v>0</v>
      </c>
      <c r="BF610" s="141">
        <f t="shared" si="369"/>
        <v>0</v>
      </c>
      <c r="BG610" s="141">
        <f t="shared" si="369"/>
        <v>0</v>
      </c>
      <c r="BH610" s="141">
        <f t="shared" si="369"/>
        <v>0</v>
      </c>
      <c r="BI610" s="141">
        <f t="shared" si="369"/>
        <v>0</v>
      </c>
      <c r="BJ610" s="142">
        <f t="shared" si="369"/>
        <v>0</v>
      </c>
      <c r="BK610" s="141"/>
      <c r="BL610" s="141"/>
    </row>
    <row r="611" spans="1:64" s="143" customFormat="1" ht="12.75">
      <c r="A611" s="138" t="s">
        <v>129</v>
      </c>
      <c r="B611" s="139">
        <f t="shared" si="366"/>
        <v>9179189.9162283596</v>
      </c>
      <c r="C611" s="213">
        <f>C554*(1+$G517)^(C518-1)</f>
        <v>97747.034448599909</v>
      </c>
      <c r="D611" s="214">
        <f>D554*(1+$G517)^(D518-1)</f>
        <v>304970.74747963174</v>
      </c>
      <c r="E611" s="214">
        <f t="shared" ref="E611:BJ611" si="370">E554*(1+$G517)^(E518-1)</f>
        <v>317169.57737881702</v>
      </c>
      <c r="F611" s="214">
        <f t="shared" si="370"/>
        <v>329856.36047396966</v>
      </c>
      <c r="G611" s="214">
        <f t="shared" si="370"/>
        <v>343050.61489292851</v>
      </c>
      <c r="H611" s="214">
        <f t="shared" si="370"/>
        <v>356772.63948864571</v>
      </c>
      <c r="I611" s="214">
        <f t="shared" si="370"/>
        <v>371043.54506819154</v>
      </c>
      <c r="J611" s="214">
        <f t="shared" si="370"/>
        <v>385885.28687091917</v>
      </c>
      <c r="K611" s="214">
        <f t="shared" si="370"/>
        <v>401320.69834575598</v>
      </c>
      <c r="L611" s="214">
        <f t="shared" si="370"/>
        <v>417373.52627958625</v>
      </c>
      <c r="M611" s="214">
        <f t="shared" si="370"/>
        <v>434068.46733076969</v>
      </c>
      <c r="N611" s="214">
        <f t="shared" si="370"/>
        <v>451431.20602400048</v>
      </c>
      <c r="O611" s="214">
        <f t="shared" si="370"/>
        <v>469488.4542649606</v>
      </c>
      <c r="P611" s="214">
        <f t="shared" si="370"/>
        <v>488267.99243555899</v>
      </c>
      <c r="Q611" s="214">
        <f t="shared" si="370"/>
        <v>507798.71213298134</v>
      </c>
      <c r="R611" s="214">
        <f t="shared" si="370"/>
        <v>528110.66061830055</v>
      </c>
      <c r="S611" s="214">
        <f t="shared" si="370"/>
        <v>549235.08704303275</v>
      </c>
      <c r="T611" s="214">
        <f t="shared" si="370"/>
        <v>571204.49052475404</v>
      </c>
      <c r="U611" s="214">
        <f t="shared" si="370"/>
        <v>594052.67014574423</v>
      </c>
      <c r="V611" s="214">
        <f t="shared" si="370"/>
        <v>617814.77695157402</v>
      </c>
      <c r="W611" s="214">
        <f t="shared" si="370"/>
        <v>642527.36802963703</v>
      </c>
      <c r="X611" s="214">
        <f t="shared" si="370"/>
        <v>0</v>
      </c>
      <c r="Y611" s="214">
        <f t="shared" si="370"/>
        <v>0</v>
      </c>
      <c r="Z611" s="214">
        <f t="shared" si="370"/>
        <v>0</v>
      </c>
      <c r="AA611" s="214">
        <f t="shared" si="370"/>
        <v>0</v>
      </c>
      <c r="AB611" s="214">
        <f t="shared" si="370"/>
        <v>0</v>
      </c>
      <c r="AC611" s="214">
        <f t="shared" si="370"/>
        <v>0</v>
      </c>
      <c r="AD611" s="214">
        <f t="shared" si="370"/>
        <v>0</v>
      </c>
      <c r="AE611" s="214">
        <f t="shared" si="370"/>
        <v>0</v>
      </c>
      <c r="AF611" s="214">
        <f t="shared" si="370"/>
        <v>0</v>
      </c>
      <c r="AG611" s="214">
        <f t="shared" si="370"/>
        <v>0</v>
      </c>
      <c r="AH611" s="214">
        <f t="shared" si="370"/>
        <v>0</v>
      </c>
      <c r="AI611" s="214">
        <f t="shared" si="370"/>
        <v>0</v>
      </c>
      <c r="AJ611" s="214">
        <f t="shared" si="370"/>
        <v>0</v>
      </c>
      <c r="AK611" s="214">
        <f t="shared" si="370"/>
        <v>0</v>
      </c>
      <c r="AL611" s="214">
        <f t="shared" si="370"/>
        <v>0</v>
      </c>
      <c r="AM611" s="214">
        <f t="shared" si="370"/>
        <v>0</v>
      </c>
      <c r="AN611" s="214">
        <f t="shared" si="370"/>
        <v>0</v>
      </c>
      <c r="AO611" s="214">
        <f t="shared" si="370"/>
        <v>0</v>
      </c>
      <c r="AP611" s="214">
        <f t="shared" si="370"/>
        <v>0</v>
      </c>
      <c r="AQ611" s="214">
        <f t="shared" si="370"/>
        <v>0</v>
      </c>
      <c r="AR611" s="214">
        <f t="shared" si="370"/>
        <v>0</v>
      </c>
      <c r="AS611" s="214">
        <f t="shared" si="370"/>
        <v>0</v>
      </c>
      <c r="AT611" s="214">
        <f t="shared" si="370"/>
        <v>0</v>
      </c>
      <c r="AU611" s="214">
        <f t="shared" si="370"/>
        <v>0</v>
      </c>
      <c r="AV611" s="214">
        <f t="shared" si="370"/>
        <v>0</v>
      </c>
      <c r="AW611" s="214">
        <f t="shared" si="370"/>
        <v>0</v>
      </c>
      <c r="AX611" s="214">
        <f t="shared" si="370"/>
        <v>0</v>
      </c>
      <c r="AY611" s="214">
        <f t="shared" si="370"/>
        <v>0</v>
      </c>
      <c r="AZ611" s="214">
        <f t="shared" si="370"/>
        <v>0</v>
      </c>
      <c r="BA611" s="214">
        <f t="shared" si="370"/>
        <v>0</v>
      </c>
      <c r="BB611" s="214">
        <f t="shared" si="370"/>
        <v>0</v>
      </c>
      <c r="BC611" s="214">
        <f t="shared" si="370"/>
        <v>0</v>
      </c>
      <c r="BD611" s="214">
        <f t="shared" si="370"/>
        <v>0</v>
      </c>
      <c r="BE611" s="214">
        <f t="shared" si="370"/>
        <v>0</v>
      </c>
      <c r="BF611" s="214">
        <f t="shared" si="370"/>
        <v>0</v>
      </c>
      <c r="BG611" s="214">
        <f t="shared" si="370"/>
        <v>0</v>
      </c>
      <c r="BH611" s="214">
        <f t="shared" si="370"/>
        <v>0</v>
      </c>
      <c r="BI611" s="214">
        <f t="shared" si="370"/>
        <v>0</v>
      </c>
      <c r="BJ611" s="215">
        <f t="shared" si="370"/>
        <v>0</v>
      </c>
      <c r="BK611" s="141"/>
      <c r="BL611" s="141"/>
    </row>
    <row r="612" spans="1:64" s="160" customFormat="1">
      <c r="A612" s="131" t="s">
        <v>134</v>
      </c>
      <c r="B612" s="156">
        <f t="shared" si="366"/>
        <v>2904567785.3243871</v>
      </c>
      <c r="C612" s="161">
        <f>C586-C587-C607</f>
        <v>-18339640.232366599</v>
      </c>
      <c r="D612" s="162">
        <f>D586-D587-D607</f>
        <v>-22327336.938265339</v>
      </c>
      <c r="E612" s="162">
        <f>E586-E587-E607</f>
        <v>-38716974.802793153</v>
      </c>
      <c r="F612" s="162">
        <f>F586-F587-F607</f>
        <v>-41620019.149245016</v>
      </c>
      <c r="G612" s="162">
        <f t="shared" ref="G612:BJ612" si="371">G586-G587-G607</f>
        <v>-44693359.883728556</v>
      </c>
      <c r="H612" s="162">
        <f t="shared" si="371"/>
        <v>29787358.136898033</v>
      </c>
      <c r="I612" s="162">
        <f t="shared" si="371"/>
        <v>68344388.674673885</v>
      </c>
      <c r="J612" s="162">
        <f t="shared" si="371"/>
        <v>109938321.88245273</v>
      </c>
      <c r="K612" s="162">
        <f t="shared" si="371"/>
        <v>154750418.72497445</v>
      </c>
      <c r="L612" s="162">
        <f t="shared" si="371"/>
        <v>233388859.09100688</v>
      </c>
      <c r="M612" s="162">
        <f t="shared" si="371"/>
        <v>242724413.45464715</v>
      </c>
      <c r="N612" s="162">
        <f t="shared" si="371"/>
        <v>252433389.99283305</v>
      </c>
      <c r="O612" s="162">
        <f t="shared" si="371"/>
        <v>262530725.59254643</v>
      </c>
      <c r="P612" s="162">
        <f t="shared" si="371"/>
        <v>273031954.61624837</v>
      </c>
      <c r="Q612" s="162">
        <f t="shared" si="371"/>
        <v>283953232.80089825</v>
      </c>
      <c r="R612" s="162">
        <f t="shared" si="371"/>
        <v>295311362.11293417</v>
      </c>
      <c r="S612" s="162">
        <f t="shared" si="371"/>
        <v>307123816.59745157</v>
      </c>
      <c r="T612" s="162">
        <f t="shared" si="371"/>
        <v>220258098.94842714</v>
      </c>
      <c r="U612" s="162">
        <f t="shared" si="371"/>
        <v>169244995.56641465</v>
      </c>
      <c r="V612" s="162">
        <f t="shared" si="371"/>
        <v>113798430.95552365</v>
      </c>
      <c r="W612" s="162">
        <f t="shared" si="371"/>
        <v>53645349.182855114</v>
      </c>
      <c r="X612" s="162">
        <f t="shared" si="371"/>
        <v>0</v>
      </c>
      <c r="Y612" s="162">
        <f t="shared" si="371"/>
        <v>0</v>
      </c>
      <c r="Z612" s="162">
        <f t="shared" si="371"/>
        <v>0</v>
      </c>
      <c r="AA612" s="162">
        <f t="shared" si="371"/>
        <v>0</v>
      </c>
      <c r="AB612" s="162">
        <f t="shared" si="371"/>
        <v>0</v>
      </c>
      <c r="AC612" s="162">
        <f t="shared" si="371"/>
        <v>0</v>
      </c>
      <c r="AD612" s="162">
        <f t="shared" si="371"/>
        <v>0</v>
      </c>
      <c r="AE612" s="162">
        <f t="shared" si="371"/>
        <v>0</v>
      </c>
      <c r="AF612" s="162">
        <f t="shared" si="371"/>
        <v>0</v>
      </c>
      <c r="AG612" s="162">
        <f t="shared" si="371"/>
        <v>0</v>
      </c>
      <c r="AH612" s="162">
        <f t="shared" si="371"/>
        <v>0</v>
      </c>
      <c r="AI612" s="162">
        <f t="shared" si="371"/>
        <v>0</v>
      </c>
      <c r="AJ612" s="162">
        <f t="shared" si="371"/>
        <v>0</v>
      </c>
      <c r="AK612" s="162">
        <f t="shared" si="371"/>
        <v>0</v>
      </c>
      <c r="AL612" s="162">
        <f t="shared" si="371"/>
        <v>0</v>
      </c>
      <c r="AM612" s="162">
        <f t="shared" si="371"/>
        <v>0</v>
      </c>
      <c r="AN612" s="162">
        <f t="shared" si="371"/>
        <v>0</v>
      </c>
      <c r="AO612" s="162">
        <f t="shared" si="371"/>
        <v>0</v>
      </c>
      <c r="AP612" s="162">
        <f t="shared" si="371"/>
        <v>0</v>
      </c>
      <c r="AQ612" s="162">
        <f t="shared" si="371"/>
        <v>0</v>
      </c>
      <c r="AR612" s="162">
        <f t="shared" si="371"/>
        <v>0</v>
      </c>
      <c r="AS612" s="162">
        <f t="shared" si="371"/>
        <v>0</v>
      </c>
      <c r="AT612" s="162">
        <f t="shared" si="371"/>
        <v>0</v>
      </c>
      <c r="AU612" s="162">
        <f t="shared" si="371"/>
        <v>0</v>
      </c>
      <c r="AV612" s="162">
        <f t="shared" si="371"/>
        <v>0</v>
      </c>
      <c r="AW612" s="162">
        <f t="shared" si="371"/>
        <v>0</v>
      </c>
      <c r="AX612" s="162">
        <f t="shared" si="371"/>
        <v>0</v>
      </c>
      <c r="AY612" s="162">
        <f t="shared" si="371"/>
        <v>0</v>
      </c>
      <c r="AZ612" s="162">
        <f t="shared" si="371"/>
        <v>0</v>
      </c>
      <c r="BA612" s="162">
        <f t="shared" si="371"/>
        <v>0</v>
      </c>
      <c r="BB612" s="162">
        <f t="shared" si="371"/>
        <v>0</v>
      </c>
      <c r="BC612" s="162">
        <f t="shared" si="371"/>
        <v>0</v>
      </c>
      <c r="BD612" s="162">
        <f t="shared" si="371"/>
        <v>0</v>
      </c>
      <c r="BE612" s="162">
        <f t="shared" si="371"/>
        <v>0</v>
      </c>
      <c r="BF612" s="162">
        <f t="shared" si="371"/>
        <v>0</v>
      </c>
      <c r="BG612" s="162">
        <f t="shared" si="371"/>
        <v>0</v>
      </c>
      <c r="BH612" s="162">
        <f t="shared" si="371"/>
        <v>0</v>
      </c>
      <c r="BI612" s="162">
        <f t="shared" si="371"/>
        <v>0</v>
      </c>
      <c r="BJ612" s="163">
        <f t="shared" si="371"/>
        <v>0</v>
      </c>
      <c r="BK612" s="159"/>
      <c r="BL612" s="159"/>
    </row>
    <row r="613" spans="1:64" s="160" customFormat="1">
      <c r="A613" s="131" t="s">
        <v>135</v>
      </c>
      <c r="B613" s="156">
        <f t="shared" si="366"/>
        <v>614053023.26615715</v>
      </c>
      <c r="C613" s="161">
        <f>IF(C612&lt;=0,0,C612*$K517)</f>
        <v>0</v>
      </c>
      <c r="D613" s="162">
        <f>IF(D612&lt;=0,0,D612*$K517)</f>
        <v>0</v>
      </c>
      <c r="E613" s="162">
        <f t="shared" ref="E613:BJ613" si="372">IF(E612&lt;=0,0,E612*$K517)</f>
        <v>0</v>
      </c>
      <c r="F613" s="162">
        <f t="shared" si="372"/>
        <v>0</v>
      </c>
      <c r="G613" s="162">
        <f t="shared" si="372"/>
        <v>0</v>
      </c>
      <c r="H613" s="162">
        <f t="shared" si="372"/>
        <v>5957471.6273796074</v>
      </c>
      <c r="I613" s="162">
        <f t="shared" si="372"/>
        <v>13668877.734934777</v>
      </c>
      <c r="J613" s="162">
        <f t="shared" si="372"/>
        <v>21987664.376490548</v>
      </c>
      <c r="K613" s="162">
        <f t="shared" si="372"/>
        <v>30950083.744994894</v>
      </c>
      <c r="L613" s="162">
        <f t="shared" si="372"/>
        <v>46677771.818201378</v>
      </c>
      <c r="M613" s="162">
        <f t="shared" si="372"/>
        <v>48544882.690929435</v>
      </c>
      <c r="N613" s="162">
        <f t="shared" si="372"/>
        <v>50486677.998566613</v>
      </c>
      <c r="O613" s="162">
        <f t="shared" si="372"/>
        <v>52506145.118509293</v>
      </c>
      <c r="P613" s="162">
        <f t="shared" si="372"/>
        <v>54606390.923249677</v>
      </c>
      <c r="Q613" s="162">
        <f t="shared" si="372"/>
        <v>56790646.560179651</v>
      </c>
      <c r="R613" s="162">
        <f t="shared" si="372"/>
        <v>59062272.422586836</v>
      </c>
      <c r="S613" s="162">
        <f t="shared" si="372"/>
        <v>61424763.319490314</v>
      </c>
      <c r="T613" s="162">
        <f t="shared" si="372"/>
        <v>44051619.789685428</v>
      </c>
      <c r="U613" s="162">
        <f t="shared" si="372"/>
        <v>33848999.113282934</v>
      </c>
      <c r="V613" s="162">
        <f t="shared" si="372"/>
        <v>22759686.191104732</v>
      </c>
      <c r="W613" s="162">
        <f t="shared" si="372"/>
        <v>10729069.836571023</v>
      </c>
      <c r="X613" s="162">
        <f t="shared" si="372"/>
        <v>0</v>
      </c>
      <c r="Y613" s="162">
        <f t="shared" si="372"/>
        <v>0</v>
      </c>
      <c r="Z613" s="162">
        <f t="shared" si="372"/>
        <v>0</v>
      </c>
      <c r="AA613" s="162">
        <f t="shared" si="372"/>
        <v>0</v>
      </c>
      <c r="AB613" s="162">
        <f t="shared" si="372"/>
        <v>0</v>
      </c>
      <c r="AC613" s="162">
        <f t="shared" si="372"/>
        <v>0</v>
      </c>
      <c r="AD613" s="162">
        <f t="shared" si="372"/>
        <v>0</v>
      </c>
      <c r="AE613" s="162">
        <f t="shared" si="372"/>
        <v>0</v>
      </c>
      <c r="AF613" s="162">
        <f t="shared" si="372"/>
        <v>0</v>
      </c>
      <c r="AG613" s="162">
        <f t="shared" si="372"/>
        <v>0</v>
      </c>
      <c r="AH613" s="162">
        <f t="shared" si="372"/>
        <v>0</v>
      </c>
      <c r="AI613" s="162">
        <f t="shared" si="372"/>
        <v>0</v>
      </c>
      <c r="AJ613" s="162">
        <f t="shared" si="372"/>
        <v>0</v>
      </c>
      <c r="AK613" s="162">
        <f t="shared" si="372"/>
        <v>0</v>
      </c>
      <c r="AL613" s="162">
        <f t="shared" si="372"/>
        <v>0</v>
      </c>
      <c r="AM613" s="162">
        <f t="shared" si="372"/>
        <v>0</v>
      </c>
      <c r="AN613" s="162">
        <f t="shared" si="372"/>
        <v>0</v>
      </c>
      <c r="AO613" s="162">
        <f t="shared" si="372"/>
        <v>0</v>
      </c>
      <c r="AP613" s="162">
        <f t="shared" si="372"/>
        <v>0</v>
      </c>
      <c r="AQ613" s="162">
        <f t="shared" si="372"/>
        <v>0</v>
      </c>
      <c r="AR613" s="162">
        <f t="shared" si="372"/>
        <v>0</v>
      </c>
      <c r="AS613" s="162">
        <f t="shared" si="372"/>
        <v>0</v>
      </c>
      <c r="AT613" s="162">
        <f t="shared" si="372"/>
        <v>0</v>
      </c>
      <c r="AU613" s="162">
        <f t="shared" si="372"/>
        <v>0</v>
      </c>
      <c r="AV613" s="162">
        <f t="shared" si="372"/>
        <v>0</v>
      </c>
      <c r="AW613" s="162">
        <f t="shared" si="372"/>
        <v>0</v>
      </c>
      <c r="AX613" s="162">
        <f t="shared" si="372"/>
        <v>0</v>
      </c>
      <c r="AY613" s="162">
        <f t="shared" si="372"/>
        <v>0</v>
      </c>
      <c r="AZ613" s="162">
        <f t="shared" si="372"/>
        <v>0</v>
      </c>
      <c r="BA613" s="162">
        <f t="shared" si="372"/>
        <v>0</v>
      </c>
      <c r="BB613" s="162">
        <f t="shared" si="372"/>
        <v>0</v>
      </c>
      <c r="BC613" s="162">
        <f t="shared" si="372"/>
        <v>0</v>
      </c>
      <c r="BD613" s="162">
        <f t="shared" si="372"/>
        <v>0</v>
      </c>
      <c r="BE613" s="162">
        <f t="shared" si="372"/>
        <v>0</v>
      </c>
      <c r="BF613" s="162">
        <f t="shared" si="372"/>
        <v>0</v>
      </c>
      <c r="BG613" s="162">
        <f t="shared" si="372"/>
        <v>0</v>
      </c>
      <c r="BH613" s="162">
        <f t="shared" si="372"/>
        <v>0</v>
      </c>
      <c r="BI613" s="162">
        <f t="shared" si="372"/>
        <v>0</v>
      </c>
      <c r="BJ613" s="163">
        <f t="shared" si="372"/>
        <v>0</v>
      </c>
      <c r="BK613" s="159"/>
      <c r="BL613" s="159"/>
    </row>
    <row r="614" spans="1:64" s="105" customFormat="1">
      <c r="A614" s="164" t="s">
        <v>136</v>
      </c>
      <c r="B614" s="161">
        <f t="shared" si="366"/>
        <v>2290514762.0582299</v>
      </c>
      <c r="C614" s="133">
        <f>C612-C613</f>
        <v>-18339640.232366599</v>
      </c>
      <c r="D614" s="134">
        <f>D612-D613</f>
        <v>-22327336.938265339</v>
      </c>
      <c r="E614" s="134">
        <f>E612-E613</f>
        <v>-38716974.802793153</v>
      </c>
      <c r="F614" s="134">
        <f>F612-F613</f>
        <v>-41620019.149245016</v>
      </c>
      <c r="G614" s="134">
        <f t="shared" ref="G614:BJ614" si="373">G612-G613</f>
        <v>-44693359.883728556</v>
      </c>
      <c r="H614" s="134">
        <f t="shared" si="373"/>
        <v>23829886.509518426</v>
      </c>
      <c r="I614" s="134">
        <f t="shared" si="373"/>
        <v>54675510.939739108</v>
      </c>
      <c r="J614" s="134">
        <f t="shared" si="373"/>
        <v>87950657.505962178</v>
      </c>
      <c r="K614" s="134">
        <f t="shared" si="373"/>
        <v>123800334.97997956</v>
      </c>
      <c r="L614" s="134">
        <f t="shared" si="373"/>
        <v>186711087.27280551</v>
      </c>
      <c r="M614" s="134">
        <f t="shared" si="373"/>
        <v>194179530.76371771</v>
      </c>
      <c r="N614" s="134">
        <f t="shared" si="373"/>
        <v>201946711.99426645</v>
      </c>
      <c r="O614" s="134">
        <f t="shared" si="373"/>
        <v>210024580.47403714</v>
      </c>
      <c r="P614" s="134">
        <f t="shared" si="373"/>
        <v>218425563.69299871</v>
      </c>
      <c r="Q614" s="134">
        <f t="shared" si="373"/>
        <v>227162586.2407186</v>
      </c>
      <c r="R614" s="134">
        <f t="shared" si="373"/>
        <v>236249089.69034734</v>
      </c>
      <c r="S614" s="134">
        <f t="shared" si="373"/>
        <v>245699053.27796125</v>
      </c>
      <c r="T614" s="134">
        <f t="shared" si="373"/>
        <v>176206479.15874171</v>
      </c>
      <c r="U614" s="134">
        <f t="shared" si="373"/>
        <v>135395996.45313174</v>
      </c>
      <c r="V614" s="134">
        <f t="shared" si="373"/>
        <v>91038744.76441893</v>
      </c>
      <c r="W614" s="134">
        <f t="shared" si="373"/>
        <v>42916279.346284091</v>
      </c>
      <c r="X614" s="134">
        <f t="shared" si="373"/>
        <v>0</v>
      </c>
      <c r="Y614" s="134">
        <f t="shared" si="373"/>
        <v>0</v>
      </c>
      <c r="Z614" s="134">
        <f t="shared" si="373"/>
        <v>0</v>
      </c>
      <c r="AA614" s="134">
        <f t="shared" si="373"/>
        <v>0</v>
      </c>
      <c r="AB614" s="134">
        <f t="shared" si="373"/>
        <v>0</v>
      </c>
      <c r="AC614" s="134">
        <f t="shared" si="373"/>
        <v>0</v>
      </c>
      <c r="AD614" s="134">
        <f t="shared" si="373"/>
        <v>0</v>
      </c>
      <c r="AE614" s="134">
        <f t="shared" si="373"/>
        <v>0</v>
      </c>
      <c r="AF614" s="134">
        <f t="shared" si="373"/>
        <v>0</v>
      </c>
      <c r="AG614" s="134">
        <f t="shared" si="373"/>
        <v>0</v>
      </c>
      <c r="AH614" s="134">
        <f t="shared" si="373"/>
        <v>0</v>
      </c>
      <c r="AI614" s="134">
        <f t="shared" si="373"/>
        <v>0</v>
      </c>
      <c r="AJ614" s="134">
        <f t="shared" si="373"/>
        <v>0</v>
      </c>
      <c r="AK614" s="134">
        <f t="shared" si="373"/>
        <v>0</v>
      </c>
      <c r="AL614" s="134">
        <f t="shared" si="373"/>
        <v>0</v>
      </c>
      <c r="AM614" s="134">
        <f t="shared" si="373"/>
        <v>0</v>
      </c>
      <c r="AN614" s="134">
        <f t="shared" si="373"/>
        <v>0</v>
      </c>
      <c r="AO614" s="134">
        <f t="shared" si="373"/>
        <v>0</v>
      </c>
      <c r="AP614" s="134">
        <f t="shared" si="373"/>
        <v>0</v>
      </c>
      <c r="AQ614" s="134">
        <f t="shared" si="373"/>
        <v>0</v>
      </c>
      <c r="AR614" s="134">
        <f t="shared" si="373"/>
        <v>0</v>
      </c>
      <c r="AS614" s="134">
        <f t="shared" si="373"/>
        <v>0</v>
      </c>
      <c r="AT614" s="134">
        <f t="shared" si="373"/>
        <v>0</v>
      </c>
      <c r="AU614" s="134">
        <f t="shared" si="373"/>
        <v>0</v>
      </c>
      <c r="AV614" s="134">
        <f t="shared" si="373"/>
        <v>0</v>
      </c>
      <c r="AW614" s="134">
        <f t="shared" si="373"/>
        <v>0</v>
      </c>
      <c r="AX614" s="134">
        <f t="shared" si="373"/>
        <v>0</v>
      </c>
      <c r="AY614" s="134">
        <f t="shared" si="373"/>
        <v>0</v>
      </c>
      <c r="AZ614" s="134">
        <f t="shared" si="373"/>
        <v>0</v>
      </c>
      <c r="BA614" s="134">
        <f t="shared" si="373"/>
        <v>0</v>
      </c>
      <c r="BB614" s="134">
        <f t="shared" si="373"/>
        <v>0</v>
      </c>
      <c r="BC614" s="134">
        <f t="shared" si="373"/>
        <v>0</v>
      </c>
      <c r="BD614" s="134">
        <f t="shared" si="373"/>
        <v>0</v>
      </c>
      <c r="BE614" s="134">
        <f t="shared" si="373"/>
        <v>0</v>
      </c>
      <c r="BF614" s="134">
        <f t="shared" si="373"/>
        <v>0</v>
      </c>
      <c r="BG614" s="134">
        <f t="shared" si="373"/>
        <v>0</v>
      </c>
      <c r="BH614" s="134">
        <f t="shared" si="373"/>
        <v>0</v>
      </c>
      <c r="BI614" s="134">
        <f t="shared" si="373"/>
        <v>0</v>
      </c>
      <c r="BJ614" s="135">
        <f t="shared" si="373"/>
        <v>0</v>
      </c>
      <c r="BK614" s="109"/>
      <c r="BL614" s="109"/>
    </row>
    <row r="615" spans="1:64">
      <c r="A615" s="165" t="s">
        <v>137</v>
      </c>
      <c r="B615" s="161"/>
      <c r="C615" s="166"/>
      <c r="D615" s="167"/>
      <c r="E615" s="168"/>
      <c r="F615" s="168"/>
      <c r="G615" s="168"/>
      <c r="H615" s="168"/>
      <c r="I615" s="168"/>
      <c r="J615" s="168"/>
      <c r="K615" s="168"/>
      <c r="L615" s="168"/>
      <c r="M615" s="168"/>
      <c r="N615" s="168"/>
      <c r="O615" s="168"/>
      <c r="P615" s="168"/>
      <c r="Q615" s="168"/>
      <c r="R615" s="168"/>
      <c r="S615" s="168"/>
      <c r="T615" s="168"/>
      <c r="U615" s="168"/>
      <c r="V615" s="168"/>
      <c r="W615" s="168"/>
      <c r="X615" s="168"/>
      <c r="Y615" s="168"/>
      <c r="Z615" s="168"/>
      <c r="AA615" s="168"/>
      <c r="AB615" s="168"/>
      <c r="AC615" s="168"/>
      <c r="AD615" s="168"/>
      <c r="AE615" s="168"/>
      <c r="AF615" s="168"/>
      <c r="AG615" s="168"/>
      <c r="AH615" s="168"/>
      <c r="AI615" s="168"/>
      <c r="AJ615" s="168"/>
      <c r="AK615" s="168"/>
      <c r="AL615" s="168"/>
      <c r="AM615" s="168"/>
      <c r="AN615" s="168"/>
      <c r="AO615" s="168"/>
      <c r="AP615" s="168"/>
      <c r="AQ615" s="168"/>
      <c r="AR615" s="168"/>
      <c r="AS615" s="168"/>
      <c r="AT615" s="168"/>
      <c r="AU615" s="168"/>
      <c r="AV615" s="168"/>
      <c r="AW615" s="168"/>
      <c r="AX615" s="168"/>
      <c r="AY615" s="168"/>
      <c r="AZ615" s="168"/>
      <c r="BA615" s="168"/>
      <c r="BB615" s="168"/>
      <c r="BC615" s="168"/>
      <c r="BD615" s="168"/>
      <c r="BE615" s="168"/>
      <c r="BF615" s="168"/>
      <c r="BG615" s="168"/>
      <c r="BH615" s="168"/>
      <c r="BI615" s="168"/>
      <c r="BJ615" s="169"/>
    </row>
    <row r="616" spans="1:64" s="174" customFormat="1" ht="12.75">
      <c r="A616" s="120" t="s">
        <v>138</v>
      </c>
      <c r="B616" s="170">
        <f>SUM(C616:BJ616)</f>
        <v>16667565.649805816</v>
      </c>
      <c r="C616" s="171">
        <f>C587-C592</f>
        <v>19396132.341405883</v>
      </c>
      <c r="D616" s="172">
        <f t="shared" ref="D616:BJ616" si="374">IF(AND(D575&gt;5,D576=0),0,D587-D592)</f>
        <v>22424442.758340098</v>
      </c>
      <c r="E616" s="172">
        <f t="shared" si="374"/>
        <v>36213416.097324483</v>
      </c>
      <c r="F616" s="172">
        <f t="shared" si="374"/>
        <v>36307587.386877321</v>
      </c>
      <c r="G616" s="172">
        <f t="shared" si="374"/>
        <v>36351350.913838677</v>
      </c>
      <c r="H616" s="172">
        <f t="shared" si="374"/>
        <v>-6141042.0672365138</v>
      </c>
      <c r="I616" s="172">
        <f t="shared" si="374"/>
        <v>-6386683.7499259738</v>
      </c>
      <c r="J616" s="172">
        <f t="shared" si="374"/>
        <v>-6642151.0999230128</v>
      </c>
      <c r="K616" s="172">
        <f t="shared" si="374"/>
        <v>-6907837.1439199345</v>
      </c>
      <c r="L616" s="172">
        <f t="shared" si="374"/>
        <v>-7184150.6296767322</v>
      </c>
      <c r="M616" s="172">
        <f t="shared" si="374"/>
        <v>-7471516.6548638018</v>
      </c>
      <c r="N616" s="172">
        <f t="shared" si="374"/>
        <v>-7770377.3210583534</v>
      </c>
      <c r="O616" s="172">
        <f t="shared" si="374"/>
        <v>-8081192.4139006892</v>
      </c>
      <c r="P616" s="172">
        <f t="shared" si="374"/>
        <v>-8404440.1104567163</v>
      </c>
      <c r="Q616" s="172">
        <f t="shared" si="374"/>
        <v>-8740617.7148749847</v>
      </c>
      <c r="R616" s="172">
        <f t="shared" si="374"/>
        <v>-9090242.423469983</v>
      </c>
      <c r="S616" s="172">
        <f t="shared" si="374"/>
        <v>-9453852.1204087846</v>
      </c>
      <c r="T616" s="172">
        <f t="shared" si="374"/>
        <v>-9832006.205225138</v>
      </c>
      <c r="U616" s="172">
        <f t="shared" si="374"/>
        <v>-10225286.453434145</v>
      </c>
      <c r="V616" s="172">
        <f t="shared" si="374"/>
        <v>-10634297.911571508</v>
      </c>
      <c r="W616" s="172">
        <f t="shared" si="374"/>
        <v>-11059669.828034369</v>
      </c>
      <c r="X616" s="172">
        <f t="shared" si="374"/>
        <v>0</v>
      </c>
      <c r="Y616" s="172">
        <f t="shared" si="374"/>
        <v>0</v>
      </c>
      <c r="Z616" s="172">
        <f t="shared" si="374"/>
        <v>0</v>
      </c>
      <c r="AA616" s="172">
        <f t="shared" si="374"/>
        <v>0</v>
      </c>
      <c r="AB616" s="172">
        <f t="shared" si="374"/>
        <v>0</v>
      </c>
      <c r="AC616" s="172">
        <f t="shared" si="374"/>
        <v>0</v>
      </c>
      <c r="AD616" s="172">
        <f t="shared" si="374"/>
        <v>0</v>
      </c>
      <c r="AE616" s="172">
        <f t="shared" si="374"/>
        <v>0</v>
      </c>
      <c r="AF616" s="172">
        <f t="shared" si="374"/>
        <v>0</v>
      </c>
      <c r="AG616" s="172">
        <f t="shared" si="374"/>
        <v>0</v>
      </c>
      <c r="AH616" s="172">
        <f t="shared" si="374"/>
        <v>0</v>
      </c>
      <c r="AI616" s="172">
        <f t="shared" si="374"/>
        <v>0</v>
      </c>
      <c r="AJ616" s="172">
        <f t="shared" si="374"/>
        <v>0</v>
      </c>
      <c r="AK616" s="172">
        <f t="shared" si="374"/>
        <v>0</v>
      </c>
      <c r="AL616" s="172">
        <f t="shared" si="374"/>
        <v>0</v>
      </c>
      <c r="AM616" s="172">
        <f t="shared" si="374"/>
        <v>0</v>
      </c>
      <c r="AN616" s="172">
        <f t="shared" si="374"/>
        <v>0</v>
      </c>
      <c r="AO616" s="172">
        <f t="shared" si="374"/>
        <v>0</v>
      </c>
      <c r="AP616" s="172">
        <f t="shared" si="374"/>
        <v>0</v>
      </c>
      <c r="AQ616" s="172">
        <f t="shared" si="374"/>
        <v>0</v>
      </c>
      <c r="AR616" s="172">
        <f t="shared" si="374"/>
        <v>0</v>
      </c>
      <c r="AS616" s="172">
        <f t="shared" si="374"/>
        <v>0</v>
      </c>
      <c r="AT616" s="172">
        <f t="shared" si="374"/>
        <v>0</v>
      </c>
      <c r="AU616" s="172">
        <f t="shared" si="374"/>
        <v>0</v>
      </c>
      <c r="AV616" s="172">
        <f t="shared" si="374"/>
        <v>0</v>
      </c>
      <c r="AW616" s="172">
        <f t="shared" si="374"/>
        <v>0</v>
      </c>
      <c r="AX616" s="172">
        <f t="shared" si="374"/>
        <v>0</v>
      </c>
      <c r="AY616" s="172">
        <f t="shared" si="374"/>
        <v>0</v>
      </c>
      <c r="AZ616" s="172">
        <f t="shared" si="374"/>
        <v>0</v>
      </c>
      <c r="BA616" s="172">
        <f t="shared" si="374"/>
        <v>0</v>
      </c>
      <c r="BB616" s="172">
        <f t="shared" si="374"/>
        <v>0</v>
      </c>
      <c r="BC616" s="172">
        <f t="shared" si="374"/>
        <v>0</v>
      </c>
      <c r="BD616" s="172">
        <f t="shared" si="374"/>
        <v>0</v>
      </c>
      <c r="BE616" s="172">
        <f t="shared" si="374"/>
        <v>0</v>
      </c>
      <c r="BF616" s="172">
        <f t="shared" si="374"/>
        <v>0</v>
      </c>
      <c r="BG616" s="172">
        <f t="shared" si="374"/>
        <v>0</v>
      </c>
      <c r="BH616" s="172">
        <f t="shared" si="374"/>
        <v>0</v>
      </c>
      <c r="BI616" s="172">
        <f t="shared" si="374"/>
        <v>0</v>
      </c>
      <c r="BJ616" s="173">
        <f t="shared" si="374"/>
        <v>0</v>
      </c>
      <c r="BK616" s="172"/>
      <c r="BL616" s="172"/>
    </row>
    <row r="617" spans="1:64" s="174" customFormat="1" ht="12.75">
      <c r="A617" s="120" t="s">
        <v>139</v>
      </c>
      <c r="B617" s="170">
        <f>SUM(C617:BJ617)</f>
        <v>149270060.44766653</v>
      </c>
      <c r="C617" s="171">
        <f>C607</f>
        <v>668832.14970365108</v>
      </c>
      <c r="D617" s="172">
        <f>D607</f>
        <v>1492827.7872101383</v>
      </c>
      <c r="E617" s="172">
        <f t="shared" ref="E617:BJ617" si="375">E607</f>
        <v>2854815.2778717512</v>
      </c>
      <c r="F617" s="172">
        <f t="shared" si="375"/>
        <v>4323373.243326758</v>
      </c>
      <c r="G617" s="172">
        <f t="shared" si="375"/>
        <v>5904848.1415735697</v>
      </c>
      <c r="H617" s="172">
        <f t="shared" si="375"/>
        <v>6141042.0672365138</v>
      </c>
      <c r="I617" s="172">
        <f t="shared" si="375"/>
        <v>6386683.7499259738</v>
      </c>
      <c r="J617" s="172">
        <f t="shared" si="375"/>
        <v>6642151.0999230128</v>
      </c>
      <c r="K617" s="172">
        <f t="shared" si="375"/>
        <v>6907837.1439199345</v>
      </c>
      <c r="L617" s="172">
        <f t="shared" si="375"/>
        <v>7184150.6296767322</v>
      </c>
      <c r="M617" s="172">
        <f t="shared" si="375"/>
        <v>7471516.6548638018</v>
      </c>
      <c r="N617" s="172">
        <f t="shared" si="375"/>
        <v>7770377.3210583534</v>
      </c>
      <c r="O617" s="172">
        <f t="shared" si="375"/>
        <v>8081192.4139006892</v>
      </c>
      <c r="P617" s="172">
        <f t="shared" si="375"/>
        <v>8404440.1104567163</v>
      </c>
      <c r="Q617" s="172">
        <f t="shared" si="375"/>
        <v>8740617.7148749847</v>
      </c>
      <c r="R617" s="172">
        <f t="shared" si="375"/>
        <v>9090242.423469983</v>
      </c>
      <c r="S617" s="172">
        <f t="shared" si="375"/>
        <v>9453852.1204087846</v>
      </c>
      <c r="T617" s="172">
        <f t="shared" si="375"/>
        <v>9832006.205225138</v>
      </c>
      <c r="U617" s="172">
        <f t="shared" si="375"/>
        <v>10225286.453434145</v>
      </c>
      <c r="V617" s="172">
        <f t="shared" si="375"/>
        <v>10634297.911571508</v>
      </c>
      <c r="W617" s="172">
        <f t="shared" si="375"/>
        <v>11059669.828034369</v>
      </c>
      <c r="X617" s="172">
        <f t="shared" si="375"/>
        <v>0</v>
      </c>
      <c r="Y617" s="172">
        <f t="shared" si="375"/>
        <v>0</v>
      </c>
      <c r="Z617" s="172">
        <f t="shared" si="375"/>
        <v>0</v>
      </c>
      <c r="AA617" s="172">
        <f t="shared" si="375"/>
        <v>0</v>
      </c>
      <c r="AB617" s="172">
        <f t="shared" si="375"/>
        <v>0</v>
      </c>
      <c r="AC617" s="172">
        <f t="shared" si="375"/>
        <v>0</v>
      </c>
      <c r="AD617" s="172">
        <f t="shared" si="375"/>
        <v>0</v>
      </c>
      <c r="AE617" s="172">
        <f t="shared" si="375"/>
        <v>0</v>
      </c>
      <c r="AF617" s="172">
        <f t="shared" si="375"/>
        <v>0</v>
      </c>
      <c r="AG617" s="172">
        <f t="shared" si="375"/>
        <v>0</v>
      </c>
      <c r="AH617" s="172">
        <f t="shared" si="375"/>
        <v>0</v>
      </c>
      <c r="AI617" s="172">
        <f t="shared" si="375"/>
        <v>0</v>
      </c>
      <c r="AJ617" s="172">
        <f t="shared" si="375"/>
        <v>0</v>
      </c>
      <c r="AK617" s="172">
        <f t="shared" si="375"/>
        <v>0</v>
      </c>
      <c r="AL617" s="172">
        <f t="shared" si="375"/>
        <v>0</v>
      </c>
      <c r="AM617" s="172">
        <f t="shared" si="375"/>
        <v>0</v>
      </c>
      <c r="AN617" s="172">
        <f t="shared" si="375"/>
        <v>0</v>
      </c>
      <c r="AO617" s="172">
        <f t="shared" si="375"/>
        <v>0</v>
      </c>
      <c r="AP617" s="172">
        <f t="shared" si="375"/>
        <v>0</v>
      </c>
      <c r="AQ617" s="172">
        <f t="shared" si="375"/>
        <v>0</v>
      </c>
      <c r="AR617" s="172">
        <f t="shared" si="375"/>
        <v>0</v>
      </c>
      <c r="AS617" s="172">
        <f t="shared" si="375"/>
        <v>0</v>
      </c>
      <c r="AT617" s="172">
        <f t="shared" si="375"/>
        <v>0</v>
      </c>
      <c r="AU617" s="172">
        <f t="shared" si="375"/>
        <v>0</v>
      </c>
      <c r="AV617" s="172">
        <f t="shared" si="375"/>
        <v>0</v>
      </c>
      <c r="AW617" s="172">
        <f t="shared" si="375"/>
        <v>0</v>
      </c>
      <c r="AX617" s="172">
        <f t="shared" si="375"/>
        <v>0</v>
      </c>
      <c r="AY617" s="172">
        <f t="shared" si="375"/>
        <v>0</v>
      </c>
      <c r="AZ617" s="172">
        <f t="shared" si="375"/>
        <v>0</v>
      </c>
      <c r="BA617" s="172">
        <f t="shared" si="375"/>
        <v>0</v>
      </c>
      <c r="BB617" s="172">
        <f t="shared" si="375"/>
        <v>0</v>
      </c>
      <c r="BC617" s="172">
        <f t="shared" si="375"/>
        <v>0</v>
      </c>
      <c r="BD617" s="172">
        <f t="shared" si="375"/>
        <v>0</v>
      </c>
      <c r="BE617" s="172">
        <f t="shared" si="375"/>
        <v>0</v>
      </c>
      <c r="BF617" s="172">
        <f t="shared" si="375"/>
        <v>0</v>
      </c>
      <c r="BG617" s="172">
        <f t="shared" si="375"/>
        <v>0</v>
      </c>
      <c r="BH617" s="172">
        <f t="shared" si="375"/>
        <v>0</v>
      </c>
      <c r="BI617" s="172">
        <f t="shared" si="375"/>
        <v>0</v>
      </c>
      <c r="BJ617" s="173">
        <f t="shared" si="375"/>
        <v>0</v>
      </c>
      <c r="BK617" s="172"/>
      <c r="BL617" s="172"/>
    </row>
    <row r="618" spans="1:64" s="174" customFormat="1" ht="12.75">
      <c r="A618" s="120" t="s">
        <v>140</v>
      </c>
      <c r="B618" s="170" t="e">
        <f>SUM(C618:BJ618)</f>
        <v>#REF!</v>
      </c>
      <c r="C618" s="171">
        <f>-C587</f>
        <v>-20064964.491109535</v>
      </c>
      <c r="D618" s="172">
        <f>IF(AND(D575&gt;5,E576=0,D576&lt;&gt;0),SUM(D$71:$BJ592)-D587,-D587)</f>
        <v>-23917270.545550235</v>
      </c>
      <c r="E618" s="172">
        <f>IF(AND(E575&gt;5,F576=0,E576&lt;&gt;0),SUM(E$71:$BJ592)-E587,-E587)</f>
        <v>-39068231.375196233</v>
      </c>
      <c r="F618" s="172">
        <f>IF(AND(F575&gt;5,G576=0,F576&lt;&gt;0),SUM(F$71:$BJ592)-F587,-F587)</f>
        <v>-40630960.630204082</v>
      </c>
      <c r="G618" s="172">
        <f>IF(AND(G575&gt;5,H576=0,G576&lt;&gt;0),SUM(G$71:$BJ592)-G587,-G587)</f>
        <v>-42256199.055412248</v>
      </c>
      <c r="H618" s="172">
        <f>IF(AND(H575&gt;5,I576=0,H576&lt;&gt;0),SUM(H$71:$BJ592)-H587,-H587)</f>
        <v>0</v>
      </c>
      <c r="I618" s="172">
        <f>IF(AND(I575&gt;5,J576=0,I576&lt;&gt;0),SUM(I$71:$BJ592)-I587,-I587)</f>
        <v>0</v>
      </c>
      <c r="J618" s="172">
        <f>IF(AND(J575&gt;5,K576=0,J576&lt;&gt;0),SUM(J$71:$BJ592)-J587,-J587)</f>
        <v>0</v>
      </c>
      <c r="K618" s="172">
        <f>IF(AND(K575&gt;5,L576=0,K576&lt;&gt;0),SUM(K$71:$BJ592)-K587,-K587)</f>
        <v>0</v>
      </c>
      <c r="L618" s="172">
        <f>IF(AND(L575&gt;5,M576=0,L576&lt;&gt;0),SUM(L$71:$BJ592)-L587,-L587)</f>
        <v>0</v>
      </c>
      <c r="M618" s="172">
        <f>IF(AND(M575&gt;5,N576=0,M576&lt;&gt;0),SUM(M$71:$BJ592)-M587,-M587)</f>
        <v>0</v>
      </c>
      <c r="N618" s="172">
        <f>IF(AND(N575&gt;5,O576=0,N576&lt;&gt;0),SUM(N$71:$BJ592)-N587,-N587)</f>
        <v>0</v>
      </c>
      <c r="O618" s="172">
        <f>IF(AND(O575&gt;5,P576=0,O576&lt;&gt;0),SUM(O$71:$BJ592)-O587,-O587)</f>
        <v>0</v>
      </c>
      <c r="P618" s="172">
        <f>IF(AND(P575&gt;5,Q576=0,P576&lt;&gt;0),SUM(P$71:$BJ592)-P587,-P587)</f>
        <v>0</v>
      </c>
      <c r="Q618" s="172">
        <f>IF(AND(Q575&gt;5,R576=0,Q576&lt;&gt;0),SUM(Q$71:$BJ592)-Q587,-Q587)</f>
        <v>0</v>
      </c>
      <c r="R618" s="172">
        <f>IF(AND(R575&gt;5,S576=0,R576&lt;&gt;0),SUM(R$71:$BJ592)-R587,-R587)</f>
        <v>0</v>
      </c>
      <c r="S618" s="172">
        <f>IF(AND(S575&gt;5,T576=0,S576&lt;&gt;0),SUM(S$71:$BJ592)-S587,-S587)</f>
        <v>0</v>
      </c>
      <c r="T618" s="172">
        <f>IF(AND(T575&gt;5,U576=0,T576&lt;&gt;0),SUM(T$71:$BJ592)-T587,-T587)</f>
        <v>0</v>
      </c>
      <c r="U618" s="172">
        <f>IF(AND(U575&gt;5,V576=0,U576&lt;&gt;0),SUM(U$71:$BJ592)-U587,-U587)</f>
        <v>0</v>
      </c>
      <c r="V618" s="172">
        <f>IF(AND(V575&gt;5,W576=0,V576&lt;&gt;0),SUM(V$71:$BJ592)-V587,-V587)</f>
        <v>0</v>
      </c>
      <c r="W618" s="172" t="e">
        <f>IF(AND(W575&gt;5,X576=0,W576&lt;&gt;0),SUM(W$71:$BJ592)-W587,-W587)</f>
        <v>#REF!</v>
      </c>
      <c r="X618" s="172">
        <f>IF(AND(X575&gt;5,Y576=0,X576&lt;&gt;0),SUM(X$71:$BJ592)-X587,-X587)</f>
        <v>0</v>
      </c>
      <c r="Y618" s="172">
        <f>IF(AND(Y575&gt;5,Z576=0,Y576&lt;&gt;0),SUM(Y$71:$BJ592)-Y587,-Y587)</f>
        <v>0</v>
      </c>
      <c r="Z618" s="175">
        <f>IF(AND(Z575&gt;5,AA576=0,Z576&lt;&gt;0),SUM(Z$71:$BJ592)-Z587,-Z587)</f>
        <v>0</v>
      </c>
      <c r="AA618" s="172">
        <f>IF(AND(AA575&gt;5,AB576=0,AA576&lt;&gt;0),SUM(AA$71:$BJ592)-AA587,-AA587)</f>
        <v>0</v>
      </c>
      <c r="AB618" s="172">
        <f>IF(AND(AB575&gt;5,AC576=0,AB576&lt;&gt;0),SUM(AB$71:$BJ592)-AB587,-AB587)</f>
        <v>0</v>
      </c>
      <c r="AC618" s="172">
        <f>IF(AND(AC575&gt;5,AD576=0,AC576&lt;&gt;0),SUM(AC$71:$BJ592)-AC587,-AC587)</f>
        <v>0</v>
      </c>
      <c r="AD618" s="172">
        <f>IF(AND(AD575&gt;5,AE576=0,AD576&lt;&gt;0),SUM(AD$71:$BJ592)-AD587,-AD587)</f>
        <v>0</v>
      </c>
      <c r="AE618" s="172">
        <f>IF(AND(AE575&gt;5,AF576=0,AE576&lt;&gt;0),SUM(AE$71:$BJ592)-AE587,-AE587)</f>
        <v>0</v>
      </c>
      <c r="AF618" s="172">
        <f>IF(AND(AF575&gt;5,AG576=0,AF576&lt;&gt;0),SUM(AF$71:$BJ592)-AF587,-AF587)</f>
        <v>0</v>
      </c>
      <c r="AG618" s="172">
        <f>IF(AND(AG575&gt;5,AH576=0,AG576&lt;&gt;0),SUM(AG$71:$BJ592)-AG587,-AG587)</f>
        <v>0</v>
      </c>
      <c r="AH618" s="172">
        <f>IF(AND(AH575&gt;5,AI576=0,AH576&lt;&gt;0),SUM(AH$71:$BJ592)-AH587,-AH587)</f>
        <v>0</v>
      </c>
      <c r="AI618" s="172">
        <f>IF(AND(AI575&gt;5,AJ576=0,AI576&lt;&gt;0),SUM(AI$71:$BJ592)-AI587,-AI587)</f>
        <v>0</v>
      </c>
      <c r="AJ618" s="172">
        <f>IF(AND(AJ575&gt;5,AK576=0,AJ576&lt;&gt;0),SUM(AJ$71:$BJ592)-AJ587,-AJ587)</f>
        <v>0</v>
      </c>
      <c r="AK618" s="172">
        <f>IF(AND(AK575&gt;5,AL576=0,AK576&lt;&gt;0),SUM(AK$71:$BJ592)-AK587,-AK587)</f>
        <v>0</v>
      </c>
      <c r="AL618" s="172">
        <f>IF(AND(AL575&gt;5,AM576=0,AL576&lt;&gt;0),SUM(AL$71:$BJ592)-AL587,-AL587)</f>
        <v>0</v>
      </c>
      <c r="AM618" s="172">
        <f>IF(AND(AM575&gt;5,AN576=0,AM576&lt;&gt;0),SUM(AM$71:$BJ592)-AM587,-AM587)</f>
        <v>0</v>
      </c>
      <c r="AN618" s="172">
        <f>IF(AND(AN575&gt;5,AO576=0,AN576&lt;&gt;0),SUM(AN$71:$BJ592)-AN587,-AN587)</f>
        <v>0</v>
      </c>
      <c r="AO618" s="172">
        <f>IF(AND(AO575&gt;5,AP576=0,AO576&lt;&gt;0),SUM(AO$71:$BJ592)-AO587,-AO587)</f>
        <v>0</v>
      </c>
      <c r="AP618" s="172">
        <f>IF(AND(AP575&gt;5,AQ576=0,AP576&lt;&gt;0),SUM(AP$71:$BJ592)-AP587,-AP587)</f>
        <v>0</v>
      </c>
      <c r="AQ618" s="172">
        <f>IF(AND(AQ575&gt;5,AR576=0,AQ576&lt;&gt;0),SUM(AQ$71:$BJ592)-AQ587,-AQ587)</f>
        <v>0</v>
      </c>
      <c r="AR618" s="172">
        <f>IF(AND(AR575&gt;5,AS576=0,AR576&lt;&gt;0),SUM(AR$71:$BJ592)-AR587,-AR587)</f>
        <v>0</v>
      </c>
      <c r="AS618" s="172">
        <f>IF(AND(AS575&gt;5,AT576=0,AS576&lt;&gt;0),SUM(AS$71:$BJ592)-AS587,-AS587)</f>
        <v>0</v>
      </c>
      <c r="AT618" s="172">
        <f>IF(AND(AT575&gt;5,AU576=0,AT576&lt;&gt;0),SUM(AT$71:$BJ592)-AT587,-AT587)</f>
        <v>0</v>
      </c>
      <c r="AU618" s="172">
        <f>IF(AND(AU575&gt;5,AV576=0,AU576&lt;&gt;0),SUM(AU$71:$BJ592)-AU587,-AU587)</f>
        <v>0</v>
      </c>
      <c r="AV618" s="172">
        <f>IF(AND(AV575&gt;5,AW576=0,AV576&lt;&gt;0),SUM(AV$71:$BJ592)-AV587,-AV587)</f>
        <v>0</v>
      </c>
      <c r="AW618" s="172">
        <f>IF(AND(AW575&gt;5,AX576=0,AW576&lt;&gt;0),SUM(AW$71:$BJ592)-AW587,-AW587)</f>
        <v>0</v>
      </c>
      <c r="AX618" s="172">
        <f>IF(AND(AX575&gt;5,AY576=0,AX576&lt;&gt;0),SUM(AX$71:$BJ592)-AX587,-AX587)</f>
        <v>0</v>
      </c>
      <c r="AY618" s="172">
        <f>IF(AND(AY575&gt;5,AZ576=0,AY576&lt;&gt;0),SUM(AY$71:$BJ592)-AY587,-AY587)</f>
        <v>0</v>
      </c>
      <c r="AZ618" s="172">
        <f>IF(AND(AZ575&gt;5,BA576=0,AZ576&lt;&gt;0),SUM(AZ$71:$BJ592)-AZ587,-AZ587)</f>
        <v>0</v>
      </c>
      <c r="BA618" s="172">
        <f>IF(AND(BA575&gt;5,BB576=0,BA576&lt;&gt;0),SUM(BA$71:$BJ592)-BA587,-BA587)</f>
        <v>0</v>
      </c>
      <c r="BB618" s="172">
        <f>IF(AND(BB575&gt;5,BC576=0,BB576&lt;&gt;0),SUM(BB$71:$BJ592)-BB587,-BB587)</f>
        <v>0</v>
      </c>
      <c r="BC618" s="172">
        <f>IF(AND(BC575&gt;5,BD576=0,BC576&lt;&gt;0),SUM(BC$71:$BJ592)-BC587,-BC587)</f>
        <v>0</v>
      </c>
      <c r="BD618" s="172">
        <f>IF(AND(BD575&gt;5,BE576=0,BD576&lt;&gt;0),SUM(BD$71:$BJ592)-BD587,-BD587)</f>
        <v>0</v>
      </c>
      <c r="BE618" s="172">
        <f>IF(AND(BE575&gt;5,BF576=0,BE576&lt;&gt;0),SUM(BE$71:$BJ592)-BE587,-BE587)</f>
        <v>0</v>
      </c>
      <c r="BF618" s="172">
        <f>IF(AND(BF575&gt;5,BG576=0,BF576&lt;&gt;0),SUM(BF$71:$BJ592)-BF587,-BF587)</f>
        <v>0</v>
      </c>
      <c r="BG618" s="172">
        <f>IF(AND(BG575&gt;5,BH576=0,BG576&lt;&gt;0),SUM(BG$71:$BJ592)-BG587,-BG587)</f>
        <v>0</v>
      </c>
      <c r="BH618" s="172">
        <f>IF(AND(BH575&gt;5,BI576=0,BH576&lt;&gt;0),SUM(BH$71:$BJ592)-BH587,-BH587)</f>
        <v>0</v>
      </c>
      <c r="BI618" s="172">
        <f>IF(AND(BI575&gt;5,BJ576=0,BI576&lt;&gt;0),SUM(BI$71:$BJ592)-BI587,-BI587)</f>
        <v>0</v>
      </c>
      <c r="BJ618" s="173">
        <f>IF(AND(BJ575&gt;5,BK576=0,BJ576&lt;&gt;0),SUM(BJ$71:$BJ592)-BJ587,-BJ587)</f>
        <v>0</v>
      </c>
      <c r="BK618" s="172"/>
      <c r="BL618" s="172"/>
    </row>
    <row r="619" spans="1:64" s="160" customFormat="1">
      <c r="A619" s="176" t="s">
        <v>141</v>
      </c>
      <c r="B619" s="177">
        <f>SUM(C619:BJ619)</f>
        <v>2439784822.5058966</v>
      </c>
      <c r="C619" s="178">
        <f>C614+C617</f>
        <v>-17670808.082662947</v>
      </c>
      <c r="D619" s="179">
        <f t="shared" ref="D619:BJ619" si="376">D614+D617</f>
        <v>-20834509.151055202</v>
      </c>
      <c r="E619" s="179">
        <f t="shared" si="376"/>
        <v>-35862159.524921402</v>
      </c>
      <c r="F619" s="179">
        <f t="shared" si="376"/>
        <v>-37296645.905918255</v>
      </c>
      <c r="G619" s="179">
        <f t="shared" si="376"/>
        <v>-38788511.742154986</v>
      </c>
      <c r="H619" s="179">
        <f t="shared" si="376"/>
        <v>29970928.576754939</v>
      </c>
      <c r="I619" s="179">
        <f t="shared" si="376"/>
        <v>61062194.689665079</v>
      </c>
      <c r="J619" s="179">
        <f t="shared" si="376"/>
        <v>94592808.605885193</v>
      </c>
      <c r="K619" s="179">
        <f t="shared" si="376"/>
        <v>130708172.12389949</v>
      </c>
      <c r="L619" s="179">
        <f t="shared" si="376"/>
        <v>193895237.90248224</v>
      </c>
      <c r="M619" s="179">
        <f t="shared" si="376"/>
        <v>201651047.41858152</v>
      </c>
      <c r="N619" s="179">
        <f t="shared" si="376"/>
        <v>209717089.31532481</v>
      </c>
      <c r="O619" s="179">
        <f t="shared" si="376"/>
        <v>218105772.88793784</v>
      </c>
      <c r="P619" s="179">
        <f t="shared" si="376"/>
        <v>226830003.80345541</v>
      </c>
      <c r="Q619" s="179">
        <f t="shared" si="376"/>
        <v>235903203.95559359</v>
      </c>
      <c r="R619" s="179">
        <f t="shared" si="376"/>
        <v>245339332.11381733</v>
      </c>
      <c r="S619" s="179">
        <f t="shared" si="376"/>
        <v>255152905.39837003</v>
      </c>
      <c r="T619" s="179">
        <f t="shared" si="376"/>
        <v>186038485.36396685</v>
      </c>
      <c r="U619" s="179">
        <f t="shared" si="376"/>
        <v>145621282.90656587</v>
      </c>
      <c r="V619" s="179">
        <f t="shared" si="376"/>
        <v>101673042.67599043</v>
      </c>
      <c r="W619" s="179">
        <f t="shared" si="376"/>
        <v>53975949.174318463</v>
      </c>
      <c r="X619" s="179">
        <f t="shared" si="376"/>
        <v>0</v>
      </c>
      <c r="Y619" s="179">
        <f t="shared" si="376"/>
        <v>0</v>
      </c>
      <c r="Z619" s="179">
        <f t="shared" si="376"/>
        <v>0</v>
      </c>
      <c r="AA619" s="179">
        <f t="shared" si="376"/>
        <v>0</v>
      </c>
      <c r="AB619" s="179">
        <f t="shared" si="376"/>
        <v>0</v>
      </c>
      <c r="AC619" s="179">
        <f t="shared" si="376"/>
        <v>0</v>
      </c>
      <c r="AD619" s="179">
        <f t="shared" si="376"/>
        <v>0</v>
      </c>
      <c r="AE619" s="179">
        <f t="shared" si="376"/>
        <v>0</v>
      </c>
      <c r="AF619" s="179">
        <f t="shared" si="376"/>
        <v>0</v>
      </c>
      <c r="AG619" s="179">
        <f t="shared" si="376"/>
        <v>0</v>
      </c>
      <c r="AH619" s="179">
        <f t="shared" si="376"/>
        <v>0</v>
      </c>
      <c r="AI619" s="179">
        <f t="shared" si="376"/>
        <v>0</v>
      </c>
      <c r="AJ619" s="179">
        <f t="shared" si="376"/>
        <v>0</v>
      </c>
      <c r="AK619" s="179">
        <f t="shared" si="376"/>
        <v>0</v>
      </c>
      <c r="AL619" s="179">
        <f t="shared" si="376"/>
        <v>0</v>
      </c>
      <c r="AM619" s="179">
        <f t="shared" si="376"/>
        <v>0</v>
      </c>
      <c r="AN619" s="179">
        <f t="shared" si="376"/>
        <v>0</v>
      </c>
      <c r="AO619" s="179">
        <f t="shared" si="376"/>
        <v>0</v>
      </c>
      <c r="AP619" s="179">
        <f t="shared" si="376"/>
        <v>0</v>
      </c>
      <c r="AQ619" s="179">
        <f t="shared" si="376"/>
        <v>0</v>
      </c>
      <c r="AR619" s="179">
        <f t="shared" si="376"/>
        <v>0</v>
      </c>
      <c r="AS619" s="179">
        <f t="shared" si="376"/>
        <v>0</v>
      </c>
      <c r="AT619" s="179">
        <f t="shared" si="376"/>
        <v>0</v>
      </c>
      <c r="AU619" s="179">
        <f t="shared" si="376"/>
        <v>0</v>
      </c>
      <c r="AV619" s="179">
        <f t="shared" si="376"/>
        <v>0</v>
      </c>
      <c r="AW619" s="179">
        <f t="shared" si="376"/>
        <v>0</v>
      </c>
      <c r="AX619" s="179">
        <f t="shared" si="376"/>
        <v>0</v>
      </c>
      <c r="AY619" s="179">
        <f t="shared" si="376"/>
        <v>0</v>
      </c>
      <c r="AZ619" s="179">
        <f t="shared" si="376"/>
        <v>0</v>
      </c>
      <c r="BA619" s="179">
        <f t="shared" si="376"/>
        <v>0</v>
      </c>
      <c r="BB619" s="179">
        <f t="shared" si="376"/>
        <v>0</v>
      </c>
      <c r="BC619" s="179">
        <f t="shared" si="376"/>
        <v>0</v>
      </c>
      <c r="BD619" s="179">
        <f t="shared" si="376"/>
        <v>0</v>
      </c>
      <c r="BE619" s="179">
        <f t="shared" si="376"/>
        <v>0</v>
      </c>
      <c r="BF619" s="179">
        <f t="shared" si="376"/>
        <v>0</v>
      </c>
      <c r="BG619" s="179">
        <f t="shared" si="376"/>
        <v>0</v>
      </c>
      <c r="BH619" s="179">
        <f t="shared" si="376"/>
        <v>0</v>
      </c>
      <c r="BI619" s="179">
        <f t="shared" si="376"/>
        <v>0</v>
      </c>
      <c r="BJ619" s="180">
        <f t="shared" si="376"/>
        <v>0</v>
      </c>
    </row>
    <row r="620" spans="1:64" s="80" customFormat="1">
      <c r="A620" s="176" t="s">
        <v>142</v>
      </c>
      <c r="B620" s="177">
        <f>SUM(C620:BJ620)</f>
        <v>528709981.07925117</v>
      </c>
      <c r="C620" s="181">
        <f>C619*(1+$C517)^-(C575-1)</f>
        <v>-17670808.082662947</v>
      </c>
      <c r="D620" s="182">
        <f>D619*(1+$C517)^-(D575-1)</f>
        <v>-18602240.313442145</v>
      </c>
      <c r="E620" s="182">
        <f t="shared" ref="E620:BJ620" si="377">E619*(1+$C517)^-(E575-1)</f>
        <v>-28589094.00902535</v>
      </c>
      <c r="F620" s="182">
        <f t="shared" si="377"/>
        <v>-26547015.865523532</v>
      </c>
      <c r="G620" s="182">
        <f t="shared" si="377"/>
        <v>-24650800.446557567</v>
      </c>
      <c r="H620" s="182">
        <f t="shared" si="377"/>
        <v>17006309.765274767</v>
      </c>
      <c r="I620" s="182">
        <f t="shared" si="377"/>
        <v>30936008.157172855</v>
      </c>
      <c r="J620" s="182">
        <f t="shared" si="377"/>
        <v>42788982.749385104</v>
      </c>
      <c r="K620" s="182">
        <f t="shared" si="377"/>
        <v>52790838.480683513</v>
      </c>
      <c r="L620" s="182">
        <f t="shared" si="377"/>
        <v>69920566.583823428</v>
      </c>
      <c r="M620" s="182">
        <f t="shared" si="377"/>
        <v>64926240.399264604</v>
      </c>
      <c r="N620" s="182">
        <f t="shared" si="377"/>
        <v>60288651.799317136</v>
      </c>
      <c r="O620" s="182">
        <f t="shared" si="377"/>
        <v>55982319.52793736</v>
      </c>
      <c r="P620" s="182">
        <f t="shared" si="377"/>
        <v>51983582.418798976</v>
      </c>
      <c r="Q620" s="182">
        <f t="shared" si="377"/>
        <v>48270469.388884746</v>
      </c>
      <c r="R620" s="182">
        <f t="shared" si="377"/>
        <v>44822578.718250126</v>
      </c>
      <c r="S620" s="182">
        <f t="shared" si="377"/>
        <v>41620965.952660821</v>
      </c>
      <c r="T620" s="182">
        <f t="shared" si="377"/>
        <v>27095452.588688772</v>
      </c>
      <c r="U620" s="182">
        <f t="shared" si="377"/>
        <v>18936531.941512894</v>
      </c>
      <c r="V620" s="182">
        <f t="shared" si="377"/>
        <v>11804929.28174638</v>
      </c>
      <c r="W620" s="182">
        <f t="shared" si="377"/>
        <v>5595512.0430612434</v>
      </c>
      <c r="X620" s="182">
        <f t="shared" si="377"/>
        <v>0</v>
      </c>
      <c r="Y620" s="182">
        <f t="shared" si="377"/>
        <v>0</v>
      </c>
      <c r="Z620" s="182">
        <f t="shared" si="377"/>
        <v>0</v>
      </c>
      <c r="AA620" s="182">
        <f t="shared" si="377"/>
        <v>0</v>
      </c>
      <c r="AB620" s="182">
        <f t="shared" si="377"/>
        <v>0</v>
      </c>
      <c r="AC620" s="182">
        <f t="shared" si="377"/>
        <v>0</v>
      </c>
      <c r="AD620" s="182">
        <f t="shared" si="377"/>
        <v>0</v>
      </c>
      <c r="AE620" s="182">
        <f t="shared" si="377"/>
        <v>0</v>
      </c>
      <c r="AF620" s="182">
        <f t="shared" si="377"/>
        <v>0</v>
      </c>
      <c r="AG620" s="182">
        <f t="shared" si="377"/>
        <v>0</v>
      </c>
      <c r="AH620" s="182">
        <f t="shared" si="377"/>
        <v>0</v>
      </c>
      <c r="AI620" s="182">
        <f t="shared" si="377"/>
        <v>0</v>
      </c>
      <c r="AJ620" s="182">
        <f t="shared" si="377"/>
        <v>0</v>
      </c>
      <c r="AK620" s="182">
        <f t="shared" si="377"/>
        <v>0</v>
      </c>
      <c r="AL620" s="182">
        <f t="shared" si="377"/>
        <v>0</v>
      </c>
      <c r="AM620" s="182">
        <f t="shared" si="377"/>
        <v>0</v>
      </c>
      <c r="AN620" s="182">
        <f t="shared" si="377"/>
        <v>0</v>
      </c>
      <c r="AO620" s="182">
        <f t="shared" si="377"/>
        <v>0</v>
      </c>
      <c r="AP620" s="182">
        <f t="shared" si="377"/>
        <v>0</v>
      </c>
      <c r="AQ620" s="182">
        <f t="shared" si="377"/>
        <v>0</v>
      </c>
      <c r="AR620" s="182">
        <f t="shared" si="377"/>
        <v>0</v>
      </c>
      <c r="AS620" s="182">
        <f t="shared" si="377"/>
        <v>0</v>
      </c>
      <c r="AT620" s="182">
        <f t="shared" si="377"/>
        <v>0</v>
      </c>
      <c r="AU620" s="182">
        <f t="shared" si="377"/>
        <v>0</v>
      </c>
      <c r="AV620" s="182">
        <f t="shared" si="377"/>
        <v>0</v>
      </c>
      <c r="AW620" s="182">
        <f t="shared" si="377"/>
        <v>0</v>
      </c>
      <c r="AX620" s="182">
        <f t="shared" si="377"/>
        <v>0</v>
      </c>
      <c r="AY620" s="182">
        <f t="shared" si="377"/>
        <v>0</v>
      </c>
      <c r="AZ620" s="182">
        <f t="shared" si="377"/>
        <v>0</v>
      </c>
      <c r="BA620" s="182">
        <f t="shared" si="377"/>
        <v>0</v>
      </c>
      <c r="BB620" s="182">
        <f t="shared" si="377"/>
        <v>0</v>
      </c>
      <c r="BC620" s="182">
        <f t="shared" si="377"/>
        <v>0</v>
      </c>
      <c r="BD620" s="182">
        <f t="shared" si="377"/>
        <v>0</v>
      </c>
      <c r="BE620" s="182">
        <f t="shared" si="377"/>
        <v>0</v>
      </c>
      <c r="BF620" s="182">
        <f t="shared" si="377"/>
        <v>0</v>
      </c>
      <c r="BG620" s="182">
        <f t="shared" si="377"/>
        <v>0</v>
      </c>
      <c r="BH620" s="182">
        <f t="shared" si="377"/>
        <v>0</v>
      </c>
      <c r="BI620" s="182">
        <f t="shared" si="377"/>
        <v>0</v>
      </c>
      <c r="BJ620" s="183">
        <f t="shared" si="377"/>
        <v>0</v>
      </c>
    </row>
    <row r="621" spans="1:64" s="80" customFormat="1">
      <c r="A621" s="184" t="s">
        <v>143</v>
      </c>
      <c r="B621" s="177"/>
      <c r="C621" s="181">
        <f>C620</f>
        <v>-17670808.082662947</v>
      </c>
      <c r="D621" s="182">
        <f t="shared" ref="D621:BJ621" si="378">IF(D620=0, 0, C621+D620)</f>
        <v>-36273048.396105096</v>
      </c>
      <c r="E621" s="182">
        <f t="shared" si="378"/>
        <v>-64862142.405130446</v>
      </c>
      <c r="F621" s="182">
        <f t="shared" si="378"/>
        <v>-91409158.270653978</v>
      </c>
      <c r="G621" s="182">
        <f t="shared" si="378"/>
        <v>-116059958.71721154</v>
      </c>
      <c r="H621" s="182">
        <f t="shared" si="378"/>
        <v>-99053648.951936781</v>
      </c>
      <c r="I621" s="182">
        <f t="shared" si="378"/>
        <v>-68117640.794763923</v>
      </c>
      <c r="J621" s="182">
        <f t="shared" si="378"/>
        <v>-25328658.045378819</v>
      </c>
      <c r="K621" s="182">
        <f t="shared" si="378"/>
        <v>27462180.435304694</v>
      </c>
      <c r="L621" s="182">
        <f t="shared" si="378"/>
        <v>97382747.019128114</v>
      </c>
      <c r="M621" s="182">
        <f t="shared" si="378"/>
        <v>162308987.41839272</v>
      </c>
      <c r="N621" s="182">
        <f t="shared" si="378"/>
        <v>222597639.21770984</v>
      </c>
      <c r="O621" s="182">
        <f t="shared" si="378"/>
        <v>278579958.74564719</v>
      </c>
      <c r="P621" s="182">
        <f t="shared" si="378"/>
        <v>330563541.16444618</v>
      </c>
      <c r="Q621" s="182">
        <f t="shared" si="378"/>
        <v>378834010.5533309</v>
      </c>
      <c r="R621" s="182">
        <f t="shared" si="378"/>
        <v>423656589.27158105</v>
      </c>
      <c r="S621" s="182">
        <f t="shared" si="378"/>
        <v>465277555.22424185</v>
      </c>
      <c r="T621" s="182">
        <f t="shared" si="378"/>
        <v>492373007.81293064</v>
      </c>
      <c r="U621" s="182">
        <f t="shared" si="378"/>
        <v>511309539.75444353</v>
      </c>
      <c r="V621" s="182">
        <f t="shared" si="378"/>
        <v>523114469.03618991</v>
      </c>
      <c r="W621" s="182">
        <f t="shared" si="378"/>
        <v>528709981.07925117</v>
      </c>
      <c r="X621" s="182">
        <f t="shared" si="378"/>
        <v>0</v>
      </c>
      <c r="Y621" s="182">
        <f t="shared" si="378"/>
        <v>0</v>
      </c>
      <c r="Z621" s="182">
        <f t="shared" si="378"/>
        <v>0</v>
      </c>
      <c r="AA621" s="182">
        <f t="shared" si="378"/>
        <v>0</v>
      </c>
      <c r="AB621" s="182">
        <f t="shared" si="378"/>
        <v>0</v>
      </c>
      <c r="AC621" s="182">
        <f t="shared" si="378"/>
        <v>0</v>
      </c>
      <c r="AD621" s="182">
        <f t="shared" si="378"/>
        <v>0</v>
      </c>
      <c r="AE621" s="182">
        <f t="shared" si="378"/>
        <v>0</v>
      </c>
      <c r="AF621" s="182">
        <f t="shared" si="378"/>
        <v>0</v>
      </c>
      <c r="AG621" s="182">
        <f t="shared" si="378"/>
        <v>0</v>
      </c>
      <c r="AH621" s="182">
        <f t="shared" si="378"/>
        <v>0</v>
      </c>
      <c r="AI621" s="182">
        <f t="shared" si="378"/>
        <v>0</v>
      </c>
      <c r="AJ621" s="182">
        <f t="shared" si="378"/>
        <v>0</v>
      </c>
      <c r="AK621" s="182">
        <f t="shared" si="378"/>
        <v>0</v>
      </c>
      <c r="AL621" s="182">
        <f t="shared" si="378"/>
        <v>0</v>
      </c>
      <c r="AM621" s="182">
        <f t="shared" si="378"/>
        <v>0</v>
      </c>
      <c r="AN621" s="182">
        <f t="shared" si="378"/>
        <v>0</v>
      </c>
      <c r="AO621" s="182">
        <f t="shared" si="378"/>
        <v>0</v>
      </c>
      <c r="AP621" s="182">
        <f t="shared" si="378"/>
        <v>0</v>
      </c>
      <c r="AQ621" s="182">
        <f t="shared" si="378"/>
        <v>0</v>
      </c>
      <c r="AR621" s="182">
        <f t="shared" si="378"/>
        <v>0</v>
      </c>
      <c r="AS621" s="182">
        <f t="shared" si="378"/>
        <v>0</v>
      </c>
      <c r="AT621" s="182">
        <f t="shared" si="378"/>
        <v>0</v>
      </c>
      <c r="AU621" s="182">
        <f t="shared" si="378"/>
        <v>0</v>
      </c>
      <c r="AV621" s="182">
        <f t="shared" si="378"/>
        <v>0</v>
      </c>
      <c r="AW621" s="182">
        <f t="shared" si="378"/>
        <v>0</v>
      </c>
      <c r="AX621" s="182">
        <f t="shared" si="378"/>
        <v>0</v>
      </c>
      <c r="AY621" s="182">
        <f t="shared" si="378"/>
        <v>0</v>
      </c>
      <c r="AZ621" s="182">
        <f t="shared" si="378"/>
        <v>0</v>
      </c>
      <c r="BA621" s="182">
        <f t="shared" si="378"/>
        <v>0</v>
      </c>
      <c r="BB621" s="182">
        <f t="shared" si="378"/>
        <v>0</v>
      </c>
      <c r="BC621" s="182">
        <f t="shared" si="378"/>
        <v>0</v>
      </c>
      <c r="BD621" s="182">
        <f t="shared" si="378"/>
        <v>0</v>
      </c>
      <c r="BE621" s="182">
        <f t="shared" si="378"/>
        <v>0</v>
      </c>
      <c r="BF621" s="182">
        <f t="shared" si="378"/>
        <v>0</v>
      </c>
      <c r="BG621" s="182">
        <f t="shared" si="378"/>
        <v>0</v>
      </c>
      <c r="BH621" s="182">
        <f t="shared" si="378"/>
        <v>0</v>
      </c>
      <c r="BI621" s="182">
        <f t="shared" si="378"/>
        <v>0</v>
      </c>
      <c r="BJ621" s="183">
        <f t="shared" si="378"/>
        <v>0</v>
      </c>
    </row>
    <row r="622" spans="1:64" s="83" customFormat="1">
      <c r="A622" s="78"/>
      <c r="B622" s="81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2"/>
      <c r="N622" s="82"/>
      <c r="O622" s="82"/>
      <c r="P622" s="82"/>
      <c r="Q622" s="82"/>
      <c r="R622" s="82"/>
      <c r="S622" s="82"/>
      <c r="T622" s="82"/>
      <c r="U622" s="82"/>
      <c r="V622" s="82"/>
      <c r="W622" s="82"/>
      <c r="X622" s="82"/>
      <c r="Y622" s="82"/>
      <c r="Z622" s="82"/>
      <c r="AA622" s="82"/>
      <c r="AB622" s="82"/>
      <c r="AC622" s="82"/>
      <c r="AD622" s="82"/>
      <c r="AE622" s="82"/>
      <c r="AF622" s="82"/>
      <c r="AG622" s="82"/>
      <c r="AH622" s="82"/>
      <c r="AI622" s="82"/>
      <c r="AJ622" s="82"/>
      <c r="AK622" s="82"/>
      <c r="AL622" s="82"/>
      <c r="AM622" s="82"/>
      <c r="AN622" s="82"/>
      <c r="AO622" s="82"/>
      <c r="AP622" s="82"/>
      <c r="AQ622" s="82"/>
      <c r="AR622" s="82"/>
      <c r="AS622" s="82"/>
      <c r="AT622" s="82"/>
      <c r="AU622" s="82"/>
      <c r="AV622" s="82"/>
      <c r="AW622" s="82"/>
      <c r="AX622" s="82"/>
      <c r="AY622" s="82"/>
      <c r="AZ622" s="82"/>
      <c r="BA622" s="82"/>
      <c r="BB622" s="82"/>
      <c r="BC622" s="82"/>
      <c r="BD622" s="82"/>
      <c r="BE622" s="82"/>
      <c r="BF622" s="82"/>
      <c r="BG622" s="82"/>
      <c r="BH622" s="82"/>
      <c r="BI622" s="82"/>
      <c r="BJ622" s="82"/>
    </row>
    <row r="623" spans="1:64" ht="21">
      <c r="A623" s="185" t="s">
        <v>163</v>
      </c>
      <c r="B623" s="93"/>
      <c r="C623" s="186"/>
      <c r="D623" s="186"/>
      <c r="E623" s="186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86"/>
      <c r="AD623" s="186"/>
      <c r="AE623" s="186"/>
      <c r="AF623" s="186"/>
      <c r="AG623" s="186"/>
      <c r="AH623" s="186"/>
      <c r="AI623" s="186"/>
      <c r="AJ623" s="186"/>
      <c r="AK623" s="186"/>
      <c r="AL623" s="186"/>
      <c r="AM623" s="186"/>
      <c r="AN623" s="186"/>
      <c r="AO623" s="186"/>
      <c r="AP623" s="186"/>
      <c r="AQ623" s="186"/>
      <c r="AR623" s="186"/>
      <c r="AS623" s="186"/>
      <c r="AT623" s="186"/>
      <c r="AU623" s="186"/>
      <c r="AV623" s="186"/>
      <c r="AW623" s="186"/>
      <c r="AX623" s="186"/>
      <c r="AY623" s="186"/>
      <c r="AZ623" s="186"/>
      <c r="BA623" s="186"/>
      <c r="BB623" s="186"/>
      <c r="BC623" s="186"/>
      <c r="BD623" s="186"/>
      <c r="BE623" s="186"/>
      <c r="BF623" s="186"/>
      <c r="BG623" s="186"/>
      <c r="BH623" s="186"/>
      <c r="BI623" s="186"/>
      <c r="BJ623" s="186"/>
    </row>
    <row r="624" spans="1:64">
      <c r="A624" s="187" t="s">
        <v>158</v>
      </c>
      <c r="B624" s="188">
        <f>SUM(C624:BJ624)</f>
        <v>843.68702817511667</v>
      </c>
      <c r="C624" s="189">
        <f>(C576*(1-$K517))/(1+$C517)^(C575-1)</f>
        <v>0</v>
      </c>
      <c r="D624" s="190">
        <f>(D576*(1-$K517))/(1+$C517)^(D575-1)</f>
        <v>0</v>
      </c>
      <c r="E624" s="190">
        <f t="shared" ref="E624:BJ624" si="379">(E576*(1-$K517))/(1+$C517)^(E575-1)</f>
        <v>0</v>
      </c>
      <c r="F624" s="190">
        <f t="shared" si="379"/>
        <v>0</v>
      </c>
      <c r="G624" s="190">
        <f t="shared" si="379"/>
        <v>0</v>
      </c>
      <c r="H624" s="190">
        <f t="shared" si="379"/>
        <v>27.599642262152663</v>
      </c>
      <c r="I624" s="190">
        <f t="shared" si="379"/>
        <v>49.285075468129747</v>
      </c>
      <c r="J624" s="190">
        <f t="shared" si="379"/>
        <v>66.006797501959468</v>
      </c>
      <c r="K624" s="190">
        <f t="shared" si="379"/>
        <v>78.579520835666045</v>
      </c>
      <c r="L624" s="190">
        <f t="shared" si="379"/>
        <v>100.39383095487176</v>
      </c>
      <c r="M624" s="190">
        <f t="shared" si="379"/>
        <v>89.637349066849779</v>
      </c>
      <c r="N624" s="190">
        <f t="shared" si="379"/>
        <v>80.03334738111586</v>
      </c>
      <c r="O624" s="190">
        <f t="shared" si="379"/>
        <v>71.458345875996315</v>
      </c>
      <c r="P624" s="190">
        <f t="shared" si="379"/>
        <v>63.802094532139549</v>
      </c>
      <c r="Q624" s="190">
        <f t="shared" si="379"/>
        <v>56.966155832267454</v>
      </c>
      <c r="R624" s="190">
        <f t="shared" si="379"/>
        <v>50.862639135953088</v>
      </c>
      <c r="S624" s="190">
        <f t="shared" si="379"/>
        <v>45.41307065710096</v>
      </c>
      <c r="T624" s="190">
        <f t="shared" si="379"/>
        <v>28.33656297159008</v>
      </c>
      <c r="U624" s="190">
        <f t="shared" si="379"/>
        <v>18.975376989904067</v>
      </c>
      <c r="V624" s="190">
        <f t="shared" si="379"/>
        <v>11.294867255895278</v>
      </c>
      <c r="W624" s="190">
        <f t="shared" si="379"/>
        <v>5.0423514535246783</v>
      </c>
      <c r="X624" s="190">
        <f t="shared" si="379"/>
        <v>0</v>
      </c>
      <c r="Y624" s="190">
        <f t="shared" si="379"/>
        <v>0</v>
      </c>
      <c r="Z624" s="190">
        <f t="shared" si="379"/>
        <v>0</v>
      </c>
      <c r="AA624" s="190">
        <f t="shared" si="379"/>
        <v>0</v>
      </c>
      <c r="AB624" s="190">
        <f t="shared" si="379"/>
        <v>0</v>
      </c>
      <c r="AC624" s="190">
        <f t="shared" si="379"/>
        <v>0</v>
      </c>
      <c r="AD624" s="190">
        <f t="shared" si="379"/>
        <v>0</v>
      </c>
      <c r="AE624" s="190">
        <f t="shared" si="379"/>
        <v>0</v>
      </c>
      <c r="AF624" s="190">
        <f t="shared" si="379"/>
        <v>0</v>
      </c>
      <c r="AG624" s="190">
        <f t="shared" si="379"/>
        <v>0</v>
      </c>
      <c r="AH624" s="190">
        <f t="shared" si="379"/>
        <v>0</v>
      </c>
      <c r="AI624" s="190">
        <f t="shared" si="379"/>
        <v>0</v>
      </c>
      <c r="AJ624" s="190">
        <f t="shared" si="379"/>
        <v>0</v>
      </c>
      <c r="AK624" s="190">
        <f t="shared" si="379"/>
        <v>0</v>
      </c>
      <c r="AL624" s="190">
        <f t="shared" si="379"/>
        <v>0</v>
      </c>
      <c r="AM624" s="190">
        <f t="shared" si="379"/>
        <v>0</v>
      </c>
      <c r="AN624" s="190">
        <f t="shared" si="379"/>
        <v>0</v>
      </c>
      <c r="AO624" s="190">
        <f t="shared" si="379"/>
        <v>0</v>
      </c>
      <c r="AP624" s="190">
        <f t="shared" si="379"/>
        <v>0</v>
      </c>
      <c r="AQ624" s="190">
        <f t="shared" si="379"/>
        <v>0</v>
      </c>
      <c r="AR624" s="190">
        <f t="shared" si="379"/>
        <v>0</v>
      </c>
      <c r="AS624" s="190">
        <f t="shared" si="379"/>
        <v>0</v>
      </c>
      <c r="AT624" s="190">
        <f t="shared" si="379"/>
        <v>0</v>
      </c>
      <c r="AU624" s="190">
        <f t="shared" si="379"/>
        <v>0</v>
      </c>
      <c r="AV624" s="190">
        <f t="shared" si="379"/>
        <v>0</v>
      </c>
      <c r="AW624" s="190">
        <f t="shared" si="379"/>
        <v>0</v>
      </c>
      <c r="AX624" s="190">
        <f t="shared" si="379"/>
        <v>0</v>
      </c>
      <c r="AY624" s="190">
        <f t="shared" si="379"/>
        <v>0</v>
      </c>
      <c r="AZ624" s="190">
        <f t="shared" si="379"/>
        <v>0</v>
      </c>
      <c r="BA624" s="190">
        <f t="shared" si="379"/>
        <v>0</v>
      </c>
      <c r="BB624" s="190">
        <f t="shared" si="379"/>
        <v>0</v>
      </c>
      <c r="BC624" s="190">
        <f t="shared" si="379"/>
        <v>0</v>
      </c>
      <c r="BD624" s="190">
        <f t="shared" si="379"/>
        <v>0</v>
      </c>
      <c r="BE624" s="190">
        <f t="shared" si="379"/>
        <v>0</v>
      </c>
      <c r="BF624" s="190">
        <f t="shared" si="379"/>
        <v>0</v>
      </c>
      <c r="BG624" s="190">
        <f t="shared" si="379"/>
        <v>0</v>
      </c>
      <c r="BH624" s="190">
        <f t="shared" si="379"/>
        <v>0</v>
      </c>
      <c r="BI624" s="190">
        <f t="shared" si="379"/>
        <v>0</v>
      </c>
      <c r="BJ624" s="191">
        <f t="shared" si="379"/>
        <v>0</v>
      </c>
    </row>
    <row r="625" spans="1:63">
      <c r="A625" s="192" t="s">
        <v>159</v>
      </c>
      <c r="B625" s="193">
        <f>SUM(C625:BJ625)</f>
        <v>496538065.35318053</v>
      </c>
      <c r="C625" s="194">
        <f>(((C578+C607)*(1-$K517))-(C617-C587))/(1+$C517)^(C575-1)</f>
        <v>29416617.736538135</v>
      </c>
      <c r="D625" s="186">
        <f>(((D578+D607)*(1-$K517))-(D617-D587))/(1+$C517)^(D575-1)</f>
        <v>29896019.152225278</v>
      </c>
      <c r="E625" s="186">
        <f t="shared" ref="E625:BJ625" si="380">(((E578+E607)*(1-$K517))-(E617-E587))/(1+$C517)^(E575-1)</f>
        <v>38868541.326930285</v>
      </c>
      <c r="F625" s="186">
        <f t="shared" si="380"/>
        <v>35899414.844926834</v>
      </c>
      <c r="G625" s="186">
        <f t="shared" si="380"/>
        <v>33156140.404602811</v>
      </c>
      <c r="H625" s="186">
        <f t="shared" si="380"/>
        <v>7894408.2659315756</v>
      </c>
      <c r="I625" s="186">
        <f t="shared" si="380"/>
        <v>15308182.472210344</v>
      </c>
      <c r="J625" s="186">
        <f t="shared" si="380"/>
        <v>21622568.484398618</v>
      </c>
      <c r="K625" s="186">
        <f t="shared" si="380"/>
        <v>26956796.380191583</v>
      </c>
      <c r="L625" s="186">
        <f t="shared" si="380"/>
        <v>36041105.206178628</v>
      </c>
      <c r="M625" s="186">
        <f t="shared" si="380"/>
        <v>33466740.54859443</v>
      </c>
      <c r="N625" s="186">
        <f t="shared" si="380"/>
        <v>31076259.080837686</v>
      </c>
      <c r="O625" s="186">
        <f t="shared" si="380"/>
        <v>28856526.289349284</v>
      </c>
      <c r="P625" s="186">
        <f t="shared" si="380"/>
        <v>26795345.840110037</v>
      </c>
      <c r="Q625" s="186">
        <f t="shared" si="380"/>
        <v>24881392.565816466</v>
      </c>
      <c r="R625" s="186">
        <f t="shared" si="380"/>
        <v>23104150.239686716</v>
      </c>
      <c r="S625" s="186">
        <f t="shared" si="380"/>
        <v>21453853.793994807</v>
      </c>
      <c r="T625" s="186">
        <f t="shared" si="380"/>
        <v>13835859.010454591</v>
      </c>
      <c r="U625" s="186">
        <f t="shared" si="380"/>
        <v>9569202.9221762363</v>
      </c>
      <c r="V625" s="186">
        <f t="shared" si="380"/>
        <v>5841478.0148230772</v>
      </c>
      <c r="W625" s="186">
        <f t="shared" si="380"/>
        <v>2597462.7732031476</v>
      </c>
      <c r="X625" s="186">
        <f t="shared" si="380"/>
        <v>0</v>
      </c>
      <c r="Y625" s="186">
        <f t="shared" si="380"/>
        <v>0</v>
      </c>
      <c r="Z625" s="186">
        <f t="shared" si="380"/>
        <v>0</v>
      </c>
      <c r="AA625" s="186">
        <f t="shared" si="380"/>
        <v>0</v>
      </c>
      <c r="AB625" s="186">
        <f t="shared" si="380"/>
        <v>0</v>
      </c>
      <c r="AC625" s="186">
        <f t="shared" si="380"/>
        <v>0</v>
      </c>
      <c r="AD625" s="186">
        <f t="shared" si="380"/>
        <v>0</v>
      </c>
      <c r="AE625" s="186">
        <f t="shared" si="380"/>
        <v>0</v>
      </c>
      <c r="AF625" s="186">
        <f t="shared" si="380"/>
        <v>0</v>
      </c>
      <c r="AG625" s="186">
        <f t="shared" si="380"/>
        <v>0</v>
      </c>
      <c r="AH625" s="186">
        <f t="shared" si="380"/>
        <v>0</v>
      </c>
      <c r="AI625" s="186">
        <f t="shared" si="380"/>
        <v>0</v>
      </c>
      <c r="AJ625" s="186">
        <f t="shared" si="380"/>
        <v>0</v>
      </c>
      <c r="AK625" s="186">
        <f t="shared" si="380"/>
        <v>0</v>
      </c>
      <c r="AL625" s="186">
        <f t="shared" si="380"/>
        <v>0</v>
      </c>
      <c r="AM625" s="186">
        <f t="shared" si="380"/>
        <v>0</v>
      </c>
      <c r="AN625" s="186">
        <f t="shared" si="380"/>
        <v>0</v>
      </c>
      <c r="AO625" s="186">
        <f t="shared" si="380"/>
        <v>0</v>
      </c>
      <c r="AP625" s="186">
        <f t="shared" si="380"/>
        <v>0</v>
      </c>
      <c r="AQ625" s="186">
        <f t="shared" si="380"/>
        <v>0</v>
      </c>
      <c r="AR625" s="186">
        <f t="shared" si="380"/>
        <v>0</v>
      </c>
      <c r="AS625" s="186">
        <f t="shared" si="380"/>
        <v>0</v>
      </c>
      <c r="AT625" s="186">
        <f t="shared" si="380"/>
        <v>0</v>
      </c>
      <c r="AU625" s="186">
        <f t="shared" si="380"/>
        <v>0</v>
      </c>
      <c r="AV625" s="186">
        <f t="shared" si="380"/>
        <v>0</v>
      </c>
      <c r="AW625" s="186">
        <f t="shared" si="380"/>
        <v>0</v>
      </c>
      <c r="AX625" s="186">
        <f t="shared" si="380"/>
        <v>0</v>
      </c>
      <c r="AY625" s="186">
        <f t="shared" si="380"/>
        <v>0</v>
      </c>
      <c r="AZ625" s="186">
        <f t="shared" si="380"/>
        <v>0</v>
      </c>
      <c r="BA625" s="186">
        <f t="shared" si="380"/>
        <v>0</v>
      </c>
      <c r="BB625" s="186">
        <f t="shared" si="380"/>
        <v>0</v>
      </c>
      <c r="BC625" s="186">
        <f t="shared" si="380"/>
        <v>0</v>
      </c>
      <c r="BD625" s="186">
        <f t="shared" si="380"/>
        <v>0</v>
      </c>
      <c r="BE625" s="186">
        <f t="shared" si="380"/>
        <v>0</v>
      </c>
      <c r="BF625" s="186">
        <f t="shared" si="380"/>
        <v>0</v>
      </c>
      <c r="BG625" s="186">
        <f t="shared" si="380"/>
        <v>0</v>
      </c>
      <c r="BH625" s="186">
        <f t="shared" si="380"/>
        <v>0</v>
      </c>
      <c r="BI625" s="186">
        <f t="shared" si="380"/>
        <v>0</v>
      </c>
      <c r="BJ625" s="195">
        <f t="shared" si="380"/>
        <v>0</v>
      </c>
    </row>
    <row r="626" spans="1:63">
      <c r="A626" s="196" t="s">
        <v>160</v>
      </c>
      <c r="B626" s="197">
        <f>B625/B624</f>
        <v>588533.48311776877</v>
      </c>
      <c r="C626" s="166"/>
      <c r="D626" s="167"/>
      <c r="E626" s="167"/>
      <c r="F626" s="167"/>
      <c r="G626" s="167"/>
      <c r="H626" s="167"/>
      <c r="I626" s="167"/>
      <c r="J626" s="167"/>
      <c r="K626" s="167"/>
      <c r="L626" s="167"/>
      <c r="M626" s="167"/>
      <c r="N626" s="167"/>
      <c r="O626" s="167"/>
      <c r="P626" s="167"/>
      <c r="Q626" s="167"/>
      <c r="R626" s="167"/>
      <c r="S626" s="167"/>
      <c r="T626" s="167"/>
      <c r="U626" s="167"/>
      <c r="V626" s="167"/>
      <c r="W626" s="167"/>
      <c r="X626" s="167"/>
      <c r="Y626" s="167"/>
      <c r="Z626" s="167"/>
      <c r="AA626" s="167"/>
      <c r="AB626" s="167"/>
      <c r="AC626" s="167"/>
      <c r="AD626" s="167"/>
      <c r="AE626" s="167"/>
      <c r="AF626" s="167"/>
      <c r="AG626" s="167"/>
      <c r="AH626" s="167"/>
      <c r="AI626" s="167"/>
      <c r="AJ626" s="167"/>
      <c r="AK626" s="167"/>
      <c r="AL626" s="167"/>
      <c r="AM626" s="167"/>
      <c r="AN626" s="167"/>
      <c r="AO626" s="167"/>
      <c r="AP626" s="167"/>
      <c r="AQ626" s="167"/>
      <c r="AR626" s="167"/>
      <c r="AS626" s="167"/>
      <c r="AT626" s="167"/>
      <c r="AU626" s="167"/>
      <c r="AV626" s="167"/>
      <c r="AW626" s="167"/>
      <c r="AX626" s="167"/>
      <c r="AY626" s="167"/>
      <c r="AZ626" s="167"/>
      <c r="BA626" s="167"/>
      <c r="BB626" s="167"/>
      <c r="BC626" s="167"/>
      <c r="BD626" s="167"/>
      <c r="BE626" s="167"/>
      <c r="BF626" s="167"/>
      <c r="BG626" s="167"/>
      <c r="BH626" s="167"/>
      <c r="BI626" s="167"/>
      <c r="BJ626" s="198"/>
    </row>
    <row r="627" spans="1:63">
      <c r="A627" s="187" t="s">
        <v>158</v>
      </c>
      <c r="B627" s="188">
        <f>SUM(C627:BJ627)</f>
        <v>3200.0000000000005</v>
      </c>
      <c r="C627" s="189">
        <f>(C576*(1-$K517))/(1)^(C575-1)</f>
        <v>0</v>
      </c>
      <c r="D627" s="190">
        <f>(D576*(1-$K517))/(1)^(D575-1)</f>
        <v>0</v>
      </c>
      <c r="E627" s="190">
        <f t="shared" ref="E627:BJ627" si="381">(E576*(1-$K517))/(1)^(E575-1)</f>
        <v>0</v>
      </c>
      <c r="F627" s="190">
        <f t="shared" si="381"/>
        <v>0</v>
      </c>
      <c r="G627" s="190">
        <f t="shared" si="381"/>
        <v>0</v>
      </c>
      <c r="H627" s="190">
        <f t="shared" si="381"/>
        <v>48.639999999999993</v>
      </c>
      <c r="I627" s="190">
        <f t="shared" si="381"/>
        <v>97.279999999999987</v>
      </c>
      <c r="J627" s="190">
        <f t="shared" si="381"/>
        <v>145.91999999999996</v>
      </c>
      <c r="K627" s="190">
        <f t="shared" si="381"/>
        <v>194.55999999999997</v>
      </c>
      <c r="L627" s="190">
        <f t="shared" si="381"/>
        <v>278.40000000000003</v>
      </c>
      <c r="M627" s="190">
        <f t="shared" si="381"/>
        <v>278.40000000000003</v>
      </c>
      <c r="N627" s="190">
        <f t="shared" si="381"/>
        <v>278.40000000000003</v>
      </c>
      <c r="O627" s="190">
        <f t="shared" si="381"/>
        <v>278.40000000000003</v>
      </c>
      <c r="P627" s="190">
        <f t="shared" si="381"/>
        <v>278.40000000000003</v>
      </c>
      <c r="Q627" s="190">
        <f t="shared" si="381"/>
        <v>278.40000000000003</v>
      </c>
      <c r="R627" s="190">
        <f t="shared" si="381"/>
        <v>278.40000000000003</v>
      </c>
      <c r="S627" s="190">
        <f t="shared" si="381"/>
        <v>278.40000000000003</v>
      </c>
      <c r="T627" s="190">
        <f t="shared" si="381"/>
        <v>194.55999999999997</v>
      </c>
      <c r="U627" s="190">
        <f t="shared" si="381"/>
        <v>145.91999999999996</v>
      </c>
      <c r="V627" s="190">
        <f t="shared" si="381"/>
        <v>97.279999999999987</v>
      </c>
      <c r="W627" s="190">
        <f t="shared" si="381"/>
        <v>48.639999999999993</v>
      </c>
      <c r="X627" s="190">
        <f t="shared" si="381"/>
        <v>0</v>
      </c>
      <c r="Y627" s="190">
        <f t="shared" si="381"/>
        <v>0</v>
      </c>
      <c r="Z627" s="190">
        <f t="shared" si="381"/>
        <v>0</v>
      </c>
      <c r="AA627" s="190">
        <f t="shared" si="381"/>
        <v>0</v>
      </c>
      <c r="AB627" s="190">
        <f t="shared" si="381"/>
        <v>0</v>
      </c>
      <c r="AC627" s="190">
        <f t="shared" si="381"/>
        <v>0</v>
      </c>
      <c r="AD627" s="190">
        <f t="shared" si="381"/>
        <v>0</v>
      </c>
      <c r="AE627" s="190">
        <f t="shared" si="381"/>
        <v>0</v>
      </c>
      <c r="AF627" s="190">
        <f t="shared" si="381"/>
        <v>0</v>
      </c>
      <c r="AG627" s="190">
        <f t="shared" si="381"/>
        <v>0</v>
      </c>
      <c r="AH627" s="190">
        <f t="shared" si="381"/>
        <v>0</v>
      </c>
      <c r="AI627" s="190">
        <f t="shared" si="381"/>
        <v>0</v>
      </c>
      <c r="AJ627" s="190">
        <f t="shared" si="381"/>
        <v>0</v>
      </c>
      <c r="AK627" s="190">
        <f t="shared" si="381"/>
        <v>0</v>
      </c>
      <c r="AL627" s="190">
        <f t="shared" si="381"/>
        <v>0</v>
      </c>
      <c r="AM627" s="190">
        <f t="shared" si="381"/>
        <v>0</v>
      </c>
      <c r="AN627" s="190">
        <f t="shared" si="381"/>
        <v>0</v>
      </c>
      <c r="AO627" s="190">
        <f t="shared" si="381"/>
        <v>0</v>
      </c>
      <c r="AP627" s="190">
        <f t="shared" si="381"/>
        <v>0</v>
      </c>
      <c r="AQ627" s="190">
        <f t="shared" si="381"/>
        <v>0</v>
      </c>
      <c r="AR627" s="190">
        <f t="shared" si="381"/>
        <v>0</v>
      </c>
      <c r="AS627" s="190">
        <f t="shared" si="381"/>
        <v>0</v>
      </c>
      <c r="AT627" s="190">
        <f t="shared" si="381"/>
        <v>0</v>
      </c>
      <c r="AU627" s="190">
        <f t="shared" si="381"/>
        <v>0</v>
      </c>
      <c r="AV627" s="190">
        <f t="shared" si="381"/>
        <v>0</v>
      </c>
      <c r="AW627" s="190">
        <f t="shared" si="381"/>
        <v>0</v>
      </c>
      <c r="AX627" s="190">
        <f t="shared" si="381"/>
        <v>0</v>
      </c>
      <c r="AY627" s="190">
        <f t="shared" si="381"/>
        <v>0</v>
      </c>
      <c r="AZ627" s="190">
        <f t="shared" si="381"/>
        <v>0</v>
      </c>
      <c r="BA627" s="190">
        <f t="shared" si="381"/>
        <v>0</v>
      </c>
      <c r="BB627" s="190">
        <f t="shared" si="381"/>
        <v>0</v>
      </c>
      <c r="BC627" s="190">
        <f t="shared" si="381"/>
        <v>0</v>
      </c>
      <c r="BD627" s="190">
        <f t="shared" si="381"/>
        <v>0</v>
      </c>
      <c r="BE627" s="190">
        <f t="shared" si="381"/>
        <v>0</v>
      </c>
      <c r="BF627" s="190">
        <f t="shared" si="381"/>
        <v>0</v>
      </c>
      <c r="BG627" s="190">
        <f t="shared" si="381"/>
        <v>0</v>
      </c>
      <c r="BH627" s="190">
        <f t="shared" si="381"/>
        <v>0</v>
      </c>
      <c r="BI627" s="190">
        <f t="shared" si="381"/>
        <v>0</v>
      </c>
      <c r="BJ627" s="191">
        <f t="shared" si="381"/>
        <v>0</v>
      </c>
    </row>
    <row r="628" spans="1:63">
      <c r="A628" s="192" t="s">
        <v>159</v>
      </c>
      <c r="B628" s="193">
        <f>SUM(C628:BJ628)</f>
        <v>1537803484.2604115</v>
      </c>
      <c r="C628" s="194">
        <f>(((C578+C607)*(1-$K517))-(C617-C587))/(1)^(C575-1)</f>
        <v>29416617.736538135</v>
      </c>
      <c r="D628" s="186">
        <f>(((D578+D607)*(1-$K517))-(D617-D587))/(1)^(D575-1)</f>
        <v>33483541.450492315</v>
      </c>
      <c r="E628" s="186">
        <f t="shared" ref="E628:BJ628" si="382">(((E578+E607)*(1-$K517))-(E617-E587))/(1)^(E575-1)</f>
        <v>48756698.240501359</v>
      </c>
      <c r="F628" s="186">
        <f t="shared" si="382"/>
        <v>50436093.099253379</v>
      </c>
      <c r="G628" s="186">
        <f t="shared" si="382"/>
        <v>52171828.829520769</v>
      </c>
      <c r="H628" s="186">
        <f t="shared" si="382"/>
        <v>13912644.75124985</v>
      </c>
      <c r="I628" s="186">
        <f t="shared" si="382"/>
        <v>30215637.832584877</v>
      </c>
      <c r="J628" s="186">
        <f t="shared" si="382"/>
        <v>47800610.128824711</v>
      </c>
      <c r="K628" s="186">
        <f t="shared" si="382"/>
        <v>66744035.18823161</v>
      </c>
      <c r="L628" s="186">
        <f t="shared" si="382"/>
        <v>99944823.242281333</v>
      </c>
      <c r="M628" s="186">
        <f t="shared" si="382"/>
        <v>103942616.17197257</v>
      </c>
      <c r="N628" s="186">
        <f t="shared" si="382"/>
        <v>108100320.8188515</v>
      </c>
      <c r="O628" s="186">
        <f t="shared" si="382"/>
        <v>112424333.65160556</v>
      </c>
      <c r="P628" s="186">
        <f t="shared" si="382"/>
        <v>116921306.99766976</v>
      </c>
      <c r="Q628" s="186">
        <f t="shared" si="382"/>
        <v>121598159.27757657</v>
      </c>
      <c r="R628" s="186">
        <f t="shared" si="382"/>
        <v>126462085.64867961</v>
      </c>
      <c r="S628" s="186">
        <f t="shared" si="382"/>
        <v>131520569.07462682</v>
      </c>
      <c r="T628" s="186">
        <f t="shared" si="382"/>
        <v>94997573.692085326</v>
      </c>
      <c r="U628" s="186">
        <f t="shared" si="382"/>
        <v>73586843.157154858</v>
      </c>
      <c r="V628" s="186">
        <f t="shared" si="382"/>
        <v>50311258.061522588</v>
      </c>
      <c r="W628" s="186">
        <f t="shared" si="382"/>
        <v>25055887.209188312</v>
      </c>
      <c r="X628" s="186">
        <f t="shared" si="382"/>
        <v>0</v>
      </c>
      <c r="Y628" s="186">
        <f t="shared" si="382"/>
        <v>0</v>
      </c>
      <c r="Z628" s="186">
        <f t="shared" si="382"/>
        <v>0</v>
      </c>
      <c r="AA628" s="186">
        <f t="shared" si="382"/>
        <v>0</v>
      </c>
      <c r="AB628" s="186">
        <f t="shared" si="382"/>
        <v>0</v>
      </c>
      <c r="AC628" s="186">
        <f t="shared" si="382"/>
        <v>0</v>
      </c>
      <c r="AD628" s="186">
        <f t="shared" si="382"/>
        <v>0</v>
      </c>
      <c r="AE628" s="186">
        <f t="shared" si="382"/>
        <v>0</v>
      </c>
      <c r="AF628" s="186">
        <f t="shared" si="382"/>
        <v>0</v>
      </c>
      <c r="AG628" s="186">
        <f t="shared" si="382"/>
        <v>0</v>
      </c>
      <c r="AH628" s="186">
        <f t="shared" si="382"/>
        <v>0</v>
      </c>
      <c r="AI628" s="186">
        <f t="shared" si="382"/>
        <v>0</v>
      </c>
      <c r="AJ628" s="186">
        <f t="shared" si="382"/>
        <v>0</v>
      </c>
      <c r="AK628" s="186">
        <f t="shared" si="382"/>
        <v>0</v>
      </c>
      <c r="AL628" s="186">
        <f t="shared" si="382"/>
        <v>0</v>
      </c>
      <c r="AM628" s="186">
        <f t="shared" si="382"/>
        <v>0</v>
      </c>
      <c r="AN628" s="186">
        <f t="shared" si="382"/>
        <v>0</v>
      </c>
      <c r="AO628" s="186">
        <f t="shared" si="382"/>
        <v>0</v>
      </c>
      <c r="AP628" s="186">
        <f t="shared" si="382"/>
        <v>0</v>
      </c>
      <c r="AQ628" s="186">
        <f t="shared" si="382"/>
        <v>0</v>
      </c>
      <c r="AR628" s="186">
        <f t="shared" si="382"/>
        <v>0</v>
      </c>
      <c r="AS628" s="186">
        <f t="shared" si="382"/>
        <v>0</v>
      </c>
      <c r="AT628" s="186">
        <f t="shared" si="382"/>
        <v>0</v>
      </c>
      <c r="AU628" s="186">
        <f t="shared" si="382"/>
        <v>0</v>
      </c>
      <c r="AV628" s="186">
        <f t="shared" si="382"/>
        <v>0</v>
      </c>
      <c r="AW628" s="186">
        <f t="shared" si="382"/>
        <v>0</v>
      </c>
      <c r="AX628" s="186">
        <f t="shared" si="382"/>
        <v>0</v>
      </c>
      <c r="AY628" s="186">
        <f t="shared" si="382"/>
        <v>0</v>
      </c>
      <c r="AZ628" s="186">
        <f t="shared" si="382"/>
        <v>0</v>
      </c>
      <c r="BA628" s="186">
        <f t="shared" si="382"/>
        <v>0</v>
      </c>
      <c r="BB628" s="186">
        <f t="shared" si="382"/>
        <v>0</v>
      </c>
      <c r="BC628" s="186">
        <f t="shared" si="382"/>
        <v>0</v>
      </c>
      <c r="BD628" s="186">
        <f t="shared" si="382"/>
        <v>0</v>
      </c>
      <c r="BE628" s="186">
        <f t="shared" si="382"/>
        <v>0</v>
      </c>
      <c r="BF628" s="186">
        <f t="shared" si="382"/>
        <v>0</v>
      </c>
      <c r="BG628" s="186">
        <f t="shared" si="382"/>
        <v>0</v>
      </c>
      <c r="BH628" s="186">
        <f t="shared" si="382"/>
        <v>0</v>
      </c>
      <c r="BI628" s="186">
        <f t="shared" si="382"/>
        <v>0</v>
      </c>
      <c r="BJ628" s="195">
        <f t="shared" si="382"/>
        <v>0</v>
      </c>
      <c r="BK628" s="186"/>
    </row>
    <row r="629" spans="1:63">
      <c r="A629" s="196" t="s">
        <v>161</v>
      </c>
      <c r="B629" s="197">
        <f>B628/B627</f>
        <v>480563.58883137855</v>
      </c>
      <c r="C629" s="166"/>
      <c r="D629" s="167"/>
      <c r="E629" s="167"/>
      <c r="F629" s="167"/>
      <c r="G629" s="167"/>
      <c r="H629" s="167"/>
      <c r="I629" s="167"/>
      <c r="J629" s="167"/>
      <c r="K629" s="167"/>
      <c r="L629" s="167"/>
      <c r="M629" s="167"/>
      <c r="N629" s="167"/>
      <c r="O629" s="167"/>
      <c r="P629" s="167"/>
      <c r="Q629" s="167"/>
      <c r="R629" s="167"/>
      <c r="S629" s="167"/>
      <c r="T629" s="167"/>
      <c r="U629" s="167"/>
      <c r="V629" s="167"/>
      <c r="W629" s="167"/>
      <c r="X629" s="167"/>
      <c r="Y629" s="167"/>
      <c r="Z629" s="167"/>
      <c r="AA629" s="167"/>
      <c r="AB629" s="167"/>
      <c r="AC629" s="167"/>
      <c r="AD629" s="167"/>
      <c r="AE629" s="167"/>
      <c r="AF629" s="167"/>
      <c r="AG629" s="167"/>
      <c r="AH629" s="167"/>
      <c r="AI629" s="167"/>
      <c r="AJ629" s="167"/>
      <c r="AK629" s="167"/>
      <c r="AL629" s="167"/>
      <c r="AM629" s="167"/>
      <c r="AN629" s="167"/>
      <c r="AO629" s="167"/>
      <c r="AP629" s="167"/>
      <c r="AQ629" s="167"/>
      <c r="AR629" s="167"/>
      <c r="AS629" s="167"/>
      <c r="AT629" s="167"/>
      <c r="AU629" s="167"/>
      <c r="AV629" s="167"/>
      <c r="AW629" s="167"/>
      <c r="AX629" s="167"/>
      <c r="AY629" s="167"/>
      <c r="AZ629" s="167"/>
      <c r="BA629" s="167"/>
      <c r="BB629" s="167"/>
      <c r="BC629" s="167"/>
      <c r="BD629" s="167"/>
      <c r="BE629" s="167"/>
      <c r="BF629" s="167"/>
      <c r="BG629" s="167"/>
      <c r="BH629" s="167"/>
      <c r="BI629" s="167"/>
      <c r="BJ629" s="198"/>
    </row>
    <row r="630" spans="1:63">
      <c r="A630" s="216" t="s">
        <v>164</v>
      </c>
      <c r="B630" s="235">
        <v>9</v>
      </c>
      <c r="C630" s="218"/>
      <c r="D630" s="186"/>
      <c r="E630" s="186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86"/>
      <c r="AD630" s="186"/>
      <c r="AE630" s="186"/>
      <c r="AF630" s="186"/>
      <c r="AG630" s="186"/>
      <c r="AH630" s="186"/>
      <c r="AI630" s="186"/>
      <c r="AJ630" s="186"/>
      <c r="AK630" s="186"/>
      <c r="AL630" s="186"/>
      <c r="AM630" s="186"/>
      <c r="AN630" s="186"/>
      <c r="AO630" s="186"/>
      <c r="AP630" s="186"/>
      <c r="AQ630" s="186"/>
      <c r="AR630" s="186"/>
      <c r="AS630" s="186"/>
      <c r="AT630" s="186"/>
      <c r="AU630" s="186"/>
      <c r="AV630" s="186"/>
      <c r="AW630" s="186"/>
      <c r="AX630" s="186"/>
      <c r="AY630" s="186"/>
      <c r="AZ630" s="186"/>
      <c r="BA630" s="186"/>
      <c r="BB630" s="186"/>
      <c r="BC630" s="186"/>
      <c r="BD630" s="186"/>
      <c r="BE630" s="186"/>
      <c r="BF630" s="186"/>
      <c r="BG630" s="186"/>
      <c r="BH630" s="186"/>
      <c r="BI630" s="186"/>
      <c r="BJ630" s="186"/>
    </row>
    <row r="633" spans="1:63" ht="28.5">
      <c r="A633" s="84">
        <v>6</v>
      </c>
      <c r="B633" s="85" t="s">
        <v>147</v>
      </c>
      <c r="C633" s="86">
        <v>0.12</v>
      </c>
      <c r="D633" s="85" t="s">
        <v>148</v>
      </c>
      <c r="E633" s="86">
        <v>0.25</v>
      </c>
      <c r="F633" s="85" t="s">
        <v>149</v>
      </c>
      <c r="G633" s="86">
        <v>0.04</v>
      </c>
      <c r="H633" s="85" t="s">
        <v>150</v>
      </c>
      <c r="I633" s="87">
        <v>0.1</v>
      </c>
      <c r="J633" s="85" t="s">
        <v>151</v>
      </c>
      <c r="K633" s="86">
        <v>0.3</v>
      </c>
      <c r="L633" s="85" t="s">
        <v>152</v>
      </c>
      <c r="M633" s="87">
        <v>0.26</v>
      </c>
      <c r="N633" s="85" t="s">
        <v>153</v>
      </c>
      <c r="O633" s="88">
        <v>30</v>
      </c>
    </row>
    <row r="634" spans="1:63" s="94" customFormat="1">
      <c r="A634" s="90" t="s">
        <v>154</v>
      </c>
      <c r="B634" s="91" t="s">
        <v>155</v>
      </c>
      <c r="C634" s="91">
        <v>1</v>
      </c>
      <c r="D634" s="92">
        <v>2</v>
      </c>
      <c r="E634" s="92">
        <v>3</v>
      </c>
      <c r="F634" s="92">
        <v>4</v>
      </c>
      <c r="G634" s="92">
        <v>5</v>
      </c>
      <c r="H634" s="92">
        <v>6</v>
      </c>
      <c r="I634" s="92">
        <v>7</v>
      </c>
      <c r="J634" s="92">
        <v>8</v>
      </c>
      <c r="K634" s="92">
        <v>9</v>
      </c>
      <c r="L634" s="92">
        <v>10</v>
      </c>
      <c r="M634" s="92">
        <v>11</v>
      </c>
      <c r="N634" s="92">
        <v>12</v>
      </c>
      <c r="O634" s="92">
        <v>13</v>
      </c>
      <c r="P634" s="92">
        <v>14</v>
      </c>
      <c r="Q634" s="92">
        <v>15</v>
      </c>
      <c r="R634" s="92">
        <v>16</v>
      </c>
      <c r="S634" s="92">
        <v>17</v>
      </c>
      <c r="T634" s="92">
        <v>18</v>
      </c>
      <c r="U634" s="92">
        <v>19</v>
      </c>
      <c r="V634" s="92">
        <v>20</v>
      </c>
      <c r="W634" s="92">
        <v>21</v>
      </c>
      <c r="X634" s="92">
        <v>22</v>
      </c>
      <c r="Y634" s="92">
        <v>23</v>
      </c>
      <c r="Z634" s="92">
        <v>24</v>
      </c>
      <c r="AA634" s="92">
        <v>25</v>
      </c>
      <c r="AB634" s="92">
        <v>26</v>
      </c>
      <c r="AC634" s="92">
        <v>27</v>
      </c>
      <c r="AD634" s="92">
        <v>28</v>
      </c>
      <c r="AE634" s="92">
        <v>29</v>
      </c>
      <c r="AF634" s="92">
        <v>30</v>
      </c>
      <c r="AG634" s="92">
        <v>31</v>
      </c>
      <c r="AH634" s="92">
        <v>32</v>
      </c>
      <c r="AI634" s="92">
        <v>33</v>
      </c>
      <c r="AJ634" s="92">
        <v>34</v>
      </c>
      <c r="AK634" s="92">
        <v>35</v>
      </c>
      <c r="AL634" s="92">
        <v>36</v>
      </c>
      <c r="AM634" s="92">
        <v>37</v>
      </c>
      <c r="AN634" s="92">
        <v>38</v>
      </c>
      <c r="AO634" s="92">
        <v>39</v>
      </c>
      <c r="AP634" s="92">
        <v>40</v>
      </c>
      <c r="AQ634" s="92">
        <v>41</v>
      </c>
      <c r="AR634" s="92">
        <v>42</v>
      </c>
      <c r="AS634" s="92">
        <v>43</v>
      </c>
      <c r="AT634" s="92">
        <v>44</v>
      </c>
      <c r="AU634" s="92">
        <v>45</v>
      </c>
      <c r="AV634" s="92">
        <v>46</v>
      </c>
      <c r="AW634" s="92">
        <v>47</v>
      </c>
      <c r="AX634" s="92">
        <v>48</v>
      </c>
      <c r="AY634" s="92">
        <v>49</v>
      </c>
      <c r="AZ634" s="92">
        <v>50</v>
      </c>
      <c r="BA634" s="92">
        <v>51</v>
      </c>
      <c r="BB634" s="92">
        <v>52</v>
      </c>
      <c r="BC634" s="92">
        <v>53</v>
      </c>
      <c r="BD634" s="92">
        <v>54</v>
      </c>
      <c r="BE634" s="92">
        <v>55</v>
      </c>
      <c r="BF634" s="92">
        <v>56</v>
      </c>
      <c r="BG634" s="92">
        <v>57</v>
      </c>
      <c r="BH634" s="92">
        <v>58</v>
      </c>
      <c r="BI634" s="92">
        <v>59</v>
      </c>
      <c r="BJ634" s="93">
        <v>60</v>
      </c>
    </row>
    <row r="635" spans="1:63" s="100" customFormat="1">
      <c r="A635" s="95" t="s">
        <v>156</v>
      </c>
      <c r="B635" s="97">
        <f>SUM(C635:BJ635)</f>
        <v>3999.9999999999995</v>
      </c>
      <c r="C635" s="97">
        <v>0</v>
      </c>
      <c r="D635" s="98">
        <v>0</v>
      </c>
      <c r="E635" s="98">
        <v>0</v>
      </c>
      <c r="F635" s="98">
        <v>0</v>
      </c>
      <c r="G635" s="98">
        <v>0</v>
      </c>
      <c r="H635" s="98">
        <v>60.349999999999994</v>
      </c>
      <c r="I635" s="98">
        <v>120.69999999999999</v>
      </c>
      <c r="J635" s="98">
        <v>181.04999999999995</v>
      </c>
      <c r="K635" s="98">
        <v>241.39999999999998</v>
      </c>
      <c r="L635" s="98">
        <v>399</v>
      </c>
      <c r="M635" s="98">
        <v>399</v>
      </c>
      <c r="N635" s="98">
        <v>399</v>
      </c>
      <c r="O635" s="98">
        <v>399</v>
      </c>
      <c r="P635" s="98">
        <v>399</v>
      </c>
      <c r="Q635" s="98">
        <v>399</v>
      </c>
      <c r="R635" s="98">
        <v>399</v>
      </c>
      <c r="S635" s="98">
        <v>241.39999999999998</v>
      </c>
      <c r="T635" s="98">
        <v>181.04999999999995</v>
      </c>
      <c r="U635" s="98">
        <v>120.69999999999999</v>
      </c>
      <c r="V635" s="98">
        <v>60.349999999999994</v>
      </c>
      <c r="W635" s="98">
        <v>0</v>
      </c>
      <c r="X635" s="98">
        <v>0</v>
      </c>
      <c r="Y635" s="98">
        <v>0</v>
      </c>
      <c r="Z635" s="98">
        <v>0</v>
      </c>
      <c r="AA635" s="98">
        <v>0</v>
      </c>
      <c r="AB635" s="98">
        <v>0</v>
      </c>
      <c r="AC635" s="98">
        <v>0</v>
      </c>
      <c r="AD635" s="98">
        <v>0</v>
      </c>
      <c r="AE635" s="98">
        <v>0</v>
      </c>
      <c r="AF635" s="98">
        <v>0</v>
      </c>
      <c r="AG635" s="98">
        <v>0</v>
      </c>
      <c r="AH635" s="98">
        <v>0</v>
      </c>
      <c r="AI635" s="98">
        <v>0</v>
      </c>
      <c r="AJ635" s="98">
        <v>0</v>
      </c>
      <c r="AK635" s="98">
        <v>0</v>
      </c>
      <c r="AL635" s="98">
        <v>0</v>
      </c>
      <c r="AM635" s="98">
        <v>0</v>
      </c>
      <c r="AN635" s="98">
        <v>0</v>
      </c>
      <c r="AO635" s="98">
        <v>0</v>
      </c>
      <c r="AP635" s="98">
        <v>0</v>
      </c>
      <c r="AQ635" s="98">
        <v>0</v>
      </c>
      <c r="AR635" s="98">
        <v>0</v>
      </c>
      <c r="AS635" s="98">
        <v>0</v>
      </c>
      <c r="AT635" s="98">
        <v>0</v>
      </c>
      <c r="AU635" s="98">
        <v>0</v>
      </c>
      <c r="AV635" s="98">
        <v>0</v>
      </c>
      <c r="AW635" s="98">
        <v>0</v>
      </c>
      <c r="AX635" s="98">
        <v>0</v>
      </c>
      <c r="AY635" s="98">
        <v>0</v>
      </c>
      <c r="AZ635" s="98">
        <v>0</v>
      </c>
      <c r="BA635" s="98">
        <v>0</v>
      </c>
      <c r="BB635" s="98">
        <v>0</v>
      </c>
      <c r="BC635" s="98">
        <v>0</v>
      </c>
      <c r="BD635" s="98">
        <v>0</v>
      </c>
      <c r="BE635" s="98">
        <v>0</v>
      </c>
      <c r="BF635" s="98">
        <v>0</v>
      </c>
      <c r="BG635" s="98">
        <v>0</v>
      </c>
      <c r="BH635" s="98">
        <v>0</v>
      </c>
      <c r="BI635" s="98">
        <v>0</v>
      </c>
      <c r="BJ635" s="99">
        <v>0</v>
      </c>
    </row>
    <row r="636" spans="1:63" s="105" customFormat="1">
      <c r="A636" s="101" t="s">
        <v>115</v>
      </c>
      <c r="B636" s="102">
        <f>SUM(C636:BJ636)</f>
        <v>2298134089.1811023</v>
      </c>
      <c r="C636" s="222">
        <f>(C644*(1+$E633))+(C635*$B742)+(C635*$B742*$M633)</f>
        <v>6985785.9550836664</v>
      </c>
      <c r="D636" s="103">
        <f>(D644*(1+$E633))+(D635*$B742)+(D635*$B742*$M633)</f>
        <v>6985785.9550836664</v>
      </c>
      <c r="E636" s="103">
        <f t="shared" ref="E636:BJ636" si="383">(E644*(1+$E633))+(E635*$B742)+(E635*$B742*$M633)</f>
        <v>6985785.9550836664</v>
      </c>
      <c r="F636" s="103">
        <f t="shared" si="383"/>
        <v>6985785.9550836664</v>
      </c>
      <c r="G636" s="103">
        <f t="shared" si="383"/>
        <v>6985785.9550836664</v>
      </c>
      <c r="H636" s="103">
        <f t="shared" si="383"/>
        <v>34146107.842533253</v>
      </c>
      <c r="I636" s="103">
        <f t="shared" si="383"/>
        <v>68292215.685066506</v>
      </c>
      <c r="J636" s="103">
        <f t="shared" si="383"/>
        <v>102438323.52759975</v>
      </c>
      <c r="K636" s="103">
        <f t="shared" si="383"/>
        <v>136584431.37013301</v>
      </c>
      <c r="L636" s="103">
        <f t="shared" si="383"/>
        <v>225754714.65071702</v>
      </c>
      <c r="M636" s="103">
        <f t="shared" si="383"/>
        <v>225754714.65071702</v>
      </c>
      <c r="N636" s="103">
        <f t="shared" si="383"/>
        <v>225754714.65071702</v>
      </c>
      <c r="O636" s="103">
        <f t="shared" si="383"/>
        <v>225754714.65071702</v>
      </c>
      <c r="P636" s="103">
        <f t="shared" si="383"/>
        <v>225754714.65071702</v>
      </c>
      <c r="Q636" s="103">
        <f t="shared" si="383"/>
        <v>225754714.65071702</v>
      </c>
      <c r="R636" s="103">
        <f t="shared" si="383"/>
        <v>225754714.65071702</v>
      </c>
      <c r="S636" s="103">
        <f t="shared" si="383"/>
        <v>136584431.37013301</v>
      </c>
      <c r="T636" s="103">
        <f t="shared" si="383"/>
        <v>102438323.52759975</v>
      </c>
      <c r="U636" s="103">
        <f t="shared" si="383"/>
        <v>68292215.685066506</v>
      </c>
      <c r="V636" s="103">
        <f t="shared" si="383"/>
        <v>34146107.842533253</v>
      </c>
      <c r="W636" s="103">
        <f t="shared" si="383"/>
        <v>0</v>
      </c>
      <c r="X636" s="103">
        <f t="shared" si="383"/>
        <v>0</v>
      </c>
      <c r="Y636" s="103">
        <f t="shared" si="383"/>
        <v>0</v>
      </c>
      <c r="Z636" s="103">
        <f t="shared" si="383"/>
        <v>0</v>
      </c>
      <c r="AA636" s="103">
        <f t="shared" si="383"/>
        <v>0</v>
      </c>
      <c r="AB636" s="103">
        <f t="shared" si="383"/>
        <v>0</v>
      </c>
      <c r="AC636" s="103">
        <f t="shared" si="383"/>
        <v>0</v>
      </c>
      <c r="AD636" s="103">
        <f t="shared" si="383"/>
        <v>0</v>
      </c>
      <c r="AE636" s="103">
        <f t="shared" si="383"/>
        <v>0</v>
      </c>
      <c r="AF636" s="103">
        <f t="shared" si="383"/>
        <v>0</v>
      </c>
      <c r="AG636" s="103">
        <f t="shared" si="383"/>
        <v>0</v>
      </c>
      <c r="AH636" s="103">
        <f t="shared" si="383"/>
        <v>0</v>
      </c>
      <c r="AI636" s="103">
        <f t="shared" si="383"/>
        <v>0</v>
      </c>
      <c r="AJ636" s="103">
        <f t="shared" si="383"/>
        <v>0</v>
      </c>
      <c r="AK636" s="103">
        <f t="shared" si="383"/>
        <v>0</v>
      </c>
      <c r="AL636" s="103">
        <f t="shared" si="383"/>
        <v>0</v>
      </c>
      <c r="AM636" s="103">
        <f t="shared" si="383"/>
        <v>0</v>
      </c>
      <c r="AN636" s="103">
        <f t="shared" si="383"/>
        <v>0</v>
      </c>
      <c r="AO636" s="103">
        <f t="shared" si="383"/>
        <v>0</v>
      </c>
      <c r="AP636" s="103">
        <f t="shared" si="383"/>
        <v>0</v>
      </c>
      <c r="AQ636" s="103">
        <f t="shared" si="383"/>
        <v>0</v>
      </c>
      <c r="AR636" s="103">
        <f t="shared" si="383"/>
        <v>0</v>
      </c>
      <c r="AS636" s="103">
        <f t="shared" si="383"/>
        <v>0</v>
      </c>
      <c r="AT636" s="103">
        <f t="shared" si="383"/>
        <v>0</v>
      </c>
      <c r="AU636" s="103">
        <f t="shared" si="383"/>
        <v>0</v>
      </c>
      <c r="AV636" s="103">
        <f t="shared" si="383"/>
        <v>0</v>
      </c>
      <c r="AW636" s="103">
        <f t="shared" si="383"/>
        <v>0</v>
      </c>
      <c r="AX636" s="103">
        <f t="shared" si="383"/>
        <v>0</v>
      </c>
      <c r="AY636" s="103">
        <f t="shared" si="383"/>
        <v>0</v>
      </c>
      <c r="AZ636" s="103">
        <f t="shared" si="383"/>
        <v>0</v>
      </c>
      <c r="BA636" s="103">
        <f t="shared" si="383"/>
        <v>0</v>
      </c>
      <c r="BB636" s="103">
        <f t="shared" si="383"/>
        <v>0</v>
      </c>
      <c r="BC636" s="103">
        <f t="shared" si="383"/>
        <v>0</v>
      </c>
      <c r="BD636" s="103">
        <f t="shared" si="383"/>
        <v>0</v>
      </c>
      <c r="BE636" s="103">
        <f t="shared" si="383"/>
        <v>0</v>
      </c>
      <c r="BF636" s="103">
        <f t="shared" si="383"/>
        <v>0</v>
      </c>
      <c r="BG636" s="103">
        <f t="shared" si="383"/>
        <v>0</v>
      </c>
      <c r="BH636" s="103">
        <f t="shared" si="383"/>
        <v>0</v>
      </c>
      <c r="BI636" s="103">
        <f t="shared" si="383"/>
        <v>0</v>
      </c>
      <c r="BJ636" s="104">
        <f t="shared" si="383"/>
        <v>0</v>
      </c>
    </row>
    <row r="637" spans="1:63" s="105" customFormat="1">
      <c r="A637" s="106" t="s">
        <v>116</v>
      </c>
      <c r="B637" s="107">
        <f>SUM(B644,B638:B639)</f>
        <v>369033078.28761864</v>
      </c>
      <c r="C637" s="133">
        <f>SUM(C638,C639,C644)</f>
        <v>5588628.7640669327</v>
      </c>
      <c r="D637" s="134">
        <f>D638+D639+D644</f>
        <v>5588628.7640669327</v>
      </c>
      <c r="E637" s="134">
        <f t="shared" ref="E637:BJ637" si="384">E638+E639+E644</f>
        <v>5588628.7640669327</v>
      </c>
      <c r="F637" s="134">
        <f t="shared" si="384"/>
        <v>5588628.7640669327</v>
      </c>
      <c r="G637" s="134">
        <f t="shared" si="384"/>
        <v>5588628.7640669327</v>
      </c>
      <c r="H637" s="134">
        <f t="shared" si="384"/>
        <v>5146194.3862751471</v>
      </c>
      <c r="I637" s="134">
        <f t="shared" si="384"/>
        <v>10292388.772550294</v>
      </c>
      <c r="J637" s="134">
        <f t="shared" si="384"/>
        <v>15438583.158825438</v>
      </c>
      <c r="K637" s="134">
        <f t="shared" si="384"/>
        <v>20584777.545100588</v>
      </c>
      <c r="L637" s="134">
        <f t="shared" si="384"/>
        <v>34023720.963111579</v>
      </c>
      <c r="M637" s="134">
        <f t="shared" si="384"/>
        <v>34023720.963111579</v>
      </c>
      <c r="N637" s="134">
        <f t="shared" si="384"/>
        <v>34023720.963111579</v>
      </c>
      <c r="O637" s="134">
        <f t="shared" si="384"/>
        <v>34023720.963111579</v>
      </c>
      <c r="P637" s="134">
        <f t="shared" si="384"/>
        <v>34023720.963111579</v>
      </c>
      <c r="Q637" s="134">
        <f t="shared" si="384"/>
        <v>34023720.963111579</v>
      </c>
      <c r="R637" s="134">
        <f t="shared" si="384"/>
        <v>34023720.963111579</v>
      </c>
      <c r="S637" s="134">
        <f t="shared" si="384"/>
        <v>20584777.545100588</v>
      </c>
      <c r="T637" s="134">
        <f t="shared" si="384"/>
        <v>15438583.158825438</v>
      </c>
      <c r="U637" s="134">
        <f t="shared" si="384"/>
        <v>10292388.772550294</v>
      </c>
      <c r="V637" s="134">
        <f t="shared" si="384"/>
        <v>5146194.3862751471</v>
      </c>
      <c r="W637" s="134">
        <f t="shared" si="384"/>
        <v>0</v>
      </c>
      <c r="X637" s="134">
        <f t="shared" si="384"/>
        <v>0</v>
      </c>
      <c r="Y637" s="134">
        <f t="shared" si="384"/>
        <v>0</v>
      </c>
      <c r="Z637" s="134">
        <f t="shared" si="384"/>
        <v>0</v>
      </c>
      <c r="AA637" s="134">
        <f t="shared" si="384"/>
        <v>0</v>
      </c>
      <c r="AB637" s="134">
        <f t="shared" si="384"/>
        <v>0</v>
      </c>
      <c r="AC637" s="134">
        <f t="shared" si="384"/>
        <v>0</v>
      </c>
      <c r="AD637" s="134">
        <f t="shared" si="384"/>
        <v>0</v>
      </c>
      <c r="AE637" s="134">
        <f t="shared" si="384"/>
        <v>0</v>
      </c>
      <c r="AF637" s="134">
        <f t="shared" si="384"/>
        <v>0</v>
      </c>
      <c r="AG637" s="134">
        <f t="shared" si="384"/>
        <v>0</v>
      </c>
      <c r="AH637" s="134">
        <f t="shared" si="384"/>
        <v>0</v>
      </c>
      <c r="AI637" s="134">
        <f t="shared" si="384"/>
        <v>0</v>
      </c>
      <c r="AJ637" s="134">
        <f t="shared" si="384"/>
        <v>0</v>
      </c>
      <c r="AK637" s="134">
        <f t="shared" si="384"/>
        <v>0</v>
      </c>
      <c r="AL637" s="134">
        <f t="shared" si="384"/>
        <v>0</v>
      </c>
      <c r="AM637" s="134">
        <f t="shared" si="384"/>
        <v>0</v>
      </c>
      <c r="AN637" s="134">
        <f t="shared" si="384"/>
        <v>0</v>
      </c>
      <c r="AO637" s="134">
        <f t="shared" si="384"/>
        <v>0</v>
      </c>
      <c r="AP637" s="134">
        <f t="shared" si="384"/>
        <v>0</v>
      </c>
      <c r="AQ637" s="134">
        <f t="shared" si="384"/>
        <v>0</v>
      </c>
      <c r="AR637" s="134">
        <f t="shared" si="384"/>
        <v>0</v>
      </c>
      <c r="AS637" s="134">
        <f t="shared" si="384"/>
        <v>0</v>
      </c>
      <c r="AT637" s="134">
        <f t="shared" si="384"/>
        <v>0</v>
      </c>
      <c r="AU637" s="134">
        <f t="shared" si="384"/>
        <v>0</v>
      </c>
      <c r="AV637" s="134">
        <f t="shared" si="384"/>
        <v>0</v>
      </c>
      <c r="AW637" s="134">
        <f t="shared" si="384"/>
        <v>0</v>
      </c>
      <c r="AX637" s="134">
        <f t="shared" si="384"/>
        <v>0</v>
      </c>
      <c r="AY637" s="134">
        <f t="shared" si="384"/>
        <v>0</v>
      </c>
      <c r="AZ637" s="134">
        <f t="shared" si="384"/>
        <v>0</v>
      </c>
      <c r="BA637" s="134">
        <f t="shared" si="384"/>
        <v>0</v>
      </c>
      <c r="BB637" s="134">
        <f t="shared" si="384"/>
        <v>0</v>
      </c>
      <c r="BC637" s="134">
        <f t="shared" si="384"/>
        <v>0</v>
      </c>
      <c r="BD637" s="134">
        <f t="shared" si="384"/>
        <v>0</v>
      </c>
      <c r="BE637" s="134">
        <f t="shared" si="384"/>
        <v>0</v>
      </c>
      <c r="BF637" s="134">
        <f t="shared" si="384"/>
        <v>0</v>
      </c>
      <c r="BG637" s="134">
        <f t="shared" si="384"/>
        <v>0</v>
      </c>
      <c r="BH637" s="134">
        <f t="shared" si="384"/>
        <v>0</v>
      </c>
      <c r="BI637" s="134">
        <f t="shared" si="384"/>
        <v>0</v>
      </c>
      <c r="BJ637" s="135">
        <f t="shared" si="384"/>
        <v>0</v>
      </c>
    </row>
    <row r="638" spans="1:63" s="116" customFormat="1">
      <c r="A638" s="111" t="s">
        <v>117</v>
      </c>
      <c r="B638" s="112">
        <f>SUM(C638:BJ638)</f>
        <v>92164732.289308757</v>
      </c>
      <c r="C638" s="223">
        <v>0</v>
      </c>
      <c r="D638" s="118">
        <v>0</v>
      </c>
      <c r="E638" s="118">
        <v>0</v>
      </c>
      <c r="F638" s="118">
        <v>0</v>
      </c>
      <c r="G638" s="118">
        <v>0</v>
      </c>
      <c r="H638" s="118">
        <v>1390535.3984149459</v>
      </c>
      <c r="I638" s="118">
        <v>2781070.7968298919</v>
      </c>
      <c r="J638" s="118">
        <v>4171606.1952448371</v>
      </c>
      <c r="K638" s="118">
        <v>5562141.5936597837</v>
      </c>
      <c r="L638" s="118">
        <v>9193432.045858549</v>
      </c>
      <c r="M638" s="118">
        <v>9193432.045858549</v>
      </c>
      <c r="N638" s="118">
        <v>9193432.045858549</v>
      </c>
      <c r="O638" s="118">
        <v>9193432.045858549</v>
      </c>
      <c r="P638" s="118">
        <v>9193432.045858549</v>
      </c>
      <c r="Q638" s="118">
        <v>9193432.045858549</v>
      </c>
      <c r="R638" s="118">
        <v>9193432.045858549</v>
      </c>
      <c r="S638" s="118">
        <v>5562141.5936597837</v>
      </c>
      <c r="T638" s="118">
        <v>4171606.1952448371</v>
      </c>
      <c r="U638" s="118">
        <v>2781070.7968298919</v>
      </c>
      <c r="V638" s="118">
        <v>1390535.3984149459</v>
      </c>
      <c r="W638" s="118">
        <v>0</v>
      </c>
      <c r="X638" s="118">
        <v>0</v>
      </c>
      <c r="Y638" s="118">
        <v>0</v>
      </c>
      <c r="Z638" s="118">
        <v>0</v>
      </c>
      <c r="AA638" s="118">
        <v>0</v>
      </c>
      <c r="AB638" s="118">
        <v>0</v>
      </c>
      <c r="AC638" s="118">
        <v>0</v>
      </c>
      <c r="AD638" s="118">
        <v>0</v>
      </c>
      <c r="AE638" s="118">
        <v>0</v>
      </c>
      <c r="AF638" s="118">
        <v>0</v>
      </c>
      <c r="AG638" s="118">
        <v>0</v>
      </c>
      <c r="AH638" s="118">
        <v>0</v>
      </c>
      <c r="AI638" s="118">
        <v>0</v>
      </c>
      <c r="AJ638" s="118">
        <v>0</v>
      </c>
      <c r="AK638" s="118">
        <v>0</v>
      </c>
      <c r="AL638" s="118">
        <v>0</v>
      </c>
      <c r="AM638" s="118">
        <v>0</v>
      </c>
      <c r="AN638" s="118">
        <v>0</v>
      </c>
      <c r="AO638" s="118">
        <v>0</v>
      </c>
      <c r="AP638" s="118">
        <v>0</v>
      </c>
      <c r="AQ638" s="118">
        <v>0</v>
      </c>
      <c r="AR638" s="118">
        <v>0</v>
      </c>
      <c r="AS638" s="118">
        <v>0</v>
      </c>
      <c r="AT638" s="118">
        <v>0</v>
      </c>
      <c r="AU638" s="118">
        <v>0</v>
      </c>
      <c r="AV638" s="118">
        <v>0</v>
      </c>
      <c r="AW638" s="118">
        <v>0</v>
      </c>
      <c r="AX638" s="118">
        <v>0</v>
      </c>
      <c r="AY638" s="118">
        <v>0</v>
      </c>
      <c r="AZ638" s="118">
        <v>0</v>
      </c>
      <c r="BA638" s="118">
        <v>0</v>
      </c>
      <c r="BB638" s="118">
        <v>0</v>
      </c>
      <c r="BC638" s="118">
        <v>0</v>
      </c>
      <c r="BD638" s="118">
        <v>0</v>
      </c>
      <c r="BE638" s="118">
        <v>0</v>
      </c>
      <c r="BF638" s="118">
        <v>0</v>
      </c>
      <c r="BG638" s="118">
        <v>0</v>
      </c>
      <c r="BH638" s="118">
        <v>0</v>
      </c>
      <c r="BI638" s="118">
        <v>0</v>
      </c>
      <c r="BJ638" s="119">
        <v>0</v>
      </c>
    </row>
    <row r="639" spans="1:63" s="116" customFormat="1">
      <c r="A639" s="111" t="s">
        <v>118</v>
      </c>
      <c r="B639" s="112">
        <f>SUM(B640:B643)</f>
        <v>248925202.17797521</v>
      </c>
      <c r="C639" s="117">
        <f>SUM(C640:C643)</f>
        <v>0</v>
      </c>
      <c r="D639" s="118">
        <f>SUM(D640:D643)</f>
        <v>0</v>
      </c>
      <c r="E639" s="118">
        <f t="shared" ref="E639:BJ639" si="385">SUM(E640:E643)</f>
        <v>0</v>
      </c>
      <c r="F639" s="118">
        <f t="shared" si="385"/>
        <v>0</v>
      </c>
      <c r="G639" s="118">
        <f t="shared" si="385"/>
        <v>0</v>
      </c>
      <c r="H639" s="118">
        <f t="shared" si="385"/>
        <v>3755658.9878602009</v>
      </c>
      <c r="I639" s="118">
        <f t="shared" si="385"/>
        <v>7511317.9757204019</v>
      </c>
      <c r="J639" s="118">
        <f t="shared" si="385"/>
        <v>11266976.963580601</v>
      </c>
      <c r="K639" s="118">
        <f t="shared" si="385"/>
        <v>15022635.951440804</v>
      </c>
      <c r="L639" s="118">
        <f t="shared" si="385"/>
        <v>24830288.917253029</v>
      </c>
      <c r="M639" s="118">
        <f t="shared" si="385"/>
        <v>24830288.917253029</v>
      </c>
      <c r="N639" s="118">
        <f t="shared" si="385"/>
        <v>24830288.917253029</v>
      </c>
      <c r="O639" s="118">
        <f t="shared" si="385"/>
        <v>24830288.917253029</v>
      </c>
      <c r="P639" s="118">
        <f t="shared" si="385"/>
        <v>24830288.917253029</v>
      </c>
      <c r="Q639" s="118">
        <f t="shared" si="385"/>
        <v>24830288.917253029</v>
      </c>
      <c r="R639" s="118">
        <f t="shared" si="385"/>
        <v>24830288.917253029</v>
      </c>
      <c r="S639" s="118">
        <f t="shared" si="385"/>
        <v>15022635.951440804</v>
      </c>
      <c r="T639" s="118">
        <f t="shared" si="385"/>
        <v>11266976.963580601</v>
      </c>
      <c r="U639" s="118">
        <f t="shared" si="385"/>
        <v>7511317.9757204019</v>
      </c>
      <c r="V639" s="118">
        <f t="shared" si="385"/>
        <v>3755658.9878602009</v>
      </c>
      <c r="W639" s="118">
        <f t="shared" si="385"/>
        <v>0</v>
      </c>
      <c r="X639" s="118">
        <f t="shared" si="385"/>
        <v>0</v>
      </c>
      <c r="Y639" s="118">
        <f t="shared" si="385"/>
        <v>0</v>
      </c>
      <c r="Z639" s="118">
        <f t="shared" si="385"/>
        <v>0</v>
      </c>
      <c r="AA639" s="118">
        <f t="shared" si="385"/>
        <v>0</v>
      </c>
      <c r="AB639" s="118">
        <f t="shared" si="385"/>
        <v>0</v>
      </c>
      <c r="AC639" s="118">
        <f t="shared" si="385"/>
        <v>0</v>
      </c>
      <c r="AD639" s="118">
        <f t="shared" si="385"/>
        <v>0</v>
      </c>
      <c r="AE639" s="118">
        <f t="shared" si="385"/>
        <v>0</v>
      </c>
      <c r="AF639" s="118">
        <f t="shared" si="385"/>
        <v>0</v>
      </c>
      <c r="AG639" s="118">
        <f t="shared" si="385"/>
        <v>0</v>
      </c>
      <c r="AH639" s="118">
        <f t="shared" si="385"/>
        <v>0</v>
      </c>
      <c r="AI639" s="118">
        <f t="shared" si="385"/>
        <v>0</v>
      </c>
      <c r="AJ639" s="118">
        <f t="shared" si="385"/>
        <v>0</v>
      </c>
      <c r="AK639" s="118">
        <f t="shared" si="385"/>
        <v>0</v>
      </c>
      <c r="AL639" s="118">
        <f t="shared" si="385"/>
        <v>0</v>
      </c>
      <c r="AM639" s="118">
        <f t="shared" si="385"/>
        <v>0</v>
      </c>
      <c r="AN639" s="118">
        <f t="shared" si="385"/>
        <v>0</v>
      </c>
      <c r="AO639" s="118">
        <f t="shared" si="385"/>
        <v>0</v>
      </c>
      <c r="AP639" s="118">
        <f t="shared" si="385"/>
        <v>0</v>
      </c>
      <c r="AQ639" s="118">
        <f t="shared" si="385"/>
        <v>0</v>
      </c>
      <c r="AR639" s="118">
        <f t="shared" si="385"/>
        <v>0</v>
      </c>
      <c r="AS639" s="118">
        <f t="shared" si="385"/>
        <v>0</v>
      </c>
      <c r="AT639" s="118">
        <f t="shared" si="385"/>
        <v>0</v>
      </c>
      <c r="AU639" s="118">
        <f t="shared" si="385"/>
        <v>0</v>
      </c>
      <c r="AV639" s="118">
        <f t="shared" si="385"/>
        <v>0</v>
      </c>
      <c r="AW639" s="118">
        <f t="shared" si="385"/>
        <v>0</v>
      </c>
      <c r="AX639" s="118">
        <f t="shared" si="385"/>
        <v>0</v>
      </c>
      <c r="AY639" s="118">
        <f t="shared" si="385"/>
        <v>0</v>
      </c>
      <c r="AZ639" s="118">
        <f t="shared" si="385"/>
        <v>0</v>
      </c>
      <c r="BA639" s="118">
        <f t="shared" si="385"/>
        <v>0</v>
      </c>
      <c r="BB639" s="118">
        <f t="shared" si="385"/>
        <v>0</v>
      </c>
      <c r="BC639" s="118">
        <f t="shared" si="385"/>
        <v>0</v>
      </c>
      <c r="BD639" s="118">
        <f t="shared" si="385"/>
        <v>0</v>
      </c>
      <c r="BE639" s="118">
        <f t="shared" si="385"/>
        <v>0</v>
      </c>
      <c r="BF639" s="118">
        <f t="shared" si="385"/>
        <v>0</v>
      </c>
      <c r="BG639" s="118">
        <f t="shared" si="385"/>
        <v>0</v>
      </c>
      <c r="BH639" s="118">
        <f t="shared" si="385"/>
        <v>0</v>
      </c>
      <c r="BI639" s="118">
        <f t="shared" si="385"/>
        <v>0</v>
      </c>
      <c r="BJ639" s="119">
        <f t="shared" si="385"/>
        <v>0</v>
      </c>
    </row>
    <row r="640" spans="1:63" s="125" customFormat="1" ht="12.75">
      <c r="A640" s="120" t="s">
        <v>119</v>
      </c>
      <c r="B640" s="121">
        <f t="shared" ref="B640:B645" si="386">SUM(C640:BJ640)</f>
        <v>89974347.428447753</v>
      </c>
      <c r="C640" s="224">
        <v>0</v>
      </c>
      <c r="D640" s="123">
        <v>0</v>
      </c>
      <c r="E640" s="123">
        <v>0</v>
      </c>
      <c r="F640" s="123">
        <v>0</v>
      </c>
      <c r="G640" s="123">
        <v>0</v>
      </c>
      <c r="H640" s="123">
        <v>1357487.9668267053</v>
      </c>
      <c r="I640" s="123">
        <v>2714975.9336534105</v>
      </c>
      <c r="J640" s="123">
        <v>4072463.9004801149</v>
      </c>
      <c r="K640" s="123">
        <v>5429951.867306821</v>
      </c>
      <c r="L640" s="123">
        <v>8974941.1559876613</v>
      </c>
      <c r="M640" s="123">
        <v>8974941.1559876613</v>
      </c>
      <c r="N640" s="123">
        <v>8974941.1559876613</v>
      </c>
      <c r="O640" s="123">
        <v>8974941.1559876613</v>
      </c>
      <c r="P640" s="123">
        <v>8974941.1559876613</v>
      </c>
      <c r="Q640" s="123">
        <v>8974941.1559876613</v>
      </c>
      <c r="R640" s="123">
        <v>8974941.1559876613</v>
      </c>
      <c r="S640" s="123">
        <v>5429951.867306821</v>
      </c>
      <c r="T640" s="123">
        <v>4072463.9004801149</v>
      </c>
      <c r="U640" s="123">
        <v>2714975.9336534105</v>
      </c>
      <c r="V640" s="123">
        <v>1357487.9668267053</v>
      </c>
      <c r="W640" s="123">
        <v>0</v>
      </c>
      <c r="X640" s="123">
        <v>0</v>
      </c>
      <c r="Y640" s="123">
        <v>0</v>
      </c>
      <c r="Z640" s="123">
        <v>0</v>
      </c>
      <c r="AA640" s="123">
        <v>0</v>
      </c>
      <c r="AB640" s="123">
        <v>0</v>
      </c>
      <c r="AC640" s="123">
        <v>0</v>
      </c>
      <c r="AD640" s="123">
        <v>0</v>
      </c>
      <c r="AE640" s="123">
        <v>0</v>
      </c>
      <c r="AF640" s="123">
        <v>0</v>
      </c>
      <c r="AG640" s="123">
        <v>0</v>
      </c>
      <c r="AH640" s="123">
        <v>0</v>
      </c>
      <c r="AI640" s="123">
        <v>0</v>
      </c>
      <c r="AJ640" s="123">
        <v>0</v>
      </c>
      <c r="AK640" s="123">
        <v>0</v>
      </c>
      <c r="AL640" s="123">
        <v>0</v>
      </c>
      <c r="AM640" s="123">
        <v>0</v>
      </c>
      <c r="AN640" s="123">
        <v>0</v>
      </c>
      <c r="AO640" s="123">
        <v>0</v>
      </c>
      <c r="AP640" s="123">
        <v>0</v>
      </c>
      <c r="AQ640" s="123">
        <v>0</v>
      </c>
      <c r="AR640" s="123">
        <v>0</v>
      </c>
      <c r="AS640" s="123">
        <v>0</v>
      </c>
      <c r="AT640" s="123">
        <v>0</v>
      </c>
      <c r="AU640" s="123">
        <v>0</v>
      </c>
      <c r="AV640" s="123">
        <v>0</v>
      </c>
      <c r="AW640" s="123">
        <v>0</v>
      </c>
      <c r="AX640" s="123">
        <v>0</v>
      </c>
      <c r="AY640" s="123">
        <v>0</v>
      </c>
      <c r="AZ640" s="123">
        <v>0</v>
      </c>
      <c r="BA640" s="123">
        <v>0</v>
      </c>
      <c r="BB640" s="123">
        <v>0</v>
      </c>
      <c r="BC640" s="123">
        <v>0</v>
      </c>
      <c r="BD640" s="123">
        <v>0</v>
      </c>
      <c r="BE640" s="123">
        <v>0</v>
      </c>
      <c r="BF640" s="123">
        <v>0</v>
      </c>
      <c r="BG640" s="123">
        <v>0</v>
      </c>
      <c r="BH640" s="123">
        <v>0</v>
      </c>
      <c r="BI640" s="123">
        <v>0</v>
      </c>
      <c r="BJ640" s="124">
        <v>0</v>
      </c>
    </row>
    <row r="641" spans="1:67" s="125" customFormat="1" ht="12.75">
      <c r="A641" s="120" t="s">
        <v>120</v>
      </c>
      <c r="B641" s="121">
        <f t="shared" si="386"/>
        <v>128535268.07047389</v>
      </c>
      <c r="C641" s="224">
        <v>0</v>
      </c>
      <c r="D641" s="123">
        <v>0</v>
      </c>
      <c r="E641" s="123">
        <v>0</v>
      </c>
      <c r="F641" s="123">
        <v>0</v>
      </c>
      <c r="G641" s="123">
        <v>0</v>
      </c>
      <c r="H641" s="123">
        <v>1939275.8570132751</v>
      </c>
      <c r="I641" s="123">
        <v>3878551.7140265503</v>
      </c>
      <c r="J641" s="123">
        <v>5817827.5710398238</v>
      </c>
      <c r="K641" s="123">
        <v>7757103.4280531006</v>
      </c>
      <c r="L641" s="123">
        <v>12821392.990029773</v>
      </c>
      <c r="M641" s="123">
        <v>12821392.990029773</v>
      </c>
      <c r="N641" s="123">
        <v>12821392.990029773</v>
      </c>
      <c r="O641" s="123">
        <v>12821392.990029773</v>
      </c>
      <c r="P641" s="123">
        <v>12821392.990029773</v>
      </c>
      <c r="Q641" s="123">
        <v>12821392.990029773</v>
      </c>
      <c r="R641" s="123">
        <v>12821392.990029773</v>
      </c>
      <c r="S641" s="123">
        <v>7757103.4280531006</v>
      </c>
      <c r="T641" s="123">
        <v>5817827.5710398238</v>
      </c>
      <c r="U641" s="123">
        <v>3878551.7140265503</v>
      </c>
      <c r="V641" s="123">
        <v>1939275.8570132751</v>
      </c>
      <c r="W641" s="123">
        <v>0</v>
      </c>
      <c r="X641" s="123">
        <v>0</v>
      </c>
      <c r="Y641" s="123">
        <v>0</v>
      </c>
      <c r="Z641" s="123">
        <v>0</v>
      </c>
      <c r="AA641" s="123">
        <v>0</v>
      </c>
      <c r="AB641" s="123">
        <v>0</v>
      </c>
      <c r="AC641" s="123">
        <v>0</v>
      </c>
      <c r="AD641" s="123">
        <v>0</v>
      </c>
      <c r="AE641" s="123">
        <v>0</v>
      </c>
      <c r="AF641" s="123">
        <v>0</v>
      </c>
      <c r="AG641" s="123">
        <v>0</v>
      </c>
      <c r="AH641" s="123">
        <v>0</v>
      </c>
      <c r="AI641" s="123">
        <v>0</v>
      </c>
      <c r="AJ641" s="123">
        <v>0</v>
      </c>
      <c r="AK641" s="123">
        <v>0</v>
      </c>
      <c r="AL641" s="123">
        <v>0</v>
      </c>
      <c r="AM641" s="123">
        <v>0</v>
      </c>
      <c r="AN641" s="123">
        <v>0</v>
      </c>
      <c r="AO641" s="123">
        <v>0</v>
      </c>
      <c r="AP641" s="123">
        <v>0</v>
      </c>
      <c r="AQ641" s="123">
        <v>0</v>
      </c>
      <c r="AR641" s="123">
        <v>0</v>
      </c>
      <c r="AS641" s="123">
        <v>0</v>
      </c>
      <c r="AT641" s="123">
        <v>0</v>
      </c>
      <c r="AU641" s="123">
        <v>0</v>
      </c>
      <c r="AV641" s="123">
        <v>0</v>
      </c>
      <c r="AW641" s="123">
        <v>0</v>
      </c>
      <c r="AX641" s="123">
        <v>0</v>
      </c>
      <c r="AY641" s="123">
        <v>0</v>
      </c>
      <c r="AZ641" s="123">
        <v>0</v>
      </c>
      <c r="BA641" s="123">
        <v>0</v>
      </c>
      <c r="BB641" s="123">
        <v>0</v>
      </c>
      <c r="BC641" s="123">
        <v>0</v>
      </c>
      <c r="BD641" s="123">
        <v>0</v>
      </c>
      <c r="BE641" s="123">
        <v>0</v>
      </c>
      <c r="BF641" s="123">
        <v>0</v>
      </c>
      <c r="BG641" s="123">
        <v>0</v>
      </c>
      <c r="BH641" s="123">
        <v>0</v>
      </c>
      <c r="BI641" s="123">
        <v>0</v>
      </c>
      <c r="BJ641" s="124">
        <v>0</v>
      </c>
      <c r="BO641" s="126"/>
    </row>
    <row r="642" spans="1:67" s="125" customFormat="1" ht="12.75">
      <c r="A642" s="120" t="s">
        <v>121</v>
      </c>
      <c r="B642" s="121">
        <f t="shared" si="386"/>
        <v>26030738.902743395</v>
      </c>
      <c r="C642" s="224">
        <v>0</v>
      </c>
      <c r="D642" s="123">
        <v>0</v>
      </c>
      <c r="E642" s="123">
        <v>0</v>
      </c>
      <c r="F642" s="123">
        <v>0</v>
      </c>
      <c r="G642" s="123">
        <v>0</v>
      </c>
      <c r="H642" s="123">
        <v>392738.77319514094</v>
      </c>
      <c r="I642" s="123">
        <v>785477.54639028187</v>
      </c>
      <c r="J642" s="123">
        <v>1178216.3195854228</v>
      </c>
      <c r="K642" s="123">
        <v>1570955.0927805637</v>
      </c>
      <c r="L642" s="123">
        <v>2596566.2055486538</v>
      </c>
      <c r="M642" s="123">
        <v>2596566.2055486538</v>
      </c>
      <c r="N642" s="123">
        <v>2596566.2055486538</v>
      </c>
      <c r="O642" s="123">
        <v>2596566.2055486538</v>
      </c>
      <c r="P642" s="123">
        <v>2596566.2055486538</v>
      </c>
      <c r="Q642" s="123">
        <v>2596566.2055486538</v>
      </c>
      <c r="R642" s="123">
        <v>2596566.2055486538</v>
      </c>
      <c r="S642" s="123">
        <v>1570955.0927805637</v>
      </c>
      <c r="T642" s="123">
        <v>1178216.3195854228</v>
      </c>
      <c r="U642" s="123">
        <v>785477.54639028187</v>
      </c>
      <c r="V642" s="123">
        <v>392738.77319514094</v>
      </c>
      <c r="W642" s="123">
        <v>0</v>
      </c>
      <c r="X642" s="123">
        <v>0</v>
      </c>
      <c r="Y642" s="123">
        <v>0</v>
      </c>
      <c r="Z642" s="123">
        <v>0</v>
      </c>
      <c r="AA642" s="123">
        <v>0</v>
      </c>
      <c r="AB642" s="123">
        <v>0</v>
      </c>
      <c r="AC642" s="123">
        <v>0</v>
      </c>
      <c r="AD642" s="123">
        <v>0</v>
      </c>
      <c r="AE642" s="123">
        <v>0</v>
      </c>
      <c r="AF642" s="123">
        <v>0</v>
      </c>
      <c r="AG642" s="123">
        <v>0</v>
      </c>
      <c r="AH642" s="123">
        <v>0</v>
      </c>
      <c r="AI642" s="123">
        <v>0</v>
      </c>
      <c r="AJ642" s="123">
        <v>0</v>
      </c>
      <c r="AK642" s="123">
        <v>0</v>
      </c>
      <c r="AL642" s="123">
        <v>0</v>
      </c>
      <c r="AM642" s="123">
        <v>0</v>
      </c>
      <c r="AN642" s="123">
        <v>0</v>
      </c>
      <c r="AO642" s="123">
        <v>0</v>
      </c>
      <c r="AP642" s="123">
        <v>0</v>
      </c>
      <c r="AQ642" s="123">
        <v>0</v>
      </c>
      <c r="AR642" s="123">
        <v>0</v>
      </c>
      <c r="AS642" s="123">
        <v>0</v>
      </c>
      <c r="AT642" s="123">
        <v>0</v>
      </c>
      <c r="AU642" s="123">
        <v>0</v>
      </c>
      <c r="AV642" s="123">
        <v>0</v>
      </c>
      <c r="AW642" s="123">
        <v>0</v>
      </c>
      <c r="AX642" s="123">
        <v>0</v>
      </c>
      <c r="AY642" s="123">
        <v>0</v>
      </c>
      <c r="AZ642" s="123">
        <v>0</v>
      </c>
      <c r="BA642" s="123">
        <v>0</v>
      </c>
      <c r="BB642" s="123">
        <v>0</v>
      </c>
      <c r="BC642" s="123">
        <v>0</v>
      </c>
      <c r="BD642" s="123">
        <v>0</v>
      </c>
      <c r="BE642" s="123">
        <v>0</v>
      </c>
      <c r="BF642" s="123">
        <v>0</v>
      </c>
      <c r="BG642" s="123">
        <v>0</v>
      </c>
      <c r="BH642" s="123">
        <v>0</v>
      </c>
      <c r="BI642" s="123">
        <v>0</v>
      </c>
      <c r="BJ642" s="124">
        <v>0</v>
      </c>
    </row>
    <row r="643" spans="1:67" s="125" customFormat="1" ht="12.75">
      <c r="A643" s="120" t="s">
        <v>122</v>
      </c>
      <c r="B643" s="121">
        <f t="shared" si="386"/>
        <v>4384847.7763101738</v>
      </c>
      <c r="C643" s="224">
        <v>0</v>
      </c>
      <c r="D643" s="123">
        <v>0</v>
      </c>
      <c r="E643" s="123">
        <v>0</v>
      </c>
      <c r="F643" s="123">
        <v>0</v>
      </c>
      <c r="G643" s="123">
        <v>0</v>
      </c>
      <c r="H643" s="123">
        <v>66156.390825079754</v>
      </c>
      <c r="I643" s="123">
        <v>132312.78165015951</v>
      </c>
      <c r="J643" s="123">
        <v>198469.17247523923</v>
      </c>
      <c r="K643" s="123">
        <v>264625.56330031902</v>
      </c>
      <c r="L643" s="123">
        <v>437388.56568693992</v>
      </c>
      <c r="M643" s="123">
        <v>437388.56568693992</v>
      </c>
      <c r="N643" s="123">
        <v>437388.56568693992</v>
      </c>
      <c r="O643" s="123">
        <v>437388.56568693992</v>
      </c>
      <c r="P643" s="123">
        <v>437388.56568693992</v>
      </c>
      <c r="Q643" s="123">
        <v>437388.56568693992</v>
      </c>
      <c r="R643" s="123">
        <v>437388.56568693992</v>
      </c>
      <c r="S643" s="123">
        <v>264625.56330031902</v>
      </c>
      <c r="T643" s="123">
        <v>198469.17247523923</v>
      </c>
      <c r="U643" s="123">
        <v>132312.78165015951</v>
      </c>
      <c r="V643" s="123">
        <v>66156.390825079754</v>
      </c>
      <c r="W643" s="123">
        <v>0</v>
      </c>
      <c r="X643" s="123">
        <v>0</v>
      </c>
      <c r="Y643" s="123">
        <v>0</v>
      </c>
      <c r="Z643" s="123">
        <v>0</v>
      </c>
      <c r="AA643" s="123">
        <v>0</v>
      </c>
      <c r="AB643" s="123">
        <v>0</v>
      </c>
      <c r="AC643" s="123">
        <v>0</v>
      </c>
      <c r="AD643" s="123">
        <v>0</v>
      </c>
      <c r="AE643" s="123">
        <v>0</v>
      </c>
      <c r="AF643" s="123">
        <v>0</v>
      </c>
      <c r="AG643" s="123">
        <v>0</v>
      </c>
      <c r="AH643" s="123">
        <v>0</v>
      </c>
      <c r="AI643" s="123">
        <v>0</v>
      </c>
      <c r="AJ643" s="123">
        <v>0</v>
      </c>
      <c r="AK643" s="123">
        <v>0</v>
      </c>
      <c r="AL643" s="123">
        <v>0</v>
      </c>
      <c r="AM643" s="123">
        <v>0</v>
      </c>
      <c r="AN643" s="123">
        <v>0</v>
      </c>
      <c r="AO643" s="123">
        <v>0</v>
      </c>
      <c r="AP643" s="123">
        <v>0</v>
      </c>
      <c r="AQ643" s="123">
        <v>0</v>
      </c>
      <c r="AR643" s="123">
        <v>0</v>
      </c>
      <c r="AS643" s="123">
        <v>0</v>
      </c>
      <c r="AT643" s="123">
        <v>0</v>
      </c>
      <c r="AU643" s="123">
        <v>0</v>
      </c>
      <c r="AV643" s="123">
        <v>0</v>
      </c>
      <c r="AW643" s="123">
        <v>0</v>
      </c>
      <c r="AX643" s="123">
        <v>0</v>
      </c>
      <c r="AY643" s="123">
        <v>0</v>
      </c>
      <c r="AZ643" s="123">
        <v>0</v>
      </c>
      <c r="BA643" s="123">
        <v>0</v>
      </c>
      <c r="BB643" s="123">
        <v>0</v>
      </c>
      <c r="BC643" s="123">
        <v>0</v>
      </c>
      <c r="BD643" s="123">
        <v>0</v>
      </c>
      <c r="BE643" s="123">
        <v>0</v>
      </c>
      <c r="BF643" s="123">
        <v>0</v>
      </c>
      <c r="BG643" s="123">
        <v>0</v>
      </c>
      <c r="BH643" s="123">
        <v>0</v>
      </c>
      <c r="BI643" s="123">
        <v>0</v>
      </c>
      <c r="BJ643" s="124">
        <v>0</v>
      </c>
    </row>
    <row r="644" spans="1:67" s="116" customFormat="1">
      <c r="A644" s="127" t="s">
        <v>123</v>
      </c>
      <c r="B644" s="112">
        <f t="shared" si="386"/>
        <v>27943143.820334665</v>
      </c>
      <c r="C644" s="225">
        <v>5588628.7640669327</v>
      </c>
      <c r="D644" s="129">
        <f>C644</f>
        <v>5588628.7640669327</v>
      </c>
      <c r="E644" s="129">
        <f>D644</f>
        <v>5588628.7640669327</v>
      </c>
      <c r="F644" s="129">
        <f>E644</f>
        <v>5588628.7640669327</v>
      </c>
      <c r="G644" s="129">
        <f>F644</f>
        <v>5588628.7640669327</v>
      </c>
      <c r="H644" s="129"/>
      <c r="I644" s="129"/>
      <c r="J644" s="129"/>
      <c r="K644" s="129"/>
      <c r="L644" s="129"/>
      <c r="M644" s="129"/>
      <c r="N644" s="129"/>
      <c r="O644" s="129"/>
      <c r="P644" s="129"/>
      <c r="Q644" s="129"/>
      <c r="R644" s="129"/>
      <c r="S644" s="129"/>
      <c r="T644" s="129"/>
      <c r="U644" s="129"/>
      <c r="V644" s="129"/>
      <c r="W644" s="129"/>
      <c r="X644" s="129"/>
      <c r="Y644" s="129"/>
      <c r="Z644" s="129"/>
      <c r="AA644" s="129"/>
      <c r="AB644" s="129"/>
      <c r="AC644" s="129"/>
      <c r="AD644" s="129"/>
      <c r="AE644" s="129"/>
      <c r="AF644" s="129"/>
      <c r="AG644" s="129"/>
      <c r="AH644" s="129"/>
      <c r="AI644" s="129"/>
      <c r="AJ644" s="129"/>
      <c r="AK644" s="129"/>
      <c r="AL644" s="129"/>
      <c r="AM644" s="129"/>
      <c r="AN644" s="129"/>
      <c r="AO644" s="129"/>
      <c r="AP644" s="129"/>
      <c r="AQ644" s="129"/>
      <c r="AR644" s="129"/>
      <c r="AS644" s="129"/>
      <c r="AT644" s="129"/>
      <c r="AU644" s="129"/>
      <c r="AV644" s="129"/>
      <c r="AW644" s="129"/>
      <c r="AX644" s="129"/>
      <c r="AY644" s="129"/>
      <c r="AZ644" s="129"/>
      <c r="BA644" s="129"/>
      <c r="BB644" s="129"/>
      <c r="BC644" s="129"/>
      <c r="BD644" s="129"/>
      <c r="BE644" s="129"/>
      <c r="BF644" s="129"/>
      <c r="BG644" s="129"/>
      <c r="BH644" s="129"/>
      <c r="BI644" s="129"/>
      <c r="BJ644" s="130"/>
    </row>
    <row r="645" spans="1:67" s="105" customFormat="1" ht="22.5" customHeight="1">
      <c r="A645" s="131" t="s">
        <v>124</v>
      </c>
      <c r="B645" s="132">
        <f t="shared" si="386"/>
        <v>1929101010.8934836</v>
      </c>
      <c r="C645" s="102">
        <f>C636-C638-C639-C644</f>
        <v>1397157.1910167336</v>
      </c>
      <c r="D645" s="103">
        <f>D636-D638-D639-D644</f>
        <v>1397157.1910167336</v>
      </c>
      <c r="E645" s="103">
        <f t="shared" ref="E645:BJ645" si="387">E636-E638-E639-E644</f>
        <v>1397157.1910167336</v>
      </c>
      <c r="F645" s="103">
        <f t="shared" si="387"/>
        <v>1397157.1910167336</v>
      </c>
      <c r="G645" s="103">
        <f t="shared" si="387"/>
        <v>1397157.1910167336</v>
      </c>
      <c r="H645" s="103">
        <f t="shared" si="387"/>
        <v>28999913.456258103</v>
      </c>
      <c r="I645" s="103">
        <f t="shared" si="387"/>
        <v>57999826.912516207</v>
      </c>
      <c r="J645" s="103">
        <f t="shared" si="387"/>
        <v>86999740.368774325</v>
      </c>
      <c r="K645" s="103">
        <f t="shared" si="387"/>
        <v>115999653.82503241</v>
      </c>
      <c r="L645" s="103">
        <f t="shared" si="387"/>
        <v>191730993.68760544</v>
      </c>
      <c r="M645" s="103">
        <f t="shared" si="387"/>
        <v>191730993.68760544</v>
      </c>
      <c r="N645" s="103">
        <f t="shared" si="387"/>
        <v>191730993.68760544</v>
      </c>
      <c r="O645" s="103">
        <f t="shared" si="387"/>
        <v>191730993.68760544</v>
      </c>
      <c r="P645" s="103">
        <f t="shared" si="387"/>
        <v>191730993.68760544</v>
      </c>
      <c r="Q645" s="103">
        <f t="shared" si="387"/>
        <v>191730993.68760544</v>
      </c>
      <c r="R645" s="103">
        <f t="shared" si="387"/>
        <v>191730993.68760544</v>
      </c>
      <c r="S645" s="103">
        <f t="shared" si="387"/>
        <v>115999653.82503241</v>
      </c>
      <c r="T645" s="103">
        <f t="shared" si="387"/>
        <v>86999740.368774325</v>
      </c>
      <c r="U645" s="103">
        <f t="shared" si="387"/>
        <v>57999826.912516207</v>
      </c>
      <c r="V645" s="103">
        <f t="shared" si="387"/>
        <v>28999913.456258103</v>
      </c>
      <c r="W645" s="103">
        <f t="shared" si="387"/>
        <v>0</v>
      </c>
      <c r="X645" s="103">
        <f t="shared" si="387"/>
        <v>0</v>
      </c>
      <c r="Y645" s="103">
        <f t="shared" si="387"/>
        <v>0</v>
      </c>
      <c r="Z645" s="103">
        <f t="shared" si="387"/>
        <v>0</v>
      </c>
      <c r="AA645" s="103">
        <f t="shared" si="387"/>
        <v>0</v>
      </c>
      <c r="AB645" s="103">
        <f t="shared" si="387"/>
        <v>0</v>
      </c>
      <c r="AC645" s="103">
        <f t="shared" si="387"/>
        <v>0</v>
      </c>
      <c r="AD645" s="103">
        <f t="shared" si="387"/>
        <v>0</v>
      </c>
      <c r="AE645" s="103">
        <f t="shared" si="387"/>
        <v>0</v>
      </c>
      <c r="AF645" s="103">
        <f t="shared" si="387"/>
        <v>0</v>
      </c>
      <c r="AG645" s="103">
        <f t="shared" si="387"/>
        <v>0</v>
      </c>
      <c r="AH645" s="103">
        <f t="shared" si="387"/>
        <v>0</v>
      </c>
      <c r="AI645" s="103">
        <f t="shared" si="387"/>
        <v>0</v>
      </c>
      <c r="AJ645" s="103">
        <f t="shared" si="387"/>
        <v>0</v>
      </c>
      <c r="AK645" s="103">
        <f t="shared" si="387"/>
        <v>0</v>
      </c>
      <c r="AL645" s="103">
        <f t="shared" si="387"/>
        <v>0</v>
      </c>
      <c r="AM645" s="103">
        <f t="shared" si="387"/>
        <v>0</v>
      </c>
      <c r="AN645" s="103">
        <f t="shared" si="387"/>
        <v>0</v>
      </c>
      <c r="AO645" s="103">
        <f t="shared" si="387"/>
        <v>0</v>
      </c>
      <c r="AP645" s="103">
        <f t="shared" si="387"/>
        <v>0</v>
      </c>
      <c r="AQ645" s="103">
        <f t="shared" si="387"/>
        <v>0</v>
      </c>
      <c r="AR645" s="103">
        <f t="shared" si="387"/>
        <v>0</v>
      </c>
      <c r="AS645" s="103">
        <f t="shared" si="387"/>
        <v>0</v>
      </c>
      <c r="AT645" s="103">
        <f t="shared" si="387"/>
        <v>0</v>
      </c>
      <c r="AU645" s="103">
        <f t="shared" si="387"/>
        <v>0</v>
      </c>
      <c r="AV645" s="103">
        <f t="shared" si="387"/>
        <v>0</v>
      </c>
      <c r="AW645" s="103">
        <f t="shared" si="387"/>
        <v>0</v>
      </c>
      <c r="AX645" s="103">
        <f t="shared" si="387"/>
        <v>0</v>
      </c>
      <c r="AY645" s="103">
        <f t="shared" si="387"/>
        <v>0</v>
      </c>
      <c r="AZ645" s="103">
        <f t="shared" si="387"/>
        <v>0</v>
      </c>
      <c r="BA645" s="103">
        <f t="shared" si="387"/>
        <v>0</v>
      </c>
      <c r="BB645" s="103">
        <f t="shared" si="387"/>
        <v>0</v>
      </c>
      <c r="BC645" s="103">
        <f t="shared" si="387"/>
        <v>0</v>
      </c>
      <c r="BD645" s="103">
        <f t="shared" si="387"/>
        <v>0</v>
      </c>
      <c r="BE645" s="103">
        <f t="shared" si="387"/>
        <v>0</v>
      </c>
      <c r="BF645" s="103">
        <f t="shared" si="387"/>
        <v>0</v>
      </c>
      <c r="BG645" s="103">
        <f t="shared" si="387"/>
        <v>0</v>
      </c>
      <c r="BH645" s="103">
        <f t="shared" si="387"/>
        <v>0</v>
      </c>
      <c r="BI645" s="103">
        <f t="shared" si="387"/>
        <v>0</v>
      </c>
      <c r="BJ645" s="104">
        <f t="shared" si="387"/>
        <v>0</v>
      </c>
      <c r="BK645" s="109"/>
      <c r="BL645" s="109"/>
    </row>
    <row r="646" spans="1:67" s="116" customFormat="1">
      <c r="A646" s="136" t="s">
        <v>125</v>
      </c>
      <c r="B646" s="137">
        <f t="shared" ref="B646:G646" si="388">SUM(B647:B650)</f>
        <v>300956053.34333682</v>
      </c>
      <c r="C646" s="113">
        <f t="shared" si="388"/>
        <v>35489170.390521139</v>
      </c>
      <c r="D646" s="114">
        <f t="shared" si="388"/>
        <v>38273522.121976882</v>
      </c>
      <c r="E646" s="114">
        <f t="shared" si="388"/>
        <v>75731120.276946276</v>
      </c>
      <c r="F646" s="114">
        <f t="shared" si="388"/>
        <v>75731120.276946276</v>
      </c>
      <c r="G646" s="114">
        <f t="shared" si="388"/>
        <v>75731120.276946276</v>
      </c>
      <c r="H646" s="114"/>
      <c r="I646" s="114"/>
      <c r="J646" s="114"/>
      <c r="K646" s="114"/>
      <c r="L646" s="114"/>
      <c r="M646" s="114"/>
      <c r="N646" s="114"/>
      <c r="O646" s="114"/>
      <c r="P646" s="114"/>
      <c r="Q646" s="114"/>
      <c r="R646" s="114"/>
      <c r="S646" s="114"/>
      <c r="T646" s="114"/>
      <c r="U646" s="114"/>
      <c r="V646" s="114"/>
      <c r="W646" s="114"/>
      <c r="X646" s="114"/>
      <c r="Y646" s="114"/>
      <c r="Z646" s="114"/>
      <c r="AA646" s="114"/>
      <c r="AB646" s="114"/>
      <c r="AC646" s="114"/>
      <c r="AD646" s="114"/>
      <c r="AE646" s="114"/>
      <c r="AF646" s="114"/>
      <c r="AG646" s="114"/>
      <c r="AH646" s="114"/>
      <c r="AI646" s="114"/>
      <c r="AJ646" s="114"/>
      <c r="AK646" s="114"/>
      <c r="AL646" s="114"/>
      <c r="AM646" s="114"/>
      <c r="AN646" s="114"/>
      <c r="AO646" s="114"/>
      <c r="AP646" s="114"/>
      <c r="AQ646" s="114"/>
      <c r="AR646" s="114"/>
      <c r="AS646" s="114"/>
      <c r="AT646" s="114"/>
      <c r="AU646" s="114"/>
      <c r="AV646" s="114"/>
      <c r="AW646" s="114"/>
      <c r="AX646" s="114"/>
      <c r="AY646" s="114"/>
      <c r="AZ646" s="114"/>
      <c r="BA646" s="114"/>
      <c r="BB646" s="114"/>
      <c r="BC646" s="114"/>
      <c r="BD646" s="114"/>
      <c r="BE646" s="114"/>
      <c r="BF646" s="114"/>
      <c r="BG646" s="114"/>
      <c r="BH646" s="114"/>
      <c r="BI646" s="114"/>
      <c r="BJ646" s="115"/>
    </row>
    <row r="647" spans="1:67" s="143" customFormat="1" ht="12.75">
      <c r="A647" s="138" t="s">
        <v>126</v>
      </c>
      <c r="B647" s="139">
        <f>SUM(C647:BJ647)</f>
        <v>9078904.8536426593</v>
      </c>
      <c r="C647" s="140"/>
      <c r="D647" s="141"/>
      <c r="E647" s="141">
        <v>3026301.6178808864</v>
      </c>
      <c r="F647" s="141">
        <f t="shared" ref="F647:G649" si="389">E647</f>
        <v>3026301.6178808864</v>
      </c>
      <c r="G647" s="141">
        <f t="shared" si="389"/>
        <v>3026301.6178808864</v>
      </c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  <c r="AH647" s="141"/>
      <c r="AI647" s="141"/>
      <c r="AJ647" s="141"/>
      <c r="AK647" s="141"/>
      <c r="AL647" s="141"/>
      <c r="AM647" s="141"/>
      <c r="AN647" s="141"/>
      <c r="AO647" s="141"/>
      <c r="AP647" s="141"/>
      <c r="AQ647" s="141"/>
      <c r="AR647" s="141"/>
      <c r="AS647" s="141"/>
      <c r="AT647" s="141"/>
      <c r="AU647" s="141"/>
      <c r="AV647" s="141"/>
      <c r="AW647" s="141"/>
      <c r="AX647" s="141"/>
      <c r="AY647" s="141"/>
      <c r="AZ647" s="141"/>
      <c r="BA647" s="141"/>
      <c r="BB647" s="141"/>
      <c r="BC647" s="141"/>
      <c r="BD647" s="141"/>
      <c r="BE647" s="141"/>
      <c r="BF647" s="141"/>
      <c r="BG647" s="141"/>
      <c r="BH647" s="141"/>
      <c r="BI647" s="141"/>
      <c r="BJ647" s="142"/>
      <c r="BK647" s="141"/>
      <c r="BL647" s="141"/>
    </row>
    <row r="648" spans="1:67" s="143" customFormat="1" ht="12.75">
      <c r="A648" s="138" t="s">
        <v>127</v>
      </c>
      <c r="B648" s="139">
        <f>SUM(C648:BJ648)</f>
        <v>120000000</v>
      </c>
      <c r="C648" s="140"/>
      <c r="D648" s="141"/>
      <c r="E648" s="141">
        <v>40000000</v>
      </c>
      <c r="F648" s="141">
        <f t="shared" si="389"/>
        <v>40000000</v>
      </c>
      <c r="G648" s="141">
        <f t="shared" si="389"/>
        <v>40000000</v>
      </c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  <c r="AH648" s="141"/>
      <c r="AI648" s="141"/>
      <c r="AJ648" s="141"/>
      <c r="AK648" s="141"/>
      <c r="AL648" s="141"/>
      <c r="AM648" s="141"/>
      <c r="AN648" s="141"/>
      <c r="AO648" s="141"/>
      <c r="AP648" s="141"/>
      <c r="AQ648" s="141"/>
      <c r="AR648" s="141"/>
      <c r="AS648" s="141"/>
      <c r="AT648" s="141"/>
      <c r="AU648" s="141"/>
      <c r="AV648" s="141"/>
      <c r="AW648" s="141"/>
      <c r="AX648" s="141"/>
      <c r="AY648" s="141"/>
      <c r="AZ648" s="141"/>
      <c r="BA648" s="141"/>
      <c r="BB648" s="141"/>
      <c r="BC648" s="141"/>
      <c r="BD648" s="141"/>
      <c r="BE648" s="141"/>
      <c r="BF648" s="141"/>
      <c r="BG648" s="141"/>
      <c r="BH648" s="141"/>
      <c r="BI648" s="141"/>
      <c r="BJ648" s="142"/>
      <c r="BK648" s="141"/>
      <c r="BL648" s="141"/>
    </row>
    <row r="649" spans="1:67" s="143" customFormat="1" ht="12.75">
      <c r="A649" s="138" t="s">
        <v>128</v>
      </c>
      <c r="B649" s="139">
        <f>SUM(C649:BJ649)</f>
        <v>163524093.29532692</v>
      </c>
      <c r="C649" s="140">
        <v>32704818.659065384</v>
      </c>
      <c r="D649" s="141">
        <f>C649</f>
        <v>32704818.659065384</v>
      </c>
      <c r="E649" s="141">
        <f>D649</f>
        <v>32704818.659065384</v>
      </c>
      <c r="F649" s="141">
        <f t="shared" si="389"/>
        <v>32704818.659065384</v>
      </c>
      <c r="G649" s="141">
        <f t="shared" si="389"/>
        <v>32704818.659065384</v>
      </c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  <c r="AH649" s="141"/>
      <c r="AI649" s="141"/>
      <c r="AJ649" s="141"/>
      <c r="AK649" s="141"/>
      <c r="AL649" s="141"/>
      <c r="AM649" s="141"/>
      <c r="AN649" s="141"/>
      <c r="AO649" s="141"/>
      <c r="AP649" s="141"/>
      <c r="AQ649" s="141"/>
      <c r="AR649" s="141"/>
      <c r="AS649" s="141"/>
      <c r="AT649" s="141"/>
      <c r="AU649" s="141"/>
      <c r="AV649" s="141"/>
      <c r="AW649" s="141"/>
      <c r="AX649" s="141"/>
      <c r="AY649" s="141"/>
      <c r="AZ649" s="141"/>
      <c r="BA649" s="141"/>
      <c r="BB649" s="141"/>
      <c r="BC649" s="141"/>
      <c r="BD649" s="141"/>
      <c r="BE649" s="141"/>
      <c r="BF649" s="141"/>
      <c r="BG649" s="141"/>
      <c r="BH649" s="141"/>
      <c r="BI649" s="141"/>
      <c r="BJ649" s="142"/>
      <c r="BK649" s="141"/>
      <c r="BL649" s="141"/>
    </row>
    <row r="650" spans="1:67" s="143" customFormat="1" ht="12.75">
      <c r="A650" s="138" t="s">
        <v>129</v>
      </c>
      <c r="B650" s="139">
        <f>SUM(C650:BJ650)</f>
        <v>8353055.1943672523</v>
      </c>
      <c r="C650" s="140">
        <v>2784351.7314557508</v>
      </c>
      <c r="D650" s="141">
        <v>5568703.4629115015</v>
      </c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  <c r="AH650" s="141"/>
      <c r="AI650" s="141"/>
      <c r="AJ650" s="141"/>
      <c r="AK650" s="141"/>
      <c r="AL650" s="141"/>
      <c r="AM650" s="141"/>
      <c r="AN650" s="141"/>
      <c r="AO650" s="141"/>
      <c r="AP650" s="141"/>
      <c r="AQ650" s="141"/>
      <c r="AR650" s="141"/>
      <c r="AS650" s="141"/>
      <c r="AT650" s="141"/>
      <c r="AU650" s="141"/>
      <c r="AV650" s="141"/>
      <c r="AW650" s="141"/>
      <c r="AX650" s="141"/>
      <c r="AY650" s="141"/>
      <c r="AZ650" s="141"/>
      <c r="BA650" s="141"/>
      <c r="BB650" s="141"/>
      <c r="BC650" s="141"/>
      <c r="BD650" s="141"/>
      <c r="BE650" s="141"/>
      <c r="BF650" s="141"/>
      <c r="BG650" s="141"/>
      <c r="BH650" s="141"/>
      <c r="BI650" s="141"/>
      <c r="BJ650" s="142"/>
      <c r="BK650" s="141"/>
      <c r="BL650" s="141"/>
    </row>
    <row r="651" spans="1:67" s="116" customFormat="1">
      <c r="A651" s="111" t="s">
        <v>130</v>
      </c>
      <c r="B651" s="137">
        <f>SUM(B652:B655)</f>
        <v>300956053.34333688</v>
      </c>
      <c r="C651" s="117">
        <f>SUM(C652:C655)</f>
        <v>1182972.3463507043</v>
      </c>
      <c r="D651" s="118">
        <f>SUM(D652:D655)</f>
        <v>2458756.4170832671</v>
      </c>
      <c r="E651" s="118">
        <f t="shared" ref="E651:BJ651" si="390">SUM(E652:E655)</f>
        <v>4983127.0929814763</v>
      </c>
      <c r="F651" s="118">
        <f t="shared" si="390"/>
        <v>7507497.7688796856</v>
      </c>
      <c r="G651" s="118">
        <f t="shared" si="390"/>
        <v>10031868.444777893</v>
      </c>
      <c r="H651" s="118">
        <f t="shared" si="390"/>
        <v>10031868.444777893</v>
      </c>
      <c r="I651" s="118">
        <f t="shared" si="390"/>
        <v>10031868.444777893</v>
      </c>
      <c r="J651" s="118">
        <f t="shared" si="390"/>
        <v>10031868.444777893</v>
      </c>
      <c r="K651" s="118">
        <f t="shared" si="390"/>
        <v>10031868.444777893</v>
      </c>
      <c r="L651" s="118">
        <f t="shared" si="390"/>
        <v>10031868.444777893</v>
      </c>
      <c r="M651" s="118">
        <f t="shared" si="390"/>
        <v>10031868.444777893</v>
      </c>
      <c r="N651" s="118">
        <f t="shared" si="390"/>
        <v>10031868.444777893</v>
      </c>
      <c r="O651" s="118">
        <f t="shared" si="390"/>
        <v>10031868.444777893</v>
      </c>
      <c r="P651" s="118">
        <f t="shared" si="390"/>
        <v>10031868.444777893</v>
      </c>
      <c r="Q651" s="118">
        <f t="shared" si="390"/>
        <v>10031868.444777893</v>
      </c>
      <c r="R651" s="118">
        <f t="shared" si="390"/>
        <v>10031868.444777893</v>
      </c>
      <c r="S651" s="118">
        <f t="shared" si="390"/>
        <v>10031868.444777893</v>
      </c>
      <c r="T651" s="118">
        <f t="shared" si="390"/>
        <v>10031868.444777893</v>
      </c>
      <c r="U651" s="118">
        <f t="shared" si="390"/>
        <v>10031868.444777893</v>
      </c>
      <c r="V651" s="118">
        <f t="shared" si="390"/>
        <v>10031868.444777893</v>
      </c>
      <c r="W651" s="118">
        <f t="shared" si="390"/>
        <v>10031868.444777893</v>
      </c>
      <c r="X651" s="118">
        <f t="shared" si="390"/>
        <v>10031868.444777893</v>
      </c>
      <c r="Y651" s="118">
        <f t="shared" si="390"/>
        <v>10031868.444777893</v>
      </c>
      <c r="Z651" s="118">
        <f t="shared" si="390"/>
        <v>10031868.444777893</v>
      </c>
      <c r="AA651" s="118">
        <f t="shared" si="390"/>
        <v>10031868.444777893</v>
      </c>
      <c r="AB651" s="118">
        <f t="shared" si="390"/>
        <v>10031868.444777893</v>
      </c>
      <c r="AC651" s="118">
        <f t="shared" si="390"/>
        <v>10031868.444777893</v>
      </c>
      <c r="AD651" s="118">
        <f t="shared" si="390"/>
        <v>10031868.444777893</v>
      </c>
      <c r="AE651" s="118">
        <f t="shared" si="390"/>
        <v>10031868.444777893</v>
      </c>
      <c r="AF651" s="118">
        <f t="shared" si="390"/>
        <v>10031868.444777893</v>
      </c>
      <c r="AG651" s="118">
        <f t="shared" si="390"/>
        <v>8848896.0984271895</v>
      </c>
      <c r="AH651" s="118">
        <f t="shared" si="390"/>
        <v>7573112.0276946267</v>
      </c>
      <c r="AI651" s="118">
        <f t="shared" si="390"/>
        <v>5048741.3517964184</v>
      </c>
      <c r="AJ651" s="118">
        <f t="shared" si="390"/>
        <v>2524370.6758982092</v>
      </c>
      <c r="AK651" s="118">
        <f t="shared" si="390"/>
        <v>0</v>
      </c>
      <c r="AL651" s="118">
        <f t="shared" si="390"/>
        <v>0</v>
      </c>
      <c r="AM651" s="118">
        <f t="shared" si="390"/>
        <v>0</v>
      </c>
      <c r="AN651" s="118">
        <f t="shared" si="390"/>
        <v>0</v>
      </c>
      <c r="AO651" s="118">
        <f t="shared" si="390"/>
        <v>0</v>
      </c>
      <c r="AP651" s="118">
        <f t="shared" si="390"/>
        <v>0</v>
      </c>
      <c r="AQ651" s="118">
        <f t="shared" si="390"/>
        <v>0</v>
      </c>
      <c r="AR651" s="118">
        <f t="shared" si="390"/>
        <v>0</v>
      </c>
      <c r="AS651" s="118">
        <f t="shared" si="390"/>
        <v>0</v>
      </c>
      <c r="AT651" s="118">
        <f t="shared" si="390"/>
        <v>0</v>
      </c>
      <c r="AU651" s="118">
        <f t="shared" si="390"/>
        <v>0</v>
      </c>
      <c r="AV651" s="118">
        <f t="shared" si="390"/>
        <v>0</v>
      </c>
      <c r="AW651" s="118">
        <f t="shared" si="390"/>
        <v>0</v>
      </c>
      <c r="AX651" s="118">
        <f t="shared" si="390"/>
        <v>0</v>
      </c>
      <c r="AY651" s="118">
        <f t="shared" si="390"/>
        <v>0</v>
      </c>
      <c r="AZ651" s="118">
        <f t="shared" si="390"/>
        <v>0</v>
      </c>
      <c r="BA651" s="118">
        <f t="shared" si="390"/>
        <v>0</v>
      </c>
      <c r="BB651" s="118">
        <f t="shared" si="390"/>
        <v>0</v>
      </c>
      <c r="BC651" s="118">
        <f t="shared" si="390"/>
        <v>0</v>
      </c>
      <c r="BD651" s="118">
        <f t="shared" si="390"/>
        <v>0</v>
      </c>
      <c r="BE651" s="118">
        <f t="shared" si="390"/>
        <v>0</v>
      </c>
      <c r="BF651" s="118">
        <f t="shared" si="390"/>
        <v>0</v>
      </c>
      <c r="BG651" s="118">
        <f t="shared" si="390"/>
        <v>0</v>
      </c>
      <c r="BH651" s="118">
        <f t="shared" si="390"/>
        <v>0</v>
      </c>
      <c r="BI651" s="118">
        <f t="shared" si="390"/>
        <v>0</v>
      </c>
      <c r="BJ651" s="119">
        <f t="shared" si="390"/>
        <v>0</v>
      </c>
      <c r="BK651" s="118"/>
      <c r="BL651" s="118"/>
    </row>
    <row r="652" spans="1:67" s="143" customFormat="1" ht="12.75">
      <c r="A652" s="138" t="s">
        <v>126</v>
      </c>
      <c r="B652" s="139">
        <f>SUM(C652:BJ652)</f>
        <v>9078904.8536426555</v>
      </c>
      <c r="C652" s="140"/>
      <c r="D652" s="141"/>
      <c r="E652" s="226">
        <f>$C647/$O633+$D647/$O633+$E647/$O633</f>
        <v>100876.72059602955</v>
      </c>
      <c r="F652" s="141">
        <f>$C647/$O633+$D647/$O633+$E647/$O633+$F647/$O633</f>
        <v>201753.44119205911</v>
      </c>
      <c r="G652" s="141">
        <f>$C647/$O633+$D647/$O633+$E647/$O633+$F647/$O633+$G647/$O633</f>
        <v>302630.16178808868</v>
      </c>
      <c r="H652" s="141">
        <f t="shared" ref="H652:AH655" si="391">G652</f>
        <v>302630.16178808868</v>
      </c>
      <c r="I652" s="141">
        <f t="shared" si="391"/>
        <v>302630.16178808868</v>
      </c>
      <c r="J652" s="141">
        <f t="shared" si="391"/>
        <v>302630.16178808868</v>
      </c>
      <c r="K652" s="141">
        <f t="shared" si="391"/>
        <v>302630.16178808868</v>
      </c>
      <c r="L652" s="141">
        <f t="shared" si="391"/>
        <v>302630.16178808868</v>
      </c>
      <c r="M652" s="141">
        <f t="shared" si="391"/>
        <v>302630.16178808868</v>
      </c>
      <c r="N652" s="141">
        <f t="shared" si="391"/>
        <v>302630.16178808868</v>
      </c>
      <c r="O652" s="141">
        <f t="shared" si="391"/>
        <v>302630.16178808868</v>
      </c>
      <c r="P652" s="141">
        <f t="shared" si="391"/>
        <v>302630.16178808868</v>
      </c>
      <c r="Q652" s="141">
        <f t="shared" si="391"/>
        <v>302630.16178808868</v>
      </c>
      <c r="R652" s="141">
        <f t="shared" si="391"/>
        <v>302630.16178808868</v>
      </c>
      <c r="S652" s="141">
        <f t="shared" si="391"/>
        <v>302630.16178808868</v>
      </c>
      <c r="T652" s="141">
        <f t="shared" si="391"/>
        <v>302630.16178808868</v>
      </c>
      <c r="U652" s="141">
        <f t="shared" si="391"/>
        <v>302630.16178808868</v>
      </c>
      <c r="V652" s="141">
        <f t="shared" si="391"/>
        <v>302630.16178808868</v>
      </c>
      <c r="W652" s="141">
        <f t="shared" si="391"/>
        <v>302630.16178808868</v>
      </c>
      <c r="X652" s="141">
        <f t="shared" si="391"/>
        <v>302630.16178808868</v>
      </c>
      <c r="Y652" s="141">
        <f t="shared" si="391"/>
        <v>302630.16178808868</v>
      </c>
      <c r="Z652" s="141">
        <f t="shared" si="391"/>
        <v>302630.16178808868</v>
      </c>
      <c r="AA652" s="141">
        <f t="shared" si="391"/>
        <v>302630.16178808868</v>
      </c>
      <c r="AB652" s="141">
        <f t="shared" si="391"/>
        <v>302630.16178808868</v>
      </c>
      <c r="AC652" s="141">
        <f t="shared" si="391"/>
        <v>302630.16178808868</v>
      </c>
      <c r="AD652" s="141">
        <f t="shared" si="391"/>
        <v>302630.16178808868</v>
      </c>
      <c r="AE652" s="141">
        <f t="shared" si="391"/>
        <v>302630.16178808868</v>
      </c>
      <c r="AF652" s="141">
        <f t="shared" si="391"/>
        <v>302630.16178808868</v>
      </c>
      <c r="AG652" s="141">
        <f t="shared" si="391"/>
        <v>302630.16178808868</v>
      </c>
      <c r="AH652" s="141">
        <f t="shared" si="391"/>
        <v>302630.16178808868</v>
      </c>
      <c r="AI652" s="141">
        <f>F652</f>
        <v>201753.44119205911</v>
      </c>
      <c r="AJ652" s="141">
        <f>E652</f>
        <v>100876.72059602955</v>
      </c>
      <c r="AK652" s="141"/>
      <c r="AL652" s="141"/>
      <c r="AM652" s="141"/>
      <c r="AN652" s="141"/>
      <c r="AO652" s="141"/>
      <c r="AP652" s="141"/>
      <c r="AQ652" s="141"/>
      <c r="AR652" s="141"/>
      <c r="AS652" s="141"/>
      <c r="AT652" s="141"/>
      <c r="AU652" s="141"/>
      <c r="AV652" s="141"/>
      <c r="AW652" s="141"/>
      <c r="AX652" s="141"/>
      <c r="AY652" s="141"/>
      <c r="AZ652" s="141"/>
      <c r="BA652" s="141"/>
      <c r="BB652" s="141"/>
      <c r="BC652" s="141"/>
      <c r="BD652" s="141"/>
      <c r="BE652" s="141"/>
      <c r="BF652" s="141"/>
      <c r="BG652" s="141"/>
      <c r="BH652" s="141"/>
      <c r="BI652" s="141"/>
      <c r="BJ652" s="142"/>
      <c r="BK652" s="141"/>
      <c r="BL652" s="141"/>
    </row>
    <row r="653" spans="1:67" s="143" customFormat="1" ht="12.75">
      <c r="A653" s="138" t="s">
        <v>127</v>
      </c>
      <c r="B653" s="139">
        <f>SUM(C653:BJ653)</f>
        <v>120000000</v>
      </c>
      <c r="C653" s="140"/>
      <c r="D653" s="141"/>
      <c r="E653" s="226">
        <f>$C648/$O633+$D648/$O633+$E648/$O633</f>
        <v>1333333.3333333333</v>
      </c>
      <c r="F653" s="141">
        <f>$C648/$O633+$D648/$O633+$E648/$O633+$F648/$O633</f>
        <v>2666666.6666666665</v>
      </c>
      <c r="G653" s="141">
        <f>$C648/$O633+$D648/$O633+$E648/$O633+$F648/$O633+$G648/$O633</f>
        <v>4000000</v>
      </c>
      <c r="H653" s="141">
        <f t="shared" si="391"/>
        <v>4000000</v>
      </c>
      <c r="I653" s="141">
        <f t="shared" si="391"/>
        <v>4000000</v>
      </c>
      <c r="J653" s="141">
        <f t="shared" si="391"/>
        <v>4000000</v>
      </c>
      <c r="K653" s="141">
        <f t="shared" si="391"/>
        <v>4000000</v>
      </c>
      <c r="L653" s="141">
        <f t="shared" si="391"/>
        <v>4000000</v>
      </c>
      <c r="M653" s="141">
        <f t="shared" si="391"/>
        <v>4000000</v>
      </c>
      <c r="N653" s="141">
        <f t="shared" si="391"/>
        <v>4000000</v>
      </c>
      <c r="O653" s="141">
        <f t="shared" si="391"/>
        <v>4000000</v>
      </c>
      <c r="P653" s="141">
        <f t="shared" si="391"/>
        <v>4000000</v>
      </c>
      <c r="Q653" s="141">
        <f t="shared" si="391"/>
        <v>4000000</v>
      </c>
      <c r="R653" s="141">
        <f t="shared" si="391"/>
        <v>4000000</v>
      </c>
      <c r="S653" s="141">
        <f t="shared" si="391"/>
        <v>4000000</v>
      </c>
      <c r="T653" s="141">
        <f t="shared" si="391"/>
        <v>4000000</v>
      </c>
      <c r="U653" s="141">
        <f t="shared" si="391"/>
        <v>4000000</v>
      </c>
      <c r="V653" s="141">
        <f t="shared" si="391"/>
        <v>4000000</v>
      </c>
      <c r="W653" s="141">
        <f t="shared" si="391"/>
        <v>4000000</v>
      </c>
      <c r="X653" s="141">
        <f t="shared" si="391"/>
        <v>4000000</v>
      </c>
      <c r="Y653" s="141">
        <f t="shared" si="391"/>
        <v>4000000</v>
      </c>
      <c r="Z653" s="141">
        <f t="shared" si="391"/>
        <v>4000000</v>
      </c>
      <c r="AA653" s="141">
        <f t="shared" si="391"/>
        <v>4000000</v>
      </c>
      <c r="AB653" s="141">
        <f t="shared" si="391"/>
        <v>4000000</v>
      </c>
      <c r="AC653" s="141">
        <f t="shared" si="391"/>
        <v>4000000</v>
      </c>
      <c r="AD653" s="141">
        <f t="shared" si="391"/>
        <v>4000000</v>
      </c>
      <c r="AE653" s="141">
        <f t="shared" si="391"/>
        <v>4000000</v>
      </c>
      <c r="AF653" s="141">
        <f t="shared" si="391"/>
        <v>4000000</v>
      </c>
      <c r="AG653" s="141">
        <f t="shared" si="391"/>
        <v>4000000</v>
      </c>
      <c r="AH653" s="141">
        <f t="shared" si="391"/>
        <v>4000000</v>
      </c>
      <c r="AI653" s="141">
        <f>F653</f>
        <v>2666666.6666666665</v>
      </c>
      <c r="AJ653" s="141">
        <f>E653</f>
        <v>1333333.3333333333</v>
      </c>
      <c r="AK653" s="141"/>
      <c r="AL653" s="141"/>
      <c r="AM653" s="141"/>
      <c r="AN653" s="141"/>
      <c r="AO653" s="141"/>
      <c r="AP653" s="141"/>
      <c r="AQ653" s="141"/>
      <c r="AR653" s="141"/>
      <c r="AS653" s="141"/>
      <c r="AT653" s="141"/>
      <c r="AU653" s="141"/>
      <c r="AV653" s="141"/>
      <c r="AW653" s="141"/>
      <c r="AX653" s="141"/>
      <c r="AY653" s="141"/>
      <c r="AZ653" s="141"/>
      <c r="BA653" s="141"/>
      <c r="BB653" s="141"/>
      <c r="BC653" s="141"/>
      <c r="BD653" s="141"/>
      <c r="BE653" s="141"/>
      <c r="BF653" s="141"/>
      <c r="BG653" s="141"/>
      <c r="BH653" s="141"/>
      <c r="BI653" s="141"/>
      <c r="BJ653" s="142"/>
      <c r="BK653" s="141"/>
      <c r="BL653" s="141"/>
    </row>
    <row r="654" spans="1:67" s="143" customFormat="1" ht="12.75">
      <c r="A654" s="138" t="s">
        <v>128</v>
      </c>
      <c r="B654" s="139">
        <f>SUM(C654:BJ654)</f>
        <v>163524093.29532701</v>
      </c>
      <c r="C654" s="227">
        <f>$C649/$O633</f>
        <v>1090160.6219688461</v>
      </c>
      <c r="D654" s="141">
        <f>$C649/$O633+$D649/$O633</f>
        <v>2180321.2439376921</v>
      </c>
      <c r="E654" s="141">
        <f>$C649/$O633+$D649/$O633+$E649/$O633</f>
        <v>3270481.8659065384</v>
      </c>
      <c r="F654" s="141">
        <f>$C649/$O633+$D649/$O633+$E649/$O633+$F649/$O633</f>
        <v>4360642.4878753843</v>
      </c>
      <c r="G654" s="141">
        <f>$C649/$O633+$D649/$O633+$E649/$O633+$F649/$O633+$G649/$O633</f>
        <v>5450803.1098442301</v>
      </c>
      <c r="H654" s="141">
        <f t="shared" si="391"/>
        <v>5450803.1098442301</v>
      </c>
      <c r="I654" s="141">
        <f t="shared" si="391"/>
        <v>5450803.1098442301</v>
      </c>
      <c r="J654" s="141">
        <f t="shared" si="391"/>
        <v>5450803.1098442301</v>
      </c>
      <c r="K654" s="141">
        <f t="shared" si="391"/>
        <v>5450803.1098442301</v>
      </c>
      <c r="L654" s="141">
        <f t="shared" si="391"/>
        <v>5450803.1098442301</v>
      </c>
      <c r="M654" s="141">
        <f t="shared" si="391"/>
        <v>5450803.1098442301</v>
      </c>
      <c r="N654" s="141">
        <f t="shared" si="391"/>
        <v>5450803.1098442301</v>
      </c>
      <c r="O654" s="141">
        <f t="shared" si="391"/>
        <v>5450803.1098442301</v>
      </c>
      <c r="P654" s="141">
        <f t="shared" si="391"/>
        <v>5450803.1098442301</v>
      </c>
      <c r="Q654" s="141">
        <f t="shared" si="391"/>
        <v>5450803.1098442301</v>
      </c>
      <c r="R654" s="141">
        <f t="shared" si="391"/>
        <v>5450803.1098442301</v>
      </c>
      <c r="S654" s="141">
        <f t="shared" si="391"/>
        <v>5450803.1098442301</v>
      </c>
      <c r="T654" s="141">
        <f t="shared" si="391"/>
        <v>5450803.1098442301</v>
      </c>
      <c r="U654" s="141">
        <f t="shared" si="391"/>
        <v>5450803.1098442301</v>
      </c>
      <c r="V654" s="141">
        <f t="shared" si="391"/>
        <v>5450803.1098442301</v>
      </c>
      <c r="W654" s="141">
        <f t="shared" si="391"/>
        <v>5450803.1098442301</v>
      </c>
      <c r="X654" s="141">
        <f t="shared" si="391"/>
        <v>5450803.1098442301</v>
      </c>
      <c r="Y654" s="141">
        <f t="shared" si="391"/>
        <v>5450803.1098442301</v>
      </c>
      <c r="Z654" s="141">
        <f t="shared" si="391"/>
        <v>5450803.1098442301</v>
      </c>
      <c r="AA654" s="141">
        <f t="shared" si="391"/>
        <v>5450803.1098442301</v>
      </c>
      <c r="AB654" s="141">
        <f t="shared" si="391"/>
        <v>5450803.1098442301</v>
      </c>
      <c r="AC654" s="141">
        <f t="shared" si="391"/>
        <v>5450803.1098442301</v>
      </c>
      <c r="AD654" s="141">
        <f t="shared" si="391"/>
        <v>5450803.1098442301</v>
      </c>
      <c r="AE654" s="141">
        <f t="shared" si="391"/>
        <v>5450803.1098442301</v>
      </c>
      <c r="AF654" s="141">
        <f t="shared" si="391"/>
        <v>5450803.1098442301</v>
      </c>
      <c r="AG654" s="141">
        <f>F654</f>
        <v>4360642.4878753843</v>
      </c>
      <c r="AH654" s="141">
        <f>E654</f>
        <v>3270481.8659065384</v>
      </c>
      <c r="AI654" s="141">
        <f>D654</f>
        <v>2180321.2439376921</v>
      </c>
      <c r="AJ654" s="141">
        <f>C654</f>
        <v>1090160.6219688461</v>
      </c>
      <c r="AK654" s="141"/>
      <c r="AL654" s="141"/>
      <c r="AM654" s="141"/>
      <c r="AN654" s="141"/>
      <c r="AO654" s="141"/>
      <c r="AP654" s="141"/>
      <c r="AQ654" s="141"/>
      <c r="AR654" s="141"/>
      <c r="AS654" s="141"/>
      <c r="AT654" s="141"/>
      <c r="AU654" s="141"/>
      <c r="AV654" s="141"/>
      <c r="AW654" s="141"/>
      <c r="AX654" s="141"/>
      <c r="AY654" s="141"/>
      <c r="AZ654" s="141"/>
      <c r="BA654" s="141"/>
      <c r="BB654" s="141"/>
      <c r="BC654" s="141"/>
      <c r="BD654" s="141"/>
      <c r="BE654" s="141"/>
      <c r="BF654" s="141"/>
      <c r="BG654" s="141"/>
      <c r="BH654" s="141"/>
      <c r="BI654" s="141"/>
      <c r="BJ654" s="142"/>
      <c r="BK654" s="141"/>
      <c r="BL654" s="141"/>
    </row>
    <row r="655" spans="1:67" s="143" customFormat="1" ht="12.75">
      <c r="A655" s="138" t="s">
        <v>129</v>
      </c>
      <c r="B655" s="139">
        <f>SUM(C655:BJ655)</f>
        <v>8353055.1943672569</v>
      </c>
      <c r="C655" s="227">
        <f>$C650/$O633</f>
        <v>92811.724381858352</v>
      </c>
      <c r="D655" s="141">
        <f>$C650/$O633+$D650/$O633</f>
        <v>278435.17314557504</v>
      </c>
      <c r="E655" s="141">
        <f>$C650/$O633+$D650/$O633+$E650/$O633</f>
        <v>278435.17314557504</v>
      </c>
      <c r="F655" s="141">
        <f>$C650/$O633+$D650/$O633+$E650/$O633+$F650/$O633</f>
        <v>278435.17314557504</v>
      </c>
      <c r="G655" s="141">
        <f>$C650/$O633+$D650/$O633+$E650/$O633+$F650/$O633+$G650/$O633</f>
        <v>278435.17314557504</v>
      </c>
      <c r="H655" s="141">
        <f t="shared" si="391"/>
        <v>278435.17314557504</v>
      </c>
      <c r="I655" s="141">
        <f t="shared" si="391"/>
        <v>278435.17314557504</v>
      </c>
      <c r="J655" s="141">
        <f t="shared" si="391"/>
        <v>278435.17314557504</v>
      </c>
      <c r="K655" s="141">
        <f t="shared" si="391"/>
        <v>278435.17314557504</v>
      </c>
      <c r="L655" s="141">
        <f t="shared" si="391"/>
        <v>278435.17314557504</v>
      </c>
      <c r="M655" s="141">
        <f t="shared" si="391"/>
        <v>278435.17314557504</v>
      </c>
      <c r="N655" s="141">
        <f t="shared" si="391"/>
        <v>278435.17314557504</v>
      </c>
      <c r="O655" s="141">
        <f t="shared" si="391"/>
        <v>278435.17314557504</v>
      </c>
      <c r="P655" s="141">
        <f t="shared" si="391"/>
        <v>278435.17314557504</v>
      </c>
      <c r="Q655" s="141">
        <f t="shared" si="391"/>
        <v>278435.17314557504</v>
      </c>
      <c r="R655" s="141">
        <f t="shared" si="391"/>
        <v>278435.17314557504</v>
      </c>
      <c r="S655" s="141">
        <f t="shared" si="391"/>
        <v>278435.17314557504</v>
      </c>
      <c r="T655" s="141">
        <f t="shared" si="391"/>
        <v>278435.17314557504</v>
      </c>
      <c r="U655" s="141">
        <f t="shared" si="391"/>
        <v>278435.17314557504</v>
      </c>
      <c r="V655" s="141">
        <f t="shared" si="391"/>
        <v>278435.17314557504</v>
      </c>
      <c r="W655" s="141">
        <f t="shared" si="391"/>
        <v>278435.17314557504</v>
      </c>
      <c r="X655" s="141">
        <f t="shared" si="391"/>
        <v>278435.17314557504</v>
      </c>
      <c r="Y655" s="141">
        <f t="shared" si="391"/>
        <v>278435.17314557504</v>
      </c>
      <c r="Z655" s="141">
        <f t="shared" si="391"/>
        <v>278435.17314557504</v>
      </c>
      <c r="AA655" s="141">
        <f t="shared" si="391"/>
        <v>278435.17314557504</v>
      </c>
      <c r="AB655" s="141">
        <f t="shared" si="391"/>
        <v>278435.17314557504</v>
      </c>
      <c r="AC655" s="141">
        <f t="shared" si="391"/>
        <v>278435.17314557504</v>
      </c>
      <c r="AD655" s="141">
        <f t="shared" si="391"/>
        <v>278435.17314557504</v>
      </c>
      <c r="AE655" s="141">
        <f t="shared" si="391"/>
        <v>278435.17314557504</v>
      </c>
      <c r="AF655" s="141">
        <f t="shared" si="391"/>
        <v>278435.17314557504</v>
      </c>
      <c r="AG655" s="141">
        <f>AF655-C655</f>
        <v>185623.44876371667</v>
      </c>
      <c r="AH655" s="141"/>
      <c r="AI655" s="141"/>
      <c r="AJ655" s="141"/>
      <c r="AK655" s="141"/>
      <c r="AL655" s="141"/>
      <c r="AM655" s="141"/>
      <c r="AN655" s="141"/>
      <c r="AO655" s="141"/>
      <c r="AP655" s="141"/>
      <c r="AQ655" s="141"/>
      <c r="AR655" s="141"/>
      <c r="AS655" s="141"/>
      <c r="AT655" s="141"/>
      <c r="AU655" s="141"/>
      <c r="AV655" s="141"/>
      <c r="AW655" s="141"/>
      <c r="AX655" s="141"/>
      <c r="AY655" s="141"/>
      <c r="AZ655" s="141"/>
      <c r="BA655" s="141"/>
      <c r="BB655" s="141"/>
      <c r="BC655" s="141"/>
      <c r="BD655" s="141"/>
      <c r="BE655" s="141"/>
      <c r="BF655" s="141"/>
      <c r="BG655" s="141"/>
      <c r="BH655" s="141"/>
      <c r="BI655" s="141"/>
      <c r="BJ655" s="142"/>
      <c r="BK655" s="141"/>
      <c r="BL655" s="141"/>
    </row>
    <row r="656" spans="1:67" s="148" customFormat="1">
      <c r="A656" s="111" t="s">
        <v>131</v>
      </c>
      <c r="B656" s="144"/>
      <c r="C656" s="145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  <c r="AF656" s="146"/>
      <c r="AG656" s="146"/>
      <c r="AH656" s="146"/>
      <c r="AI656" s="146"/>
      <c r="AJ656" s="146"/>
      <c r="AK656" s="146"/>
      <c r="AL656" s="146"/>
      <c r="AM656" s="146"/>
      <c r="AN656" s="146"/>
      <c r="AO656" s="146"/>
      <c r="AP656" s="146"/>
      <c r="AQ656" s="146"/>
      <c r="AR656" s="146"/>
      <c r="AS656" s="146"/>
      <c r="AT656" s="146"/>
      <c r="AU656" s="146"/>
      <c r="AV656" s="146"/>
      <c r="AW656" s="146"/>
      <c r="AX656" s="146"/>
      <c r="AY656" s="146"/>
      <c r="AZ656" s="146"/>
      <c r="BA656" s="146"/>
      <c r="BB656" s="146"/>
      <c r="BC656" s="146"/>
      <c r="BD656" s="146"/>
      <c r="BE656" s="146"/>
      <c r="BF656" s="146"/>
      <c r="BG656" s="146"/>
      <c r="BH656" s="146"/>
      <c r="BI656" s="146"/>
      <c r="BJ656" s="147"/>
      <c r="BK656" s="146"/>
      <c r="BL656" s="146"/>
    </row>
    <row r="657" spans="1:64" s="153" customFormat="1" ht="12.75">
      <c r="A657" s="138" t="s">
        <v>126</v>
      </c>
      <c r="B657" s="144"/>
      <c r="C657" s="149"/>
      <c r="D657" s="150"/>
      <c r="E657" s="151">
        <f>$B647-E652</f>
        <v>8978028.1330466289</v>
      </c>
      <c r="F657" s="151">
        <f t="shared" ref="F657:AJ660" si="392">E657-F652</f>
        <v>8776274.6918545701</v>
      </c>
      <c r="G657" s="151">
        <f t="shared" si="392"/>
        <v>8473644.5300664809</v>
      </c>
      <c r="H657" s="151">
        <f t="shared" si="392"/>
        <v>8171014.3682783926</v>
      </c>
      <c r="I657" s="151">
        <f t="shared" si="392"/>
        <v>7868384.2064903043</v>
      </c>
      <c r="J657" s="151">
        <f t="shared" si="392"/>
        <v>7565754.0447022161</v>
      </c>
      <c r="K657" s="151">
        <f t="shared" si="392"/>
        <v>7263123.8829141278</v>
      </c>
      <c r="L657" s="151">
        <f t="shared" si="392"/>
        <v>6960493.7211260395</v>
      </c>
      <c r="M657" s="151">
        <f t="shared" si="392"/>
        <v>6657863.5593379512</v>
      </c>
      <c r="N657" s="151">
        <f t="shared" si="392"/>
        <v>6355233.397549863</v>
      </c>
      <c r="O657" s="151">
        <f t="shared" si="392"/>
        <v>6052603.2357617747</v>
      </c>
      <c r="P657" s="151">
        <f t="shared" si="392"/>
        <v>5749973.0739736864</v>
      </c>
      <c r="Q657" s="151">
        <f t="shared" si="392"/>
        <v>5447342.9121855982</v>
      </c>
      <c r="R657" s="151">
        <f t="shared" si="392"/>
        <v>5144712.7503975099</v>
      </c>
      <c r="S657" s="151">
        <f t="shared" si="392"/>
        <v>4842082.5886094216</v>
      </c>
      <c r="T657" s="151">
        <f t="shared" si="392"/>
        <v>4539452.4268213334</v>
      </c>
      <c r="U657" s="151">
        <f t="shared" si="392"/>
        <v>4236822.2650332451</v>
      </c>
      <c r="V657" s="151">
        <f t="shared" si="392"/>
        <v>3934192.1032451564</v>
      </c>
      <c r="W657" s="151">
        <f t="shared" si="392"/>
        <v>3631561.9414570676</v>
      </c>
      <c r="X657" s="151">
        <f t="shared" si="392"/>
        <v>3328931.7796689789</v>
      </c>
      <c r="Y657" s="151">
        <f t="shared" si="392"/>
        <v>3026301.6178808901</v>
      </c>
      <c r="Z657" s="151">
        <f t="shared" si="392"/>
        <v>2723671.4560928014</v>
      </c>
      <c r="AA657" s="151">
        <f t="shared" si="392"/>
        <v>2421041.2943047127</v>
      </c>
      <c r="AB657" s="151">
        <f t="shared" si="392"/>
        <v>2118411.1325166239</v>
      </c>
      <c r="AC657" s="151">
        <f t="shared" si="392"/>
        <v>1815780.9707285352</v>
      </c>
      <c r="AD657" s="151">
        <f t="shared" si="392"/>
        <v>1513150.8089404465</v>
      </c>
      <c r="AE657" s="151">
        <f t="shared" si="392"/>
        <v>1210520.6471523577</v>
      </c>
      <c r="AF657" s="151">
        <f t="shared" si="392"/>
        <v>907890.485364269</v>
      </c>
      <c r="AG657" s="151">
        <f t="shared" si="392"/>
        <v>605260.32357618026</v>
      </c>
      <c r="AH657" s="151">
        <f t="shared" si="392"/>
        <v>302630.16178809159</v>
      </c>
      <c r="AI657" s="151">
        <f t="shared" si="392"/>
        <v>100876.72059603248</v>
      </c>
      <c r="AJ657" s="151">
        <f t="shared" si="392"/>
        <v>2.9249349609017372E-9</v>
      </c>
      <c r="AK657" s="151"/>
      <c r="AL657" s="151"/>
      <c r="AM657" s="151"/>
      <c r="AN657" s="151"/>
      <c r="AO657" s="151"/>
      <c r="AP657" s="151"/>
      <c r="AQ657" s="151"/>
      <c r="AR657" s="151"/>
      <c r="AS657" s="151"/>
      <c r="AT657" s="151"/>
      <c r="AU657" s="151"/>
      <c r="AV657" s="151"/>
      <c r="AW657" s="151"/>
      <c r="AX657" s="151"/>
      <c r="AY657" s="151"/>
      <c r="AZ657" s="151"/>
      <c r="BA657" s="151"/>
      <c r="BB657" s="151"/>
      <c r="BC657" s="151"/>
      <c r="BD657" s="151"/>
      <c r="BE657" s="151"/>
      <c r="BF657" s="151"/>
      <c r="BG657" s="151"/>
      <c r="BH657" s="151"/>
      <c r="BI657" s="151"/>
      <c r="BJ657" s="152"/>
      <c r="BK657" s="151"/>
      <c r="BL657" s="151"/>
    </row>
    <row r="658" spans="1:64" s="153" customFormat="1" ht="12.75">
      <c r="A658" s="138" t="s">
        <v>127</v>
      </c>
      <c r="B658" s="144"/>
      <c r="C658" s="149"/>
      <c r="D658" s="150"/>
      <c r="E658" s="151">
        <f>$B648-E653</f>
        <v>118666666.66666667</v>
      </c>
      <c r="F658" s="151">
        <f t="shared" si="392"/>
        <v>116000000</v>
      </c>
      <c r="G658" s="151">
        <f t="shared" si="392"/>
        <v>112000000</v>
      </c>
      <c r="H658" s="151">
        <f t="shared" si="392"/>
        <v>108000000</v>
      </c>
      <c r="I658" s="151">
        <f t="shared" si="392"/>
        <v>104000000</v>
      </c>
      <c r="J658" s="151">
        <f t="shared" si="392"/>
        <v>100000000</v>
      </c>
      <c r="K658" s="151">
        <f t="shared" si="392"/>
        <v>96000000</v>
      </c>
      <c r="L658" s="151">
        <f t="shared" si="392"/>
        <v>92000000</v>
      </c>
      <c r="M658" s="151">
        <f t="shared" si="392"/>
        <v>88000000</v>
      </c>
      <c r="N658" s="151">
        <f t="shared" si="392"/>
        <v>84000000</v>
      </c>
      <c r="O658" s="151">
        <f t="shared" si="392"/>
        <v>80000000</v>
      </c>
      <c r="P658" s="151">
        <f t="shared" si="392"/>
        <v>76000000</v>
      </c>
      <c r="Q658" s="151">
        <f t="shared" si="392"/>
        <v>72000000</v>
      </c>
      <c r="R658" s="151">
        <f t="shared" si="392"/>
        <v>68000000</v>
      </c>
      <c r="S658" s="151">
        <f t="shared" si="392"/>
        <v>64000000</v>
      </c>
      <c r="T658" s="151">
        <f t="shared" si="392"/>
        <v>60000000</v>
      </c>
      <c r="U658" s="151">
        <f t="shared" si="392"/>
        <v>56000000</v>
      </c>
      <c r="V658" s="151">
        <f t="shared" si="392"/>
        <v>52000000</v>
      </c>
      <c r="W658" s="151">
        <f t="shared" si="392"/>
        <v>48000000</v>
      </c>
      <c r="X658" s="151">
        <f t="shared" si="392"/>
        <v>44000000</v>
      </c>
      <c r="Y658" s="151">
        <f t="shared" si="392"/>
        <v>40000000</v>
      </c>
      <c r="Z658" s="151">
        <f t="shared" si="392"/>
        <v>36000000</v>
      </c>
      <c r="AA658" s="151">
        <f t="shared" si="392"/>
        <v>32000000</v>
      </c>
      <c r="AB658" s="151">
        <f t="shared" si="392"/>
        <v>28000000</v>
      </c>
      <c r="AC658" s="151">
        <f t="shared" si="392"/>
        <v>24000000</v>
      </c>
      <c r="AD658" s="151">
        <f t="shared" si="392"/>
        <v>20000000</v>
      </c>
      <c r="AE658" s="151">
        <f t="shared" si="392"/>
        <v>16000000</v>
      </c>
      <c r="AF658" s="151">
        <f t="shared" si="392"/>
        <v>12000000</v>
      </c>
      <c r="AG658" s="151">
        <f t="shared" si="392"/>
        <v>8000000</v>
      </c>
      <c r="AH658" s="151">
        <f t="shared" si="392"/>
        <v>4000000</v>
      </c>
      <c r="AI658" s="151">
        <f t="shared" si="392"/>
        <v>1333333.3333333335</v>
      </c>
      <c r="AJ658" s="151">
        <f t="shared" si="392"/>
        <v>0</v>
      </c>
      <c r="AK658" s="151"/>
      <c r="AL658" s="151"/>
      <c r="AM658" s="151"/>
      <c r="AN658" s="151"/>
      <c r="AO658" s="151"/>
      <c r="AP658" s="151"/>
      <c r="AQ658" s="151"/>
      <c r="AR658" s="151"/>
      <c r="AS658" s="151"/>
      <c r="AT658" s="151"/>
      <c r="AU658" s="151"/>
      <c r="AV658" s="151"/>
      <c r="AW658" s="151"/>
      <c r="AX658" s="151"/>
      <c r="AY658" s="151"/>
      <c r="AZ658" s="151"/>
      <c r="BA658" s="151"/>
      <c r="BB658" s="151"/>
      <c r="BC658" s="151"/>
      <c r="BD658" s="151"/>
      <c r="BE658" s="151"/>
      <c r="BF658" s="151"/>
      <c r="BG658" s="151"/>
      <c r="BH658" s="151"/>
      <c r="BI658" s="151"/>
      <c r="BJ658" s="152"/>
      <c r="BK658" s="151"/>
      <c r="BL658" s="151"/>
    </row>
    <row r="659" spans="1:64" s="153" customFormat="1" ht="12.75">
      <c r="A659" s="138" t="s">
        <v>128</v>
      </c>
      <c r="B659" s="144"/>
      <c r="C659" s="154">
        <f>$B649-C654</f>
        <v>162433932.67335808</v>
      </c>
      <c r="D659" s="151">
        <f>C659-D654</f>
        <v>160253611.42942038</v>
      </c>
      <c r="E659" s="151">
        <f>D659-E654</f>
        <v>156983129.56351385</v>
      </c>
      <c r="F659" s="151">
        <f t="shared" si="392"/>
        <v>152622487.07563847</v>
      </c>
      <c r="G659" s="151">
        <f t="shared" si="392"/>
        <v>147171683.96579424</v>
      </c>
      <c r="H659" s="151">
        <f t="shared" si="392"/>
        <v>141720880.85595</v>
      </c>
      <c r="I659" s="151">
        <f t="shared" si="392"/>
        <v>136270077.74610576</v>
      </c>
      <c r="J659" s="151">
        <f t="shared" si="392"/>
        <v>130819274.63626152</v>
      </c>
      <c r="K659" s="151">
        <f t="shared" si="392"/>
        <v>125368471.52641729</v>
      </c>
      <c r="L659" s="151">
        <f t="shared" si="392"/>
        <v>119917668.41657305</v>
      </c>
      <c r="M659" s="151">
        <f t="shared" si="392"/>
        <v>114466865.30672881</v>
      </c>
      <c r="N659" s="151">
        <f t="shared" si="392"/>
        <v>109016062.19688457</v>
      </c>
      <c r="O659" s="151">
        <f t="shared" si="392"/>
        <v>103565259.08704033</v>
      </c>
      <c r="P659" s="151">
        <f t="shared" si="392"/>
        <v>98114455.977196097</v>
      </c>
      <c r="Q659" s="151">
        <f t="shared" si="392"/>
        <v>92663652.86735186</v>
      </c>
      <c r="R659" s="151">
        <f t="shared" si="392"/>
        <v>87212849.757507622</v>
      </c>
      <c r="S659" s="151">
        <f t="shared" si="392"/>
        <v>81762046.647663385</v>
      </c>
      <c r="T659" s="151">
        <f t="shared" si="392"/>
        <v>76311243.537819147</v>
      </c>
      <c r="U659" s="151">
        <f t="shared" si="392"/>
        <v>70860440.42797491</v>
      </c>
      <c r="V659" s="151">
        <f t="shared" si="392"/>
        <v>65409637.318130679</v>
      </c>
      <c r="W659" s="151">
        <f t="shared" si="392"/>
        <v>59958834.208286449</v>
      </c>
      <c r="X659" s="151">
        <f t="shared" si="392"/>
        <v>54508031.098442219</v>
      </c>
      <c r="Y659" s="151">
        <f t="shared" si="392"/>
        <v>49057227.988597989</v>
      </c>
      <c r="Z659" s="151">
        <f t="shared" si="392"/>
        <v>43606424.878753759</v>
      </c>
      <c r="AA659" s="151">
        <f t="shared" si="392"/>
        <v>38155621.768909529</v>
      </c>
      <c r="AB659" s="151">
        <f t="shared" si="392"/>
        <v>32704818.659065299</v>
      </c>
      <c r="AC659" s="151">
        <f t="shared" si="392"/>
        <v>27254015.549221069</v>
      </c>
      <c r="AD659" s="151">
        <f t="shared" si="392"/>
        <v>21803212.439376839</v>
      </c>
      <c r="AE659" s="151">
        <f t="shared" si="392"/>
        <v>16352409.329532608</v>
      </c>
      <c r="AF659" s="151">
        <f t="shared" si="392"/>
        <v>10901606.219688378</v>
      </c>
      <c r="AG659" s="151">
        <f t="shared" si="392"/>
        <v>6540963.731812994</v>
      </c>
      <c r="AH659" s="151">
        <f t="shared" si="392"/>
        <v>3270481.8659064556</v>
      </c>
      <c r="AI659" s="151">
        <f t="shared" si="392"/>
        <v>1090160.6219687634</v>
      </c>
      <c r="AJ659" s="151">
        <f t="shared" si="392"/>
        <v>-8.2654878497123718E-8</v>
      </c>
      <c r="AK659" s="151"/>
      <c r="AL659" s="151"/>
      <c r="AM659" s="151"/>
      <c r="AN659" s="151"/>
      <c r="AO659" s="151"/>
      <c r="AP659" s="151"/>
      <c r="AQ659" s="151"/>
      <c r="AR659" s="151"/>
      <c r="AS659" s="151"/>
      <c r="AT659" s="151"/>
      <c r="AU659" s="151"/>
      <c r="AV659" s="151"/>
      <c r="AW659" s="151"/>
      <c r="AX659" s="151"/>
      <c r="AY659" s="151"/>
      <c r="AZ659" s="151"/>
      <c r="BA659" s="151"/>
      <c r="BB659" s="151"/>
      <c r="BC659" s="151"/>
      <c r="BD659" s="151"/>
      <c r="BE659" s="151"/>
      <c r="BF659" s="151"/>
      <c r="BG659" s="151"/>
      <c r="BH659" s="151"/>
      <c r="BI659" s="151"/>
      <c r="BJ659" s="152"/>
      <c r="BK659" s="151"/>
      <c r="BL659" s="151"/>
    </row>
    <row r="660" spans="1:64" s="153" customFormat="1" ht="12.75">
      <c r="A660" s="138" t="s">
        <v>129</v>
      </c>
      <c r="B660" s="144"/>
      <c r="C660" s="154">
        <f>$B650-C655</f>
        <v>8260243.4699853938</v>
      </c>
      <c r="D660" s="151">
        <f>C660-D655</f>
        <v>7981808.2968398184</v>
      </c>
      <c r="E660" s="151">
        <f>D660-E655</f>
        <v>7703373.1236942429</v>
      </c>
      <c r="F660" s="151">
        <f t="shared" si="392"/>
        <v>7424937.9505486675</v>
      </c>
      <c r="G660" s="151">
        <f t="shared" si="392"/>
        <v>7146502.777403092</v>
      </c>
      <c r="H660" s="151">
        <f t="shared" si="392"/>
        <v>6868067.6042575166</v>
      </c>
      <c r="I660" s="151">
        <f t="shared" si="392"/>
        <v>6589632.4311119411</v>
      </c>
      <c r="J660" s="151">
        <f t="shared" si="392"/>
        <v>6311197.2579663657</v>
      </c>
      <c r="K660" s="151">
        <f t="shared" si="392"/>
        <v>6032762.0848207902</v>
      </c>
      <c r="L660" s="151">
        <f t="shared" si="392"/>
        <v>5754326.9116752148</v>
      </c>
      <c r="M660" s="151">
        <f t="shared" si="392"/>
        <v>5475891.7385296393</v>
      </c>
      <c r="N660" s="151">
        <f t="shared" si="392"/>
        <v>5197456.5653840639</v>
      </c>
      <c r="O660" s="151">
        <f t="shared" si="392"/>
        <v>4919021.3922384884</v>
      </c>
      <c r="P660" s="151">
        <f t="shared" si="392"/>
        <v>4640586.219092913</v>
      </c>
      <c r="Q660" s="151">
        <f t="shared" si="392"/>
        <v>4362151.0459473375</v>
      </c>
      <c r="R660" s="151">
        <f t="shared" si="392"/>
        <v>4083715.8728017625</v>
      </c>
      <c r="S660" s="151">
        <f t="shared" si="392"/>
        <v>3805280.6996561876</v>
      </c>
      <c r="T660" s="151">
        <f t="shared" si="392"/>
        <v>3526845.5265106126</v>
      </c>
      <c r="U660" s="151">
        <f t="shared" si="392"/>
        <v>3248410.3533650376</v>
      </c>
      <c r="V660" s="151">
        <f t="shared" si="392"/>
        <v>2969975.1802194626</v>
      </c>
      <c r="W660" s="151">
        <f t="shared" si="392"/>
        <v>2691540.0070738876</v>
      </c>
      <c r="X660" s="151">
        <f t="shared" si="392"/>
        <v>2413104.8339283126</v>
      </c>
      <c r="Y660" s="151">
        <f t="shared" si="392"/>
        <v>2134669.6607827377</v>
      </c>
      <c r="Z660" s="151">
        <f t="shared" si="392"/>
        <v>1856234.4876371627</v>
      </c>
      <c r="AA660" s="151">
        <f t="shared" si="392"/>
        <v>1577799.3144915877</v>
      </c>
      <c r="AB660" s="151">
        <f t="shared" si="392"/>
        <v>1299364.1413460127</v>
      </c>
      <c r="AC660" s="151">
        <f t="shared" si="392"/>
        <v>1020928.9682004377</v>
      </c>
      <c r="AD660" s="151">
        <f t="shared" si="392"/>
        <v>742493.79505486274</v>
      </c>
      <c r="AE660" s="151">
        <f t="shared" si="392"/>
        <v>464058.6219092877</v>
      </c>
      <c r="AF660" s="151">
        <f t="shared" si="392"/>
        <v>185623.44876371266</v>
      </c>
      <c r="AG660" s="151">
        <f t="shared" si="392"/>
        <v>-4.0163286030292511E-9</v>
      </c>
      <c r="AH660" s="151">
        <f t="shared" si="392"/>
        <v>-4.0163286030292511E-9</v>
      </c>
      <c r="AI660" s="151">
        <f t="shared" si="392"/>
        <v>-4.0163286030292511E-9</v>
      </c>
      <c r="AJ660" s="151">
        <f t="shared" si="392"/>
        <v>-4.0163286030292511E-9</v>
      </c>
      <c r="AK660" s="151"/>
      <c r="AL660" s="151"/>
      <c r="AM660" s="151"/>
      <c r="AN660" s="151"/>
      <c r="AO660" s="151"/>
      <c r="AP660" s="151"/>
      <c r="AQ660" s="151"/>
      <c r="AR660" s="151"/>
      <c r="AS660" s="151"/>
      <c r="AT660" s="151"/>
      <c r="AU660" s="151"/>
      <c r="AV660" s="151"/>
      <c r="AW660" s="151"/>
      <c r="AX660" s="151"/>
      <c r="AY660" s="151"/>
      <c r="AZ660" s="151"/>
      <c r="BA660" s="151"/>
      <c r="BB660" s="151"/>
      <c r="BC660" s="151"/>
      <c r="BD660" s="151"/>
      <c r="BE660" s="151"/>
      <c r="BF660" s="151"/>
      <c r="BG660" s="151"/>
      <c r="BH660" s="151"/>
      <c r="BI660" s="151"/>
      <c r="BJ660" s="152"/>
      <c r="BK660" s="151"/>
      <c r="BL660" s="151"/>
    </row>
    <row r="661" spans="1:64" s="116" customFormat="1">
      <c r="A661" s="111" t="s">
        <v>132</v>
      </c>
      <c r="B661" s="155">
        <f>SUM(B662:B665)</f>
        <v>428557182.88151813</v>
      </c>
      <c r="C661" s="117">
        <f>SUM(C662:C665)</f>
        <v>17187714.848969419</v>
      </c>
      <c r="D661" s="118">
        <f t="shared" ref="D661:AJ661" si="393">SUM(D662:D665)</f>
        <v>17069417.614334349</v>
      </c>
      <c r="E661" s="118">
        <f t="shared" si="393"/>
        <v>29731432.457990289</v>
      </c>
      <c r="F661" s="118">
        <f t="shared" si="393"/>
        <v>29233119.74869214</v>
      </c>
      <c r="G661" s="118">
        <f t="shared" si="393"/>
        <v>28482369.971804172</v>
      </c>
      <c r="H661" s="118">
        <f t="shared" si="393"/>
        <v>27479183.12732638</v>
      </c>
      <c r="I661" s="118">
        <f t="shared" si="393"/>
        <v>26475996.282848589</v>
      </c>
      <c r="J661" s="118">
        <f t="shared" si="393"/>
        <v>25472809.438370802</v>
      </c>
      <c r="K661" s="118">
        <f t="shared" si="393"/>
        <v>24469622.59389301</v>
      </c>
      <c r="L661" s="118">
        <f t="shared" si="393"/>
        <v>23466435.749415219</v>
      </c>
      <c r="M661" s="118">
        <f t="shared" si="393"/>
        <v>22463248.904937431</v>
      </c>
      <c r="N661" s="118">
        <f t="shared" si="393"/>
        <v>21460062.060459644</v>
      </c>
      <c r="O661" s="118">
        <f t="shared" si="393"/>
        <v>20456875.215981849</v>
      </c>
      <c r="P661" s="118">
        <f t="shared" si="393"/>
        <v>19453688.371504061</v>
      </c>
      <c r="Q661" s="118">
        <f t="shared" si="393"/>
        <v>18450501.52702627</v>
      </c>
      <c r="R661" s="118">
        <f t="shared" si="393"/>
        <v>17447314.682548482</v>
      </c>
      <c r="S661" s="118">
        <f t="shared" si="393"/>
        <v>16444127.838070691</v>
      </c>
      <c r="T661" s="118">
        <f t="shared" si="393"/>
        <v>15440940.993592899</v>
      </c>
      <c r="U661" s="118">
        <f t="shared" si="393"/>
        <v>14437754.14911511</v>
      </c>
      <c r="V661" s="118">
        <f t="shared" si="393"/>
        <v>13434567.304637318</v>
      </c>
      <c r="W661" s="118">
        <f t="shared" si="393"/>
        <v>0</v>
      </c>
      <c r="X661" s="118">
        <f t="shared" si="393"/>
        <v>0</v>
      </c>
      <c r="Y661" s="118">
        <f t="shared" si="393"/>
        <v>0</v>
      </c>
      <c r="Z661" s="118">
        <f t="shared" si="393"/>
        <v>0</v>
      </c>
      <c r="AA661" s="118">
        <f t="shared" si="393"/>
        <v>0</v>
      </c>
      <c r="AB661" s="118">
        <f t="shared" si="393"/>
        <v>0</v>
      </c>
      <c r="AC661" s="118">
        <f t="shared" si="393"/>
        <v>0</v>
      </c>
      <c r="AD661" s="118">
        <f t="shared" si="393"/>
        <v>0</v>
      </c>
      <c r="AE661" s="118">
        <f t="shared" si="393"/>
        <v>0</v>
      </c>
      <c r="AF661" s="118">
        <f t="shared" si="393"/>
        <v>0</v>
      </c>
      <c r="AG661" s="118">
        <f t="shared" si="393"/>
        <v>0</v>
      </c>
      <c r="AH661" s="118">
        <f t="shared" si="393"/>
        <v>0</v>
      </c>
      <c r="AI661" s="118">
        <f t="shared" si="393"/>
        <v>0</v>
      </c>
      <c r="AJ661" s="118">
        <f t="shared" si="393"/>
        <v>0</v>
      </c>
      <c r="AK661" s="118"/>
      <c r="AL661" s="118"/>
      <c r="AM661" s="118"/>
      <c r="AN661" s="118"/>
      <c r="AO661" s="118"/>
      <c r="AP661" s="118"/>
      <c r="AQ661" s="118"/>
      <c r="AR661" s="118"/>
      <c r="AS661" s="118"/>
      <c r="AT661" s="118"/>
      <c r="AU661" s="118"/>
      <c r="AV661" s="118"/>
      <c r="AW661" s="118"/>
      <c r="AX661" s="118"/>
      <c r="AY661" s="118"/>
      <c r="AZ661" s="118"/>
      <c r="BA661" s="118"/>
      <c r="BB661" s="118"/>
      <c r="BC661" s="118"/>
      <c r="BD661" s="118"/>
      <c r="BE661" s="118"/>
      <c r="BF661" s="118"/>
      <c r="BG661" s="118"/>
      <c r="BH661" s="118"/>
      <c r="BI661" s="118"/>
      <c r="BJ661" s="119"/>
      <c r="BK661" s="118"/>
      <c r="BL661" s="118"/>
    </row>
    <row r="662" spans="1:64" s="143" customFormat="1" ht="12.75">
      <c r="A662" s="138" t="s">
        <v>126</v>
      </c>
      <c r="B662" s="139">
        <f>SUM(C662:BJ662)</f>
        <v>12216170.864179179</v>
      </c>
      <c r="C662" s="140"/>
      <c r="D662" s="141"/>
      <c r="E662" s="226">
        <f>IF(AND(E634&gt;5,E635=0),0,(E657+E652)*$I633)</f>
        <v>907890.48536426597</v>
      </c>
      <c r="F662" s="141">
        <f>IF(AND(F634&gt;5,F635=0),0,(F657+F652)*$I633)</f>
        <v>897802.81330466294</v>
      </c>
      <c r="G662" s="141">
        <f t="shared" ref="G662:BJ662" si="394">IF(AND(G634&gt;5,G635=0),0,(G657+G652)*$I633)</f>
        <v>877627.4691854571</v>
      </c>
      <c r="H662" s="141">
        <f t="shared" si="394"/>
        <v>847364.45300664811</v>
      </c>
      <c r="I662" s="141">
        <f t="shared" si="394"/>
        <v>817101.43682783935</v>
      </c>
      <c r="J662" s="141">
        <f t="shared" si="394"/>
        <v>786838.42064903048</v>
      </c>
      <c r="K662" s="141">
        <f t="shared" si="394"/>
        <v>756575.40447022161</v>
      </c>
      <c r="L662" s="141">
        <f t="shared" si="394"/>
        <v>726312.38829141285</v>
      </c>
      <c r="M662" s="141">
        <f t="shared" si="394"/>
        <v>696049.37211260397</v>
      </c>
      <c r="N662" s="141">
        <f t="shared" si="394"/>
        <v>665786.35593379522</v>
      </c>
      <c r="O662" s="141">
        <f t="shared" si="394"/>
        <v>635523.33975498634</v>
      </c>
      <c r="P662" s="141">
        <f t="shared" si="394"/>
        <v>605260.32357617747</v>
      </c>
      <c r="Q662" s="141">
        <f t="shared" si="394"/>
        <v>574997.30739736871</v>
      </c>
      <c r="R662" s="141">
        <f t="shared" si="394"/>
        <v>544734.29121855984</v>
      </c>
      <c r="S662" s="141">
        <f t="shared" si="394"/>
        <v>514471.27503975102</v>
      </c>
      <c r="T662" s="141">
        <f t="shared" si="394"/>
        <v>484208.25886094221</v>
      </c>
      <c r="U662" s="141">
        <f t="shared" si="394"/>
        <v>453945.24268213334</v>
      </c>
      <c r="V662" s="141">
        <f t="shared" si="394"/>
        <v>423682.22650332452</v>
      </c>
      <c r="W662" s="141">
        <f t="shared" si="394"/>
        <v>0</v>
      </c>
      <c r="X662" s="141">
        <f t="shared" si="394"/>
        <v>0</v>
      </c>
      <c r="Y662" s="141">
        <f t="shared" si="394"/>
        <v>0</v>
      </c>
      <c r="Z662" s="141">
        <f t="shared" si="394"/>
        <v>0</v>
      </c>
      <c r="AA662" s="141">
        <f t="shared" si="394"/>
        <v>0</v>
      </c>
      <c r="AB662" s="141">
        <f t="shared" si="394"/>
        <v>0</v>
      </c>
      <c r="AC662" s="141">
        <f t="shared" si="394"/>
        <v>0</v>
      </c>
      <c r="AD662" s="141">
        <f t="shared" si="394"/>
        <v>0</v>
      </c>
      <c r="AE662" s="141">
        <f t="shared" si="394"/>
        <v>0</v>
      </c>
      <c r="AF662" s="141">
        <f t="shared" si="394"/>
        <v>0</v>
      </c>
      <c r="AG662" s="141">
        <f t="shared" si="394"/>
        <v>0</v>
      </c>
      <c r="AH662" s="141">
        <f t="shared" si="394"/>
        <v>0</v>
      </c>
      <c r="AI662" s="141">
        <f t="shared" si="394"/>
        <v>0</v>
      </c>
      <c r="AJ662" s="141">
        <f t="shared" si="394"/>
        <v>0</v>
      </c>
      <c r="AK662" s="141">
        <f t="shared" si="394"/>
        <v>0</v>
      </c>
      <c r="AL662" s="141">
        <f t="shared" si="394"/>
        <v>0</v>
      </c>
      <c r="AM662" s="141">
        <f t="shared" si="394"/>
        <v>0</v>
      </c>
      <c r="AN662" s="141">
        <f t="shared" si="394"/>
        <v>0</v>
      </c>
      <c r="AO662" s="141">
        <f t="shared" si="394"/>
        <v>0</v>
      </c>
      <c r="AP662" s="141">
        <f t="shared" si="394"/>
        <v>0</v>
      </c>
      <c r="AQ662" s="141">
        <f t="shared" si="394"/>
        <v>0</v>
      </c>
      <c r="AR662" s="141">
        <f t="shared" si="394"/>
        <v>0</v>
      </c>
      <c r="AS662" s="141">
        <f t="shared" si="394"/>
        <v>0</v>
      </c>
      <c r="AT662" s="141">
        <f t="shared" si="394"/>
        <v>0</v>
      </c>
      <c r="AU662" s="141">
        <f t="shared" si="394"/>
        <v>0</v>
      </c>
      <c r="AV662" s="141">
        <f t="shared" si="394"/>
        <v>0</v>
      </c>
      <c r="AW662" s="141">
        <f t="shared" si="394"/>
        <v>0</v>
      </c>
      <c r="AX662" s="141">
        <f t="shared" si="394"/>
        <v>0</v>
      </c>
      <c r="AY662" s="141">
        <f t="shared" si="394"/>
        <v>0</v>
      </c>
      <c r="AZ662" s="141">
        <f t="shared" si="394"/>
        <v>0</v>
      </c>
      <c r="BA662" s="141">
        <f t="shared" si="394"/>
        <v>0</v>
      </c>
      <c r="BB662" s="141">
        <f t="shared" si="394"/>
        <v>0</v>
      </c>
      <c r="BC662" s="141">
        <f t="shared" si="394"/>
        <v>0</v>
      </c>
      <c r="BD662" s="141">
        <f t="shared" si="394"/>
        <v>0</v>
      </c>
      <c r="BE662" s="141">
        <f t="shared" si="394"/>
        <v>0</v>
      </c>
      <c r="BF662" s="141">
        <f t="shared" si="394"/>
        <v>0</v>
      </c>
      <c r="BG662" s="141">
        <f t="shared" si="394"/>
        <v>0</v>
      </c>
      <c r="BH662" s="141">
        <f t="shared" si="394"/>
        <v>0</v>
      </c>
      <c r="BI662" s="141">
        <f t="shared" si="394"/>
        <v>0</v>
      </c>
      <c r="BJ662" s="142">
        <f t="shared" si="394"/>
        <v>0</v>
      </c>
      <c r="BK662" s="141"/>
      <c r="BL662" s="141"/>
    </row>
    <row r="663" spans="1:64" s="143" customFormat="1" ht="12.75">
      <c r="A663" s="138" t="s">
        <v>127</v>
      </c>
      <c r="B663" s="139">
        <f>SUM(C663:BJ663)</f>
        <v>161466666.66666669</v>
      </c>
      <c r="C663" s="140"/>
      <c r="D663" s="141"/>
      <c r="E663" s="226">
        <f>IF(AND(E634&gt;5,E635=0),0,(E658+E653)*$I633)</f>
        <v>12000000</v>
      </c>
      <c r="F663" s="141">
        <f t="shared" ref="F663:BJ663" si="395">IF(AND(F634&gt;5,F635=0),0,(F658+F653)*$I633)</f>
        <v>11866666.666666668</v>
      </c>
      <c r="G663" s="141">
        <f t="shared" si="395"/>
        <v>11600000</v>
      </c>
      <c r="H663" s="141">
        <f t="shared" si="395"/>
        <v>11200000</v>
      </c>
      <c r="I663" s="141">
        <f t="shared" si="395"/>
        <v>10800000</v>
      </c>
      <c r="J663" s="141">
        <f t="shared" si="395"/>
        <v>10400000</v>
      </c>
      <c r="K663" s="141">
        <f t="shared" si="395"/>
        <v>10000000</v>
      </c>
      <c r="L663" s="141">
        <f t="shared" si="395"/>
        <v>9600000</v>
      </c>
      <c r="M663" s="141">
        <f t="shared" si="395"/>
        <v>9200000</v>
      </c>
      <c r="N663" s="141">
        <f t="shared" si="395"/>
        <v>8800000</v>
      </c>
      <c r="O663" s="141">
        <f t="shared" si="395"/>
        <v>8400000</v>
      </c>
      <c r="P663" s="141">
        <f t="shared" si="395"/>
        <v>8000000</v>
      </c>
      <c r="Q663" s="141">
        <f t="shared" si="395"/>
        <v>7600000</v>
      </c>
      <c r="R663" s="141">
        <f t="shared" si="395"/>
        <v>7200000</v>
      </c>
      <c r="S663" s="141">
        <f t="shared" si="395"/>
        <v>6800000</v>
      </c>
      <c r="T663" s="141">
        <f t="shared" si="395"/>
        <v>6400000</v>
      </c>
      <c r="U663" s="141">
        <f t="shared" si="395"/>
        <v>6000000</v>
      </c>
      <c r="V663" s="141">
        <f t="shared" si="395"/>
        <v>5600000</v>
      </c>
      <c r="W663" s="141">
        <f t="shared" si="395"/>
        <v>0</v>
      </c>
      <c r="X663" s="141">
        <f t="shared" si="395"/>
        <v>0</v>
      </c>
      <c r="Y663" s="141">
        <f t="shared" si="395"/>
        <v>0</v>
      </c>
      <c r="Z663" s="141">
        <f t="shared" si="395"/>
        <v>0</v>
      </c>
      <c r="AA663" s="141">
        <f t="shared" si="395"/>
        <v>0</v>
      </c>
      <c r="AB663" s="141">
        <f t="shared" si="395"/>
        <v>0</v>
      </c>
      <c r="AC663" s="141">
        <f t="shared" si="395"/>
        <v>0</v>
      </c>
      <c r="AD663" s="141">
        <f t="shared" si="395"/>
        <v>0</v>
      </c>
      <c r="AE663" s="141">
        <f t="shared" si="395"/>
        <v>0</v>
      </c>
      <c r="AF663" s="141">
        <f t="shared" si="395"/>
        <v>0</v>
      </c>
      <c r="AG663" s="141">
        <f t="shared" si="395"/>
        <v>0</v>
      </c>
      <c r="AH663" s="141">
        <f t="shared" si="395"/>
        <v>0</v>
      </c>
      <c r="AI663" s="141">
        <f t="shared" si="395"/>
        <v>0</v>
      </c>
      <c r="AJ663" s="141">
        <f t="shared" si="395"/>
        <v>0</v>
      </c>
      <c r="AK663" s="141">
        <f t="shared" si="395"/>
        <v>0</v>
      </c>
      <c r="AL663" s="141">
        <f t="shared" si="395"/>
        <v>0</v>
      </c>
      <c r="AM663" s="141">
        <f t="shared" si="395"/>
        <v>0</v>
      </c>
      <c r="AN663" s="141">
        <f t="shared" si="395"/>
        <v>0</v>
      </c>
      <c r="AO663" s="141">
        <f t="shared" si="395"/>
        <v>0</v>
      </c>
      <c r="AP663" s="141">
        <f t="shared" si="395"/>
        <v>0</v>
      </c>
      <c r="AQ663" s="141">
        <f t="shared" si="395"/>
        <v>0</v>
      </c>
      <c r="AR663" s="141">
        <f t="shared" si="395"/>
        <v>0</v>
      </c>
      <c r="AS663" s="141">
        <f t="shared" si="395"/>
        <v>0</v>
      </c>
      <c r="AT663" s="141">
        <f t="shared" si="395"/>
        <v>0</v>
      </c>
      <c r="AU663" s="141">
        <f t="shared" si="395"/>
        <v>0</v>
      </c>
      <c r="AV663" s="141">
        <f t="shared" si="395"/>
        <v>0</v>
      </c>
      <c r="AW663" s="141">
        <f t="shared" si="395"/>
        <v>0</v>
      </c>
      <c r="AX663" s="141">
        <f t="shared" si="395"/>
        <v>0</v>
      </c>
      <c r="AY663" s="141">
        <f t="shared" si="395"/>
        <v>0</v>
      </c>
      <c r="AZ663" s="141">
        <f t="shared" si="395"/>
        <v>0</v>
      </c>
      <c r="BA663" s="141">
        <f t="shared" si="395"/>
        <v>0</v>
      </c>
      <c r="BB663" s="141">
        <f t="shared" si="395"/>
        <v>0</v>
      </c>
      <c r="BC663" s="141">
        <f t="shared" si="395"/>
        <v>0</v>
      </c>
      <c r="BD663" s="141">
        <f t="shared" si="395"/>
        <v>0</v>
      </c>
      <c r="BE663" s="141">
        <f t="shared" si="395"/>
        <v>0</v>
      </c>
      <c r="BF663" s="141">
        <f t="shared" si="395"/>
        <v>0</v>
      </c>
      <c r="BG663" s="141">
        <f t="shared" si="395"/>
        <v>0</v>
      </c>
      <c r="BH663" s="141">
        <f t="shared" si="395"/>
        <v>0</v>
      </c>
      <c r="BI663" s="141">
        <f t="shared" si="395"/>
        <v>0</v>
      </c>
      <c r="BJ663" s="142">
        <f t="shared" si="395"/>
        <v>0</v>
      </c>
      <c r="BK663" s="141"/>
      <c r="BL663" s="141"/>
    </row>
    <row r="664" spans="1:64" s="143" customFormat="1" ht="12.75">
      <c r="A664" s="138" t="s">
        <v>128</v>
      </c>
      <c r="B664" s="139">
        <f>SUM(C664:BJ664)</f>
        <v>243105818.69905263</v>
      </c>
      <c r="C664" s="227">
        <f>IF(AND(C634&gt;5,C635=0),0,(C659+C654)*$I633)</f>
        <v>16352409.329532692</v>
      </c>
      <c r="D664" s="141">
        <f>IF(AND(D634&gt;5,D635=0),0,(D659+D654)*$I633)</f>
        <v>16243393.26733581</v>
      </c>
      <c r="E664" s="141">
        <f t="shared" ref="E664:BJ664" si="396">IF(AND(E634&gt;5,E635=0),0,(E659+E654)*$I633)</f>
        <v>16025361.142942039</v>
      </c>
      <c r="F664" s="141">
        <f t="shared" si="396"/>
        <v>15698312.956351385</v>
      </c>
      <c r="G664" s="141">
        <f t="shared" si="396"/>
        <v>15262248.707563847</v>
      </c>
      <c r="H664" s="141">
        <f t="shared" si="396"/>
        <v>14717168.396579424</v>
      </c>
      <c r="I664" s="141">
        <f t="shared" si="396"/>
        <v>14172088.085595001</v>
      </c>
      <c r="J664" s="141">
        <f t="shared" si="396"/>
        <v>13627007.774610577</v>
      </c>
      <c r="K664" s="141">
        <f t="shared" si="396"/>
        <v>13081927.463626154</v>
      </c>
      <c r="L664" s="141">
        <f t="shared" si="396"/>
        <v>12536847.152641729</v>
      </c>
      <c r="M664" s="141">
        <f t="shared" si="396"/>
        <v>11991766.841657305</v>
      </c>
      <c r="N664" s="141">
        <f t="shared" si="396"/>
        <v>11446686.530672882</v>
      </c>
      <c r="O664" s="141">
        <f t="shared" si="396"/>
        <v>10901606.219688458</v>
      </c>
      <c r="P664" s="141">
        <f t="shared" si="396"/>
        <v>10356525.908704035</v>
      </c>
      <c r="Q664" s="141">
        <f t="shared" si="396"/>
        <v>9811445.5977196097</v>
      </c>
      <c r="R664" s="141">
        <f t="shared" si="396"/>
        <v>9266365.2867351864</v>
      </c>
      <c r="S664" s="141">
        <f t="shared" si="396"/>
        <v>8721284.975750763</v>
      </c>
      <c r="T664" s="141">
        <f t="shared" si="396"/>
        <v>8176204.6647663387</v>
      </c>
      <c r="U664" s="141">
        <f t="shared" si="396"/>
        <v>7631124.3537819153</v>
      </c>
      <c r="V664" s="141">
        <f t="shared" si="396"/>
        <v>7086044.042797491</v>
      </c>
      <c r="W664" s="141">
        <f t="shared" si="396"/>
        <v>0</v>
      </c>
      <c r="X664" s="141">
        <f t="shared" si="396"/>
        <v>0</v>
      </c>
      <c r="Y664" s="141">
        <f t="shared" si="396"/>
        <v>0</v>
      </c>
      <c r="Z664" s="141">
        <f t="shared" si="396"/>
        <v>0</v>
      </c>
      <c r="AA664" s="141">
        <f t="shared" si="396"/>
        <v>0</v>
      </c>
      <c r="AB664" s="141">
        <f t="shared" si="396"/>
        <v>0</v>
      </c>
      <c r="AC664" s="141">
        <f t="shared" si="396"/>
        <v>0</v>
      </c>
      <c r="AD664" s="141">
        <f t="shared" si="396"/>
        <v>0</v>
      </c>
      <c r="AE664" s="141">
        <f t="shared" si="396"/>
        <v>0</v>
      </c>
      <c r="AF664" s="141">
        <f t="shared" si="396"/>
        <v>0</v>
      </c>
      <c r="AG664" s="141">
        <f t="shared" si="396"/>
        <v>0</v>
      </c>
      <c r="AH664" s="141">
        <f t="shared" si="396"/>
        <v>0</v>
      </c>
      <c r="AI664" s="141">
        <f t="shared" si="396"/>
        <v>0</v>
      </c>
      <c r="AJ664" s="141">
        <f t="shared" si="396"/>
        <v>0</v>
      </c>
      <c r="AK664" s="141">
        <f t="shared" si="396"/>
        <v>0</v>
      </c>
      <c r="AL664" s="141">
        <f t="shared" si="396"/>
        <v>0</v>
      </c>
      <c r="AM664" s="141">
        <f t="shared" si="396"/>
        <v>0</v>
      </c>
      <c r="AN664" s="141">
        <f t="shared" si="396"/>
        <v>0</v>
      </c>
      <c r="AO664" s="141">
        <f t="shared" si="396"/>
        <v>0</v>
      </c>
      <c r="AP664" s="141">
        <f t="shared" si="396"/>
        <v>0</v>
      </c>
      <c r="AQ664" s="141">
        <f t="shared" si="396"/>
        <v>0</v>
      </c>
      <c r="AR664" s="141">
        <f t="shared" si="396"/>
        <v>0</v>
      </c>
      <c r="AS664" s="141">
        <f t="shared" si="396"/>
        <v>0</v>
      </c>
      <c r="AT664" s="141">
        <f t="shared" si="396"/>
        <v>0</v>
      </c>
      <c r="AU664" s="141">
        <f t="shared" si="396"/>
        <v>0</v>
      </c>
      <c r="AV664" s="141">
        <f t="shared" si="396"/>
        <v>0</v>
      </c>
      <c r="AW664" s="141">
        <f t="shared" si="396"/>
        <v>0</v>
      </c>
      <c r="AX664" s="141">
        <f t="shared" si="396"/>
        <v>0</v>
      </c>
      <c r="AY664" s="141">
        <f t="shared" si="396"/>
        <v>0</v>
      </c>
      <c r="AZ664" s="141">
        <f t="shared" si="396"/>
        <v>0</v>
      </c>
      <c r="BA664" s="141">
        <f t="shared" si="396"/>
        <v>0</v>
      </c>
      <c r="BB664" s="141">
        <f t="shared" si="396"/>
        <v>0</v>
      </c>
      <c r="BC664" s="141">
        <f t="shared" si="396"/>
        <v>0</v>
      </c>
      <c r="BD664" s="141">
        <f t="shared" si="396"/>
        <v>0</v>
      </c>
      <c r="BE664" s="141">
        <f t="shared" si="396"/>
        <v>0</v>
      </c>
      <c r="BF664" s="141">
        <f t="shared" si="396"/>
        <v>0</v>
      </c>
      <c r="BG664" s="141">
        <f t="shared" si="396"/>
        <v>0</v>
      </c>
      <c r="BH664" s="141">
        <f t="shared" si="396"/>
        <v>0</v>
      </c>
      <c r="BI664" s="141">
        <f t="shared" si="396"/>
        <v>0</v>
      </c>
      <c r="BJ664" s="142">
        <f t="shared" si="396"/>
        <v>0</v>
      </c>
      <c r="BK664" s="141"/>
      <c r="BL664" s="141"/>
    </row>
    <row r="665" spans="1:64" s="143" customFormat="1" ht="12.75">
      <c r="A665" s="138" t="s">
        <v>129</v>
      </c>
      <c r="B665" s="139">
        <f>SUM(C665:BJ665)</f>
        <v>11768526.651619636</v>
      </c>
      <c r="C665" s="227">
        <f>IF(AND(C634&gt;5,C635=0),0,(C660+C655)*$I633)</f>
        <v>835305.5194367253</v>
      </c>
      <c r="D665" s="141">
        <f>IF(AND(D634&gt;5,D635=0),0,(D660+D655)*$I633)</f>
        <v>826024.3469985394</v>
      </c>
      <c r="E665" s="141">
        <f t="shared" ref="E665:BJ665" si="397">IF(AND(E634&gt;5,E635=0),0,(E660+E655)*$I633)</f>
        <v>798180.82968398184</v>
      </c>
      <c r="F665" s="141">
        <f t="shared" si="397"/>
        <v>770337.31236942438</v>
      </c>
      <c r="G665" s="141">
        <f t="shared" si="397"/>
        <v>742493.79505486682</v>
      </c>
      <c r="H665" s="141">
        <f t="shared" si="397"/>
        <v>714650.27774030925</v>
      </c>
      <c r="I665" s="141">
        <f t="shared" si="397"/>
        <v>686806.76042575168</v>
      </c>
      <c r="J665" s="141">
        <f t="shared" si="397"/>
        <v>658963.24311119411</v>
      </c>
      <c r="K665" s="141">
        <f t="shared" si="397"/>
        <v>631119.72579663666</v>
      </c>
      <c r="L665" s="141">
        <f t="shared" si="397"/>
        <v>603276.20848207909</v>
      </c>
      <c r="M665" s="141">
        <f t="shared" si="397"/>
        <v>575432.69116752152</v>
      </c>
      <c r="N665" s="141">
        <f t="shared" si="397"/>
        <v>547589.17385296396</v>
      </c>
      <c r="O665" s="141">
        <f t="shared" si="397"/>
        <v>519745.65653840639</v>
      </c>
      <c r="P665" s="141">
        <f t="shared" si="397"/>
        <v>491902.13922384888</v>
      </c>
      <c r="Q665" s="141">
        <f t="shared" si="397"/>
        <v>464058.62190929131</v>
      </c>
      <c r="R665" s="141">
        <f t="shared" si="397"/>
        <v>436215.1045947338</v>
      </c>
      <c r="S665" s="141">
        <f t="shared" si="397"/>
        <v>408371.58728017629</v>
      </c>
      <c r="T665" s="141">
        <f t="shared" si="397"/>
        <v>380528.06996561878</v>
      </c>
      <c r="U665" s="141">
        <f t="shared" si="397"/>
        <v>352684.55265106127</v>
      </c>
      <c r="V665" s="141">
        <f t="shared" si="397"/>
        <v>324841.03533650376</v>
      </c>
      <c r="W665" s="141">
        <f t="shared" si="397"/>
        <v>0</v>
      </c>
      <c r="X665" s="141">
        <f t="shared" si="397"/>
        <v>0</v>
      </c>
      <c r="Y665" s="141">
        <f t="shared" si="397"/>
        <v>0</v>
      </c>
      <c r="Z665" s="141">
        <f t="shared" si="397"/>
        <v>0</v>
      </c>
      <c r="AA665" s="141">
        <f t="shared" si="397"/>
        <v>0</v>
      </c>
      <c r="AB665" s="141">
        <f t="shared" si="397"/>
        <v>0</v>
      </c>
      <c r="AC665" s="141">
        <f t="shared" si="397"/>
        <v>0</v>
      </c>
      <c r="AD665" s="141">
        <f t="shared" si="397"/>
        <v>0</v>
      </c>
      <c r="AE665" s="141">
        <f t="shared" si="397"/>
        <v>0</v>
      </c>
      <c r="AF665" s="141">
        <f t="shared" si="397"/>
        <v>0</v>
      </c>
      <c r="AG665" s="141">
        <f t="shared" si="397"/>
        <v>0</v>
      </c>
      <c r="AH665" s="141">
        <f t="shared" si="397"/>
        <v>0</v>
      </c>
      <c r="AI665" s="141">
        <f t="shared" si="397"/>
        <v>0</v>
      </c>
      <c r="AJ665" s="141">
        <f t="shared" si="397"/>
        <v>0</v>
      </c>
      <c r="AK665" s="141">
        <f t="shared" si="397"/>
        <v>0</v>
      </c>
      <c r="AL665" s="141">
        <f t="shared" si="397"/>
        <v>0</v>
      </c>
      <c r="AM665" s="141">
        <f t="shared" si="397"/>
        <v>0</v>
      </c>
      <c r="AN665" s="141">
        <f t="shared" si="397"/>
        <v>0</v>
      </c>
      <c r="AO665" s="141">
        <f t="shared" si="397"/>
        <v>0</v>
      </c>
      <c r="AP665" s="141">
        <f t="shared" si="397"/>
        <v>0</v>
      </c>
      <c r="AQ665" s="141">
        <f t="shared" si="397"/>
        <v>0</v>
      </c>
      <c r="AR665" s="141">
        <f t="shared" si="397"/>
        <v>0</v>
      </c>
      <c r="AS665" s="141">
        <f t="shared" si="397"/>
        <v>0</v>
      </c>
      <c r="AT665" s="141">
        <f t="shared" si="397"/>
        <v>0</v>
      </c>
      <c r="AU665" s="141">
        <f t="shared" si="397"/>
        <v>0</v>
      </c>
      <c r="AV665" s="141">
        <f t="shared" si="397"/>
        <v>0</v>
      </c>
      <c r="AW665" s="141">
        <f t="shared" si="397"/>
        <v>0</v>
      </c>
      <c r="AX665" s="141">
        <f t="shared" si="397"/>
        <v>0</v>
      </c>
      <c r="AY665" s="141">
        <f t="shared" si="397"/>
        <v>0</v>
      </c>
      <c r="AZ665" s="141">
        <f t="shared" si="397"/>
        <v>0</v>
      </c>
      <c r="BA665" s="141">
        <f t="shared" si="397"/>
        <v>0</v>
      </c>
      <c r="BB665" s="141">
        <f t="shared" si="397"/>
        <v>0</v>
      </c>
      <c r="BC665" s="141">
        <f t="shared" si="397"/>
        <v>0</v>
      </c>
      <c r="BD665" s="141">
        <f t="shared" si="397"/>
        <v>0</v>
      </c>
      <c r="BE665" s="141">
        <f t="shared" si="397"/>
        <v>0</v>
      </c>
      <c r="BF665" s="141">
        <f t="shared" si="397"/>
        <v>0</v>
      </c>
      <c r="BG665" s="141">
        <f t="shared" si="397"/>
        <v>0</v>
      </c>
      <c r="BH665" s="141">
        <f t="shared" si="397"/>
        <v>0</v>
      </c>
      <c r="BI665" s="141">
        <f t="shared" si="397"/>
        <v>0</v>
      </c>
      <c r="BJ665" s="142">
        <f t="shared" si="397"/>
        <v>0</v>
      </c>
      <c r="BK665" s="141"/>
      <c r="BL665" s="141"/>
    </row>
    <row r="666" spans="1:64" s="116" customFormat="1">
      <c r="A666" s="111" t="s">
        <v>133</v>
      </c>
      <c r="B666" s="155">
        <f>SUM(B667:B670)</f>
        <v>176642248.74174148</v>
      </c>
      <c r="C666" s="117">
        <f>SUM(C667:C670)</f>
        <v>1182972.3463507043</v>
      </c>
      <c r="D666" s="118">
        <f>SUM(D667:D670)</f>
        <v>2458756.4170832671</v>
      </c>
      <c r="E666" s="118">
        <f>SUM(E667:E670)</f>
        <v>4983127.0929814763</v>
      </c>
      <c r="F666" s="118">
        <f t="shared" ref="F666:AJ666" si="398">SUM(F667:F670)</f>
        <v>7507497.7688796856</v>
      </c>
      <c r="G666" s="118">
        <f t="shared" si="398"/>
        <v>10031868.444777893</v>
      </c>
      <c r="H666" s="118">
        <f t="shared" si="398"/>
        <v>10031868.444777893</v>
      </c>
      <c r="I666" s="118">
        <f t="shared" si="398"/>
        <v>10031868.444777893</v>
      </c>
      <c r="J666" s="118">
        <f t="shared" si="398"/>
        <v>10031868.444777893</v>
      </c>
      <c r="K666" s="118">
        <f t="shared" si="398"/>
        <v>10031868.444777893</v>
      </c>
      <c r="L666" s="118">
        <f t="shared" si="398"/>
        <v>10031868.444777893</v>
      </c>
      <c r="M666" s="118">
        <f t="shared" si="398"/>
        <v>10031868.444777893</v>
      </c>
      <c r="N666" s="118">
        <f t="shared" si="398"/>
        <v>10031868.444777893</v>
      </c>
      <c r="O666" s="118">
        <f t="shared" si="398"/>
        <v>10031868.444777893</v>
      </c>
      <c r="P666" s="118">
        <f t="shared" si="398"/>
        <v>10031868.444777893</v>
      </c>
      <c r="Q666" s="118">
        <f t="shared" si="398"/>
        <v>10031868.444777893</v>
      </c>
      <c r="R666" s="118">
        <f t="shared" si="398"/>
        <v>10031868.444777893</v>
      </c>
      <c r="S666" s="118">
        <f t="shared" si="398"/>
        <v>10031868.444777893</v>
      </c>
      <c r="T666" s="118">
        <f t="shared" si="398"/>
        <v>10031868.444777893</v>
      </c>
      <c r="U666" s="118">
        <f t="shared" si="398"/>
        <v>10031868.444777893</v>
      </c>
      <c r="V666" s="118">
        <f t="shared" si="398"/>
        <v>10031868.444777893</v>
      </c>
      <c r="W666" s="118">
        <f t="shared" si="398"/>
        <v>0</v>
      </c>
      <c r="X666" s="118">
        <f t="shared" si="398"/>
        <v>0</v>
      </c>
      <c r="Y666" s="118">
        <f t="shared" si="398"/>
        <v>0</v>
      </c>
      <c r="Z666" s="118">
        <f t="shared" si="398"/>
        <v>0</v>
      </c>
      <c r="AA666" s="118">
        <f t="shared" si="398"/>
        <v>0</v>
      </c>
      <c r="AB666" s="118">
        <f t="shared" si="398"/>
        <v>0</v>
      </c>
      <c r="AC666" s="118">
        <f t="shared" si="398"/>
        <v>0</v>
      </c>
      <c r="AD666" s="118">
        <f t="shared" si="398"/>
        <v>0</v>
      </c>
      <c r="AE666" s="118">
        <f t="shared" si="398"/>
        <v>0</v>
      </c>
      <c r="AF666" s="118">
        <f t="shared" si="398"/>
        <v>0</v>
      </c>
      <c r="AG666" s="118">
        <f t="shared" si="398"/>
        <v>0</v>
      </c>
      <c r="AH666" s="118">
        <f t="shared" si="398"/>
        <v>0</v>
      </c>
      <c r="AI666" s="118">
        <f t="shared" si="398"/>
        <v>0</v>
      </c>
      <c r="AJ666" s="118">
        <f t="shared" si="398"/>
        <v>0</v>
      </c>
      <c r="AK666" s="118"/>
      <c r="AL666" s="118"/>
      <c r="AM666" s="118"/>
      <c r="AN666" s="118"/>
      <c r="AO666" s="118"/>
      <c r="AP666" s="118"/>
      <c r="AQ666" s="118"/>
      <c r="AR666" s="118"/>
      <c r="AS666" s="118"/>
      <c r="AT666" s="118"/>
      <c r="AU666" s="118"/>
      <c r="AV666" s="118"/>
      <c r="AW666" s="118"/>
      <c r="AX666" s="118"/>
      <c r="AY666" s="118"/>
      <c r="AZ666" s="118"/>
      <c r="BA666" s="118"/>
      <c r="BB666" s="118"/>
      <c r="BC666" s="118"/>
      <c r="BD666" s="118"/>
      <c r="BE666" s="118"/>
      <c r="BF666" s="118"/>
      <c r="BG666" s="118"/>
      <c r="BH666" s="118"/>
      <c r="BI666" s="118"/>
      <c r="BJ666" s="119"/>
      <c r="BK666" s="118"/>
      <c r="BL666" s="118"/>
    </row>
    <row r="667" spans="1:64" s="143" customFormat="1" ht="12.75">
      <c r="A667" s="138" t="s">
        <v>126</v>
      </c>
      <c r="B667" s="139">
        <f t="shared" ref="B667:B673" si="399">SUM(C667:BJ667)</f>
        <v>5144712.7503975062</v>
      </c>
      <c r="C667" s="227">
        <f>IF(AND(C634&gt;5,C635=0),0,C652)</f>
        <v>0</v>
      </c>
      <c r="D667" s="141">
        <f>IF(AND(D634&gt;5,D635=0),0,D652)</f>
        <v>0</v>
      </c>
      <c r="E667" s="141">
        <f t="shared" ref="E667:BJ667" si="400">IF(AND(E634&gt;5,E635=0),0,E652)</f>
        <v>100876.72059602955</v>
      </c>
      <c r="F667" s="141">
        <f t="shared" si="400"/>
        <v>201753.44119205911</v>
      </c>
      <c r="G667" s="141">
        <f t="shared" si="400"/>
        <v>302630.16178808868</v>
      </c>
      <c r="H667" s="141">
        <f t="shared" si="400"/>
        <v>302630.16178808868</v>
      </c>
      <c r="I667" s="141">
        <f t="shared" si="400"/>
        <v>302630.16178808868</v>
      </c>
      <c r="J667" s="141">
        <f t="shared" si="400"/>
        <v>302630.16178808868</v>
      </c>
      <c r="K667" s="141">
        <f t="shared" si="400"/>
        <v>302630.16178808868</v>
      </c>
      <c r="L667" s="141">
        <f t="shared" si="400"/>
        <v>302630.16178808868</v>
      </c>
      <c r="M667" s="141">
        <f t="shared" si="400"/>
        <v>302630.16178808868</v>
      </c>
      <c r="N667" s="141">
        <f t="shared" si="400"/>
        <v>302630.16178808868</v>
      </c>
      <c r="O667" s="141">
        <f t="shared" si="400"/>
        <v>302630.16178808868</v>
      </c>
      <c r="P667" s="141">
        <f t="shared" si="400"/>
        <v>302630.16178808868</v>
      </c>
      <c r="Q667" s="141">
        <f t="shared" si="400"/>
        <v>302630.16178808868</v>
      </c>
      <c r="R667" s="141">
        <f t="shared" si="400"/>
        <v>302630.16178808868</v>
      </c>
      <c r="S667" s="141">
        <f t="shared" si="400"/>
        <v>302630.16178808868</v>
      </c>
      <c r="T667" s="141">
        <f t="shared" si="400"/>
        <v>302630.16178808868</v>
      </c>
      <c r="U667" s="141">
        <f t="shared" si="400"/>
        <v>302630.16178808868</v>
      </c>
      <c r="V667" s="141">
        <f t="shared" si="400"/>
        <v>302630.16178808868</v>
      </c>
      <c r="W667" s="141">
        <f t="shared" si="400"/>
        <v>0</v>
      </c>
      <c r="X667" s="141">
        <f t="shared" si="400"/>
        <v>0</v>
      </c>
      <c r="Y667" s="141">
        <f t="shared" si="400"/>
        <v>0</v>
      </c>
      <c r="Z667" s="141">
        <f t="shared" si="400"/>
        <v>0</v>
      </c>
      <c r="AA667" s="141">
        <f t="shared" si="400"/>
        <v>0</v>
      </c>
      <c r="AB667" s="141">
        <f t="shared" si="400"/>
        <v>0</v>
      </c>
      <c r="AC667" s="141">
        <f t="shared" si="400"/>
        <v>0</v>
      </c>
      <c r="AD667" s="141">
        <f t="shared" si="400"/>
        <v>0</v>
      </c>
      <c r="AE667" s="141">
        <f t="shared" si="400"/>
        <v>0</v>
      </c>
      <c r="AF667" s="141">
        <f t="shared" si="400"/>
        <v>0</v>
      </c>
      <c r="AG667" s="141">
        <f t="shared" si="400"/>
        <v>0</v>
      </c>
      <c r="AH667" s="141">
        <f t="shared" si="400"/>
        <v>0</v>
      </c>
      <c r="AI667" s="141">
        <f t="shared" si="400"/>
        <v>0</v>
      </c>
      <c r="AJ667" s="141">
        <f t="shared" si="400"/>
        <v>0</v>
      </c>
      <c r="AK667" s="141">
        <f t="shared" si="400"/>
        <v>0</v>
      </c>
      <c r="AL667" s="141">
        <f t="shared" si="400"/>
        <v>0</v>
      </c>
      <c r="AM667" s="141">
        <f t="shared" si="400"/>
        <v>0</v>
      </c>
      <c r="AN667" s="141">
        <f t="shared" si="400"/>
        <v>0</v>
      </c>
      <c r="AO667" s="141">
        <f t="shared" si="400"/>
        <v>0</v>
      </c>
      <c r="AP667" s="141">
        <f t="shared" si="400"/>
        <v>0</v>
      </c>
      <c r="AQ667" s="141">
        <f t="shared" si="400"/>
        <v>0</v>
      </c>
      <c r="AR667" s="141">
        <f t="shared" si="400"/>
        <v>0</v>
      </c>
      <c r="AS667" s="141">
        <f t="shared" si="400"/>
        <v>0</v>
      </c>
      <c r="AT667" s="141">
        <f t="shared" si="400"/>
        <v>0</v>
      </c>
      <c r="AU667" s="141">
        <f t="shared" si="400"/>
        <v>0</v>
      </c>
      <c r="AV667" s="141">
        <f t="shared" si="400"/>
        <v>0</v>
      </c>
      <c r="AW667" s="141">
        <f t="shared" si="400"/>
        <v>0</v>
      </c>
      <c r="AX667" s="141">
        <f t="shared" si="400"/>
        <v>0</v>
      </c>
      <c r="AY667" s="141">
        <f t="shared" si="400"/>
        <v>0</v>
      </c>
      <c r="AZ667" s="141">
        <f t="shared" si="400"/>
        <v>0</v>
      </c>
      <c r="BA667" s="141">
        <f t="shared" si="400"/>
        <v>0</v>
      </c>
      <c r="BB667" s="141">
        <f t="shared" si="400"/>
        <v>0</v>
      </c>
      <c r="BC667" s="141">
        <f t="shared" si="400"/>
        <v>0</v>
      </c>
      <c r="BD667" s="141">
        <f t="shared" si="400"/>
        <v>0</v>
      </c>
      <c r="BE667" s="141">
        <f t="shared" si="400"/>
        <v>0</v>
      </c>
      <c r="BF667" s="141">
        <f t="shared" si="400"/>
        <v>0</v>
      </c>
      <c r="BG667" s="141">
        <f t="shared" si="400"/>
        <v>0</v>
      </c>
      <c r="BH667" s="141">
        <f t="shared" si="400"/>
        <v>0</v>
      </c>
      <c r="BI667" s="141">
        <f t="shared" si="400"/>
        <v>0</v>
      </c>
      <c r="BJ667" s="142">
        <f t="shared" si="400"/>
        <v>0</v>
      </c>
      <c r="BK667" s="141"/>
      <c r="BL667" s="141"/>
    </row>
    <row r="668" spans="1:64" s="143" customFormat="1" ht="12.75">
      <c r="A668" s="138" t="s">
        <v>127</v>
      </c>
      <c r="B668" s="139">
        <f t="shared" si="399"/>
        <v>68000000</v>
      </c>
      <c r="C668" s="227">
        <f>IF(AND(C634&gt;5,C635=0),0,C653)</f>
        <v>0</v>
      </c>
      <c r="D668" s="141">
        <f>IF(AND(D634&gt;5,D635=0),0,D653)</f>
        <v>0</v>
      </c>
      <c r="E668" s="141">
        <f t="shared" ref="E668:BJ668" si="401">IF(AND(E634&gt;5,E635=0),0,E653)</f>
        <v>1333333.3333333333</v>
      </c>
      <c r="F668" s="141">
        <f t="shared" si="401"/>
        <v>2666666.6666666665</v>
      </c>
      <c r="G668" s="141">
        <f t="shared" si="401"/>
        <v>4000000</v>
      </c>
      <c r="H668" s="141">
        <f t="shared" si="401"/>
        <v>4000000</v>
      </c>
      <c r="I668" s="141">
        <f t="shared" si="401"/>
        <v>4000000</v>
      </c>
      <c r="J668" s="141">
        <f t="shared" si="401"/>
        <v>4000000</v>
      </c>
      <c r="K668" s="141">
        <f t="shared" si="401"/>
        <v>4000000</v>
      </c>
      <c r="L668" s="141">
        <f t="shared" si="401"/>
        <v>4000000</v>
      </c>
      <c r="M668" s="141">
        <f t="shared" si="401"/>
        <v>4000000</v>
      </c>
      <c r="N668" s="141">
        <f t="shared" si="401"/>
        <v>4000000</v>
      </c>
      <c r="O668" s="141">
        <f t="shared" si="401"/>
        <v>4000000</v>
      </c>
      <c r="P668" s="141">
        <f t="shared" si="401"/>
        <v>4000000</v>
      </c>
      <c r="Q668" s="141">
        <f t="shared" si="401"/>
        <v>4000000</v>
      </c>
      <c r="R668" s="141">
        <f t="shared" si="401"/>
        <v>4000000</v>
      </c>
      <c r="S668" s="141">
        <f t="shared" si="401"/>
        <v>4000000</v>
      </c>
      <c r="T668" s="141">
        <f t="shared" si="401"/>
        <v>4000000</v>
      </c>
      <c r="U668" s="141">
        <f t="shared" si="401"/>
        <v>4000000</v>
      </c>
      <c r="V668" s="141">
        <f t="shared" si="401"/>
        <v>4000000</v>
      </c>
      <c r="W668" s="141">
        <f t="shared" si="401"/>
        <v>0</v>
      </c>
      <c r="X668" s="141">
        <f t="shared" si="401"/>
        <v>0</v>
      </c>
      <c r="Y668" s="141">
        <f t="shared" si="401"/>
        <v>0</v>
      </c>
      <c r="Z668" s="141">
        <f t="shared" si="401"/>
        <v>0</v>
      </c>
      <c r="AA668" s="141">
        <f t="shared" si="401"/>
        <v>0</v>
      </c>
      <c r="AB668" s="141">
        <f t="shared" si="401"/>
        <v>0</v>
      </c>
      <c r="AC668" s="141">
        <f t="shared" si="401"/>
        <v>0</v>
      </c>
      <c r="AD668" s="141">
        <f t="shared" si="401"/>
        <v>0</v>
      </c>
      <c r="AE668" s="141">
        <f t="shared" si="401"/>
        <v>0</v>
      </c>
      <c r="AF668" s="141">
        <f t="shared" si="401"/>
        <v>0</v>
      </c>
      <c r="AG668" s="141">
        <f t="shared" si="401"/>
        <v>0</v>
      </c>
      <c r="AH668" s="141">
        <f t="shared" si="401"/>
        <v>0</v>
      </c>
      <c r="AI668" s="141">
        <f t="shared" si="401"/>
        <v>0</v>
      </c>
      <c r="AJ668" s="141">
        <f t="shared" si="401"/>
        <v>0</v>
      </c>
      <c r="AK668" s="141">
        <f t="shared" si="401"/>
        <v>0</v>
      </c>
      <c r="AL668" s="141">
        <f t="shared" si="401"/>
        <v>0</v>
      </c>
      <c r="AM668" s="141">
        <f t="shared" si="401"/>
        <v>0</v>
      </c>
      <c r="AN668" s="141">
        <f t="shared" si="401"/>
        <v>0</v>
      </c>
      <c r="AO668" s="141">
        <f t="shared" si="401"/>
        <v>0</v>
      </c>
      <c r="AP668" s="141">
        <f t="shared" si="401"/>
        <v>0</v>
      </c>
      <c r="AQ668" s="141">
        <f t="shared" si="401"/>
        <v>0</v>
      </c>
      <c r="AR668" s="141">
        <f t="shared" si="401"/>
        <v>0</v>
      </c>
      <c r="AS668" s="141">
        <f t="shared" si="401"/>
        <v>0</v>
      </c>
      <c r="AT668" s="141">
        <f t="shared" si="401"/>
        <v>0</v>
      </c>
      <c r="AU668" s="141">
        <f t="shared" si="401"/>
        <v>0</v>
      </c>
      <c r="AV668" s="141">
        <f t="shared" si="401"/>
        <v>0</v>
      </c>
      <c r="AW668" s="141">
        <f t="shared" si="401"/>
        <v>0</v>
      </c>
      <c r="AX668" s="141">
        <f t="shared" si="401"/>
        <v>0</v>
      </c>
      <c r="AY668" s="141">
        <f t="shared" si="401"/>
        <v>0</v>
      </c>
      <c r="AZ668" s="141">
        <f t="shared" si="401"/>
        <v>0</v>
      </c>
      <c r="BA668" s="141">
        <f t="shared" si="401"/>
        <v>0</v>
      </c>
      <c r="BB668" s="141">
        <f t="shared" si="401"/>
        <v>0</v>
      </c>
      <c r="BC668" s="141">
        <f t="shared" si="401"/>
        <v>0</v>
      </c>
      <c r="BD668" s="141">
        <f t="shared" si="401"/>
        <v>0</v>
      </c>
      <c r="BE668" s="141">
        <f t="shared" si="401"/>
        <v>0</v>
      </c>
      <c r="BF668" s="141">
        <f t="shared" si="401"/>
        <v>0</v>
      </c>
      <c r="BG668" s="141">
        <f t="shared" si="401"/>
        <v>0</v>
      </c>
      <c r="BH668" s="141">
        <f t="shared" si="401"/>
        <v>0</v>
      </c>
      <c r="BI668" s="141">
        <f t="shared" si="401"/>
        <v>0</v>
      </c>
      <c r="BJ668" s="142">
        <f t="shared" si="401"/>
        <v>0</v>
      </c>
      <c r="BK668" s="141"/>
      <c r="BL668" s="141"/>
    </row>
    <row r="669" spans="1:64" s="143" customFormat="1" ht="12.75">
      <c r="A669" s="138" t="s">
        <v>128</v>
      </c>
      <c r="B669" s="139">
        <f t="shared" si="399"/>
        <v>98114455.977196187</v>
      </c>
      <c r="C669" s="227">
        <f>IF(AND(C634&gt;5,C635=0),0,C654)</f>
        <v>1090160.6219688461</v>
      </c>
      <c r="D669" s="141">
        <f>IF(AND(D634&gt;5,D635=0),0,D654)</f>
        <v>2180321.2439376921</v>
      </c>
      <c r="E669" s="141">
        <f t="shared" ref="E669:BJ669" si="402">IF(AND(E634&gt;5,E635=0),0,E654)</f>
        <v>3270481.8659065384</v>
      </c>
      <c r="F669" s="141">
        <f t="shared" si="402"/>
        <v>4360642.4878753843</v>
      </c>
      <c r="G669" s="141">
        <f t="shared" si="402"/>
        <v>5450803.1098442301</v>
      </c>
      <c r="H669" s="141">
        <f t="shared" si="402"/>
        <v>5450803.1098442301</v>
      </c>
      <c r="I669" s="141">
        <f t="shared" si="402"/>
        <v>5450803.1098442301</v>
      </c>
      <c r="J669" s="141">
        <f t="shared" si="402"/>
        <v>5450803.1098442301</v>
      </c>
      <c r="K669" s="141">
        <f t="shared" si="402"/>
        <v>5450803.1098442301</v>
      </c>
      <c r="L669" s="141">
        <f t="shared" si="402"/>
        <v>5450803.1098442301</v>
      </c>
      <c r="M669" s="141">
        <f t="shared" si="402"/>
        <v>5450803.1098442301</v>
      </c>
      <c r="N669" s="141">
        <f t="shared" si="402"/>
        <v>5450803.1098442301</v>
      </c>
      <c r="O669" s="141">
        <f t="shared" si="402"/>
        <v>5450803.1098442301</v>
      </c>
      <c r="P669" s="141">
        <f t="shared" si="402"/>
        <v>5450803.1098442301</v>
      </c>
      <c r="Q669" s="141">
        <f t="shared" si="402"/>
        <v>5450803.1098442301</v>
      </c>
      <c r="R669" s="141">
        <f t="shared" si="402"/>
        <v>5450803.1098442301</v>
      </c>
      <c r="S669" s="141">
        <f t="shared" si="402"/>
        <v>5450803.1098442301</v>
      </c>
      <c r="T669" s="141">
        <f t="shared" si="402"/>
        <v>5450803.1098442301</v>
      </c>
      <c r="U669" s="141">
        <f t="shared" si="402"/>
        <v>5450803.1098442301</v>
      </c>
      <c r="V669" s="141">
        <f t="shared" si="402"/>
        <v>5450803.1098442301</v>
      </c>
      <c r="W669" s="141">
        <f t="shared" si="402"/>
        <v>0</v>
      </c>
      <c r="X669" s="141">
        <f t="shared" si="402"/>
        <v>0</v>
      </c>
      <c r="Y669" s="141">
        <f t="shared" si="402"/>
        <v>0</v>
      </c>
      <c r="Z669" s="141">
        <f t="shared" si="402"/>
        <v>0</v>
      </c>
      <c r="AA669" s="141">
        <f t="shared" si="402"/>
        <v>0</v>
      </c>
      <c r="AB669" s="141">
        <f t="shared" si="402"/>
        <v>0</v>
      </c>
      <c r="AC669" s="141">
        <f t="shared" si="402"/>
        <v>0</v>
      </c>
      <c r="AD669" s="141">
        <f t="shared" si="402"/>
        <v>0</v>
      </c>
      <c r="AE669" s="141">
        <f t="shared" si="402"/>
        <v>0</v>
      </c>
      <c r="AF669" s="141">
        <f t="shared" si="402"/>
        <v>0</v>
      </c>
      <c r="AG669" s="141">
        <f t="shared" si="402"/>
        <v>0</v>
      </c>
      <c r="AH669" s="141">
        <f t="shared" si="402"/>
        <v>0</v>
      </c>
      <c r="AI669" s="141">
        <f t="shared" si="402"/>
        <v>0</v>
      </c>
      <c r="AJ669" s="141">
        <f t="shared" si="402"/>
        <v>0</v>
      </c>
      <c r="AK669" s="141">
        <f t="shared" si="402"/>
        <v>0</v>
      </c>
      <c r="AL669" s="141">
        <f t="shared" si="402"/>
        <v>0</v>
      </c>
      <c r="AM669" s="141">
        <f t="shared" si="402"/>
        <v>0</v>
      </c>
      <c r="AN669" s="141">
        <f t="shared" si="402"/>
        <v>0</v>
      </c>
      <c r="AO669" s="141">
        <f t="shared" si="402"/>
        <v>0</v>
      </c>
      <c r="AP669" s="141">
        <f t="shared" si="402"/>
        <v>0</v>
      </c>
      <c r="AQ669" s="141">
        <f t="shared" si="402"/>
        <v>0</v>
      </c>
      <c r="AR669" s="141">
        <f t="shared" si="402"/>
        <v>0</v>
      </c>
      <c r="AS669" s="141">
        <f t="shared" si="402"/>
        <v>0</v>
      </c>
      <c r="AT669" s="141">
        <f t="shared" si="402"/>
        <v>0</v>
      </c>
      <c r="AU669" s="141">
        <f t="shared" si="402"/>
        <v>0</v>
      </c>
      <c r="AV669" s="141">
        <f t="shared" si="402"/>
        <v>0</v>
      </c>
      <c r="AW669" s="141">
        <f t="shared" si="402"/>
        <v>0</v>
      </c>
      <c r="AX669" s="141">
        <f t="shared" si="402"/>
        <v>0</v>
      </c>
      <c r="AY669" s="141">
        <f t="shared" si="402"/>
        <v>0</v>
      </c>
      <c r="AZ669" s="141">
        <f t="shared" si="402"/>
        <v>0</v>
      </c>
      <c r="BA669" s="141">
        <f t="shared" si="402"/>
        <v>0</v>
      </c>
      <c r="BB669" s="141">
        <f t="shared" si="402"/>
        <v>0</v>
      </c>
      <c r="BC669" s="141">
        <f t="shared" si="402"/>
        <v>0</v>
      </c>
      <c r="BD669" s="141">
        <f t="shared" si="402"/>
        <v>0</v>
      </c>
      <c r="BE669" s="141">
        <f t="shared" si="402"/>
        <v>0</v>
      </c>
      <c r="BF669" s="141">
        <f t="shared" si="402"/>
        <v>0</v>
      </c>
      <c r="BG669" s="141">
        <f t="shared" si="402"/>
        <v>0</v>
      </c>
      <c r="BH669" s="141">
        <f t="shared" si="402"/>
        <v>0</v>
      </c>
      <c r="BI669" s="141">
        <f t="shared" si="402"/>
        <v>0</v>
      </c>
      <c r="BJ669" s="142">
        <f t="shared" si="402"/>
        <v>0</v>
      </c>
      <c r="BK669" s="141"/>
      <c r="BL669" s="141"/>
    </row>
    <row r="670" spans="1:64" s="143" customFormat="1" ht="12.75">
      <c r="A670" s="228" t="s">
        <v>129</v>
      </c>
      <c r="B670" s="229">
        <f t="shared" si="399"/>
        <v>5383080.0141477855</v>
      </c>
      <c r="C670" s="230">
        <f>IF(AND(C634&gt;5,C635=0),0,C655)</f>
        <v>92811.724381858352</v>
      </c>
      <c r="D670" s="214">
        <f>IF(AND(D634&gt;5,D635=0),0,D655)</f>
        <v>278435.17314557504</v>
      </c>
      <c r="E670" s="214">
        <f t="shared" ref="E670:BJ670" si="403">IF(AND(E634&gt;5,E635=0),0,E655)</f>
        <v>278435.17314557504</v>
      </c>
      <c r="F670" s="214">
        <f t="shared" si="403"/>
        <v>278435.17314557504</v>
      </c>
      <c r="G670" s="214">
        <f t="shared" si="403"/>
        <v>278435.17314557504</v>
      </c>
      <c r="H670" s="214">
        <f t="shared" si="403"/>
        <v>278435.17314557504</v>
      </c>
      <c r="I670" s="214">
        <f t="shared" si="403"/>
        <v>278435.17314557504</v>
      </c>
      <c r="J670" s="214">
        <f t="shared" si="403"/>
        <v>278435.17314557504</v>
      </c>
      <c r="K670" s="214">
        <f t="shared" si="403"/>
        <v>278435.17314557504</v>
      </c>
      <c r="L670" s="214">
        <f t="shared" si="403"/>
        <v>278435.17314557504</v>
      </c>
      <c r="M670" s="214">
        <f t="shared" si="403"/>
        <v>278435.17314557504</v>
      </c>
      <c r="N670" s="214">
        <f t="shared" si="403"/>
        <v>278435.17314557504</v>
      </c>
      <c r="O670" s="214">
        <f t="shared" si="403"/>
        <v>278435.17314557504</v>
      </c>
      <c r="P670" s="214">
        <f t="shared" si="403"/>
        <v>278435.17314557504</v>
      </c>
      <c r="Q670" s="214">
        <f t="shared" si="403"/>
        <v>278435.17314557504</v>
      </c>
      <c r="R670" s="214">
        <f t="shared" si="403"/>
        <v>278435.17314557504</v>
      </c>
      <c r="S670" s="214">
        <f t="shared" si="403"/>
        <v>278435.17314557504</v>
      </c>
      <c r="T670" s="214">
        <f t="shared" si="403"/>
        <v>278435.17314557504</v>
      </c>
      <c r="U670" s="214">
        <f t="shared" si="403"/>
        <v>278435.17314557504</v>
      </c>
      <c r="V670" s="214">
        <f t="shared" si="403"/>
        <v>278435.17314557504</v>
      </c>
      <c r="W670" s="214">
        <f t="shared" si="403"/>
        <v>0</v>
      </c>
      <c r="X670" s="214">
        <f t="shared" si="403"/>
        <v>0</v>
      </c>
      <c r="Y670" s="214">
        <f t="shared" si="403"/>
        <v>0</v>
      </c>
      <c r="Z670" s="214">
        <f t="shared" si="403"/>
        <v>0</v>
      </c>
      <c r="AA670" s="214">
        <f t="shared" si="403"/>
        <v>0</v>
      </c>
      <c r="AB670" s="214">
        <f t="shared" si="403"/>
        <v>0</v>
      </c>
      <c r="AC670" s="214">
        <f t="shared" si="403"/>
        <v>0</v>
      </c>
      <c r="AD670" s="214">
        <f t="shared" si="403"/>
        <v>0</v>
      </c>
      <c r="AE670" s="214">
        <f t="shared" si="403"/>
        <v>0</v>
      </c>
      <c r="AF670" s="214">
        <f t="shared" si="403"/>
        <v>0</v>
      </c>
      <c r="AG670" s="214">
        <f t="shared" si="403"/>
        <v>0</v>
      </c>
      <c r="AH670" s="214">
        <f t="shared" si="403"/>
        <v>0</v>
      </c>
      <c r="AI670" s="214">
        <f t="shared" si="403"/>
        <v>0</v>
      </c>
      <c r="AJ670" s="214">
        <f t="shared" si="403"/>
        <v>0</v>
      </c>
      <c r="AK670" s="214">
        <f t="shared" si="403"/>
        <v>0</v>
      </c>
      <c r="AL670" s="214">
        <f t="shared" si="403"/>
        <v>0</v>
      </c>
      <c r="AM670" s="214">
        <f t="shared" si="403"/>
        <v>0</v>
      </c>
      <c r="AN670" s="214">
        <f t="shared" si="403"/>
        <v>0</v>
      </c>
      <c r="AO670" s="214">
        <f t="shared" si="403"/>
        <v>0</v>
      </c>
      <c r="AP670" s="214">
        <f t="shared" si="403"/>
        <v>0</v>
      </c>
      <c r="AQ670" s="214">
        <f t="shared" si="403"/>
        <v>0</v>
      </c>
      <c r="AR670" s="214">
        <f t="shared" si="403"/>
        <v>0</v>
      </c>
      <c r="AS670" s="214">
        <f t="shared" si="403"/>
        <v>0</v>
      </c>
      <c r="AT670" s="214">
        <f t="shared" si="403"/>
        <v>0</v>
      </c>
      <c r="AU670" s="214">
        <f t="shared" si="403"/>
        <v>0</v>
      </c>
      <c r="AV670" s="214">
        <f t="shared" si="403"/>
        <v>0</v>
      </c>
      <c r="AW670" s="214">
        <f t="shared" si="403"/>
        <v>0</v>
      </c>
      <c r="AX670" s="214">
        <f t="shared" si="403"/>
        <v>0</v>
      </c>
      <c r="AY670" s="214">
        <f t="shared" si="403"/>
        <v>0</v>
      </c>
      <c r="AZ670" s="214">
        <f t="shared" si="403"/>
        <v>0</v>
      </c>
      <c r="BA670" s="214">
        <f t="shared" si="403"/>
        <v>0</v>
      </c>
      <c r="BB670" s="214">
        <f t="shared" si="403"/>
        <v>0</v>
      </c>
      <c r="BC670" s="214">
        <f t="shared" si="403"/>
        <v>0</v>
      </c>
      <c r="BD670" s="214">
        <f t="shared" si="403"/>
        <v>0</v>
      </c>
      <c r="BE670" s="214">
        <f t="shared" si="403"/>
        <v>0</v>
      </c>
      <c r="BF670" s="214">
        <f t="shared" si="403"/>
        <v>0</v>
      </c>
      <c r="BG670" s="214">
        <f t="shared" si="403"/>
        <v>0</v>
      </c>
      <c r="BH670" s="214">
        <f t="shared" si="403"/>
        <v>0</v>
      </c>
      <c r="BI670" s="214">
        <f t="shared" si="403"/>
        <v>0</v>
      </c>
      <c r="BJ670" s="215">
        <f t="shared" si="403"/>
        <v>0</v>
      </c>
      <c r="BK670" s="141"/>
      <c r="BL670" s="141"/>
    </row>
    <row r="671" spans="1:64" s="160" customFormat="1">
      <c r="A671" s="131" t="s">
        <v>134</v>
      </c>
      <c r="B671" s="156">
        <f t="shared" si="399"/>
        <v>1451502708.8084059</v>
      </c>
      <c r="C671" s="156">
        <f>C645-C646-C666</f>
        <v>-35274985.545855112</v>
      </c>
      <c r="D671" s="157">
        <f t="shared" ref="D671:BJ671" si="404">D645-D646-D666</f>
        <v>-39335121.348043412</v>
      </c>
      <c r="E671" s="157">
        <f t="shared" si="404"/>
        <v>-79317090.178911015</v>
      </c>
      <c r="F671" s="157">
        <f t="shared" si="404"/>
        <v>-81841460.854809225</v>
      </c>
      <c r="G671" s="157">
        <f t="shared" si="404"/>
        <v>-84365831.530707434</v>
      </c>
      <c r="H671" s="157">
        <f t="shared" si="404"/>
        <v>18968045.011480212</v>
      </c>
      <c r="I671" s="157">
        <f t="shared" si="404"/>
        <v>47967958.467738315</v>
      </c>
      <c r="J671" s="157">
        <f t="shared" si="404"/>
        <v>76967871.923996434</v>
      </c>
      <c r="K671" s="157">
        <f t="shared" si="404"/>
        <v>105967785.38025452</v>
      </c>
      <c r="L671" s="157">
        <f t="shared" si="404"/>
        <v>181699125.24282753</v>
      </c>
      <c r="M671" s="157">
        <f t="shared" si="404"/>
        <v>181699125.24282753</v>
      </c>
      <c r="N671" s="157">
        <f t="shared" si="404"/>
        <v>181699125.24282753</v>
      </c>
      <c r="O671" s="157">
        <f t="shared" si="404"/>
        <v>181699125.24282753</v>
      </c>
      <c r="P671" s="157">
        <f t="shared" si="404"/>
        <v>181699125.24282753</v>
      </c>
      <c r="Q671" s="157">
        <f t="shared" si="404"/>
        <v>181699125.24282753</v>
      </c>
      <c r="R671" s="157">
        <f t="shared" si="404"/>
        <v>181699125.24282753</v>
      </c>
      <c r="S671" s="157">
        <f t="shared" si="404"/>
        <v>105967785.38025452</v>
      </c>
      <c r="T671" s="157">
        <f t="shared" si="404"/>
        <v>76967871.923996434</v>
      </c>
      <c r="U671" s="157">
        <f t="shared" si="404"/>
        <v>47967958.467738315</v>
      </c>
      <c r="V671" s="157">
        <f t="shared" si="404"/>
        <v>18968045.011480212</v>
      </c>
      <c r="W671" s="157">
        <f t="shared" si="404"/>
        <v>0</v>
      </c>
      <c r="X671" s="157">
        <f t="shared" si="404"/>
        <v>0</v>
      </c>
      <c r="Y671" s="157">
        <f t="shared" si="404"/>
        <v>0</v>
      </c>
      <c r="Z671" s="157">
        <f t="shared" si="404"/>
        <v>0</v>
      </c>
      <c r="AA671" s="157">
        <f t="shared" si="404"/>
        <v>0</v>
      </c>
      <c r="AB671" s="157">
        <f t="shared" si="404"/>
        <v>0</v>
      </c>
      <c r="AC671" s="157">
        <f t="shared" si="404"/>
        <v>0</v>
      </c>
      <c r="AD671" s="157">
        <f t="shared" si="404"/>
        <v>0</v>
      </c>
      <c r="AE671" s="157">
        <f t="shared" si="404"/>
        <v>0</v>
      </c>
      <c r="AF671" s="157">
        <f t="shared" si="404"/>
        <v>0</v>
      </c>
      <c r="AG671" s="157">
        <f t="shared" si="404"/>
        <v>0</v>
      </c>
      <c r="AH671" s="157">
        <f t="shared" si="404"/>
        <v>0</v>
      </c>
      <c r="AI671" s="157">
        <f t="shared" si="404"/>
        <v>0</v>
      </c>
      <c r="AJ671" s="157">
        <f t="shared" si="404"/>
        <v>0</v>
      </c>
      <c r="AK671" s="157">
        <f t="shared" si="404"/>
        <v>0</v>
      </c>
      <c r="AL671" s="157">
        <f t="shared" si="404"/>
        <v>0</v>
      </c>
      <c r="AM671" s="157">
        <f t="shared" si="404"/>
        <v>0</v>
      </c>
      <c r="AN671" s="157">
        <f t="shared" si="404"/>
        <v>0</v>
      </c>
      <c r="AO671" s="157">
        <f t="shared" si="404"/>
        <v>0</v>
      </c>
      <c r="AP671" s="157">
        <f t="shared" si="404"/>
        <v>0</v>
      </c>
      <c r="AQ671" s="157">
        <f t="shared" si="404"/>
        <v>0</v>
      </c>
      <c r="AR671" s="157">
        <f t="shared" si="404"/>
        <v>0</v>
      </c>
      <c r="AS671" s="157">
        <f t="shared" si="404"/>
        <v>0</v>
      </c>
      <c r="AT671" s="157">
        <f t="shared" si="404"/>
        <v>0</v>
      </c>
      <c r="AU671" s="157">
        <f t="shared" si="404"/>
        <v>0</v>
      </c>
      <c r="AV671" s="157">
        <f t="shared" si="404"/>
        <v>0</v>
      </c>
      <c r="AW671" s="157">
        <f t="shared" si="404"/>
        <v>0</v>
      </c>
      <c r="AX671" s="157">
        <f t="shared" si="404"/>
        <v>0</v>
      </c>
      <c r="AY671" s="157">
        <f t="shared" si="404"/>
        <v>0</v>
      </c>
      <c r="AZ671" s="157">
        <f t="shared" si="404"/>
        <v>0</v>
      </c>
      <c r="BA671" s="157">
        <f t="shared" si="404"/>
        <v>0</v>
      </c>
      <c r="BB671" s="157">
        <f t="shared" si="404"/>
        <v>0</v>
      </c>
      <c r="BC671" s="157">
        <f t="shared" si="404"/>
        <v>0</v>
      </c>
      <c r="BD671" s="157">
        <f t="shared" si="404"/>
        <v>0</v>
      </c>
      <c r="BE671" s="157">
        <f t="shared" si="404"/>
        <v>0</v>
      </c>
      <c r="BF671" s="157">
        <f t="shared" si="404"/>
        <v>0</v>
      </c>
      <c r="BG671" s="157">
        <f t="shared" si="404"/>
        <v>0</v>
      </c>
      <c r="BH671" s="157">
        <f t="shared" si="404"/>
        <v>0</v>
      </c>
      <c r="BI671" s="157">
        <f t="shared" si="404"/>
        <v>0</v>
      </c>
      <c r="BJ671" s="158">
        <f t="shared" si="404"/>
        <v>0</v>
      </c>
      <c r="BK671" s="159"/>
      <c r="BL671" s="159"/>
    </row>
    <row r="672" spans="1:64" s="160" customFormat="1">
      <c r="A672" s="131" t="s">
        <v>135</v>
      </c>
      <c r="B672" s="156">
        <f t="shared" si="399"/>
        <v>531491159.48001951</v>
      </c>
      <c r="C672" s="231">
        <f>IF(C671&lt;=0,0,C671*$K633)</f>
        <v>0</v>
      </c>
      <c r="D672" s="157">
        <f>IF(D671&lt;=0,0,D671*$K633)</f>
        <v>0</v>
      </c>
      <c r="E672" s="157">
        <f t="shared" ref="E672:BJ672" si="405">IF(E671&lt;=0,0,E671*$K633)</f>
        <v>0</v>
      </c>
      <c r="F672" s="157">
        <f t="shared" si="405"/>
        <v>0</v>
      </c>
      <c r="G672" s="157">
        <f t="shared" si="405"/>
        <v>0</v>
      </c>
      <c r="H672" s="157">
        <f t="shared" si="405"/>
        <v>5690413.5034440635</v>
      </c>
      <c r="I672" s="157">
        <f t="shared" si="405"/>
        <v>14390387.540321494</v>
      </c>
      <c r="J672" s="157">
        <f t="shared" si="405"/>
        <v>23090361.57719893</v>
      </c>
      <c r="K672" s="157">
        <f t="shared" si="405"/>
        <v>31790335.614076354</v>
      </c>
      <c r="L672" s="157">
        <f t="shared" si="405"/>
        <v>54509737.57284826</v>
      </c>
      <c r="M672" s="157">
        <f t="shared" si="405"/>
        <v>54509737.57284826</v>
      </c>
      <c r="N672" s="157">
        <f t="shared" si="405"/>
        <v>54509737.57284826</v>
      </c>
      <c r="O672" s="157">
        <f t="shared" si="405"/>
        <v>54509737.57284826</v>
      </c>
      <c r="P672" s="157">
        <f t="shared" si="405"/>
        <v>54509737.57284826</v>
      </c>
      <c r="Q672" s="157">
        <f t="shared" si="405"/>
        <v>54509737.57284826</v>
      </c>
      <c r="R672" s="157">
        <f t="shared" si="405"/>
        <v>54509737.57284826</v>
      </c>
      <c r="S672" s="157">
        <f t="shared" si="405"/>
        <v>31790335.614076354</v>
      </c>
      <c r="T672" s="157">
        <f t="shared" si="405"/>
        <v>23090361.57719893</v>
      </c>
      <c r="U672" s="157">
        <f t="shared" si="405"/>
        <v>14390387.540321494</v>
      </c>
      <c r="V672" s="157">
        <f t="shared" si="405"/>
        <v>5690413.5034440635</v>
      </c>
      <c r="W672" s="157">
        <f t="shared" si="405"/>
        <v>0</v>
      </c>
      <c r="X672" s="157">
        <f t="shared" si="405"/>
        <v>0</v>
      </c>
      <c r="Y672" s="157">
        <f t="shared" si="405"/>
        <v>0</v>
      </c>
      <c r="Z672" s="157">
        <f t="shared" si="405"/>
        <v>0</v>
      </c>
      <c r="AA672" s="157">
        <f t="shared" si="405"/>
        <v>0</v>
      </c>
      <c r="AB672" s="157">
        <f t="shared" si="405"/>
        <v>0</v>
      </c>
      <c r="AC672" s="157">
        <f t="shared" si="405"/>
        <v>0</v>
      </c>
      <c r="AD672" s="157">
        <f t="shared" si="405"/>
        <v>0</v>
      </c>
      <c r="AE672" s="157">
        <f t="shared" si="405"/>
        <v>0</v>
      </c>
      <c r="AF672" s="157">
        <f t="shared" si="405"/>
        <v>0</v>
      </c>
      <c r="AG672" s="157">
        <f t="shared" si="405"/>
        <v>0</v>
      </c>
      <c r="AH672" s="157">
        <f t="shared" si="405"/>
        <v>0</v>
      </c>
      <c r="AI672" s="157">
        <f t="shared" si="405"/>
        <v>0</v>
      </c>
      <c r="AJ672" s="157">
        <f t="shared" si="405"/>
        <v>0</v>
      </c>
      <c r="AK672" s="157">
        <f t="shared" si="405"/>
        <v>0</v>
      </c>
      <c r="AL672" s="157">
        <f t="shared" si="405"/>
        <v>0</v>
      </c>
      <c r="AM672" s="157">
        <f t="shared" si="405"/>
        <v>0</v>
      </c>
      <c r="AN672" s="157">
        <f t="shared" si="405"/>
        <v>0</v>
      </c>
      <c r="AO672" s="157">
        <f t="shared" si="405"/>
        <v>0</v>
      </c>
      <c r="AP672" s="157">
        <f t="shared" si="405"/>
        <v>0</v>
      </c>
      <c r="AQ672" s="157">
        <f t="shared" si="405"/>
        <v>0</v>
      </c>
      <c r="AR672" s="157">
        <f t="shared" si="405"/>
        <v>0</v>
      </c>
      <c r="AS672" s="157">
        <f t="shared" si="405"/>
        <v>0</v>
      </c>
      <c r="AT672" s="157">
        <f t="shared" si="405"/>
        <v>0</v>
      </c>
      <c r="AU672" s="157">
        <f t="shared" si="405"/>
        <v>0</v>
      </c>
      <c r="AV672" s="157">
        <f t="shared" si="405"/>
        <v>0</v>
      </c>
      <c r="AW672" s="157">
        <f t="shared" si="405"/>
        <v>0</v>
      </c>
      <c r="AX672" s="157">
        <f t="shared" si="405"/>
        <v>0</v>
      </c>
      <c r="AY672" s="157">
        <f t="shared" si="405"/>
        <v>0</v>
      </c>
      <c r="AZ672" s="157">
        <f t="shared" si="405"/>
        <v>0</v>
      </c>
      <c r="BA672" s="157">
        <f t="shared" si="405"/>
        <v>0</v>
      </c>
      <c r="BB672" s="157">
        <f t="shared" si="405"/>
        <v>0</v>
      </c>
      <c r="BC672" s="157">
        <f t="shared" si="405"/>
        <v>0</v>
      </c>
      <c r="BD672" s="157">
        <f t="shared" si="405"/>
        <v>0</v>
      </c>
      <c r="BE672" s="157">
        <f t="shared" si="405"/>
        <v>0</v>
      </c>
      <c r="BF672" s="157">
        <f t="shared" si="405"/>
        <v>0</v>
      </c>
      <c r="BG672" s="157">
        <f t="shared" si="405"/>
        <v>0</v>
      </c>
      <c r="BH672" s="157">
        <f t="shared" si="405"/>
        <v>0</v>
      </c>
      <c r="BI672" s="157">
        <f t="shared" si="405"/>
        <v>0</v>
      </c>
      <c r="BJ672" s="158">
        <f t="shared" si="405"/>
        <v>0</v>
      </c>
      <c r="BK672" s="159"/>
      <c r="BL672" s="159"/>
    </row>
    <row r="673" spans="1:64" s="105" customFormat="1">
      <c r="A673" s="164" t="s">
        <v>136</v>
      </c>
      <c r="B673" s="161">
        <f t="shared" si="399"/>
        <v>920011549.32838583</v>
      </c>
      <c r="C673" s="133">
        <f>C671-C672</f>
        <v>-35274985.545855112</v>
      </c>
      <c r="D673" s="134">
        <f>D671-D672</f>
        <v>-39335121.348043412</v>
      </c>
      <c r="E673" s="134">
        <f>E671-E672</f>
        <v>-79317090.178911015</v>
      </c>
      <c r="F673" s="134">
        <f>F671-F672</f>
        <v>-81841460.854809225</v>
      </c>
      <c r="G673" s="134">
        <f t="shared" ref="G673:BJ673" si="406">G671-G672</f>
        <v>-84365831.530707434</v>
      </c>
      <c r="H673" s="134">
        <f t="shared" si="406"/>
        <v>13277631.508036148</v>
      </c>
      <c r="I673" s="134">
        <f t="shared" si="406"/>
        <v>33577570.927416824</v>
      </c>
      <c r="J673" s="134">
        <f t="shared" si="406"/>
        <v>53877510.346797504</v>
      </c>
      <c r="K673" s="134">
        <f t="shared" si="406"/>
        <v>74177449.766178161</v>
      </c>
      <c r="L673" s="134">
        <f t="shared" si="406"/>
        <v>127189387.66997927</v>
      </c>
      <c r="M673" s="134">
        <f t="shared" si="406"/>
        <v>127189387.66997927</v>
      </c>
      <c r="N673" s="134">
        <f t="shared" si="406"/>
        <v>127189387.66997927</v>
      </c>
      <c r="O673" s="134">
        <f t="shared" si="406"/>
        <v>127189387.66997927</v>
      </c>
      <c r="P673" s="134">
        <f t="shared" si="406"/>
        <v>127189387.66997927</v>
      </c>
      <c r="Q673" s="134">
        <f t="shared" si="406"/>
        <v>127189387.66997927</v>
      </c>
      <c r="R673" s="134">
        <f t="shared" si="406"/>
        <v>127189387.66997927</v>
      </c>
      <c r="S673" s="134">
        <f t="shared" si="406"/>
        <v>74177449.766178161</v>
      </c>
      <c r="T673" s="134">
        <f t="shared" si="406"/>
        <v>53877510.346797504</v>
      </c>
      <c r="U673" s="134">
        <f t="shared" si="406"/>
        <v>33577570.927416824</v>
      </c>
      <c r="V673" s="134">
        <f t="shared" si="406"/>
        <v>13277631.508036148</v>
      </c>
      <c r="W673" s="134">
        <f t="shared" si="406"/>
        <v>0</v>
      </c>
      <c r="X673" s="134">
        <f t="shared" si="406"/>
        <v>0</v>
      </c>
      <c r="Y673" s="134">
        <f t="shared" si="406"/>
        <v>0</v>
      </c>
      <c r="Z673" s="134">
        <f t="shared" si="406"/>
        <v>0</v>
      </c>
      <c r="AA673" s="134">
        <f t="shared" si="406"/>
        <v>0</v>
      </c>
      <c r="AB673" s="134">
        <f t="shared" si="406"/>
        <v>0</v>
      </c>
      <c r="AC673" s="134">
        <f t="shared" si="406"/>
        <v>0</v>
      </c>
      <c r="AD673" s="134">
        <f t="shared" si="406"/>
        <v>0</v>
      </c>
      <c r="AE673" s="134">
        <f t="shared" si="406"/>
        <v>0</v>
      </c>
      <c r="AF673" s="134">
        <f t="shared" si="406"/>
        <v>0</v>
      </c>
      <c r="AG673" s="134">
        <f t="shared" si="406"/>
        <v>0</v>
      </c>
      <c r="AH673" s="134">
        <f t="shared" si="406"/>
        <v>0</v>
      </c>
      <c r="AI673" s="134">
        <f t="shared" si="406"/>
        <v>0</v>
      </c>
      <c r="AJ673" s="134">
        <f t="shared" si="406"/>
        <v>0</v>
      </c>
      <c r="AK673" s="134">
        <f t="shared" si="406"/>
        <v>0</v>
      </c>
      <c r="AL673" s="134">
        <f t="shared" si="406"/>
        <v>0</v>
      </c>
      <c r="AM673" s="134">
        <f t="shared" si="406"/>
        <v>0</v>
      </c>
      <c r="AN673" s="134">
        <f t="shared" si="406"/>
        <v>0</v>
      </c>
      <c r="AO673" s="134">
        <f t="shared" si="406"/>
        <v>0</v>
      </c>
      <c r="AP673" s="134">
        <f t="shared" si="406"/>
        <v>0</v>
      </c>
      <c r="AQ673" s="134">
        <f t="shared" si="406"/>
        <v>0</v>
      </c>
      <c r="AR673" s="134">
        <f t="shared" si="406"/>
        <v>0</v>
      </c>
      <c r="AS673" s="134">
        <f t="shared" si="406"/>
        <v>0</v>
      </c>
      <c r="AT673" s="134">
        <f t="shared" si="406"/>
        <v>0</v>
      </c>
      <c r="AU673" s="134">
        <f t="shared" si="406"/>
        <v>0</v>
      </c>
      <c r="AV673" s="134">
        <f t="shared" si="406"/>
        <v>0</v>
      </c>
      <c r="AW673" s="134">
        <f t="shared" si="406"/>
        <v>0</v>
      </c>
      <c r="AX673" s="134">
        <f t="shared" si="406"/>
        <v>0</v>
      </c>
      <c r="AY673" s="134">
        <f t="shared" si="406"/>
        <v>0</v>
      </c>
      <c r="AZ673" s="134">
        <f t="shared" si="406"/>
        <v>0</v>
      </c>
      <c r="BA673" s="134">
        <f t="shared" si="406"/>
        <v>0</v>
      </c>
      <c r="BB673" s="134">
        <f t="shared" si="406"/>
        <v>0</v>
      </c>
      <c r="BC673" s="134">
        <f t="shared" si="406"/>
        <v>0</v>
      </c>
      <c r="BD673" s="134">
        <f t="shared" si="406"/>
        <v>0</v>
      </c>
      <c r="BE673" s="134">
        <f t="shared" si="406"/>
        <v>0</v>
      </c>
      <c r="BF673" s="134">
        <f t="shared" si="406"/>
        <v>0</v>
      </c>
      <c r="BG673" s="134">
        <f t="shared" si="406"/>
        <v>0</v>
      </c>
      <c r="BH673" s="134">
        <f t="shared" si="406"/>
        <v>0</v>
      </c>
      <c r="BI673" s="134">
        <f t="shared" si="406"/>
        <v>0</v>
      </c>
      <c r="BJ673" s="135">
        <f t="shared" si="406"/>
        <v>0</v>
      </c>
      <c r="BK673" s="109"/>
      <c r="BL673" s="109"/>
    </row>
    <row r="674" spans="1:64">
      <c r="A674" s="165" t="s">
        <v>137</v>
      </c>
      <c r="B674" s="161" t="e">
        <f>SUM(B675:B677)</f>
        <v>#REF!</v>
      </c>
      <c r="C674" s="166"/>
      <c r="D674" s="167"/>
      <c r="E674" s="168"/>
      <c r="F674" s="168"/>
      <c r="G674" s="168"/>
      <c r="H674" s="168"/>
      <c r="I674" s="168"/>
      <c r="J674" s="168"/>
      <c r="K674" s="168"/>
      <c r="L674" s="168"/>
      <c r="M674" s="168"/>
      <c r="N674" s="168"/>
      <c r="O674" s="168"/>
      <c r="P674" s="168"/>
      <c r="Q674" s="168"/>
      <c r="R674" s="168"/>
      <c r="S674" s="168"/>
      <c r="T674" s="168"/>
      <c r="U674" s="168"/>
      <c r="V674" s="168"/>
      <c r="W674" s="168"/>
      <c r="X674" s="168"/>
      <c r="Y674" s="168"/>
      <c r="Z674" s="168"/>
      <c r="AA674" s="168"/>
      <c r="AB674" s="168"/>
      <c r="AC674" s="168"/>
      <c r="AD674" s="168"/>
      <c r="AE674" s="168"/>
      <c r="AF674" s="168"/>
      <c r="AG674" s="168"/>
      <c r="AH674" s="168"/>
      <c r="AI674" s="168"/>
      <c r="AJ674" s="168"/>
      <c r="AK674" s="168"/>
      <c r="AL674" s="168"/>
      <c r="AM674" s="168"/>
      <c r="AN674" s="168"/>
      <c r="AO674" s="168"/>
      <c r="AP674" s="168"/>
      <c r="AQ674" s="168"/>
      <c r="AR674" s="168"/>
      <c r="AS674" s="168"/>
      <c r="AT674" s="168"/>
      <c r="AU674" s="168"/>
      <c r="AV674" s="168"/>
      <c r="AW674" s="168"/>
      <c r="AX674" s="168"/>
      <c r="AY674" s="168"/>
      <c r="AZ674" s="168"/>
      <c r="BA674" s="168"/>
      <c r="BB674" s="168"/>
      <c r="BC674" s="168"/>
      <c r="BD674" s="168"/>
      <c r="BE674" s="168"/>
      <c r="BF674" s="168"/>
      <c r="BG674" s="168"/>
      <c r="BH674" s="168"/>
      <c r="BI674" s="168"/>
      <c r="BJ674" s="169"/>
    </row>
    <row r="675" spans="1:64" s="174" customFormat="1" ht="12.75">
      <c r="A675" s="120" t="s">
        <v>138</v>
      </c>
      <c r="B675" s="170">
        <f>SUM(C675:BJ675)</f>
        <v>124313804.6015953</v>
      </c>
      <c r="C675" s="171">
        <f>C646-C651</f>
        <v>34306198.044170432</v>
      </c>
      <c r="D675" s="172">
        <f>IF(AND(D634&gt;5,D635=0),0,D646-D651)</f>
        <v>35814765.704893619</v>
      </c>
      <c r="E675" s="172">
        <f t="shared" ref="E675:BJ675" si="407">IF(AND(E634&gt;5,E635=0),0,E646-E651)</f>
        <v>70747993.183964804</v>
      </c>
      <c r="F675" s="172">
        <f t="shared" si="407"/>
        <v>68223622.508066595</v>
      </c>
      <c r="G675" s="172">
        <f t="shared" si="407"/>
        <v>65699251.832168385</v>
      </c>
      <c r="H675" s="172">
        <f t="shared" si="407"/>
        <v>-10031868.444777893</v>
      </c>
      <c r="I675" s="172">
        <f t="shared" si="407"/>
        <v>-10031868.444777893</v>
      </c>
      <c r="J675" s="172">
        <f t="shared" si="407"/>
        <v>-10031868.444777893</v>
      </c>
      <c r="K675" s="172">
        <f t="shared" si="407"/>
        <v>-10031868.444777893</v>
      </c>
      <c r="L675" s="172">
        <f t="shared" si="407"/>
        <v>-10031868.444777893</v>
      </c>
      <c r="M675" s="172">
        <f t="shared" si="407"/>
        <v>-10031868.444777893</v>
      </c>
      <c r="N675" s="172">
        <f t="shared" si="407"/>
        <v>-10031868.444777893</v>
      </c>
      <c r="O675" s="172">
        <f t="shared" si="407"/>
        <v>-10031868.444777893</v>
      </c>
      <c r="P675" s="172">
        <f t="shared" si="407"/>
        <v>-10031868.444777893</v>
      </c>
      <c r="Q675" s="172">
        <f t="shared" si="407"/>
        <v>-10031868.444777893</v>
      </c>
      <c r="R675" s="172">
        <f t="shared" si="407"/>
        <v>-10031868.444777893</v>
      </c>
      <c r="S675" s="172">
        <f t="shared" si="407"/>
        <v>-10031868.444777893</v>
      </c>
      <c r="T675" s="172">
        <f t="shared" si="407"/>
        <v>-10031868.444777893</v>
      </c>
      <c r="U675" s="172">
        <f t="shared" si="407"/>
        <v>-10031868.444777893</v>
      </c>
      <c r="V675" s="172">
        <f t="shared" si="407"/>
        <v>-10031868.444777893</v>
      </c>
      <c r="W675" s="172">
        <f t="shared" si="407"/>
        <v>0</v>
      </c>
      <c r="X675" s="172">
        <f t="shared" si="407"/>
        <v>0</v>
      </c>
      <c r="Y675" s="172">
        <f t="shared" si="407"/>
        <v>0</v>
      </c>
      <c r="Z675" s="172">
        <f t="shared" si="407"/>
        <v>0</v>
      </c>
      <c r="AA675" s="172">
        <f t="shared" si="407"/>
        <v>0</v>
      </c>
      <c r="AB675" s="172">
        <f t="shared" si="407"/>
        <v>0</v>
      </c>
      <c r="AC675" s="172">
        <f t="shared" si="407"/>
        <v>0</v>
      </c>
      <c r="AD675" s="172">
        <f t="shared" si="407"/>
        <v>0</v>
      </c>
      <c r="AE675" s="172">
        <f t="shared" si="407"/>
        <v>0</v>
      </c>
      <c r="AF675" s="172">
        <f t="shared" si="407"/>
        <v>0</v>
      </c>
      <c r="AG675" s="172">
        <f t="shared" si="407"/>
        <v>0</v>
      </c>
      <c r="AH675" s="172">
        <f t="shared" si="407"/>
        <v>0</v>
      </c>
      <c r="AI675" s="172">
        <f t="shared" si="407"/>
        <v>0</v>
      </c>
      <c r="AJ675" s="172">
        <f t="shared" si="407"/>
        <v>0</v>
      </c>
      <c r="AK675" s="172">
        <f t="shared" si="407"/>
        <v>0</v>
      </c>
      <c r="AL675" s="172">
        <f t="shared" si="407"/>
        <v>0</v>
      </c>
      <c r="AM675" s="172">
        <f t="shared" si="407"/>
        <v>0</v>
      </c>
      <c r="AN675" s="172">
        <f t="shared" si="407"/>
        <v>0</v>
      </c>
      <c r="AO675" s="172">
        <f t="shared" si="407"/>
        <v>0</v>
      </c>
      <c r="AP675" s="172">
        <f t="shared" si="407"/>
        <v>0</v>
      </c>
      <c r="AQ675" s="172">
        <f t="shared" si="407"/>
        <v>0</v>
      </c>
      <c r="AR675" s="172">
        <f t="shared" si="407"/>
        <v>0</v>
      </c>
      <c r="AS675" s="172">
        <f t="shared" si="407"/>
        <v>0</v>
      </c>
      <c r="AT675" s="172">
        <f t="shared" si="407"/>
        <v>0</v>
      </c>
      <c r="AU675" s="172">
        <f t="shared" si="407"/>
        <v>0</v>
      </c>
      <c r="AV675" s="172">
        <f t="shared" si="407"/>
        <v>0</v>
      </c>
      <c r="AW675" s="172">
        <f t="shared" si="407"/>
        <v>0</v>
      </c>
      <c r="AX675" s="172">
        <f t="shared" si="407"/>
        <v>0</v>
      </c>
      <c r="AY675" s="172">
        <f t="shared" si="407"/>
        <v>0</v>
      </c>
      <c r="AZ675" s="172">
        <f t="shared" si="407"/>
        <v>0</v>
      </c>
      <c r="BA675" s="172">
        <f t="shared" si="407"/>
        <v>0</v>
      </c>
      <c r="BB675" s="172">
        <f t="shared" si="407"/>
        <v>0</v>
      </c>
      <c r="BC675" s="172">
        <f t="shared" si="407"/>
        <v>0</v>
      </c>
      <c r="BD675" s="172">
        <f t="shared" si="407"/>
        <v>0</v>
      </c>
      <c r="BE675" s="172">
        <f t="shared" si="407"/>
        <v>0</v>
      </c>
      <c r="BF675" s="172">
        <f t="shared" si="407"/>
        <v>0</v>
      </c>
      <c r="BG675" s="172">
        <f t="shared" si="407"/>
        <v>0</v>
      </c>
      <c r="BH675" s="172">
        <f t="shared" si="407"/>
        <v>0</v>
      </c>
      <c r="BI675" s="172">
        <f t="shared" si="407"/>
        <v>0</v>
      </c>
      <c r="BJ675" s="173">
        <f t="shared" si="407"/>
        <v>0</v>
      </c>
      <c r="BK675" s="172"/>
      <c r="BL675" s="172"/>
    </row>
    <row r="676" spans="1:64" s="174" customFormat="1" ht="12.75">
      <c r="A676" s="120" t="s">
        <v>139</v>
      </c>
      <c r="B676" s="170">
        <f>SUM(C676:BJ676)</f>
        <v>176642248.74174145</v>
      </c>
      <c r="C676" s="171">
        <f>C666</f>
        <v>1182972.3463507043</v>
      </c>
      <c r="D676" s="172">
        <f>D666</f>
        <v>2458756.4170832671</v>
      </c>
      <c r="E676" s="172">
        <f t="shared" ref="E676:BJ676" si="408">E666</f>
        <v>4983127.0929814763</v>
      </c>
      <c r="F676" s="172">
        <f t="shared" si="408"/>
        <v>7507497.7688796856</v>
      </c>
      <c r="G676" s="172">
        <f t="shared" si="408"/>
        <v>10031868.444777893</v>
      </c>
      <c r="H676" s="172">
        <f t="shared" si="408"/>
        <v>10031868.444777893</v>
      </c>
      <c r="I676" s="172">
        <f t="shared" si="408"/>
        <v>10031868.444777893</v>
      </c>
      <c r="J676" s="172">
        <f t="shared" si="408"/>
        <v>10031868.444777893</v>
      </c>
      <c r="K676" s="172">
        <f t="shared" si="408"/>
        <v>10031868.444777893</v>
      </c>
      <c r="L676" s="172">
        <f t="shared" si="408"/>
        <v>10031868.444777893</v>
      </c>
      <c r="M676" s="172">
        <f t="shared" si="408"/>
        <v>10031868.444777893</v>
      </c>
      <c r="N676" s="172">
        <f t="shared" si="408"/>
        <v>10031868.444777893</v>
      </c>
      <c r="O676" s="172">
        <f t="shared" si="408"/>
        <v>10031868.444777893</v>
      </c>
      <c r="P676" s="172">
        <f t="shared" si="408"/>
        <v>10031868.444777893</v>
      </c>
      <c r="Q676" s="172">
        <f t="shared" si="408"/>
        <v>10031868.444777893</v>
      </c>
      <c r="R676" s="172">
        <f t="shared" si="408"/>
        <v>10031868.444777893</v>
      </c>
      <c r="S676" s="172">
        <f t="shared" si="408"/>
        <v>10031868.444777893</v>
      </c>
      <c r="T676" s="172">
        <f t="shared" si="408"/>
        <v>10031868.444777893</v>
      </c>
      <c r="U676" s="172">
        <f t="shared" si="408"/>
        <v>10031868.444777893</v>
      </c>
      <c r="V676" s="172">
        <f t="shared" si="408"/>
        <v>10031868.444777893</v>
      </c>
      <c r="W676" s="172">
        <f t="shared" si="408"/>
        <v>0</v>
      </c>
      <c r="X676" s="172">
        <f t="shared" si="408"/>
        <v>0</v>
      </c>
      <c r="Y676" s="172">
        <f t="shared" si="408"/>
        <v>0</v>
      </c>
      <c r="Z676" s="172">
        <f t="shared" si="408"/>
        <v>0</v>
      </c>
      <c r="AA676" s="172">
        <f t="shared" si="408"/>
        <v>0</v>
      </c>
      <c r="AB676" s="172">
        <f t="shared" si="408"/>
        <v>0</v>
      </c>
      <c r="AC676" s="172">
        <f t="shared" si="408"/>
        <v>0</v>
      </c>
      <c r="AD676" s="172">
        <f t="shared" si="408"/>
        <v>0</v>
      </c>
      <c r="AE676" s="172">
        <f t="shared" si="408"/>
        <v>0</v>
      </c>
      <c r="AF676" s="172">
        <f t="shared" si="408"/>
        <v>0</v>
      </c>
      <c r="AG676" s="172">
        <f t="shared" si="408"/>
        <v>0</v>
      </c>
      <c r="AH676" s="172">
        <f t="shared" si="408"/>
        <v>0</v>
      </c>
      <c r="AI676" s="172">
        <f t="shared" si="408"/>
        <v>0</v>
      </c>
      <c r="AJ676" s="172">
        <f t="shared" si="408"/>
        <v>0</v>
      </c>
      <c r="AK676" s="172">
        <f t="shared" si="408"/>
        <v>0</v>
      </c>
      <c r="AL676" s="172">
        <f t="shared" si="408"/>
        <v>0</v>
      </c>
      <c r="AM676" s="172">
        <f t="shared" si="408"/>
        <v>0</v>
      </c>
      <c r="AN676" s="172">
        <f t="shared" si="408"/>
        <v>0</v>
      </c>
      <c r="AO676" s="172">
        <f t="shared" si="408"/>
        <v>0</v>
      </c>
      <c r="AP676" s="172">
        <f t="shared" si="408"/>
        <v>0</v>
      </c>
      <c r="AQ676" s="172">
        <f t="shared" si="408"/>
        <v>0</v>
      </c>
      <c r="AR676" s="172">
        <f t="shared" si="408"/>
        <v>0</v>
      </c>
      <c r="AS676" s="172">
        <f t="shared" si="408"/>
        <v>0</v>
      </c>
      <c r="AT676" s="172">
        <f t="shared" si="408"/>
        <v>0</v>
      </c>
      <c r="AU676" s="172">
        <f t="shared" si="408"/>
        <v>0</v>
      </c>
      <c r="AV676" s="172">
        <f t="shared" si="408"/>
        <v>0</v>
      </c>
      <c r="AW676" s="172">
        <f t="shared" si="408"/>
        <v>0</v>
      </c>
      <c r="AX676" s="172">
        <f t="shared" si="408"/>
        <v>0</v>
      </c>
      <c r="AY676" s="172">
        <f t="shared" si="408"/>
        <v>0</v>
      </c>
      <c r="AZ676" s="172">
        <f t="shared" si="408"/>
        <v>0</v>
      </c>
      <c r="BA676" s="172">
        <f t="shared" si="408"/>
        <v>0</v>
      </c>
      <c r="BB676" s="172">
        <f t="shared" si="408"/>
        <v>0</v>
      </c>
      <c r="BC676" s="172">
        <f t="shared" si="408"/>
        <v>0</v>
      </c>
      <c r="BD676" s="172">
        <f t="shared" si="408"/>
        <v>0</v>
      </c>
      <c r="BE676" s="172">
        <f t="shared" si="408"/>
        <v>0</v>
      </c>
      <c r="BF676" s="172">
        <f t="shared" si="408"/>
        <v>0</v>
      </c>
      <c r="BG676" s="172">
        <f t="shared" si="408"/>
        <v>0</v>
      </c>
      <c r="BH676" s="172">
        <f t="shared" si="408"/>
        <v>0</v>
      </c>
      <c r="BI676" s="172">
        <f t="shared" si="408"/>
        <v>0</v>
      </c>
      <c r="BJ676" s="173">
        <f t="shared" si="408"/>
        <v>0</v>
      </c>
      <c r="BK676" s="172"/>
      <c r="BL676" s="172"/>
    </row>
    <row r="677" spans="1:64" s="174" customFormat="1" ht="12.75">
      <c r="A677" s="120" t="s">
        <v>140</v>
      </c>
      <c r="B677" s="170" t="e">
        <f>SUM(C677:BJ677)</f>
        <v>#REF!</v>
      </c>
      <c r="C677" s="171">
        <f>-C646</f>
        <v>-35489170.390521139</v>
      </c>
      <c r="D677" s="172">
        <f>IF(AND(D634&gt;5,E635=0,D635&lt;&gt;0),SUM(D$71:$BJ651)-D646,-D646)</f>
        <v>-38273522.121976882</v>
      </c>
      <c r="E677" s="172">
        <f>IF(AND(E634&gt;5,F635=0,E635&lt;&gt;0),SUM(E$71:$BJ651)-E646,-E646)</f>
        <v>-75731120.276946276</v>
      </c>
      <c r="F677" s="172">
        <f>IF(AND(F634&gt;5,G635=0,F635&lt;&gt;0),SUM(F$71:$BJ651)-F646,-F646)</f>
        <v>-75731120.276946276</v>
      </c>
      <c r="G677" s="172">
        <f>IF(AND(G634&gt;5,H635=0,G635&lt;&gt;0),SUM(G$71:$BJ651)-G646,-G646)</f>
        <v>-75731120.276946276</v>
      </c>
      <c r="H677" s="172">
        <f>IF(AND(H634&gt;5,I635=0,H635&lt;&gt;0),SUM(H$71:$BJ651)-H646,-H646)</f>
        <v>0</v>
      </c>
      <c r="I677" s="172">
        <f>IF(AND(I634&gt;5,J635=0,I635&lt;&gt;0),SUM(I$71:$BJ651)-I646,-I646)</f>
        <v>0</v>
      </c>
      <c r="J677" s="172">
        <f>IF(AND(J634&gt;5,K635=0,J635&lt;&gt;0),SUM(J$71:$BJ651)-J646,-J646)</f>
        <v>0</v>
      </c>
      <c r="K677" s="172">
        <f>IF(AND(K634&gt;5,L635=0,K635&lt;&gt;0),SUM(K$71:$BJ651)-K646,-K646)</f>
        <v>0</v>
      </c>
      <c r="L677" s="172">
        <f>IF(AND(L634&gt;5,M635=0,L635&lt;&gt;0),SUM(L$71:$BJ651)-L646,-L646)</f>
        <v>0</v>
      </c>
      <c r="M677" s="172">
        <f>IF(AND(M634&gt;5,N635=0,M635&lt;&gt;0),SUM(M$71:$BJ651)-M646,-M646)</f>
        <v>0</v>
      </c>
      <c r="N677" s="172">
        <f>IF(AND(N634&gt;5,O635=0,N635&lt;&gt;0),SUM(N$71:$BJ651)-N646,-N646)</f>
        <v>0</v>
      </c>
      <c r="O677" s="172">
        <f>IF(AND(O634&gt;5,P635=0,O635&lt;&gt;0),SUM(O$71:$BJ651)-O646,-O646)</f>
        <v>0</v>
      </c>
      <c r="P677" s="172">
        <f>IF(AND(P634&gt;5,Q635=0,P635&lt;&gt;0),SUM(P$71:$BJ651)-P646,-P646)</f>
        <v>0</v>
      </c>
      <c r="Q677" s="172">
        <f>IF(AND(Q634&gt;5,R635=0,Q635&lt;&gt;0),SUM(Q$71:$BJ651)-Q646,-Q646)</f>
        <v>0</v>
      </c>
      <c r="R677" s="172">
        <f>IF(AND(R634&gt;5,S635=0,R635&lt;&gt;0),SUM(R$71:$BJ651)-R646,-R646)</f>
        <v>0</v>
      </c>
      <c r="S677" s="172">
        <f>IF(AND(S634&gt;5,T635=0,S635&lt;&gt;0),SUM(S$71:$BJ651)-S646,-S646)</f>
        <v>0</v>
      </c>
      <c r="T677" s="172">
        <f>IF(AND(T634&gt;5,U635=0,T635&lt;&gt;0),SUM(T$71:$BJ651)-T646,-T646)</f>
        <v>0</v>
      </c>
      <c r="U677" s="172">
        <f>IF(AND(U634&gt;5,V635=0,U635&lt;&gt;0),SUM(U$71:$BJ651)-U646,-U646)</f>
        <v>0</v>
      </c>
      <c r="V677" s="172" t="e">
        <f>IF(AND(V634&gt;5,W635=0,V635&lt;&gt;0),SUM(V$71:$BJ651)-V646,-V646)</f>
        <v>#REF!</v>
      </c>
      <c r="W677" s="172">
        <f>IF(AND(W634&gt;5,X635=0,W635&lt;&gt;0),SUM(W$71:$BJ651)-W646,-W646)</f>
        <v>0</v>
      </c>
      <c r="X677" s="172">
        <f>IF(AND(X634&gt;5,Y635=0,X635&lt;&gt;0),SUM(X$71:$BJ651)-X646,-X646)</f>
        <v>0</v>
      </c>
      <c r="Y677" s="172">
        <f>IF(AND(Y634&gt;5,Z635=0,Y635&lt;&gt;0),SUM(Y$71:$BJ651)-Y646,-Y646)</f>
        <v>0</v>
      </c>
      <c r="Z677" s="175">
        <f>IF(AND(Z634&gt;5,AA635=0,Z635&lt;&gt;0),SUM(Z$71:$BJ651)-Z646,-Z646)</f>
        <v>0</v>
      </c>
      <c r="AA677" s="172">
        <f>IF(AND(AA634&gt;5,AB635=0,AA635&lt;&gt;0),SUM(AA$71:$BJ651)-AA646,-AA646)</f>
        <v>0</v>
      </c>
      <c r="AB677" s="172">
        <f>IF(AND(AB634&gt;5,AC635=0,AB635&lt;&gt;0),SUM(AB$71:$BJ651)-AB646,-AB646)</f>
        <v>0</v>
      </c>
      <c r="AC677" s="172">
        <f>IF(AND(AC634&gt;5,AD635=0,AC635&lt;&gt;0),SUM(AC$71:$BJ651)-AC646,-AC646)</f>
        <v>0</v>
      </c>
      <c r="AD677" s="172">
        <f>IF(AND(AD634&gt;5,AE635=0,AD635&lt;&gt;0),SUM(AD$71:$BJ651)-AD646,-AD646)</f>
        <v>0</v>
      </c>
      <c r="AE677" s="172">
        <f>IF(AND(AE634&gt;5,AF635=0,AE635&lt;&gt;0),SUM(AE$71:$BJ651)-AE646,-AE646)</f>
        <v>0</v>
      </c>
      <c r="AF677" s="172">
        <f>IF(AND(AF634&gt;5,AG635=0,AF635&lt;&gt;0),SUM(AF$71:$BJ651)-AF646,-AF646)</f>
        <v>0</v>
      </c>
      <c r="AG677" s="172">
        <f>IF(AND(AG634&gt;5,AH635=0,AG635&lt;&gt;0),SUM(AG$71:$BJ651)-AG646,-AG646)</f>
        <v>0</v>
      </c>
      <c r="AH677" s="172">
        <f>IF(AND(AH634&gt;5,AI635=0,AH635&lt;&gt;0),SUM(AH$71:$BJ651)-AH646,-AH646)</f>
        <v>0</v>
      </c>
      <c r="AI677" s="172">
        <f>IF(AND(AI634&gt;5,AJ635=0,AI635&lt;&gt;0),SUM(AI$71:$BJ651)-AI646,-AI646)</f>
        <v>0</v>
      </c>
      <c r="AJ677" s="172">
        <f>IF(AND(AJ634&gt;5,AK635=0,AJ635&lt;&gt;0),SUM(AJ$71:$BJ651)-AJ646,-AJ646)</f>
        <v>0</v>
      </c>
      <c r="AK677" s="172">
        <f>IF(AND(AK634&gt;5,AL635=0,AK635&lt;&gt;0),SUM(AK$71:$BJ651)-AK646,-AK646)</f>
        <v>0</v>
      </c>
      <c r="AL677" s="172">
        <f>IF(AND(AL634&gt;5,AM635=0,AL635&lt;&gt;0),SUM(AL$71:$BJ651)-AL646,-AL646)</f>
        <v>0</v>
      </c>
      <c r="AM677" s="172">
        <f>IF(AND(AM634&gt;5,AN635=0,AM635&lt;&gt;0),SUM(AM$71:$BJ651)-AM646,-AM646)</f>
        <v>0</v>
      </c>
      <c r="AN677" s="172">
        <f>IF(AND(AN634&gt;5,AO635=0,AN635&lt;&gt;0),SUM(AN$71:$BJ651)-AN646,-AN646)</f>
        <v>0</v>
      </c>
      <c r="AO677" s="172">
        <f>IF(AND(AO634&gt;5,AP635=0,AO635&lt;&gt;0),SUM(AO$71:$BJ651)-AO646,-AO646)</f>
        <v>0</v>
      </c>
      <c r="AP677" s="172">
        <f>IF(AND(AP634&gt;5,AQ635=0,AP635&lt;&gt;0),SUM(AP$71:$BJ651)-AP646,-AP646)</f>
        <v>0</v>
      </c>
      <c r="AQ677" s="172">
        <f>IF(AND(AQ634&gt;5,AR635=0,AQ635&lt;&gt;0),SUM(AQ$71:$BJ651)-AQ646,-AQ646)</f>
        <v>0</v>
      </c>
      <c r="AR677" s="172">
        <f>IF(AND(AR634&gt;5,AS635=0,AR635&lt;&gt;0),SUM(AR$71:$BJ651)-AR646,-AR646)</f>
        <v>0</v>
      </c>
      <c r="AS677" s="172">
        <f>IF(AND(AS634&gt;5,AT635=0,AS635&lt;&gt;0),SUM(AS$71:$BJ651)-AS646,-AS646)</f>
        <v>0</v>
      </c>
      <c r="AT677" s="172">
        <f>IF(AND(AT634&gt;5,AU635=0,AT635&lt;&gt;0),SUM(AT$71:$BJ651)-AT646,-AT646)</f>
        <v>0</v>
      </c>
      <c r="AU677" s="172">
        <f>IF(AND(AU634&gt;5,AV635=0,AU635&lt;&gt;0),SUM(AU$71:$BJ651)-AU646,-AU646)</f>
        <v>0</v>
      </c>
      <c r="AV677" s="172">
        <f>IF(AND(AV634&gt;5,AW635=0,AV635&lt;&gt;0),SUM(AV$71:$BJ651)-AV646,-AV646)</f>
        <v>0</v>
      </c>
      <c r="AW677" s="172">
        <f>IF(AND(AW634&gt;5,AX635=0,AW635&lt;&gt;0),SUM(AW$71:$BJ651)-AW646,-AW646)</f>
        <v>0</v>
      </c>
      <c r="AX677" s="172">
        <f>IF(AND(AX634&gt;5,AY635=0,AX635&lt;&gt;0),SUM(AX$71:$BJ651)-AX646,-AX646)</f>
        <v>0</v>
      </c>
      <c r="AY677" s="172">
        <f>IF(AND(AY634&gt;5,AZ635=0,AY635&lt;&gt;0),SUM(AY$71:$BJ651)-AY646,-AY646)</f>
        <v>0</v>
      </c>
      <c r="AZ677" s="172">
        <f>IF(AND(AZ634&gt;5,BA635=0,AZ635&lt;&gt;0),SUM(AZ$71:$BJ651)-AZ646,-AZ646)</f>
        <v>0</v>
      </c>
      <c r="BA677" s="172">
        <f>IF(AND(BA634&gt;5,BB635=0,BA635&lt;&gt;0),SUM(BA$71:$BJ651)-BA646,-BA646)</f>
        <v>0</v>
      </c>
      <c r="BB677" s="172">
        <f>IF(AND(BB634&gt;5,BC635=0,BB635&lt;&gt;0),SUM(BB$71:$BJ651)-BB646,-BB646)</f>
        <v>0</v>
      </c>
      <c r="BC677" s="172">
        <f>IF(AND(BC634&gt;5,BD635=0,BC635&lt;&gt;0),SUM(BC$71:$BJ651)-BC646,-BC646)</f>
        <v>0</v>
      </c>
      <c r="BD677" s="172">
        <f>IF(AND(BD634&gt;5,BE635=0,BD635&lt;&gt;0),SUM(BD$71:$BJ651)-BD646,-BD646)</f>
        <v>0</v>
      </c>
      <c r="BE677" s="172">
        <f>IF(AND(BE634&gt;5,BF635=0,BE635&lt;&gt;0),SUM(BE$71:$BJ651)-BE646,-BE646)</f>
        <v>0</v>
      </c>
      <c r="BF677" s="172">
        <f>IF(AND(BF634&gt;5,BG635=0,BF635&lt;&gt;0),SUM(BF$71:$BJ651)-BF646,-BF646)</f>
        <v>0</v>
      </c>
      <c r="BG677" s="172">
        <f>IF(AND(BG634&gt;5,BH635=0,BG635&lt;&gt;0),SUM(BG$71:$BJ651)-BG646,-BG646)</f>
        <v>0</v>
      </c>
      <c r="BH677" s="172">
        <f>IF(AND(BH634&gt;5,BI635=0,BH635&lt;&gt;0),SUM(BH$71:$BJ651)-BH646,-BH646)</f>
        <v>0</v>
      </c>
      <c r="BI677" s="172">
        <f>IF(AND(BI634&gt;5,BJ635=0,BI635&lt;&gt;0),SUM(BI$71:$BJ651)-BI646,-BI646)</f>
        <v>0</v>
      </c>
      <c r="BJ677" s="173">
        <f>IF(AND(BJ634&gt;5,BK635=0,BJ635&lt;&gt;0),SUM(BJ$71:$BJ651)-BJ646,-BJ646)</f>
        <v>0</v>
      </c>
      <c r="BK677" s="172"/>
      <c r="BL677" s="172"/>
    </row>
    <row r="678" spans="1:64" s="160" customFormat="1">
      <c r="A678" s="176" t="s">
        <v>141</v>
      </c>
      <c r="B678" s="177">
        <f>SUM(C678:BJ678)</f>
        <v>1096653798.0701277</v>
      </c>
      <c r="C678" s="178">
        <f>C673+C676</f>
        <v>-34092013.199504405</v>
      </c>
      <c r="D678" s="179">
        <f t="shared" ref="D678:BJ678" si="409">D673+D676</f>
        <v>-36876364.930960149</v>
      </c>
      <c r="E678" s="179">
        <f t="shared" si="409"/>
        <v>-74333963.085929543</v>
      </c>
      <c r="F678" s="179">
        <f t="shared" si="409"/>
        <v>-74333963.085929543</v>
      </c>
      <c r="G678" s="179">
        <f t="shared" si="409"/>
        <v>-74333963.085929543</v>
      </c>
      <c r="H678" s="179">
        <f t="shared" si="409"/>
        <v>23309499.952814043</v>
      </c>
      <c r="I678" s="179">
        <f t="shared" si="409"/>
        <v>43609439.372194715</v>
      </c>
      <c r="J678" s="179">
        <f t="shared" si="409"/>
        <v>63909378.791575395</v>
      </c>
      <c r="K678" s="179">
        <f t="shared" si="409"/>
        <v>84209318.210956052</v>
      </c>
      <c r="L678" s="179">
        <f t="shared" si="409"/>
        <v>137221256.11475718</v>
      </c>
      <c r="M678" s="179">
        <f t="shared" si="409"/>
        <v>137221256.11475718</v>
      </c>
      <c r="N678" s="179">
        <f t="shared" si="409"/>
        <v>137221256.11475718</v>
      </c>
      <c r="O678" s="179">
        <f t="shared" si="409"/>
        <v>137221256.11475718</v>
      </c>
      <c r="P678" s="179">
        <f t="shared" si="409"/>
        <v>137221256.11475718</v>
      </c>
      <c r="Q678" s="179">
        <f t="shared" si="409"/>
        <v>137221256.11475718</v>
      </c>
      <c r="R678" s="179">
        <f t="shared" si="409"/>
        <v>137221256.11475718</v>
      </c>
      <c r="S678" s="179">
        <f t="shared" si="409"/>
        <v>84209318.210956052</v>
      </c>
      <c r="T678" s="179">
        <f t="shared" si="409"/>
        <v>63909378.791575395</v>
      </c>
      <c r="U678" s="179">
        <f t="shared" si="409"/>
        <v>43609439.372194715</v>
      </c>
      <c r="V678" s="179">
        <f t="shared" si="409"/>
        <v>23309499.952814043</v>
      </c>
      <c r="W678" s="179">
        <f t="shared" si="409"/>
        <v>0</v>
      </c>
      <c r="X678" s="179">
        <f t="shared" si="409"/>
        <v>0</v>
      </c>
      <c r="Y678" s="179">
        <f t="shared" si="409"/>
        <v>0</v>
      </c>
      <c r="Z678" s="179">
        <f t="shared" si="409"/>
        <v>0</v>
      </c>
      <c r="AA678" s="179">
        <f t="shared" si="409"/>
        <v>0</v>
      </c>
      <c r="AB678" s="179">
        <f t="shared" si="409"/>
        <v>0</v>
      </c>
      <c r="AC678" s="179">
        <f t="shared" si="409"/>
        <v>0</v>
      </c>
      <c r="AD678" s="179">
        <f t="shared" si="409"/>
        <v>0</v>
      </c>
      <c r="AE678" s="179">
        <f t="shared" si="409"/>
        <v>0</v>
      </c>
      <c r="AF678" s="179">
        <f t="shared" si="409"/>
        <v>0</v>
      </c>
      <c r="AG678" s="179">
        <f t="shared" si="409"/>
        <v>0</v>
      </c>
      <c r="AH678" s="179">
        <f t="shared" si="409"/>
        <v>0</v>
      </c>
      <c r="AI678" s="179">
        <f t="shared" si="409"/>
        <v>0</v>
      </c>
      <c r="AJ678" s="179">
        <f t="shared" si="409"/>
        <v>0</v>
      </c>
      <c r="AK678" s="179">
        <f t="shared" si="409"/>
        <v>0</v>
      </c>
      <c r="AL678" s="179">
        <f t="shared" si="409"/>
        <v>0</v>
      </c>
      <c r="AM678" s="179">
        <f t="shared" si="409"/>
        <v>0</v>
      </c>
      <c r="AN678" s="179">
        <f t="shared" si="409"/>
        <v>0</v>
      </c>
      <c r="AO678" s="179">
        <f t="shared" si="409"/>
        <v>0</v>
      </c>
      <c r="AP678" s="179">
        <f t="shared" si="409"/>
        <v>0</v>
      </c>
      <c r="AQ678" s="179">
        <f t="shared" si="409"/>
        <v>0</v>
      </c>
      <c r="AR678" s="179">
        <f t="shared" si="409"/>
        <v>0</v>
      </c>
      <c r="AS678" s="179">
        <f t="shared" si="409"/>
        <v>0</v>
      </c>
      <c r="AT678" s="179">
        <f t="shared" si="409"/>
        <v>0</v>
      </c>
      <c r="AU678" s="179">
        <f t="shared" si="409"/>
        <v>0</v>
      </c>
      <c r="AV678" s="179">
        <f t="shared" si="409"/>
        <v>0</v>
      </c>
      <c r="AW678" s="179">
        <f t="shared" si="409"/>
        <v>0</v>
      </c>
      <c r="AX678" s="179">
        <f t="shared" si="409"/>
        <v>0</v>
      </c>
      <c r="AY678" s="179">
        <f t="shared" si="409"/>
        <v>0</v>
      </c>
      <c r="AZ678" s="179">
        <f t="shared" si="409"/>
        <v>0</v>
      </c>
      <c r="BA678" s="179">
        <f t="shared" si="409"/>
        <v>0</v>
      </c>
      <c r="BB678" s="179">
        <f t="shared" si="409"/>
        <v>0</v>
      </c>
      <c r="BC678" s="179">
        <f t="shared" si="409"/>
        <v>0</v>
      </c>
      <c r="BD678" s="179">
        <f t="shared" si="409"/>
        <v>0</v>
      </c>
      <c r="BE678" s="179">
        <f t="shared" si="409"/>
        <v>0</v>
      </c>
      <c r="BF678" s="179">
        <f t="shared" si="409"/>
        <v>0</v>
      </c>
      <c r="BG678" s="179">
        <f t="shared" si="409"/>
        <v>0</v>
      </c>
      <c r="BH678" s="179">
        <f t="shared" si="409"/>
        <v>0</v>
      </c>
      <c r="BI678" s="179">
        <f t="shared" si="409"/>
        <v>0</v>
      </c>
      <c r="BJ678" s="180">
        <f t="shared" si="409"/>
        <v>0</v>
      </c>
    </row>
    <row r="679" spans="1:64" s="80" customFormat="1">
      <c r="A679" s="176" t="s">
        <v>142</v>
      </c>
      <c r="B679" s="177">
        <f>SUM(C679:BJ679)</f>
        <v>156165840.25478828</v>
      </c>
      <c r="C679" s="232">
        <f>C678*(1+$C633)^-(C634-1)</f>
        <v>-34092013.199504405</v>
      </c>
      <c r="D679" s="182">
        <f>D678*(1+$C633)^-(D634-1)</f>
        <v>-32925325.831214417</v>
      </c>
      <c r="E679" s="182">
        <f t="shared" ref="E679:BJ679" si="410">E678*(1+$C633)^-(E634-1)</f>
        <v>-59258580.266206585</v>
      </c>
      <c r="F679" s="182">
        <f t="shared" si="410"/>
        <v>-52909446.666255869</v>
      </c>
      <c r="G679" s="182">
        <f t="shared" si="410"/>
        <v>-47240577.380585603</v>
      </c>
      <c r="H679" s="182">
        <f t="shared" si="410"/>
        <v>13226436.266598109</v>
      </c>
      <c r="I679" s="182">
        <f t="shared" si="410"/>
        <v>22093899.1630494</v>
      </c>
      <c r="J679" s="182">
        <f t="shared" si="410"/>
        <v>28909357.349037427</v>
      </c>
      <c r="K679" s="182">
        <f t="shared" si="410"/>
        <v>34010731.264982805</v>
      </c>
      <c r="L679" s="182">
        <f t="shared" si="410"/>
        <v>49483360.595546313</v>
      </c>
      <c r="M679" s="182">
        <f t="shared" si="410"/>
        <v>44181571.9603092</v>
      </c>
      <c r="N679" s="182">
        <f t="shared" si="410"/>
        <v>39447832.107418925</v>
      </c>
      <c r="O679" s="182">
        <f t="shared" si="410"/>
        <v>35221278.667338334</v>
      </c>
      <c r="P679" s="182">
        <f t="shared" si="410"/>
        <v>31447570.238694932</v>
      </c>
      <c r="Q679" s="182">
        <f t="shared" si="410"/>
        <v>28078187.713120472</v>
      </c>
      <c r="R679" s="182">
        <f t="shared" si="410"/>
        <v>25069810.458143279</v>
      </c>
      <c r="S679" s="182">
        <f t="shared" si="410"/>
        <v>13736363.929240106</v>
      </c>
      <c r="T679" s="182">
        <f t="shared" si="410"/>
        <v>9308039.3534266036</v>
      </c>
      <c r="U679" s="182">
        <f t="shared" si="410"/>
        <v>5670953.6212017564</v>
      </c>
      <c r="V679" s="182">
        <f t="shared" si="410"/>
        <v>2706390.9104474909</v>
      </c>
      <c r="W679" s="182">
        <f t="shared" si="410"/>
        <v>0</v>
      </c>
      <c r="X679" s="182">
        <f t="shared" si="410"/>
        <v>0</v>
      </c>
      <c r="Y679" s="182">
        <f t="shared" si="410"/>
        <v>0</v>
      </c>
      <c r="Z679" s="182">
        <f t="shared" si="410"/>
        <v>0</v>
      </c>
      <c r="AA679" s="182">
        <f t="shared" si="410"/>
        <v>0</v>
      </c>
      <c r="AB679" s="182">
        <f t="shared" si="410"/>
        <v>0</v>
      </c>
      <c r="AC679" s="182">
        <f t="shared" si="410"/>
        <v>0</v>
      </c>
      <c r="AD679" s="182">
        <f t="shared" si="410"/>
        <v>0</v>
      </c>
      <c r="AE679" s="182">
        <f t="shared" si="410"/>
        <v>0</v>
      </c>
      <c r="AF679" s="182">
        <f t="shared" si="410"/>
        <v>0</v>
      </c>
      <c r="AG679" s="182">
        <f t="shared" si="410"/>
        <v>0</v>
      </c>
      <c r="AH679" s="182">
        <f t="shared" si="410"/>
        <v>0</v>
      </c>
      <c r="AI679" s="182">
        <f t="shared" si="410"/>
        <v>0</v>
      </c>
      <c r="AJ679" s="182">
        <f t="shared" si="410"/>
        <v>0</v>
      </c>
      <c r="AK679" s="182">
        <f t="shared" si="410"/>
        <v>0</v>
      </c>
      <c r="AL679" s="182">
        <f t="shared" si="410"/>
        <v>0</v>
      </c>
      <c r="AM679" s="182">
        <f t="shared" si="410"/>
        <v>0</v>
      </c>
      <c r="AN679" s="182">
        <f t="shared" si="410"/>
        <v>0</v>
      </c>
      <c r="AO679" s="182">
        <f t="shared" si="410"/>
        <v>0</v>
      </c>
      <c r="AP679" s="182">
        <f t="shared" si="410"/>
        <v>0</v>
      </c>
      <c r="AQ679" s="182">
        <f t="shared" si="410"/>
        <v>0</v>
      </c>
      <c r="AR679" s="182">
        <f t="shared" si="410"/>
        <v>0</v>
      </c>
      <c r="AS679" s="182">
        <f t="shared" si="410"/>
        <v>0</v>
      </c>
      <c r="AT679" s="182">
        <f t="shared" si="410"/>
        <v>0</v>
      </c>
      <c r="AU679" s="182">
        <f t="shared" si="410"/>
        <v>0</v>
      </c>
      <c r="AV679" s="182">
        <f t="shared" si="410"/>
        <v>0</v>
      </c>
      <c r="AW679" s="182">
        <f t="shared" si="410"/>
        <v>0</v>
      </c>
      <c r="AX679" s="182">
        <f t="shared" si="410"/>
        <v>0</v>
      </c>
      <c r="AY679" s="182">
        <f t="shared" si="410"/>
        <v>0</v>
      </c>
      <c r="AZ679" s="182">
        <f t="shared" si="410"/>
        <v>0</v>
      </c>
      <c r="BA679" s="182">
        <f t="shared" si="410"/>
        <v>0</v>
      </c>
      <c r="BB679" s="182">
        <f t="shared" si="410"/>
        <v>0</v>
      </c>
      <c r="BC679" s="182">
        <f t="shared" si="410"/>
        <v>0</v>
      </c>
      <c r="BD679" s="182">
        <f t="shared" si="410"/>
        <v>0</v>
      </c>
      <c r="BE679" s="182">
        <f t="shared" si="410"/>
        <v>0</v>
      </c>
      <c r="BF679" s="182">
        <f t="shared" si="410"/>
        <v>0</v>
      </c>
      <c r="BG679" s="182">
        <f t="shared" si="410"/>
        <v>0</v>
      </c>
      <c r="BH679" s="182">
        <f t="shared" si="410"/>
        <v>0</v>
      </c>
      <c r="BI679" s="182">
        <f t="shared" si="410"/>
        <v>0</v>
      </c>
      <c r="BJ679" s="183">
        <f t="shared" si="410"/>
        <v>0</v>
      </c>
    </row>
    <row r="680" spans="1:64" s="80" customFormat="1">
      <c r="A680" s="184" t="s">
        <v>143</v>
      </c>
      <c r="B680" s="177"/>
      <c r="C680" s="181">
        <f>C679</f>
        <v>-34092013.199504405</v>
      </c>
      <c r="D680" s="182">
        <f t="shared" ref="D680:BJ680" si="411">IF(D679=0, 0, C680+D679)</f>
        <v>-67017339.030718818</v>
      </c>
      <c r="E680" s="182">
        <f t="shared" si="411"/>
        <v>-126275919.2969254</v>
      </c>
      <c r="F680" s="182">
        <f t="shared" si="411"/>
        <v>-179185365.96318126</v>
      </c>
      <c r="G680" s="182">
        <f t="shared" si="411"/>
        <v>-226425943.34376687</v>
      </c>
      <c r="H680" s="182">
        <f t="shared" si="411"/>
        <v>-213199507.07716876</v>
      </c>
      <c r="I680" s="182">
        <f t="shared" si="411"/>
        <v>-191105607.91411936</v>
      </c>
      <c r="J680" s="182">
        <f t="shared" si="411"/>
        <v>-162196250.56508192</v>
      </c>
      <c r="K680" s="182">
        <f t="shared" si="411"/>
        <v>-128185519.30009912</v>
      </c>
      <c r="L680" s="182">
        <f t="shared" si="411"/>
        <v>-78702158.704552799</v>
      </c>
      <c r="M680" s="182">
        <f t="shared" si="411"/>
        <v>-34520586.744243599</v>
      </c>
      <c r="N680" s="182">
        <f t="shared" si="411"/>
        <v>4927245.3631753251</v>
      </c>
      <c r="O680" s="182">
        <f t="shared" si="411"/>
        <v>40148524.030513659</v>
      </c>
      <c r="P680" s="182">
        <f t="shared" si="411"/>
        <v>71596094.269208595</v>
      </c>
      <c r="Q680" s="182">
        <f t="shared" si="411"/>
        <v>99674281.982329071</v>
      </c>
      <c r="R680" s="182">
        <f t="shared" si="411"/>
        <v>124744092.44047235</v>
      </c>
      <c r="S680" s="182">
        <f t="shared" si="411"/>
        <v>138480456.36971244</v>
      </c>
      <c r="T680" s="182">
        <f t="shared" si="411"/>
        <v>147788495.72313905</v>
      </c>
      <c r="U680" s="182">
        <f t="shared" si="411"/>
        <v>153459449.3443408</v>
      </c>
      <c r="V680" s="182">
        <f t="shared" si="411"/>
        <v>156165840.25478828</v>
      </c>
      <c r="W680" s="182">
        <f t="shared" si="411"/>
        <v>0</v>
      </c>
      <c r="X680" s="182">
        <f t="shared" si="411"/>
        <v>0</v>
      </c>
      <c r="Y680" s="182">
        <f t="shared" si="411"/>
        <v>0</v>
      </c>
      <c r="Z680" s="182">
        <f t="shared" si="411"/>
        <v>0</v>
      </c>
      <c r="AA680" s="182">
        <f t="shared" si="411"/>
        <v>0</v>
      </c>
      <c r="AB680" s="182">
        <f t="shared" si="411"/>
        <v>0</v>
      </c>
      <c r="AC680" s="182">
        <f t="shared" si="411"/>
        <v>0</v>
      </c>
      <c r="AD680" s="182">
        <f t="shared" si="411"/>
        <v>0</v>
      </c>
      <c r="AE680" s="182">
        <f t="shared" si="411"/>
        <v>0</v>
      </c>
      <c r="AF680" s="182">
        <f t="shared" si="411"/>
        <v>0</v>
      </c>
      <c r="AG680" s="182">
        <f t="shared" si="411"/>
        <v>0</v>
      </c>
      <c r="AH680" s="182">
        <f t="shared" si="411"/>
        <v>0</v>
      </c>
      <c r="AI680" s="182">
        <f t="shared" si="411"/>
        <v>0</v>
      </c>
      <c r="AJ680" s="182">
        <f t="shared" si="411"/>
        <v>0</v>
      </c>
      <c r="AK680" s="182">
        <f t="shared" si="411"/>
        <v>0</v>
      </c>
      <c r="AL680" s="182">
        <f t="shared" si="411"/>
        <v>0</v>
      </c>
      <c r="AM680" s="182">
        <f t="shared" si="411"/>
        <v>0</v>
      </c>
      <c r="AN680" s="182">
        <f t="shared" si="411"/>
        <v>0</v>
      </c>
      <c r="AO680" s="182">
        <f t="shared" si="411"/>
        <v>0</v>
      </c>
      <c r="AP680" s="182">
        <f t="shared" si="411"/>
        <v>0</v>
      </c>
      <c r="AQ680" s="182">
        <f t="shared" si="411"/>
        <v>0</v>
      </c>
      <c r="AR680" s="182">
        <f t="shared" si="411"/>
        <v>0</v>
      </c>
      <c r="AS680" s="182">
        <f t="shared" si="411"/>
        <v>0</v>
      </c>
      <c r="AT680" s="182">
        <f t="shared" si="411"/>
        <v>0</v>
      </c>
      <c r="AU680" s="182">
        <f t="shared" si="411"/>
        <v>0</v>
      </c>
      <c r="AV680" s="182">
        <f t="shared" si="411"/>
        <v>0</v>
      </c>
      <c r="AW680" s="182">
        <f t="shared" si="411"/>
        <v>0</v>
      </c>
      <c r="AX680" s="182">
        <f t="shared" si="411"/>
        <v>0</v>
      </c>
      <c r="AY680" s="182">
        <f t="shared" si="411"/>
        <v>0</v>
      </c>
      <c r="AZ680" s="182">
        <f t="shared" si="411"/>
        <v>0</v>
      </c>
      <c r="BA680" s="182">
        <f t="shared" si="411"/>
        <v>0</v>
      </c>
      <c r="BB680" s="182">
        <f t="shared" si="411"/>
        <v>0</v>
      </c>
      <c r="BC680" s="182">
        <f t="shared" si="411"/>
        <v>0</v>
      </c>
      <c r="BD680" s="182">
        <f t="shared" si="411"/>
        <v>0</v>
      </c>
      <c r="BE680" s="182">
        <f t="shared" si="411"/>
        <v>0</v>
      </c>
      <c r="BF680" s="182">
        <f t="shared" si="411"/>
        <v>0</v>
      </c>
      <c r="BG680" s="182">
        <f t="shared" si="411"/>
        <v>0</v>
      </c>
      <c r="BH680" s="182">
        <f t="shared" si="411"/>
        <v>0</v>
      </c>
      <c r="BI680" s="182">
        <f t="shared" si="411"/>
        <v>0</v>
      </c>
      <c r="BJ680" s="183">
        <f t="shared" si="411"/>
        <v>0</v>
      </c>
    </row>
    <row r="681" spans="1:64" s="83" customFormat="1">
      <c r="A681" s="78"/>
      <c r="B681" s="81"/>
      <c r="C681" s="82"/>
      <c r="D681" s="82"/>
      <c r="E681" s="82"/>
      <c r="F681" s="82"/>
      <c r="G681" s="82"/>
      <c r="H681" s="82"/>
      <c r="I681" s="82"/>
      <c r="J681" s="82"/>
      <c r="K681" s="82"/>
      <c r="L681" s="82"/>
      <c r="M681" s="82"/>
      <c r="N681" s="82"/>
      <c r="O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2"/>
      <c r="AD681" s="82"/>
      <c r="AE681" s="82"/>
      <c r="AF681" s="82"/>
      <c r="AG681" s="82"/>
      <c r="AH681" s="82"/>
      <c r="AI681" s="82"/>
      <c r="AJ681" s="82"/>
      <c r="AK681" s="82"/>
      <c r="AL681" s="82"/>
      <c r="AM681" s="82"/>
      <c r="AN681" s="82"/>
      <c r="AO681" s="82"/>
      <c r="AP681" s="82"/>
      <c r="AQ681" s="82"/>
      <c r="AR681" s="82"/>
      <c r="AS681" s="82"/>
      <c r="AT681" s="82"/>
      <c r="AU681" s="82"/>
      <c r="AV681" s="82"/>
      <c r="AW681" s="82"/>
      <c r="AX681" s="82"/>
      <c r="AY681" s="82"/>
      <c r="AZ681" s="82"/>
      <c r="BA681" s="82"/>
      <c r="BB681" s="82"/>
      <c r="BC681" s="82"/>
      <c r="BD681" s="82"/>
      <c r="BE681" s="82"/>
      <c r="BF681" s="82"/>
      <c r="BG681" s="82"/>
      <c r="BH681" s="82"/>
      <c r="BI681" s="82"/>
      <c r="BJ681" s="82"/>
    </row>
    <row r="682" spans="1:64" ht="21">
      <c r="A682" s="185" t="s">
        <v>157</v>
      </c>
      <c r="B682" s="93"/>
      <c r="C682" s="186"/>
      <c r="D682" s="186"/>
      <c r="E682" s="186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86"/>
      <c r="AD682" s="186"/>
      <c r="AE682" s="186"/>
      <c r="AF682" s="186"/>
      <c r="AG682" s="186"/>
      <c r="AH682" s="186"/>
      <c r="AI682" s="186"/>
      <c r="AJ682" s="186"/>
      <c r="AK682" s="186"/>
      <c r="AL682" s="186"/>
      <c r="AM682" s="186"/>
      <c r="AN682" s="186"/>
      <c r="AO682" s="186"/>
      <c r="AP682" s="186"/>
      <c r="AQ682" s="186"/>
      <c r="AR682" s="186"/>
      <c r="AS682" s="186"/>
      <c r="AT682" s="186"/>
      <c r="AU682" s="186"/>
      <c r="AV682" s="186"/>
      <c r="AW682" s="186"/>
      <c r="AX682" s="186"/>
      <c r="AY682" s="186"/>
      <c r="AZ682" s="186"/>
      <c r="BA682" s="186"/>
      <c r="BB682" s="186"/>
      <c r="BC682" s="186"/>
      <c r="BD682" s="186"/>
      <c r="BE682" s="186"/>
      <c r="BF682" s="186"/>
      <c r="BG682" s="186"/>
      <c r="BH682" s="186"/>
      <c r="BI682" s="186"/>
      <c r="BJ682" s="186"/>
    </row>
    <row r="683" spans="1:64">
      <c r="A683" s="187" t="s">
        <v>158</v>
      </c>
      <c r="B683" s="188">
        <f>SUM(C683:BJ683)</f>
        <v>769.08005137223563</v>
      </c>
      <c r="C683" s="233">
        <f>(C635*(1-$K633))/(1+$C633)^(C634-1)</f>
        <v>0</v>
      </c>
      <c r="D683" s="190">
        <f>(D635*(1-$K633))/(1+$C633)^(D634-1)</f>
        <v>0</v>
      </c>
      <c r="E683" s="190">
        <f t="shared" ref="E683:BJ683" si="412">(E635*(1-$K633))/(1+$C633)^(E634-1)</f>
        <v>0</v>
      </c>
      <c r="F683" s="190">
        <f t="shared" si="412"/>
        <v>0</v>
      </c>
      <c r="G683" s="190">
        <f t="shared" si="412"/>
        <v>0</v>
      </c>
      <c r="H683" s="190">
        <f t="shared" si="412"/>
        <v>23.970947519832219</v>
      </c>
      <c r="I683" s="190">
        <f t="shared" si="412"/>
        <v>42.805263428271815</v>
      </c>
      <c r="J683" s="190">
        <f t="shared" si="412"/>
        <v>57.328477805721171</v>
      </c>
      <c r="K683" s="190">
        <f t="shared" si="412"/>
        <v>68.248187863953774</v>
      </c>
      <c r="L683" s="190">
        <f t="shared" si="412"/>
        <v>100.71837997735516</v>
      </c>
      <c r="M683" s="190">
        <f t="shared" si="412"/>
        <v>89.927124979781382</v>
      </c>
      <c r="N683" s="190">
        <f t="shared" si="412"/>
        <v>80.292075874804794</v>
      </c>
      <c r="O683" s="190">
        <f t="shared" si="412"/>
        <v>71.689353459647137</v>
      </c>
      <c r="P683" s="190">
        <f t="shared" si="412"/>
        <v>64.008351303256362</v>
      </c>
      <c r="Q683" s="190">
        <f t="shared" si="412"/>
        <v>57.150313663621752</v>
      </c>
      <c r="R683" s="190">
        <f t="shared" si="412"/>
        <v>51.027065771090854</v>
      </c>
      <c r="S683" s="190">
        <f t="shared" si="412"/>
        <v>27.564298418236056</v>
      </c>
      <c r="T683" s="190">
        <f t="shared" si="412"/>
        <v>18.458235547925927</v>
      </c>
      <c r="U683" s="190">
        <f t="shared" si="412"/>
        <v>10.987044969003527</v>
      </c>
      <c r="V683" s="190">
        <f t="shared" si="412"/>
        <v>4.9049307897337169</v>
      </c>
      <c r="W683" s="190">
        <f t="shared" si="412"/>
        <v>0</v>
      </c>
      <c r="X683" s="190">
        <f t="shared" si="412"/>
        <v>0</v>
      </c>
      <c r="Y683" s="190">
        <f t="shared" si="412"/>
        <v>0</v>
      </c>
      <c r="Z683" s="190">
        <f t="shared" si="412"/>
        <v>0</v>
      </c>
      <c r="AA683" s="190">
        <f t="shared" si="412"/>
        <v>0</v>
      </c>
      <c r="AB683" s="190">
        <f t="shared" si="412"/>
        <v>0</v>
      </c>
      <c r="AC683" s="190">
        <f t="shared" si="412"/>
        <v>0</v>
      </c>
      <c r="AD683" s="190">
        <f t="shared" si="412"/>
        <v>0</v>
      </c>
      <c r="AE683" s="190">
        <f t="shared" si="412"/>
        <v>0</v>
      </c>
      <c r="AF683" s="190">
        <f t="shared" si="412"/>
        <v>0</v>
      </c>
      <c r="AG683" s="190">
        <f t="shared" si="412"/>
        <v>0</v>
      </c>
      <c r="AH683" s="190">
        <f t="shared" si="412"/>
        <v>0</v>
      </c>
      <c r="AI683" s="190">
        <f t="shared" si="412"/>
        <v>0</v>
      </c>
      <c r="AJ683" s="190">
        <f t="shared" si="412"/>
        <v>0</v>
      </c>
      <c r="AK683" s="190">
        <f t="shared" si="412"/>
        <v>0</v>
      </c>
      <c r="AL683" s="190">
        <f t="shared" si="412"/>
        <v>0</v>
      </c>
      <c r="AM683" s="190">
        <f t="shared" si="412"/>
        <v>0</v>
      </c>
      <c r="AN683" s="190">
        <f t="shared" si="412"/>
        <v>0</v>
      </c>
      <c r="AO683" s="190">
        <f t="shared" si="412"/>
        <v>0</v>
      </c>
      <c r="AP683" s="190">
        <f t="shared" si="412"/>
        <v>0</v>
      </c>
      <c r="AQ683" s="190">
        <f t="shared" si="412"/>
        <v>0</v>
      </c>
      <c r="AR683" s="190">
        <f t="shared" si="412"/>
        <v>0</v>
      </c>
      <c r="AS683" s="190">
        <f t="shared" si="412"/>
        <v>0</v>
      </c>
      <c r="AT683" s="190">
        <f t="shared" si="412"/>
        <v>0</v>
      </c>
      <c r="AU683" s="190">
        <f t="shared" si="412"/>
        <v>0</v>
      </c>
      <c r="AV683" s="190">
        <f t="shared" si="412"/>
        <v>0</v>
      </c>
      <c r="AW683" s="190">
        <f t="shared" si="412"/>
        <v>0</v>
      </c>
      <c r="AX683" s="190">
        <f t="shared" si="412"/>
        <v>0</v>
      </c>
      <c r="AY683" s="190">
        <f t="shared" si="412"/>
        <v>0</v>
      </c>
      <c r="AZ683" s="190">
        <f t="shared" si="412"/>
        <v>0</v>
      </c>
      <c r="BA683" s="190">
        <f t="shared" si="412"/>
        <v>0</v>
      </c>
      <c r="BB683" s="190">
        <f t="shared" si="412"/>
        <v>0</v>
      </c>
      <c r="BC683" s="190">
        <f t="shared" si="412"/>
        <v>0</v>
      </c>
      <c r="BD683" s="190">
        <f t="shared" si="412"/>
        <v>0</v>
      </c>
      <c r="BE683" s="190">
        <f t="shared" si="412"/>
        <v>0</v>
      </c>
      <c r="BF683" s="190">
        <f t="shared" si="412"/>
        <v>0</v>
      </c>
      <c r="BG683" s="190">
        <f t="shared" si="412"/>
        <v>0</v>
      </c>
      <c r="BH683" s="190">
        <f t="shared" si="412"/>
        <v>0</v>
      </c>
      <c r="BI683" s="190">
        <f t="shared" si="412"/>
        <v>0</v>
      </c>
      <c r="BJ683" s="191">
        <f t="shared" si="412"/>
        <v>0</v>
      </c>
    </row>
    <row r="684" spans="1:64">
      <c r="A684" s="192" t="s">
        <v>159</v>
      </c>
      <c r="B684" s="193">
        <f>SUM(C684:BJ684)</f>
        <v>294694749.75589597</v>
      </c>
      <c r="C684" s="234">
        <f>(((C637+C666)*(1-$K633))-(C676-C646))/(1+$C633)^(C634-1)</f>
        <v>39046318.82146278</v>
      </c>
      <c r="D684" s="186">
        <f>(((D637+D666)*(1-$K633))-(D676-D646))/(1+$C633)^(D634-1)</f>
        <v>37007085.117588177</v>
      </c>
      <c r="E684" s="186">
        <f>(((E637+E666)*(1-$K633))-(E676-E646))/(1+$C633)^(E634-1)</f>
        <v>62299284.346220255</v>
      </c>
      <c r="F684" s="186">
        <f t="shared" ref="F684:BJ684" si="413">(((F637+F666)*(1-$K633))-(F676-F646))/(1+$C633)^(F634-1)</f>
        <v>55085321.867831804</v>
      </c>
      <c r="G684" s="186">
        <f t="shared" si="413"/>
        <v>48702038.135939904</v>
      </c>
      <c r="H684" s="186">
        <f t="shared" si="413"/>
        <v>336356.75908368279</v>
      </c>
      <c r="I684" s="186">
        <f t="shared" si="413"/>
        <v>2125374.0970966532</v>
      </c>
      <c r="J684" s="186">
        <f t="shared" si="413"/>
        <v>3527169.3386581787</v>
      </c>
      <c r="K684" s="186">
        <f t="shared" si="413"/>
        <v>4604181.4584643403</v>
      </c>
      <c r="L684" s="186">
        <f t="shared" si="413"/>
        <v>7503228.7073867861</v>
      </c>
      <c r="M684" s="186">
        <f t="shared" si="413"/>
        <v>6699311.3458810579</v>
      </c>
      <c r="N684" s="186">
        <f t="shared" si="413"/>
        <v>5981527.9873938011</v>
      </c>
      <c r="O684" s="186">
        <f t="shared" si="413"/>
        <v>5340649.9887444656</v>
      </c>
      <c r="P684" s="186">
        <f t="shared" si="413"/>
        <v>4768437.4899504147</v>
      </c>
      <c r="Q684" s="186">
        <f t="shared" si="413"/>
        <v>4257533.4731700132</v>
      </c>
      <c r="R684" s="186">
        <f t="shared" si="413"/>
        <v>3801369.1724732262</v>
      </c>
      <c r="S684" s="186">
        <f t="shared" si="413"/>
        <v>1859551.6696473374</v>
      </c>
      <c r="T684" s="186">
        <f t="shared" si="413"/>
        <v>1135654.1279712385</v>
      </c>
      <c r="U684" s="186">
        <f t="shared" si="413"/>
        <v>545530.59391600569</v>
      </c>
      <c r="V684" s="186">
        <f t="shared" si="413"/>
        <v>68825.257015795665</v>
      </c>
      <c r="W684" s="186">
        <f t="shared" si="413"/>
        <v>0</v>
      </c>
      <c r="X684" s="186">
        <f t="shared" si="413"/>
        <v>0</v>
      </c>
      <c r="Y684" s="186">
        <f t="shared" si="413"/>
        <v>0</v>
      </c>
      <c r="Z684" s="186">
        <f t="shared" si="413"/>
        <v>0</v>
      </c>
      <c r="AA684" s="186">
        <f t="shared" si="413"/>
        <v>0</v>
      </c>
      <c r="AB684" s="186">
        <f t="shared" si="413"/>
        <v>0</v>
      </c>
      <c r="AC684" s="186">
        <f t="shared" si="413"/>
        <v>0</v>
      </c>
      <c r="AD684" s="186">
        <f t="shared" si="413"/>
        <v>0</v>
      </c>
      <c r="AE684" s="186">
        <f t="shared" si="413"/>
        <v>0</v>
      </c>
      <c r="AF684" s="186">
        <f t="shared" si="413"/>
        <v>0</v>
      </c>
      <c r="AG684" s="186">
        <f t="shared" si="413"/>
        <v>0</v>
      </c>
      <c r="AH684" s="186">
        <f t="shared" si="413"/>
        <v>0</v>
      </c>
      <c r="AI684" s="186">
        <f t="shared" si="413"/>
        <v>0</v>
      </c>
      <c r="AJ684" s="186">
        <f t="shared" si="413"/>
        <v>0</v>
      </c>
      <c r="AK684" s="186">
        <f t="shared" si="413"/>
        <v>0</v>
      </c>
      <c r="AL684" s="186">
        <f t="shared" si="413"/>
        <v>0</v>
      </c>
      <c r="AM684" s="186">
        <f t="shared" si="413"/>
        <v>0</v>
      </c>
      <c r="AN684" s="186">
        <f t="shared" si="413"/>
        <v>0</v>
      </c>
      <c r="AO684" s="186">
        <f t="shared" si="413"/>
        <v>0</v>
      </c>
      <c r="AP684" s="186">
        <f t="shared" si="413"/>
        <v>0</v>
      </c>
      <c r="AQ684" s="186">
        <f t="shared" si="413"/>
        <v>0</v>
      </c>
      <c r="AR684" s="186">
        <f t="shared" si="413"/>
        <v>0</v>
      </c>
      <c r="AS684" s="186">
        <f t="shared" si="413"/>
        <v>0</v>
      </c>
      <c r="AT684" s="186">
        <f t="shared" si="413"/>
        <v>0</v>
      </c>
      <c r="AU684" s="186">
        <f t="shared" si="413"/>
        <v>0</v>
      </c>
      <c r="AV684" s="186">
        <f t="shared" si="413"/>
        <v>0</v>
      </c>
      <c r="AW684" s="186">
        <f t="shared" si="413"/>
        <v>0</v>
      </c>
      <c r="AX684" s="186">
        <f t="shared" si="413"/>
        <v>0</v>
      </c>
      <c r="AY684" s="186">
        <f t="shared" si="413"/>
        <v>0</v>
      </c>
      <c r="AZ684" s="186">
        <f t="shared" si="413"/>
        <v>0</v>
      </c>
      <c r="BA684" s="186">
        <f t="shared" si="413"/>
        <v>0</v>
      </c>
      <c r="BB684" s="186">
        <f t="shared" si="413"/>
        <v>0</v>
      </c>
      <c r="BC684" s="186">
        <f t="shared" si="413"/>
        <v>0</v>
      </c>
      <c r="BD684" s="186">
        <f t="shared" si="413"/>
        <v>0</v>
      </c>
      <c r="BE684" s="186">
        <f t="shared" si="413"/>
        <v>0</v>
      </c>
      <c r="BF684" s="186">
        <f t="shared" si="413"/>
        <v>0</v>
      </c>
      <c r="BG684" s="186">
        <f t="shared" si="413"/>
        <v>0</v>
      </c>
      <c r="BH684" s="186">
        <f t="shared" si="413"/>
        <v>0</v>
      </c>
      <c r="BI684" s="186">
        <f t="shared" si="413"/>
        <v>0</v>
      </c>
      <c r="BJ684" s="195">
        <f t="shared" si="413"/>
        <v>0</v>
      </c>
    </row>
    <row r="685" spans="1:64">
      <c r="A685" s="196" t="s">
        <v>160</v>
      </c>
      <c r="B685" s="197">
        <f>B684/B683</f>
        <v>383178.25202992215</v>
      </c>
      <c r="C685" s="166"/>
      <c r="D685" s="167"/>
      <c r="E685" s="167"/>
      <c r="F685" s="167"/>
      <c r="G685" s="167"/>
      <c r="H685" s="167"/>
      <c r="I685" s="167"/>
      <c r="J685" s="167"/>
      <c r="K685" s="167"/>
      <c r="L685" s="167"/>
      <c r="M685" s="167"/>
      <c r="N685" s="167"/>
      <c r="O685" s="167"/>
      <c r="P685" s="167"/>
      <c r="Q685" s="167"/>
      <c r="R685" s="167"/>
      <c r="S685" s="167"/>
      <c r="T685" s="167"/>
      <c r="U685" s="167"/>
      <c r="V685" s="167"/>
      <c r="W685" s="167"/>
      <c r="X685" s="167"/>
      <c r="Y685" s="167"/>
      <c r="Z685" s="167"/>
      <c r="AA685" s="167"/>
      <c r="AB685" s="167"/>
      <c r="AC685" s="167"/>
      <c r="AD685" s="167"/>
      <c r="AE685" s="167"/>
      <c r="AF685" s="167"/>
      <c r="AG685" s="167"/>
      <c r="AH685" s="167"/>
      <c r="AI685" s="167"/>
      <c r="AJ685" s="167"/>
      <c r="AK685" s="167"/>
      <c r="AL685" s="167"/>
      <c r="AM685" s="167"/>
      <c r="AN685" s="167"/>
      <c r="AO685" s="167"/>
      <c r="AP685" s="167"/>
      <c r="AQ685" s="167"/>
      <c r="AR685" s="167"/>
      <c r="AS685" s="167"/>
      <c r="AT685" s="167"/>
      <c r="AU685" s="167"/>
      <c r="AV685" s="167"/>
      <c r="AW685" s="167"/>
      <c r="AX685" s="167"/>
      <c r="AY685" s="167"/>
      <c r="AZ685" s="167"/>
      <c r="BA685" s="167"/>
      <c r="BB685" s="167"/>
      <c r="BC685" s="167"/>
      <c r="BD685" s="167"/>
      <c r="BE685" s="167"/>
      <c r="BF685" s="167"/>
      <c r="BG685" s="167"/>
      <c r="BH685" s="167"/>
      <c r="BI685" s="167"/>
      <c r="BJ685" s="198"/>
    </row>
    <row r="686" spans="1:64">
      <c r="A686" s="187" t="s">
        <v>158</v>
      </c>
      <c r="B686" s="188">
        <f>SUM(C686:BJ686)</f>
        <v>2799.9999999999991</v>
      </c>
      <c r="C686" s="234">
        <f>(C635*(1-$K633))/(1)^(C634-1)</f>
        <v>0</v>
      </c>
      <c r="D686" s="186">
        <f>(D635*(1-$K633))/(1)^(D634-1)</f>
        <v>0</v>
      </c>
      <c r="E686" s="186">
        <f t="shared" ref="E686:BJ686" si="414">(E635*(1-$K633))/(1)^(E634-1)</f>
        <v>0</v>
      </c>
      <c r="F686" s="186">
        <f t="shared" si="414"/>
        <v>0</v>
      </c>
      <c r="G686" s="186">
        <f t="shared" si="414"/>
        <v>0</v>
      </c>
      <c r="H686" s="186">
        <f t="shared" si="414"/>
        <v>42.24499999999999</v>
      </c>
      <c r="I686" s="186">
        <f t="shared" si="414"/>
        <v>84.489999999999981</v>
      </c>
      <c r="J686" s="186">
        <f t="shared" si="414"/>
        <v>126.73499999999996</v>
      </c>
      <c r="K686" s="186">
        <f t="shared" si="414"/>
        <v>168.97999999999996</v>
      </c>
      <c r="L686" s="186">
        <f t="shared" si="414"/>
        <v>279.29999999999995</v>
      </c>
      <c r="M686" s="186">
        <f t="shared" si="414"/>
        <v>279.29999999999995</v>
      </c>
      <c r="N686" s="186">
        <f t="shared" si="414"/>
        <v>279.29999999999995</v>
      </c>
      <c r="O686" s="186">
        <f t="shared" si="414"/>
        <v>279.29999999999995</v>
      </c>
      <c r="P686" s="186">
        <f t="shared" si="414"/>
        <v>279.29999999999995</v>
      </c>
      <c r="Q686" s="186">
        <f t="shared" si="414"/>
        <v>279.29999999999995</v>
      </c>
      <c r="R686" s="186">
        <f t="shared" si="414"/>
        <v>279.29999999999995</v>
      </c>
      <c r="S686" s="186">
        <f t="shared" si="414"/>
        <v>168.97999999999996</v>
      </c>
      <c r="T686" s="186">
        <f t="shared" si="414"/>
        <v>126.73499999999996</v>
      </c>
      <c r="U686" s="186">
        <f t="shared" si="414"/>
        <v>84.489999999999981</v>
      </c>
      <c r="V686" s="186">
        <f t="shared" si="414"/>
        <v>42.24499999999999</v>
      </c>
      <c r="W686" s="186">
        <f t="shared" si="414"/>
        <v>0</v>
      </c>
      <c r="X686" s="186">
        <f t="shared" si="414"/>
        <v>0</v>
      </c>
      <c r="Y686" s="186">
        <f t="shared" si="414"/>
        <v>0</v>
      </c>
      <c r="Z686" s="186">
        <f t="shared" si="414"/>
        <v>0</v>
      </c>
      <c r="AA686" s="186">
        <f t="shared" si="414"/>
        <v>0</v>
      </c>
      <c r="AB686" s="186">
        <f t="shared" si="414"/>
        <v>0</v>
      </c>
      <c r="AC686" s="186">
        <f t="shared" si="414"/>
        <v>0</v>
      </c>
      <c r="AD686" s="186">
        <f t="shared" si="414"/>
        <v>0</v>
      </c>
      <c r="AE686" s="186">
        <f t="shared" si="414"/>
        <v>0</v>
      </c>
      <c r="AF686" s="186">
        <f t="shared" si="414"/>
        <v>0</v>
      </c>
      <c r="AG686" s="186">
        <f t="shared" si="414"/>
        <v>0</v>
      </c>
      <c r="AH686" s="186">
        <f t="shared" si="414"/>
        <v>0</v>
      </c>
      <c r="AI686" s="186">
        <f t="shared" si="414"/>
        <v>0</v>
      </c>
      <c r="AJ686" s="186">
        <f t="shared" si="414"/>
        <v>0</v>
      </c>
      <c r="AK686" s="186">
        <f t="shared" si="414"/>
        <v>0</v>
      </c>
      <c r="AL686" s="186">
        <f t="shared" si="414"/>
        <v>0</v>
      </c>
      <c r="AM686" s="186">
        <f t="shared" si="414"/>
        <v>0</v>
      </c>
      <c r="AN686" s="186">
        <f t="shared" si="414"/>
        <v>0</v>
      </c>
      <c r="AO686" s="186">
        <f t="shared" si="414"/>
        <v>0</v>
      </c>
      <c r="AP686" s="186">
        <f t="shared" si="414"/>
        <v>0</v>
      </c>
      <c r="AQ686" s="186">
        <f t="shared" si="414"/>
        <v>0</v>
      </c>
      <c r="AR686" s="186">
        <f t="shared" si="414"/>
        <v>0</v>
      </c>
      <c r="AS686" s="186">
        <f t="shared" si="414"/>
        <v>0</v>
      </c>
      <c r="AT686" s="186">
        <f t="shared" si="414"/>
        <v>0</v>
      </c>
      <c r="AU686" s="186">
        <f t="shared" si="414"/>
        <v>0</v>
      </c>
      <c r="AV686" s="186">
        <f t="shared" si="414"/>
        <v>0</v>
      </c>
      <c r="AW686" s="186">
        <f t="shared" si="414"/>
        <v>0</v>
      </c>
      <c r="AX686" s="186">
        <f t="shared" si="414"/>
        <v>0</v>
      </c>
      <c r="AY686" s="186">
        <f t="shared" si="414"/>
        <v>0</v>
      </c>
      <c r="AZ686" s="186">
        <f t="shared" si="414"/>
        <v>0</v>
      </c>
      <c r="BA686" s="186">
        <f t="shared" si="414"/>
        <v>0</v>
      </c>
      <c r="BB686" s="186">
        <f t="shared" si="414"/>
        <v>0</v>
      </c>
      <c r="BC686" s="186">
        <f t="shared" si="414"/>
        <v>0</v>
      </c>
      <c r="BD686" s="186">
        <f t="shared" si="414"/>
        <v>0</v>
      </c>
      <c r="BE686" s="186">
        <f t="shared" si="414"/>
        <v>0</v>
      </c>
      <c r="BF686" s="186">
        <f t="shared" si="414"/>
        <v>0</v>
      </c>
      <c r="BG686" s="186">
        <f t="shared" si="414"/>
        <v>0</v>
      </c>
      <c r="BH686" s="186">
        <f t="shared" si="414"/>
        <v>0</v>
      </c>
      <c r="BI686" s="186">
        <f t="shared" si="414"/>
        <v>0</v>
      </c>
      <c r="BJ686" s="195">
        <f t="shared" si="414"/>
        <v>0</v>
      </c>
    </row>
    <row r="687" spans="1:64">
      <c r="A687" s="192" t="s">
        <v>159</v>
      </c>
      <c r="B687" s="193">
        <f>SUM(C687:BJ687)</f>
        <v>506286533.5221476</v>
      </c>
      <c r="C687" s="234">
        <f>(((C637+C666)*(1-$K633))-(C676-C646))/(1)^(C634-1)</f>
        <v>39046318.82146278</v>
      </c>
      <c r="D687" s="186">
        <f>(((D637+D666)*(1-$K633))-(D676-D646))/(1)^(D634-1)</f>
        <v>41447935.33169876</v>
      </c>
      <c r="E687" s="186">
        <f t="shared" ref="E687:BJ687" si="415">(((E637+E666)*(1-$K633))-(E676-E646))/(1)^(E634-1)</f>
        <v>78148222.283898696</v>
      </c>
      <c r="F687" s="186">
        <f t="shared" si="415"/>
        <v>77390911.081129223</v>
      </c>
      <c r="G687" s="186">
        <f t="shared" si="415"/>
        <v>76633599.878359765</v>
      </c>
      <c r="H687" s="186">
        <f t="shared" si="415"/>
        <v>592775.53695923463</v>
      </c>
      <c r="I687" s="186">
        <f t="shared" si="415"/>
        <v>4195111.6073518377</v>
      </c>
      <c r="J687" s="186">
        <f t="shared" si="415"/>
        <v>7797447.6777444389</v>
      </c>
      <c r="K687" s="186">
        <f t="shared" si="415"/>
        <v>11399783.748137044</v>
      </c>
      <c r="L687" s="186">
        <f t="shared" si="415"/>
        <v>20807044.140744731</v>
      </c>
      <c r="M687" s="186">
        <f t="shared" si="415"/>
        <v>20807044.140744731</v>
      </c>
      <c r="N687" s="186">
        <f t="shared" si="415"/>
        <v>20807044.140744731</v>
      </c>
      <c r="O687" s="186">
        <f t="shared" si="415"/>
        <v>20807044.140744731</v>
      </c>
      <c r="P687" s="186">
        <f t="shared" si="415"/>
        <v>20807044.140744731</v>
      </c>
      <c r="Q687" s="186">
        <f t="shared" si="415"/>
        <v>20807044.140744731</v>
      </c>
      <c r="R687" s="186">
        <f t="shared" si="415"/>
        <v>20807044.140744731</v>
      </c>
      <c r="S687" s="186">
        <f t="shared" si="415"/>
        <v>11399783.748137044</v>
      </c>
      <c r="T687" s="186">
        <f t="shared" si="415"/>
        <v>7797447.6777444389</v>
      </c>
      <c r="U687" s="186">
        <f t="shared" si="415"/>
        <v>4195111.6073518377</v>
      </c>
      <c r="V687" s="186">
        <f t="shared" si="415"/>
        <v>592775.53695923463</v>
      </c>
      <c r="W687" s="186">
        <f t="shared" si="415"/>
        <v>0</v>
      </c>
      <c r="X687" s="186">
        <f t="shared" si="415"/>
        <v>0</v>
      </c>
      <c r="Y687" s="186">
        <f t="shared" si="415"/>
        <v>0</v>
      </c>
      <c r="Z687" s="186">
        <f t="shared" si="415"/>
        <v>0</v>
      </c>
      <c r="AA687" s="186">
        <f t="shared" si="415"/>
        <v>0</v>
      </c>
      <c r="AB687" s="186">
        <f t="shared" si="415"/>
        <v>0</v>
      </c>
      <c r="AC687" s="186">
        <f t="shared" si="415"/>
        <v>0</v>
      </c>
      <c r="AD687" s="186">
        <f t="shared" si="415"/>
        <v>0</v>
      </c>
      <c r="AE687" s="186">
        <f t="shared" si="415"/>
        <v>0</v>
      </c>
      <c r="AF687" s="186">
        <f t="shared" si="415"/>
        <v>0</v>
      </c>
      <c r="AG687" s="186">
        <f t="shared" si="415"/>
        <v>0</v>
      </c>
      <c r="AH687" s="186">
        <f t="shared" si="415"/>
        <v>0</v>
      </c>
      <c r="AI687" s="186">
        <f t="shared" si="415"/>
        <v>0</v>
      </c>
      <c r="AJ687" s="186">
        <f t="shared" si="415"/>
        <v>0</v>
      </c>
      <c r="AK687" s="186">
        <f t="shared" si="415"/>
        <v>0</v>
      </c>
      <c r="AL687" s="186">
        <f t="shared" si="415"/>
        <v>0</v>
      </c>
      <c r="AM687" s="186">
        <f t="shared" si="415"/>
        <v>0</v>
      </c>
      <c r="AN687" s="186">
        <f t="shared" si="415"/>
        <v>0</v>
      </c>
      <c r="AO687" s="186">
        <f t="shared" si="415"/>
        <v>0</v>
      </c>
      <c r="AP687" s="186">
        <f t="shared" si="415"/>
        <v>0</v>
      </c>
      <c r="AQ687" s="186">
        <f t="shared" si="415"/>
        <v>0</v>
      </c>
      <c r="AR687" s="186">
        <f t="shared" si="415"/>
        <v>0</v>
      </c>
      <c r="AS687" s="186">
        <f t="shared" si="415"/>
        <v>0</v>
      </c>
      <c r="AT687" s="186">
        <f t="shared" si="415"/>
        <v>0</v>
      </c>
      <c r="AU687" s="186">
        <f t="shared" si="415"/>
        <v>0</v>
      </c>
      <c r="AV687" s="186">
        <f t="shared" si="415"/>
        <v>0</v>
      </c>
      <c r="AW687" s="186">
        <f t="shared" si="415"/>
        <v>0</v>
      </c>
      <c r="AX687" s="186">
        <f t="shared" si="415"/>
        <v>0</v>
      </c>
      <c r="AY687" s="186">
        <f t="shared" si="415"/>
        <v>0</v>
      </c>
      <c r="AZ687" s="186">
        <f t="shared" si="415"/>
        <v>0</v>
      </c>
      <c r="BA687" s="186">
        <f t="shared" si="415"/>
        <v>0</v>
      </c>
      <c r="BB687" s="186">
        <f t="shared" si="415"/>
        <v>0</v>
      </c>
      <c r="BC687" s="186">
        <f t="shared" si="415"/>
        <v>0</v>
      </c>
      <c r="BD687" s="186">
        <f t="shared" si="415"/>
        <v>0</v>
      </c>
      <c r="BE687" s="186">
        <f t="shared" si="415"/>
        <v>0</v>
      </c>
      <c r="BF687" s="186">
        <f t="shared" si="415"/>
        <v>0</v>
      </c>
      <c r="BG687" s="186">
        <f t="shared" si="415"/>
        <v>0</v>
      </c>
      <c r="BH687" s="186">
        <f t="shared" si="415"/>
        <v>0</v>
      </c>
      <c r="BI687" s="186">
        <f t="shared" si="415"/>
        <v>0</v>
      </c>
      <c r="BJ687" s="195">
        <f t="shared" si="415"/>
        <v>0</v>
      </c>
      <c r="BK687" s="186"/>
    </row>
    <row r="688" spans="1:64">
      <c r="A688" s="196" t="s">
        <v>161</v>
      </c>
      <c r="B688" s="197">
        <f>B687/B686</f>
        <v>180816.61911505277</v>
      </c>
      <c r="C688" s="166"/>
      <c r="D688" s="167"/>
      <c r="E688" s="167"/>
      <c r="F688" s="167"/>
      <c r="G688" s="167"/>
      <c r="H688" s="167"/>
      <c r="I688" s="167"/>
      <c r="J688" s="167"/>
      <c r="K688" s="167"/>
      <c r="L688" s="167"/>
      <c r="M688" s="167"/>
      <c r="N688" s="167"/>
      <c r="O688" s="167"/>
      <c r="P688" s="167"/>
      <c r="Q688" s="167"/>
      <c r="R688" s="167"/>
      <c r="S688" s="167"/>
      <c r="T688" s="167"/>
      <c r="U688" s="167"/>
      <c r="V688" s="167"/>
      <c r="W688" s="167"/>
      <c r="X688" s="167"/>
      <c r="Y688" s="167"/>
      <c r="Z688" s="167"/>
      <c r="AA688" s="167"/>
      <c r="AB688" s="167"/>
      <c r="AC688" s="167"/>
      <c r="AD688" s="167"/>
      <c r="AE688" s="167"/>
      <c r="AF688" s="167"/>
      <c r="AG688" s="167"/>
      <c r="AH688" s="167"/>
      <c r="AI688" s="167"/>
      <c r="AJ688" s="167"/>
      <c r="AK688" s="167"/>
      <c r="AL688" s="167"/>
      <c r="AM688" s="167"/>
      <c r="AN688" s="167"/>
      <c r="AO688" s="167"/>
      <c r="AP688" s="167"/>
      <c r="AQ688" s="167"/>
      <c r="AR688" s="167"/>
      <c r="AS688" s="167"/>
      <c r="AT688" s="167"/>
      <c r="AU688" s="167"/>
      <c r="AV688" s="167"/>
      <c r="AW688" s="167"/>
      <c r="AX688" s="167"/>
      <c r="AY688" s="167"/>
      <c r="AZ688" s="167"/>
      <c r="BA688" s="167"/>
      <c r="BB688" s="167"/>
      <c r="BC688" s="167"/>
      <c r="BD688" s="167"/>
      <c r="BE688" s="167"/>
      <c r="BF688" s="167"/>
      <c r="BG688" s="167"/>
      <c r="BH688" s="167"/>
      <c r="BI688" s="167"/>
      <c r="BJ688" s="198"/>
    </row>
    <row r="689" spans="1:64">
      <c r="A689" s="199"/>
      <c r="B689" s="200"/>
      <c r="C689" s="201"/>
      <c r="D689" s="201"/>
      <c r="E689" s="201"/>
      <c r="F689" s="201"/>
      <c r="G689" s="201"/>
      <c r="H689" s="201"/>
      <c r="I689" s="202"/>
      <c r="J689" s="201"/>
      <c r="K689" s="201"/>
      <c r="L689" s="201"/>
      <c r="M689" s="201"/>
      <c r="N689" s="201"/>
      <c r="O689" s="201"/>
      <c r="P689" s="201"/>
      <c r="Q689" s="201"/>
      <c r="R689" s="201"/>
      <c r="S689" s="201"/>
      <c r="T689" s="201"/>
      <c r="U689" s="201"/>
      <c r="V689" s="201"/>
      <c r="W689" s="201"/>
      <c r="X689" s="201"/>
      <c r="Y689" s="201"/>
      <c r="Z689" s="201"/>
      <c r="AA689" s="201"/>
      <c r="AB689" s="201"/>
      <c r="AC689" s="201"/>
      <c r="AD689" s="201"/>
      <c r="AE689" s="201"/>
      <c r="AF689" s="201"/>
      <c r="AG689" s="201"/>
      <c r="AH689" s="201"/>
      <c r="AI689" s="201"/>
      <c r="AJ689" s="201"/>
      <c r="AK689" s="201"/>
      <c r="AL689" s="201"/>
      <c r="AM689" s="201"/>
      <c r="AN689" s="201"/>
      <c r="AO689" s="201"/>
      <c r="AP689" s="201"/>
      <c r="AQ689" s="201"/>
      <c r="AR689" s="201"/>
      <c r="AS689" s="201"/>
      <c r="AT689" s="201"/>
      <c r="AU689" s="201"/>
      <c r="AV689" s="201"/>
      <c r="AW689" s="201"/>
      <c r="AX689" s="201"/>
      <c r="AY689" s="201"/>
      <c r="AZ689" s="201"/>
      <c r="BA689" s="201"/>
      <c r="BB689" s="201"/>
      <c r="BC689" s="201"/>
      <c r="BD689" s="201"/>
      <c r="BE689" s="201"/>
      <c r="BF689" s="201"/>
      <c r="BG689" s="201"/>
      <c r="BH689" s="201"/>
      <c r="BI689" s="201"/>
      <c r="BJ689" s="201"/>
    </row>
    <row r="690" spans="1:64" ht="21">
      <c r="A690" s="203" t="s">
        <v>162</v>
      </c>
      <c r="B690" s="89"/>
      <c r="D690" s="204"/>
      <c r="E690" s="204"/>
    </row>
    <row r="691" spans="1:64" s="94" customFormat="1">
      <c r="A691" s="90" t="s">
        <v>154</v>
      </c>
      <c r="B691" s="91" t="s">
        <v>155</v>
      </c>
      <c r="C691" s="91">
        <v>1</v>
      </c>
      <c r="D691" s="92">
        <v>2</v>
      </c>
      <c r="E691" s="92">
        <v>3</v>
      </c>
      <c r="F691" s="92">
        <v>4</v>
      </c>
      <c r="G691" s="92">
        <v>5</v>
      </c>
      <c r="H691" s="92">
        <v>6</v>
      </c>
      <c r="I691" s="92">
        <v>7</v>
      </c>
      <c r="J691" s="92">
        <v>8</v>
      </c>
      <c r="K691" s="92">
        <v>9</v>
      </c>
      <c r="L691" s="92">
        <v>10</v>
      </c>
      <c r="M691" s="92">
        <v>11</v>
      </c>
      <c r="N691" s="92">
        <v>12</v>
      </c>
      <c r="O691" s="92">
        <v>13</v>
      </c>
      <c r="P691" s="92">
        <v>14</v>
      </c>
      <c r="Q691" s="92">
        <v>15</v>
      </c>
      <c r="R691" s="92">
        <v>16</v>
      </c>
      <c r="S691" s="92">
        <v>17</v>
      </c>
      <c r="T691" s="92">
        <v>18</v>
      </c>
      <c r="U691" s="92">
        <v>19</v>
      </c>
      <c r="V691" s="92">
        <v>20</v>
      </c>
      <c r="W691" s="92">
        <v>21</v>
      </c>
      <c r="X691" s="92">
        <v>22</v>
      </c>
      <c r="Y691" s="92">
        <v>23</v>
      </c>
      <c r="Z691" s="92">
        <v>24</v>
      </c>
      <c r="AA691" s="92">
        <v>25</v>
      </c>
      <c r="AB691" s="92">
        <v>26</v>
      </c>
      <c r="AC691" s="92">
        <v>27</v>
      </c>
      <c r="AD691" s="92">
        <v>28</v>
      </c>
      <c r="AE691" s="92">
        <v>29</v>
      </c>
      <c r="AF691" s="92">
        <v>30</v>
      </c>
      <c r="AG691" s="92">
        <v>31</v>
      </c>
      <c r="AH691" s="92">
        <v>32</v>
      </c>
      <c r="AI691" s="92">
        <v>33</v>
      </c>
      <c r="AJ691" s="92">
        <v>34</v>
      </c>
      <c r="AK691" s="92">
        <v>35</v>
      </c>
      <c r="AL691" s="92">
        <v>36</v>
      </c>
      <c r="AM691" s="92">
        <v>37</v>
      </c>
      <c r="AN691" s="92">
        <v>38</v>
      </c>
      <c r="AO691" s="92">
        <v>39</v>
      </c>
      <c r="AP691" s="92">
        <v>40</v>
      </c>
      <c r="AQ691" s="92">
        <v>41</v>
      </c>
      <c r="AR691" s="92">
        <v>42</v>
      </c>
      <c r="AS691" s="92">
        <v>43</v>
      </c>
      <c r="AT691" s="92">
        <v>44</v>
      </c>
      <c r="AU691" s="92">
        <v>45</v>
      </c>
      <c r="AV691" s="92">
        <v>46</v>
      </c>
      <c r="AW691" s="92">
        <v>47</v>
      </c>
      <c r="AX691" s="92">
        <v>48</v>
      </c>
      <c r="AY691" s="92">
        <v>49</v>
      </c>
      <c r="AZ691" s="92">
        <v>50</v>
      </c>
      <c r="BA691" s="92">
        <v>51</v>
      </c>
      <c r="BB691" s="92">
        <v>52</v>
      </c>
      <c r="BC691" s="92">
        <v>53</v>
      </c>
      <c r="BD691" s="92">
        <v>54</v>
      </c>
      <c r="BE691" s="92">
        <v>55</v>
      </c>
      <c r="BF691" s="92">
        <v>56</v>
      </c>
      <c r="BG691" s="92">
        <v>57</v>
      </c>
      <c r="BH691" s="92">
        <v>58</v>
      </c>
      <c r="BI691" s="92">
        <v>59</v>
      </c>
      <c r="BJ691" s="93">
        <v>60</v>
      </c>
    </row>
    <row r="692" spans="1:64" s="100" customFormat="1">
      <c r="A692" s="95" t="s">
        <v>156</v>
      </c>
      <c r="B692" s="96">
        <f>SUM(C692:BJ692)</f>
        <v>3999.9999999999995</v>
      </c>
      <c r="C692" s="96">
        <f t="shared" ref="C692:BJ692" si="416">C635</f>
        <v>0</v>
      </c>
      <c r="D692" s="205">
        <f t="shared" si="416"/>
        <v>0</v>
      </c>
      <c r="E692" s="205">
        <f t="shared" si="416"/>
        <v>0</v>
      </c>
      <c r="F692" s="205">
        <f t="shared" si="416"/>
        <v>0</v>
      </c>
      <c r="G692" s="205">
        <f t="shared" si="416"/>
        <v>0</v>
      </c>
      <c r="H692" s="205">
        <f t="shared" si="416"/>
        <v>60.349999999999994</v>
      </c>
      <c r="I692" s="205">
        <f t="shared" si="416"/>
        <v>120.69999999999999</v>
      </c>
      <c r="J692" s="205">
        <f t="shared" si="416"/>
        <v>181.04999999999995</v>
      </c>
      <c r="K692" s="205">
        <f t="shared" si="416"/>
        <v>241.39999999999998</v>
      </c>
      <c r="L692" s="205">
        <f t="shared" si="416"/>
        <v>399</v>
      </c>
      <c r="M692" s="205">
        <f t="shared" si="416"/>
        <v>399</v>
      </c>
      <c r="N692" s="205">
        <f t="shared" si="416"/>
        <v>399</v>
      </c>
      <c r="O692" s="205">
        <f t="shared" si="416"/>
        <v>399</v>
      </c>
      <c r="P692" s="205">
        <f t="shared" si="416"/>
        <v>399</v>
      </c>
      <c r="Q692" s="205">
        <f t="shared" si="416"/>
        <v>399</v>
      </c>
      <c r="R692" s="205">
        <f t="shared" si="416"/>
        <v>399</v>
      </c>
      <c r="S692" s="205">
        <f t="shared" si="416"/>
        <v>241.39999999999998</v>
      </c>
      <c r="T692" s="205">
        <f t="shared" si="416"/>
        <v>181.04999999999995</v>
      </c>
      <c r="U692" s="205">
        <f t="shared" si="416"/>
        <v>120.69999999999999</v>
      </c>
      <c r="V692" s="205">
        <f t="shared" si="416"/>
        <v>60.349999999999994</v>
      </c>
      <c r="W692" s="205">
        <f t="shared" si="416"/>
        <v>0</v>
      </c>
      <c r="X692" s="205">
        <f t="shared" si="416"/>
        <v>0</v>
      </c>
      <c r="Y692" s="205">
        <f t="shared" si="416"/>
        <v>0</v>
      </c>
      <c r="Z692" s="205">
        <f t="shared" si="416"/>
        <v>0</v>
      </c>
      <c r="AA692" s="205">
        <f t="shared" si="416"/>
        <v>0</v>
      </c>
      <c r="AB692" s="205">
        <f t="shared" si="416"/>
        <v>0</v>
      </c>
      <c r="AC692" s="205">
        <f t="shared" si="416"/>
        <v>0</v>
      </c>
      <c r="AD692" s="205">
        <f t="shared" si="416"/>
        <v>0</v>
      </c>
      <c r="AE692" s="205">
        <f t="shared" si="416"/>
        <v>0</v>
      </c>
      <c r="AF692" s="205">
        <f t="shared" si="416"/>
        <v>0</v>
      </c>
      <c r="AG692" s="205">
        <f t="shared" si="416"/>
        <v>0</v>
      </c>
      <c r="AH692" s="205">
        <f t="shared" si="416"/>
        <v>0</v>
      </c>
      <c r="AI692" s="205">
        <f t="shared" si="416"/>
        <v>0</v>
      </c>
      <c r="AJ692" s="205">
        <f t="shared" si="416"/>
        <v>0</v>
      </c>
      <c r="AK692" s="205">
        <f t="shared" si="416"/>
        <v>0</v>
      </c>
      <c r="AL692" s="205">
        <f t="shared" si="416"/>
        <v>0</v>
      </c>
      <c r="AM692" s="205">
        <f t="shared" si="416"/>
        <v>0</v>
      </c>
      <c r="AN692" s="205">
        <f t="shared" si="416"/>
        <v>0</v>
      </c>
      <c r="AO692" s="205">
        <f t="shared" si="416"/>
        <v>0</v>
      </c>
      <c r="AP692" s="205">
        <f t="shared" si="416"/>
        <v>0</v>
      </c>
      <c r="AQ692" s="205">
        <f t="shared" si="416"/>
        <v>0</v>
      </c>
      <c r="AR692" s="205">
        <f t="shared" si="416"/>
        <v>0</v>
      </c>
      <c r="AS692" s="205">
        <f t="shared" si="416"/>
        <v>0</v>
      </c>
      <c r="AT692" s="205">
        <f t="shared" si="416"/>
        <v>0</v>
      </c>
      <c r="AU692" s="205">
        <f t="shared" si="416"/>
        <v>0</v>
      </c>
      <c r="AV692" s="205">
        <f t="shared" si="416"/>
        <v>0</v>
      </c>
      <c r="AW692" s="205">
        <f t="shared" si="416"/>
        <v>0</v>
      </c>
      <c r="AX692" s="205">
        <f t="shared" si="416"/>
        <v>0</v>
      </c>
      <c r="AY692" s="205">
        <f t="shared" si="416"/>
        <v>0</v>
      </c>
      <c r="AZ692" s="205">
        <f t="shared" si="416"/>
        <v>0</v>
      </c>
      <c r="BA692" s="205">
        <f t="shared" si="416"/>
        <v>0</v>
      </c>
      <c r="BB692" s="205">
        <f t="shared" si="416"/>
        <v>0</v>
      </c>
      <c r="BC692" s="205">
        <f t="shared" si="416"/>
        <v>0</v>
      </c>
      <c r="BD692" s="205">
        <f t="shared" si="416"/>
        <v>0</v>
      </c>
      <c r="BE692" s="205">
        <f t="shared" si="416"/>
        <v>0</v>
      </c>
      <c r="BF692" s="205">
        <f t="shared" si="416"/>
        <v>0</v>
      </c>
      <c r="BG692" s="205">
        <f t="shared" si="416"/>
        <v>0</v>
      </c>
      <c r="BH692" s="205">
        <f t="shared" si="416"/>
        <v>0</v>
      </c>
      <c r="BI692" s="205">
        <f t="shared" si="416"/>
        <v>0</v>
      </c>
      <c r="BJ692" s="206">
        <f t="shared" si="416"/>
        <v>0</v>
      </c>
    </row>
    <row r="693" spans="1:64" s="105" customFormat="1">
      <c r="A693" s="101" t="s">
        <v>115</v>
      </c>
      <c r="B693" s="102">
        <f>SUM(C693:BJ693)</f>
        <v>3690773859.6414256</v>
      </c>
      <c r="C693" s="207">
        <f>C636*(1+$G633)^(C519-1)</f>
        <v>6717101.8798881406</v>
      </c>
      <c r="D693" s="208">
        <f>D636*(1+$G633)^(D634-1)</f>
        <v>7265217.3932870133</v>
      </c>
      <c r="E693" s="208">
        <f t="shared" ref="E693:BJ693" si="417">E636*(1+$G633)^(E634-1)</f>
        <v>7555826.0890184948</v>
      </c>
      <c r="F693" s="208">
        <f t="shared" si="417"/>
        <v>7858059.1325792335</v>
      </c>
      <c r="G693" s="208">
        <f t="shared" si="417"/>
        <v>8172381.4978824044</v>
      </c>
      <c r="H693" s="208">
        <f t="shared" si="417"/>
        <v>41543961.212281495</v>
      </c>
      <c r="I693" s="208">
        <f t="shared" si="417"/>
        <v>86411439.321545511</v>
      </c>
      <c r="J693" s="208">
        <f t="shared" si="417"/>
        <v>134801845.34161097</v>
      </c>
      <c r="K693" s="208">
        <f t="shared" si="417"/>
        <v>186925225.54036728</v>
      </c>
      <c r="L693" s="208">
        <f t="shared" si="417"/>
        <v>321319352.07220727</v>
      </c>
      <c r="M693" s="208">
        <f t="shared" si="417"/>
        <v>334172126.15509552</v>
      </c>
      <c r="N693" s="208">
        <f t="shared" si="417"/>
        <v>347539011.20129937</v>
      </c>
      <c r="O693" s="208">
        <f t="shared" si="417"/>
        <v>361440571.64935142</v>
      </c>
      <c r="P693" s="208">
        <f t="shared" si="417"/>
        <v>375898194.51532549</v>
      </c>
      <c r="Q693" s="208">
        <f t="shared" si="417"/>
        <v>390934122.29593849</v>
      </c>
      <c r="R693" s="208">
        <f t="shared" si="417"/>
        <v>406571487.18777603</v>
      </c>
      <c r="S693" s="208">
        <f t="shared" si="417"/>
        <v>255820078.41457212</v>
      </c>
      <c r="T693" s="208">
        <f t="shared" si="417"/>
        <v>199539661.16336626</v>
      </c>
      <c r="U693" s="208">
        <f t="shared" si="417"/>
        <v>138347498.40660062</v>
      </c>
      <c r="V693" s="208">
        <f t="shared" si="417"/>
        <v>71940699.171432316</v>
      </c>
      <c r="W693" s="208">
        <f t="shared" si="417"/>
        <v>0</v>
      </c>
      <c r="X693" s="208">
        <f t="shared" si="417"/>
        <v>0</v>
      </c>
      <c r="Y693" s="208">
        <f t="shared" si="417"/>
        <v>0</v>
      </c>
      <c r="Z693" s="208">
        <f t="shared" si="417"/>
        <v>0</v>
      </c>
      <c r="AA693" s="208">
        <f t="shared" si="417"/>
        <v>0</v>
      </c>
      <c r="AB693" s="208">
        <f t="shared" si="417"/>
        <v>0</v>
      </c>
      <c r="AC693" s="208">
        <f t="shared" si="417"/>
        <v>0</v>
      </c>
      <c r="AD693" s="208">
        <f t="shared" si="417"/>
        <v>0</v>
      </c>
      <c r="AE693" s="208">
        <f t="shared" si="417"/>
        <v>0</v>
      </c>
      <c r="AF693" s="208">
        <f t="shared" si="417"/>
        <v>0</v>
      </c>
      <c r="AG693" s="208">
        <f t="shared" si="417"/>
        <v>0</v>
      </c>
      <c r="AH693" s="208">
        <f t="shared" si="417"/>
        <v>0</v>
      </c>
      <c r="AI693" s="208">
        <f t="shared" si="417"/>
        <v>0</v>
      </c>
      <c r="AJ693" s="208">
        <f t="shared" si="417"/>
        <v>0</v>
      </c>
      <c r="AK693" s="208">
        <f t="shared" si="417"/>
        <v>0</v>
      </c>
      <c r="AL693" s="208">
        <f t="shared" si="417"/>
        <v>0</v>
      </c>
      <c r="AM693" s="208">
        <f t="shared" si="417"/>
        <v>0</v>
      </c>
      <c r="AN693" s="208">
        <f t="shared" si="417"/>
        <v>0</v>
      </c>
      <c r="AO693" s="208">
        <f t="shared" si="417"/>
        <v>0</v>
      </c>
      <c r="AP693" s="208">
        <f t="shared" si="417"/>
        <v>0</v>
      </c>
      <c r="AQ693" s="208">
        <f t="shared" si="417"/>
        <v>0</v>
      </c>
      <c r="AR693" s="208">
        <f t="shared" si="417"/>
        <v>0</v>
      </c>
      <c r="AS693" s="208">
        <f t="shared" si="417"/>
        <v>0</v>
      </c>
      <c r="AT693" s="208">
        <f t="shared" si="417"/>
        <v>0</v>
      </c>
      <c r="AU693" s="208">
        <f t="shared" si="417"/>
        <v>0</v>
      </c>
      <c r="AV693" s="208">
        <f t="shared" si="417"/>
        <v>0</v>
      </c>
      <c r="AW693" s="208">
        <f t="shared" si="417"/>
        <v>0</v>
      </c>
      <c r="AX693" s="208">
        <f t="shared" si="417"/>
        <v>0</v>
      </c>
      <c r="AY693" s="208">
        <f t="shared" si="417"/>
        <v>0</v>
      </c>
      <c r="AZ693" s="208">
        <f t="shared" si="417"/>
        <v>0</v>
      </c>
      <c r="BA693" s="208">
        <f t="shared" si="417"/>
        <v>0</v>
      </c>
      <c r="BB693" s="208">
        <f t="shared" si="417"/>
        <v>0</v>
      </c>
      <c r="BC693" s="208">
        <f t="shared" si="417"/>
        <v>0</v>
      </c>
      <c r="BD693" s="208">
        <f t="shared" si="417"/>
        <v>0</v>
      </c>
      <c r="BE693" s="208">
        <f t="shared" si="417"/>
        <v>0</v>
      </c>
      <c r="BF693" s="208">
        <f t="shared" si="417"/>
        <v>0</v>
      </c>
      <c r="BG693" s="208">
        <f t="shared" si="417"/>
        <v>0</v>
      </c>
      <c r="BH693" s="208">
        <f t="shared" si="417"/>
        <v>0</v>
      </c>
      <c r="BI693" s="208">
        <f t="shared" si="417"/>
        <v>0</v>
      </c>
      <c r="BJ693" s="209">
        <f t="shared" si="417"/>
        <v>0</v>
      </c>
    </row>
    <row r="694" spans="1:64" s="105" customFormat="1">
      <c r="A694" s="106" t="s">
        <v>116</v>
      </c>
      <c r="B694" s="210">
        <f>SUM(B701,B695:B696)</f>
        <v>580848071.05950189</v>
      </c>
      <c r="C694" s="102">
        <f>SUM(C695:C696,C701)</f>
        <v>5588628.7640669327</v>
      </c>
      <c r="D694" s="103">
        <f t="shared" ref="D694:BJ694" si="418">SUM(D695:D696,D701)</f>
        <v>5812173.9146296103</v>
      </c>
      <c r="E694" s="103">
        <f t="shared" si="418"/>
        <v>6044660.8712147949</v>
      </c>
      <c r="F694" s="103">
        <f t="shared" si="418"/>
        <v>6286447.3060633866</v>
      </c>
      <c r="G694" s="103">
        <f t="shared" si="418"/>
        <v>6537905.1983059226</v>
      </c>
      <c r="H694" s="103">
        <f t="shared" si="418"/>
        <v>6261132.3363762461</v>
      </c>
      <c r="I694" s="103">
        <f t="shared" si="418"/>
        <v>13023155.259662591</v>
      </c>
      <c r="J694" s="103">
        <f t="shared" si="418"/>
        <v>20316122.205073636</v>
      </c>
      <c r="K694" s="103">
        <f t="shared" si="418"/>
        <v>28171689.457702119</v>
      </c>
      <c r="L694" s="103">
        <f t="shared" si="418"/>
        <v>48426363.94932922</v>
      </c>
      <c r="M694" s="103">
        <f t="shared" si="418"/>
        <v>50363418.507302389</v>
      </c>
      <c r="N694" s="103">
        <f t="shared" si="418"/>
        <v>52377955.247594476</v>
      </c>
      <c r="O694" s="103">
        <f t="shared" si="418"/>
        <v>54473073.457498275</v>
      </c>
      <c r="P694" s="103">
        <f t="shared" si="418"/>
        <v>56651996.395798199</v>
      </c>
      <c r="Q694" s="103">
        <f t="shared" si="418"/>
        <v>58918076.251630135</v>
      </c>
      <c r="R694" s="103">
        <f t="shared" si="418"/>
        <v>61274799.301695332</v>
      </c>
      <c r="S694" s="103">
        <f t="shared" si="418"/>
        <v>38554902.289439663</v>
      </c>
      <c r="T694" s="103">
        <f t="shared" si="418"/>
        <v>30072823.785762936</v>
      </c>
      <c r="U694" s="103">
        <f t="shared" si="418"/>
        <v>20850491.158128973</v>
      </c>
      <c r="V694" s="103">
        <f t="shared" si="418"/>
        <v>10842255.402227066</v>
      </c>
      <c r="W694" s="103">
        <f t="shared" si="418"/>
        <v>0</v>
      </c>
      <c r="X694" s="103">
        <f t="shared" si="418"/>
        <v>0</v>
      </c>
      <c r="Y694" s="103">
        <f t="shared" si="418"/>
        <v>0</v>
      </c>
      <c r="Z694" s="103">
        <f t="shared" si="418"/>
        <v>0</v>
      </c>
      <c r="AA694" s="103">
        <f t="shared" si="418"/>
        <v>0</v>
      </c>
      <c r="AB694" s="103">
        <f t="shared" si="418"/>
        <v>0</v>
      </c>
      <c r="AC694" s="103">
        <f t="shared" si="418"/>
        <v>0</v>
      </c>
      <c r="AD694" s="103">
        <f t="shared" si="418"/>
        <v>0</v>
      </c>
      <c r="AE694" s="103">
        <f t="shared" si="418"/>
        <v>0</v>
      </c>
      <c r="AF694" s="103">
        <f t="shared" si="418"/>
        <v>0</v>
      </c>
      <c r="AG694" s="103">
        <f t="shared" si="418"/>
        <v>0</v>
      </c>
      <c r="AH694" s="103">
        <f t="shared" si="418"/>
        <v>0</v>
      </c>
      <c r="AI694" s="103">
        <f t="shared" si="418"/>
        <v>0</v>
      </c>
      <c r="AJ694" s="103">
        <f t="shared" si="418"/>
        <v>0</v>
      </c>
      <c r="AK694" s="103">
        <f t="shared" si="418"/>
        <v>0</v>
      </c>
      <c r="AL694" s="103">
        <f t="shared" si="418"/>
        <v>0</v>
      </c>
      <c r="AM694" s="103">
        <f t="shared" si="418"/>
        <v>0</v>
      </c>
      <c r="AN694" s="103">
        <f t="shared" si="418"/>
        <v>0</v>
      </c>
      <c r="AO694" s="103">
        <f t="shared" si="418"/>
        <v>0</v>
      </c>
      <c r="AP694" s="103">
        <f t="shared" si="418"/>
        <v>0</v>
      </c>
      <c r="AQ694" s="103">
        <f t="shared" si="418"/>
        <v>0</v>
      </c>
      <c r="AR694" s="103">
        <f t="shared" si="418"/>
        <v>0</v>
      </c>
      <c r="AS694" s="103">
        <f t="shared" si="418"/>
        <v>0</v>
      </c>
      <c r="AT694" s="103">
        <f t="shared" si="418"/>
        <v>0</v>
      </c>
      <c r="AU694" s="103">
        <f t="shared" si="418"/>
        <v>0</v>
      </c>
      <c r="AV694" s="103">
        <f t="shared" si="418"/>
        <v>0</v>
      </c>
      <c r="AW694" s="103">
        <f t="shared" si="418"/>
        <v>0</v>
      </c>
      <c r="AX694" s="103">
        <f t="shared" si="418"/>
        <v>0</v>
      </c>
      <c r="AY694" s="103">
        <f t="shared" si="418"/>
        <v>0</v>
      </c>
      <c r="AZ694" s="103">
        <f t="shared" si="418"/>
        <v>0</v>
      </c>
      <c r="BA694" s="103">
        <f t="shared" si="418"/>
        <v>0</v>
      </c>
      <c r="BB694" s="103">
        <f t="shared" si="418"/>
        <v>0</v>
      </c>
      <c r="BC694" s="103">
        <f t="shared" si="418"/>
        <v>0</v>
      </c>
      <c r="BD694" s="103">
        <f t="shared" si="418"/>
        <v>0</v>
      </c>
      <c r="BE694" s="103">
        <f t="shared" si="418"/>
        <v>0</v>
      </c>
      <c r="BF694" s="103">
        <f t="shared" si="418"/>
        <v>0</v>
      </c>
      <c r="BG694" s="103">
        <f t="shared" si="418"/>
        <v>0</v>
      </c>
      <c r="BH694" s="103">
        <f t="shared" si="418"/>
        <v>0</v>
      </c>
      <c r="BI694" s="103">
        <f t="shared" si="418"/>
        <v>0</v>
      </c>
      <c r="BJ694" s="104">
        <f t="shared" si="418"/>
        <v>0</v>
      </c>
    </row>
    <row r="695" spans="1:64" s="116" customFormat="1">
      <c r="A695" s="111" t="s">
        <v>117</v>
      </c>
      <c r="B695" s="155">
        <f>SUM(C695:BJ695)</f>
        <v>148769847.33109486</v>
      </c>
      <c r="C695" s="108">
        <f>C638*(1+$G633)^(C519-1)</f>
        <v>0</v>
      </c>
      <c r="D695" s="109">
        <f>D638*(1+$G633)^(D634-1)</f>
        <v>0</v>
      </c>
      <c r="E695" s="109">
        <f t="shared" ref="E695:BJ695" si="419">E638*(1+$G633)^(E634-1)</f>
        <v>0</v>
      </c>
      <c r="F695" s="109">
        <f t="shared" si="419"/>
        <v>0</v>
      </c>
      <c r="G695" s="109">
        <f t="shared" si="419"/>
        <v>0</v>
      </c>
      <c r="H695" s="109">
        <f t="shared" si="419"/>
        <v>1691798.9283714849</v>
      </c>
      <c r="I695" s="109">
        <f t="shared" si="419"/>
        <v>3518941.7710126885</v>
      </c>
      <c r="J695" s="109">
        <f t="shared" si="419"/>
        <v>5489549.1627797922</v>
      </c>
      <c r="K695" s="109">
        <f t="shared" si="419"/>
        <v>7612174.8390546478</v>
      </c>
      <c r="L695" s="109">
        <f t="shared" si="419"/>
        <v>13085120.427564694</v>
      </c>
      <c r="M695" s="109">
        <f t="shared" si="419"/>
        <v>13608525.244667282</v>
      </c>
      <c r="N695" s="109">
        <f t="shared" si="419"/>
        <v>14152866.254453972</v>
      </c>
      <c r="O695" s="109">
        <f t="shared" si="419"/>
        <v>14718980.904632134</v>
      </c>
      <c r="P695" s="109">
        <f t="shared" si="419"/>
        <v>15307740.140817421</v>
      </c>
      <c r="Q695" s="109">
        <f t="shared" si="419"/>
        <v>15920049.746450117</v>
      </c>
      <c r="R695" s="109">
        <f t="shared" si="419"/>
        <v>16556851.73630812</v>
      </c>
      <c r="S695" s="109">
        <f t="shared" si="419"/>
        <v>10417786.89100394</v>
      </c>
      <c r="T695" s="109">
        <f t="shared" si="419"/>
        <v>8125873.7749830727</v>
      </c>
      <c r="U695" s="109">
        <f t="shared" si="419"/>
        <v>5633939.1506549316</v>
      </c>
      <c r="V695" s="109">
        <f t="shared" si="419"/>
        <v>2929648.3583405642</v>
      </c>
      <c r="W695" s="109">
        <f t="shared" si="419"/>
        <v>0</v>
      </c>
      <c r="X695" s="109">
        <f t="shared" si="419"/>
        <v>0</v>
      </c>
      <c r="Y695" s="109">
        <f t="shared" si="419"/>
        <v>0</v>
      </c>
      <c r="Z695" s="109">
        <f t="shared" si="419"/>
        <v>0</v>
      </c>
      <c r="AA695" s="109">
        <f t="shared" si="419"/>
        <v>0</v>
      </c>
      <c r="AB695" s="109">
        <f t="shared" si="419"/>
        <v>0</v>
      </c>
      <c r="AC695" s="109">
        <f t="shared" si="419"/>
        <v>0</v>
      </c>
      <c r="AD695" s="109">
        <f t="shared" si="419"/>
        <v>0</v>
      </c>
      <c r="AE695" s="109">
        <f t="shared" si="419"/>
        <v>0</v>
      </c>
      <c r="AF695" s="109">
        <f t="shared" si="419"/>
        <v>0</v>
      </c>
      <c r="AG695" s="109">
        <f t="shared" si="419"/>
        <v>0</v>
      </c>
      <c r="AH695" s="109">
        <f t="shared" si="419"/>
        <v>0</v>
      </c>
      <c r="AI695" s="109">
        <f t="shared" si="419"/>
        <v>0</v>
      </c>
      <c r="AJ695" s="109">
        <f t="shared" si="419"/>
        <v>0</v>
      </c>
      <c r="AK695" s="109">
        <f t="shared" si="419"/>
        <v>0</v>
      </c>
      <c r="AL695" s="109">
        <f t="shared" si="419"/>
        <v>0</v>
      </c>
      <c r="AM695" s="109">
        <f t="shared" si="419"/>
        <v>0</v>
      </c>
      <c r="AN695" s="109">
        <f t="shared" si="419"/>
        <v>0</v>
      </c>
      <c r="AO695" s="109">
        <f t="shared" si="419"/>
        <v>0</v>
      </c>
      <c r="AP695" s="109">
        <f t="shared" si="419"/>
        <v>0</v>
      </c>
      <c r="AQ695" s="109">
        <f t="shared" si="419"/>
        <v>0</v>
      </c>
      <c r="AR695" s="109">
        <f t="shared" si="419"/>
        <v>0</v>
      </c>
      <c r="AS695" s="109">
        <f t="shared" si="419"/>
        <v>0</v>
      </c>
      <c r="AT695" s="109">
        <f t="shared" si="419"/>
        <v>0</v>
      </c>
      <c r="AU695" s="109">
        <f t="shared" si="419"/>
        <v>0</v>
      </c>
      <c r="AV695" s="109">
        <f t="shared" si="419"/>
        <v>0</v>
      </c>
      <c r="AW695" s="109">
        <f t="shared" si="419"/>
        <v>0</v>
      </c>
      <c r="AX695" s="109">
        <f t="shared" si="419"/>
        <v>0</v>
      </c>
      <c r="AY695" s="109">
        <f t="shared" si="419"/>
        <v>0</v>
      </c>
      <c r="AZ695" s="109">
        <f t="shared" si="419"/>
        <v>0</v>
      </c>
      <c r="BA695" s="109">
        <f t="shared" si="419"/>
        <v>0</v>
      </c>
      <c r="BB695" s="109">
        <f t="shared" si="419"/>
        <v>0</v>
      </c>
      <c r="BC695" s="109">
        <f t="shared" si="419"/>
        <v>0</v>
      </c>
      <c r="BD695" s="109">
        <f t="shared" si="419"/>
        <v>0</v>
      </c>
      <c r="BE695" s="109">
        <f t="shared" si="419"/>
        <v>0</v>
      </c>
      <c r="BF695" s="109">
        <f t="shared" si="419"/>
        <v>0</v>
      </c>
      <c r="BG695" s="109">
        <f t="shared" si="419"/>
        <v>0</v>
      </c>
      <c r="BH695" s="109">
        <f t="shared" si="419"/>
        <v>0</v>
      </c>
      <c r="BI695" s="109">
        <f t="shared" si="419"/>
        <v>0</v>
      </c>
      <c r="BJ695" s="110">
        <f t="shared" si="419"/>
        <v>0</v>
      </c>
    </row>
    <row r="696" spans="1:64" s="116" customFormat="1">
      <c r="A696" s="111" t="s">
        <v>118</v>
      </c>
      <c r="B696" s="155">
        <f>SUM(B697:B700)</f>
        <v>401808407.67412645</v>
      </c>
      <c r="C696" s="108">
        <f>C639*(1+$G633)^(C634-1)</f>
        <v>0</v>
      </c>
      <c r="D696" s="109">
        <f>D639*(1+$G633)^(D634-1)</f>
        <v>0</v>
      </c>
      <c r="E696" s="109">
        <f t="shared" ref="E696:BJ696" si="420">E639*(1+$G633)^(E634-1)</f>
        <v>0</v>
      </c>
      <c r="F696" s="109">
        <f t="shared" si="420"/>
        <v>0</v>
      </c>
      <c r="G696" s="109">
        <f t="shared" si="420"/>
        <v>0</v>
      </c>
      <c r="H696" s="109">
        <f t="shared" si="420"/>
        <v>4569333.4080047607</v>
      </c>
      <c r="I696" s="109">
        <f t="shared" si="420"/>
        <v>9504213.4886499029</v>
      </c>
      <c r="J696" s="109">
        <f t="shared" si="420"/>
        <v>14826573.042293845</v>
      </c>
      <c r="K696" s="109">
        <f t="shared" si="420"/>
        <v>20559514.618647471</v>
      </c>
      <c r="L696" s="109">
        <f t="shared" si="420"/>
        <v>35341243.521764524</v>
      </c>
      <c r="M696" s="109">
        <f t="shared" si="420"/>
        <v>36754893.262635104</v>
      </c>
      <c r="N696" s="109">
        <f t="shared" si="420"/>
        <v>38225088.993140504</v>
      </c>
      <c r="O696" s="109">
        <f t="shared" si="420"/>
        <v>39754092.552866139</v>
      </c>
      <c r="P696" s="109">
        <f t="shared" si="420"/>
        <v>41344256.25498078</v>
      </c>
      <c r="Q696" s="109">
        <f t="shared" si="420"/>
        <v>42998026.505180016</v>
      </c>
      <c r="R696" s="109">
        <f t="shared" si="420"/>
        <v>44717947.565387212</v>
      </c>
      <c r="S696" s="109">
        <f t="shared" si="420"/>
        <v>28137115.398435723</v>
      </c>
      <c r="T696" s="109">
        <f t="shared" si="420"/>
        <v>21946950.010779861</v>
      </c>
      <c r="U696" s="109">
        <f t="shared" si="420"/>
        <v>15216552.007474041</v>
      </c>
      <c r="V696" s="109">
        <f t="shared" si="420"/>
        <v>7912607.0438865013</v>
      </c>
      <c r="W696" s="109">
        <f t="shared" si="420"/>
        <v>0</v>
      </c>
      <c r="X696" s="109">
        <f t="shared" si="420"/>
        <v>0</v>
      </c>
      <c r="Y696" s="109">
        <f t="shared" si="420"/>
        <v>0</v>
      </c>
      <c r="Z696" s="109">
        <f t="shared" si="420"/>
        <v>0</v>
      </c>
      <c r="AA696" s="109">
        <f t="shared" si="420"/>
        <v>0</v>
      </c>
      <c r="AB696" s="109">
        <f t="shared" si="420"/>
        <v>0</v>
      </c>
      <c r="AC696" s="109">
        <f t="shared" si="420"/>
        <v>0</v>
      </c>
      <c r="AD696" s="109">
        <f t="shared" si="420"/>
        <v>0</v>
      </c>
      <c r="AE696" s="109">
        <f t="shared" si="420"/>
        <v>0</v>
      </c>
      <c r="AF696" s="109">
        <f t="shared" si="420"/>
        <v>0</v>
      </c>
      <c r="AG696" s="109">
        <f t="shared" si="420"/>
        <v>0</v>
      </c>
      <c r="AH696" s="109">
        <f t="shared" si="420"/>
        <v>0</v>
      </c>
      <c r="AI696" s="109">
        <f t="shared" si="420"/>
        <v>0</v>
      </c>
      <c r="AJ696" s="109">
        <f t="shared" si="420"/>
        <v>0</v>
      </c>
      <c r="AK696" s="109">
        <f t="shared" si="420"/>
        <v>0</v>
      </c>
      <c r="AL696" s="109">
        <f t="shared" si="420"/>
        <v>0</v>
      </c>
      <c r="AM696" s="109">
        <f t="shared" si="420"/>
        <v>0</v>
      </c>
      <c r="AN696" s="109">
        <f t="shared" si="420"/>
        <v>0</v>
      </c>
      <c r="AO696" s="109">
        <f t="shared" si="420"/>
        <v>0</v>
      </c>
      <c r="AP696" s="109">
        <f t="shared" si="420"/>
        <v>0</v>
      </c>
      <c r="AQ696" s="109">
        <f t="shared" si="420"/>
        <v>0</v>
      </c>
      <c r="AR696" s="109">
        <f t="shared" si="420"/>
        <v>0</v>
      </c>
      <c r="AS696" s="109">
        <f t="shared" si="420"/>
        <v>0</v>
      </c>
      <c r="AT696" s="109">
        <f t="shared" si="420"/>
        <v>0</v>
      </c>
      <c r="AU696" s="109">
        <f t="shared" si="420"/>
        <v>0</v>
      </c>
      <c r="AV696" s="109">
        <f t="shared" si="420"/>
        <v>0</v>
      </c>
      <c r="AW696" s="109">
        <f t="shared" si="420"/>
        <v>0</v>
      </c>
      <c r="AX696" s="109">
        <f t="shared" si="420"/>
        <v>0</v>
      </c>
      <c r="AY696" s="109">
        <f t="shared" si="420"/>
        <v>0</v>
      </c>
      <c r="AZ696" s="109">
        <f t="shared" si="420"/>
        <v>0</v>
      </c>
      <c r="BA696" s="109">
        <f t="shared" si="420"/>
        <v>0</v>
      </c>
      <c r="BB696" s="109">
        <f t="shared" si="420"/>
        <v>0</v>
      </c>
      <c r="BC696" s="109">
        <f t="shared" si="420"/>
        <v>0</v>
      </c>
      <c r="BD696" s="109">
        <f t="shared" si="420"/>
        <v>0</v>
      </c>
      <c r="BE696" s="109">
        <f t="shared" si="420"/>
        <v>0</v>
      </c>
      <c r="BF696" s="109">
        <f t="shared" si="420"/>
        <v>0</v>
      </c>
      <c r="BG696" s="109">
        <f t="shared" si="420"/>
        <v>0</v>
      </c>
      <c r="BH696" s="109">
        <f t="shared" si="420"/>
        <v>0</v>
      </c>
      <c r="BI696" s="109">
        <f t="shared" si="420"/>
        <v>0</v>
      </c>
      <c r="BJ696" s="110">
        <f t="shared" si="420"/>
        <v>0</v>
      </c>
    </row>
    <row r="697" spans="1:64" s="125" customFormat="1" ht="12.75">
      <c r="A697" s="120" t="s">
        <v>119</v>
      </c>
      <c r="B697" s="211">
        <f t="shared" ref="B697:B702" si="421">SUM(C697:BJ697)</f>
        <v>145234186.63689634</v>
      </c>
      <c r="C697" s="122">
        <f>C640*(1+$G633)^(C634-1)</f>
        <v>0</v>
      </c>
      <c r="D697" s="123">
        <f>D640*(1+$G633)^(D634-1)</f>
        <v>0</v>
      </c>
      <c r="E697" s="123">
        <f t="shared" ref="E697:BJ697" si="422">E640*(1+$G633)^(E634-1)</f>
        <v>0</v>
      </c>
      <c r="F697" s="123">
        <f t="shared" si="422"/>
        <v>0</v>
      </c>
      <c r="G697" s="123">
        <f t="shared" si="422"/>
        <v>0</v>
      </c>
      <c r="H697" s="123">
        <f t="shared" si="422"/>
        <v>1651591.6748127863</v>
      </c>
      <c r="I697" s="123">
        <f t="shared" si="422"/>
        <v>3435310.6836105958</v>
      </c>
      <c r="J697" s="123">
        <f t="shared" si="422"/>
        <v>5359084.6664325278</v>
      </c>
      <c r="K697" s="123">
        <f t="shared" si="422"/>
        <v>7431264.0707864407</v>
      </c>
      <c r="L697" s="123">
        <f t="shared" si="422"/>
        <v>12774139.763104977</v>
      </c>
      <c r="M697" s="123">
        <f t="shared" si="422"/>
        <v>13285105.353629177</v>
      </c>
      <c r="N697" s="123">
        <f t="shared" si="422"/>
        <v>13816509.567774342</v>
      </c>
      <c r="O697" s="123">
        <f t="shared" si="422"/>
        <v>14369169.950485319</v>
      </c>
      <c r="P697" s="123">
        <f t="shared" si="422"/>
        <v>14943936.748504734</v>
      </c>
      <c r="Q697" s="123">
        <f t="shared" si="422"/>
        <v>15541694.218444921</v>
      </c>
      <c r="R697" s="123">
        <f t="shared" si="422"/>
        <v>16163361.987182718</v>
      </c>
      <c r="S697" s="123">
        <f t="shared" si="422"/>
        <v>10170198.012667032</v>
      </c>
      <c r="T697" s="123">
        <f t="shared" si="422"/>
        <v>7932754.4498802833</v>
      </c>
      <c r="U697" s="123">
        <f t="shared" si="422"/>
        <v>5500043.0852503311</v>
      </c>
      <c r="V697" s="123">
        <f t="shared" si="422"/>
        <v>2860022.4043301721</v>
      </c>
      <c r="W697" s="123">
        <f t="shared" si="422"/>
        <v>0</v>
      </c>
      <c r="X697" s="123">
        <f t="shared" si="422"/>
        <v>0</v>
      </c>
      <c r="Y697" s="123">
        <f t="shared" si="422"/>
        <v>0</v>
      </c>
      <c r="Z697" s="123">
        <f t="shared" si="422"/>
        <v>0</v>
      </c>
      <c r="AA697" s="123">
        <f t="shared" si="422"/>
        <v>0</v>
      </c>
      <c r="AB697" s="123">
        <f t="shared" si="422"/>
        <v>0</v>
      </c>
      <c r="AC697" s="123">
        <f t="shared" si="422"/>
        <v>0</v>
      </c>
      <c r="AD697" s="123">
        <f t="shared" si="422"/>
        <v>0</v>
      </c>
      <c r="AE697" s="123">
        <f t="shared" si="422"/>
        <v>0</v>
      </c>
      <c r="AF697" s="123">
        <f t="shared" si="422"/>
        <v>0</v>
      </c>
      <c r="AG697" s="123">
        <f t="shared" si="422"/>
        <v>0</v>
      </c>
      <c r="AH697" s="123">
        <f t="shared" si="422"/>
        <v>0</v>
      </c>
      <c r="AI697" s="123">
        <f t="shared" si="422"/>
        <v>0</v>
      </c>
      <c r="AJ697" s="123">
        <f t="shared" si="422"/>
        <v>0</v>
      </c>
      <c r="AK697" s="123">
        <f t="shared" si="422"/>
        <v>0</v>
      </c>
      <c r="AL697" s="123">
        <f t="shared" si="422"/>
        <v>0</v>
      </c>
      <c r="AM697" s="123">
        <f t="shared" si="422"/>
        <v>0</v>
      </c>
      <c r="AN697" s="123">
        <f t="shared" si="422"/>
        <v>0</v>
      </c>
      <c r="AO697" s="123">
        <f t="shared" si="422"/>
        <v>0</v>
      </c>
      <c r="AP697" s="123">
        <f t="shared" si="422"/>
        <v>0</v>
      </c>
      <c r="AQ697" s="123">
        <f t="shared" si="422"/>
        <v>0</v>
      </c>
      <c r="AR697" s="123">
        <f t="shared" si="422"/>
        <v>0</v>
      </c>
      <c r="AS697" s="123">
        <f t="shared" si="422"/>
        <v>0</v>
      </c>
      <c r="AT697" s="123">
        <f t="shared" si="422"/>
        <v>0</v>
      </c>
      <c r="AU697" s="123">
        <f t="shared" si="422"/>
        <v>0</v>
      </c>
      <c r="AV697" s="123">
        <f t="shared" si="422"/>
        <v>0</v>
      </c>
      <c r="AW697" s="123">
        <f t="shared" si="422"/>
        <v>0</v>
      </c>
      <c r="AX697" s="123">
        <f t="shared" si="422"/>
        <v>0</v>
      </c>
      <c r="AY697" s="123">
        <f t="shared" si="422"/>
        <v>0</v>
      </c>
      <c r="AZ697" s="123">
        <f t="shared" si="422"/>
        <v>0</v>
      </c>
      <c r="BA697" s="123">
        <f t="shared" si="422"/>
        <v>0</v>
      </c>
      <c r="BB697" s="123">
        <f t="shared" si="422"/>
        <v>0</v>
      </c>
      <c r="BC697" s="123">
        <f t="shared" si="422"/>
        <v>0</v>
      </c>
      <c r="BD697" s="123">
        <f t="shared" si="422"/>
        <v>0</v>
      </c>
      <c r="BE697" s="123">
        <f t="shared" si="422"/>
        <v>0</v>
      </c>
      <c r="BF697" s="123">
        <f t="shared" si="422"/>
        <v>0</v>
      </c>
      <c r="BG697" s="123">
        <f t="shared" si="422"/>
        <v>0</v>
      </c>
      <c r="BH697" s="123">
        <f t="shared" si="422"/>
        <v>0</v>
      </c>
      <c r="BI697" s="123">
        <f t="shared" si="422"/>
        <v>0</v>
      </c>
      <c r="BJ697" s="124">
        <f t="shared" si="422"/>
        <v>0</v>
      </c>
    </row>
    <row r="698" spans="1:64" s="125" customFormat="1" ht="12.75">
      <c r="A698" s="120" t="s">
        <v>120</v>
      </c>
      <c r="B698" s="211">
        <f t="shared" si="421"/>
        <v>207478194.01764768</v>
      </c>
      <c r="C698" s="122">
        <f>C641*(1+$G633)^(C634-1)</f>
        <v>0</v>
      </c>
      <c r="D698" s="123">
        <f>D641*(1+$G633)^(D634-1)</f>
        <v>0</v>
      </c>
      <c r="E698" s="123">
        <f t="shared" ref="E698:BJ698" si="423">E641*(1+$G633)^(E634-1)</f>
        <v>0</v>
      </c>
      <c r="F698" s="123">
        <f t="shared" si="423"/>
        <v>0</v>
      </c>
      <c r="G698" s="123">
        <f t="shared" si="423"/>
        <v>0</v>
      </c>
      <c r="H698" s="123">
        <f t="shared" si="423"/>
        <v>2359425.5999894491</v>
      </c>
      <c r="I698" s="123">
        <f t="shared" si="423"/>
        <v>4907605.2479780549</v>
      </c>
      <c r="J698" s="123">
        <f t="shared" si="423"/>
        <v>7655864.1868457627</v>
      </c>
      <c r="K698" s="123">
        <f t="shared" si="423"/>
        <v>10616131.672426129</v>
      </c>
      <c r="L698" s="123">
        <f t="shared" si="423"/>
        <v>18248840.094407402</v>
      </c>
      <c r="M698" s="123">
        <f t="shared" si="423"/>
        <v>18978793.698183697</v>
      </c>
      <c r="N698" s="123">
        <f t="shared" si="423"/>
        <v>19737945.446111042</v>
      </c>
      <c r="O698" s="123">
        <f t="shared" si="423"/>
        <v>20527463.263955489</v>
      </c>
      <c r="P698" s="123">
        <f t="shared" si="423"/>
        <v>21348561.79451371</v>
      </c>
      <c r="Q698" s="123">
        <f t="shared" si="423"/>
        <v>22202504.26629426</v>
      </c>
      <c r="R698" s="123">
        <f t="shared" si="423"/>
        <v>23090604.436946027</v>
      </c>
      <c r="S698" s="123">
        <f t="shared" si="423"/>
        <v>14528909.24190958</v>
      </c>
      <c r="T698" s="123">
        <f t="shared" si="423"/>
        <v>11332549.20868947</v>
      </c>
      <c r="U698" s="123">
        <f t="shared" si="423"/>
        <v>7857234.1180247022</v>
      </c>
      <c r="V698" s="123">
        <f t="shared" si="423"/>
        <v>4085761.7413728451</v>
      </c>
      <c r="W698" s="123">
        <f t="shared" si="423"/>
        <v>0</v>
      </c>
      <c r="X698" s="123">
        <f t="shared" si="423"/>
        <v>0</v>
      </c>
      <c r="Y698" s="123">
        <f t="shared" si="423"/>
        <v>0</v>
      </c>
      <c r="Z698" s="123">
        <f t="shared" si="423"/>
        <v>0</v>
      </c>
      <c r="AA698" s="123">
        <f t="shared" si="423"/>
        <v>0</v>
      </c>
      <c r="AB698" s="123">
        <f t="shared" si="423"/>
        <v>0</v>
      </c>
      <c r="AC698" s="123">
        <f t="shared" si="423"/>
        <v>0</v>
      </c>
      <c r="AD698" s="123">
        <f t="shared" si="423"/>
        <v>0</v>
      </c>
      <c r="AE698" s="123">
        <f t="shared" si="423"/>
        <v>0</v>
      </c>
      <c r="AF698" s="123">
        <f t="shared" si="423"/>
        <v>0</v>
      </c>
      <c r="AG698" s="123">
        <f t="shared" si="423"/>
        <v>0</v>
      </c>
      <c r="AH698" s="123">
        <f t="shared" si="423"/>
        <v>0</v>
      </c>
      <c r="AI698" s="123">
        <f t="shared" si="423"/>
        <v>0</v>
      </c>
      <c r="AJ698" s="123">
        <f t="shared" si="423"/>
        <v>0</v>
      </c>
      <c r="AK698" s="123">
        <f t="shared" si="423"/>
        <v>0</v>
      </c>
      <c r="AL698" s="123">
        <f t="shared" si="423"/>
        <v>0</v>
      </c>
      <c r="AM698" s="123">
        <f t="shared" si="423"/>
        <v>0</v>
      </c>
      <c r="AN698" s="123">
        <f t="shared" si="423"/>
        <v>0</v>
      </c>
      <c r="AO698" s="123">
        <f t="shared" si="423"/>
        <v>0</v>
      </c>
      <c r="AP698" s="123">
        <f t="shared" si="423"/>
        <v>0</v>
      </c>
      <c r="AQ698" s="123">
        <f t="shared" si="423"/>
        <v>0</v>
      </c>
      <c r="AR698" s="123">
        <f t="shared" si="423"/>
        <v>0</v>
      </c>
      <c r="AS698" s="123">
        <f t="shared" si="423"/>
        <v>0</v>
      </c>
      <c r="AT698" s="123">
        <f t="shared" si="423"/>
        <v>0</v>
      </c>
      <c r="AU698" s="123">
        <f t="shared" si="423"/>
        <v>0</v>
      </c>
      <c r="AV698" s="123">
        <f t="shared" si="423"/>
        <v>0</v>
      </c>
      <c r="AW698" s="123">
        <f t="shared" si="423"/>
        <v>0</v>
      </c>
      <c r="AX698" s="123">
        <f t="shared" si="423"/>
        <v>0</v>
      </c>
      <c r="AY698" s="123">
        <f t="shared" si="423"/>
        <v>0</v>
      </c>
      <c r="AZ698" s="123">
        <f t="shared" si="423"/>
        <v>0</v>
      </c>
      <c r="BA698" s="123">
        <f t="shared" si="423"/>
        <v>0</v>
      </c>
      <c r="BB698" s="123">
        <f t="shared" si="423"/>
        <v>0</v>
      </c>
      <c r="BC698" s="123">
        <f t="shared" si="423"/>
        <v>0</v>
      </c>
      <c r="BD698" s="123">
        <f t="shared" si="423"/>
        <v>0</v>
      </c>
      <c r="BE698" s="123">
        <f t="shared" si="423"/>
        <v>0</v>
      </c>
      <c r="BF698" s="123">
        <f t="shared" si="423"/>
        <v>0</v>
      </c>
      <c r="BG698" s="123">
        <f t="shared" si="423"/>
        <v>0</v>
      </c>
      <c r="BH698" s="123">
        <f t="shared" si="423"/>
        <v>0</v>
      </c>
      <c r="BI698" s="123">
        <f t="shared" si="423"/>
        <v>0</v>
      </c>
      <c r="BJ698" s="124">
        <f t="shared" si="423"/>
        <v>0</v>
      </c>
    </row>
    <row r="699" spans="1:64" s="125" customFormat="1" ht="12.75">
      <c r="A699" s="120" t="s">
        <v>121</v>
      </c>
      <c r="B699" s="211">
        <f t="shared" si="421"/>
        <v>42018122.944474198</v>
      </c>
      <c r="C699" s="122">
        <f>C642*(1+$G633)^(C634-1)</f>
        <v>0</v>
      </c>
      <c r="D699" s="123">
        <f>D642*(1+$G633)^(D634-1)</f>
        <v>0</v>
      </c>
      <c r="E699" s="123">
        <f t="shared" ref="E699:BJ699" si="424">E642*(1+$G633)^(E634-1)</f>
        <v>0</v>
      </c>
      <c r="F699" s="123">
        <f t="shared" si="424"/>
        <v>0</v>
      </c>
      <c r="G699" s="123">
        <f t="shared" si="424"/>
        <v>0</v>
      </c>
      <c r="H699" s="123">
        <f t="shared" si="424"/>
        <v>477826.7682928837</v>
      </c>
      <c r="I699" s="123">
        <f t="shared" si="424"/>
        <v>993879.678049198</v>
      </c>
      <c r="J699" s="123">
        <f t="shared" si="424"/>
        <v>1550452.2977567487</v>
      </c>
      <c r="K699" s="123">
        <f t="shared" si="424"/>
        <v>2149960.5195560255</v>
      </c>
      <c r="L699" s="123">
        <f t="shared" si="424"/>
        <v>3695723.352091833</v>
      </c>
      <c r="M699" s="123">
        <f t="shared" si="424"/>
        <v>3843552.2861755067</v>
      </c>
      <c r="N699" s="123">
        <f t="shared" si="424"/>
        <v>3997294.3776225266</v>
      </c>
      <c r="O699" s="123">
        <f t="shared" si="424"/>
        <v>4157186.1527274284</v>
      </c>
      <c r="P699" s="123">
        <f t="shared" si="424"/>
        <v>4323473.5988365253</v>
      </c>
      <c r="Q699" s="123">
        <f t="shared" si="424"/>
        <v>4496412.5427899864</v>
      </c>
      <c r="R699" s="123">
        <f t="shared" si="424"/>
        <v>4676269.0445015859</v>
      </c>
      <c r="S699" s="123">
        <f t="shared" si="424"/>
        <v>2942369.4266576194</v>
      </c>
      <c r="T699" s="123">
        <f t="shared" si="424"/>
        <v>2295048.1527929432</v>
      </c>
      <c r="U699" s="123">
        <f t="shared" si="424"/>
        <v>1591233.3859364409</v>
      </c>
      <c r="V699" s="123">
        <f t="shared" si="424"/>
        <v>827441.36068694922</v>
      </c>
      <c r="W699" s="123">
        <f t="shared" si="424"/>
        <v>0</v>
      </c>
      <c r="X699" s="123">
        <f t="shared" si="424"/>
        <v>0</v>
      </c>
      <c r="Y699" s="123">
        <f t="shared" si="424"/>
        <v>0</v>
      </c>
      <c r="Z699" s="123">
        <f t="shared" si="424"/>
        <v>0</v>
      </c>
      <c r="AA699" s="123">
        <f t="shared" si="424"/>
        <v>0</v>
      </c>
      <c r="AB699" s="123">
        <f t="shared" si="424"/>
        <v>0</v>
      </c>
      <c r="AC699" s="123">
        <f t="shared" si="424"/>
        <v>0</v>
      </c>
      <c r="AD699" s="123">
        <f t="shared" si="424"/>
        <v>0</v>
      </c>
      <c r="AE699" s="123">
        <f t="shared" si="424"/>
        <v>0</v>
      </c>
      <c r="AF699" s="123">
        <f t="shared" si="424"/>
        <v>0</v>
      </c>
      <c r="AG699" s="123">
        <f t="shared" si="424"/>
        <v>0</v>
      </c>
      <c r="AH699" s="123">
        <f t="shared" si="424"/>
        <v>0</v>
      </c>
      <c r="AI699" s="123">
        <f t="shared" si="424"/>
        <v>0</v>
      </c>
      <c r="AJ699" s="123">
        <f t="shared" si="424"/>
        <v>0</v>
      </c>
      <c r="AK699" s="123">
        <f t="shared" si="424"/>
        <v>0</v>
      </c>
      <c r="AL699" s="123">
        <f t="shared" si="424"/>
        <v>0</v>
      </c>
      <c r="AM699" s="123">
        <f t="shared" si="424"/>
        <v>0</v>
      </c>
      <c r="AN699" s="123">
        <f t="shared" si="424"/>
        <v>0</v>
      </c>
      <c r="AO699" s="123">
        <f t="shared" si="424"/>
        <v>0</v>
      </c>
      <c r="AP699" s="123">
        <f t="shared" si="424"/>
        <v>0</v>
      </c>
      <c r="AQ699" s="123">
        <f t="shared" si="424"/>
        <v>0</v>
      </c>
      <c r="AR699" s="123">
        <f t="shared" si="424"/>
        <v>0</v>
      </c>
      <c r="AS699" s="123">
        <f t="shared" si="424"/>
        <v>0</v>
      </c>
      <c r="AT699" s="123">
        <f t="shared" si="424"/>
        <v>0</v>
      </c>
      <c r="AU699" s="123">
        <f t="shared" si="424"/>
        <v>0</v>
      </c>
      <c r="AV699" s="123">
        <f t="shared" si="424"/>
        <v>0</v>
      </c>
      <c r="AW699" s="123">
        <f t="shared" si="424"/>
        <v>0</v>
      </c>
      <c r="AX699" s="123">
        <f t="shared" si="424"/>
        <v>0</v>
      </c>
      <c r="AY699" s="123">
        <f t="shared" si="424"/>
        <v>0</v>
      </c>
      <c r="AZ699" s="123">
        <f t="shared" si="424"/>
        <v>0</v>
      </c>
      <c r="BA699" s="123">
        <f t="shared" si="424"/>
        <v>0</v>
      </c>
      <c r="BB699" s="123">
        <f t="shared" si="424"/>
        <v>0</v>
      </c>
      <c r="BC699" s="123">
        <f t="shared" si="424"/>
        <v>0</v>
      </c>
      <c r="BD699" s="123">
        <f t="shared" si="424"/>
        <v>0</v>
      </c>
      <c r="BE699" s="123">
        <f t="shared" si="424"/>
        <v>0</v>
      </c>
      <c r="BF699" s="123">
        <f t="shared" si="424"/>
        <v>0</v>
      </c>
      <c r="BG699" s="123">
        <f t="shared" si="424"/>
        <v>0</v>
      </c>
      <c r="BH699" s="123">
        <f t="shared" si="424"/>
        <v>0</v>
      </c>
      <c r="BI699" s="123">
        <f t="shared" si="424"/>
        <v>0</v>
      </c>
      <c r="BJ699" s="124">
        <f t="shared" si="424"/>
        <v>0</v>
      </c>
    </row>
    <row r="700" spans="1:64" s="125" customFormat="1" ht="12.75">
      <c r="A700" s="120" t="s">
        <v>122</v>
      </c>
      <c r="B700" s="211">
        <f t="shared" si="421"/>
        <v>7077904.0751082078</v>
      </c>
      <c r="C700" s="122">
        <f>C643*(1+$G633)^(C634-1)</f>
        <v>0</v>
      </c>
      <c r="D700" s="123">
        <f>D643*(1+$G633)^(D634-1)</f>
        <v>0</v>
      </c>
      <c r="E700" s="123">
        <f t="shared" ref="E700:BJ700" si="425">E643*(1+$G633)^(E634-1)</f>
        <v>0</v>
      </c>
      <c r="F700" s="123">
        <f t="shared" si="425"/>
        <v>0</v>
      </c>
      <c r="G700" s="123">
        <f t="shared" si="425"/>
        <v>0</v>
      </c>
      <c r="H700" s="123">
        <f t="shared" si="425"/>
        <v>80489.364909642041</v>
      </c>
      <c r="I700" s="123">
        <f t="shared" si="425"/>
        <v>167417.87901205543</v>
      </c>
      <c r="J700" s="123">
        <f t="shared" si="425"/>
        <v>261171.89125880643</v>
      </c>
      <c r="K700" s="123">
        <f t="shared" si="425"/>
        <v>362158.35587887833</v>
      </c>
      <c r="L700" s="123">
        <f t="shared" si="425"/>
        <v>622540.31216031231</v>
      </c>
      <c r="M700" s="123">
        <f t="shared" si="425"/>
        <v>647441.92464672483</v>
      </c>
      <c r="N700" s="123">
        <f t="shared" si="425"/>
        <v>673339.60163259367</v>
      </c>
      <c r="O700" s="123">
        <f t="shared" si="425"/>
        <v>700273.18569789757</v>
      </c>
      <c r="P700" s="123">
        <f t="shared" si="425"/>
        <v>728284.11312581354</v>
      </c>
      <c r="Q700" s="123">
        <f t="shared" si="425"/>
        <v>757415.47765084612</v>
      </c>
      <c r="R700" s="123">
        <f t="shared" si="425"/>
        <v>787712.09675687994</v>
      </c>
      <c r="S700" s="123">
        <f t="shared" si="425"/>
        <v>495638.71720149188</v>
      </c>
      <c r="T700" s="123">
        <f t="shared" si="425"/>
        <v>386598.19941716362</v>
      </c>
      <c r="U700" s="123">
        <f t="shared" si="425"/>
        <v>268041.41826256685</v>
      </c>
      <c r="V700" s="123">
        <f t="shared" si="425"/>
        <v>139381.53749653476</v>
      </c>
      <c r="W700" s="123">
        <f t="shared" si="425"/>
        <v>0</v>
      </c>
      <c r="X700" s="123">
        <f t="shared" si="425"/>
        <v>0</v>
      </c>
      <c r="Y700" s="123">
        <f t="shared" si="425"/>
        <v>0</v>
      </c>
      <c r="Z700" s="123">
        <f t="shared" si="425"/>
        <v>0</v>
      </c>
      <c r="AA700" s="123">
        <f t="shared" si="425"/>
        <v>0</v>
      </c>
      <c r="AB700" s="123">
        <f t="shared" si="425"/>
        <v>0</v>
      </c>
      <c r="AC700" s="123">
        <f t="shared" si="425"/>
        <v>0</v>
      </c>
      <c r="AD700" s="123">
        <f t="shared" si="425"/>
        <v>0</v>
      </c>
      <c r="AE700" s="123">
        <f t="shared" si="425"/>
        <v>0</v>
      </c>
      <c r="AF700" s="123">
        <f t="shared" si="425"/>
        <v>0</v>
      </c>
      <c r="AG700" s="123">
        <f t="shared" si="425"/>
        <v>0</v>
      </c>
      <c r="AH700" s="123">
        <f t="shared" si="425"/>
        <v>0</v>
      </c>
      <c r="AI700" s="123">
        <f t="shared" si="425"/>
        <v>0</v>
      </c>
      <c r="AJ700" s="123">
        <f t="shared" si="425"/>
        <v>0</v>
      </c>
      <c r="AK700" s="123">
        <f t="shared" si="425"/>
        <v>0</v>
      </c>
      <c r="AL700" s="123">
        <f t="shared" si="425"/>
        <v>0</v>
      </c>
      <c r="AM700" s="123">
        <f t="shared" si="425"/>
        <v>0</v>
      </c>
      <c r="AN700" s="123">
        <f t="shared" si="425"/>
        <v>0</v>
      </c>
      <c r="AO700" s="123">
        <f t="shared" si="425"/>
        <v>0</v>
      </c>
      <c r="AP700" s="123">
        <f t="shared" si="425"/>
        <v>0</v>
      </c>
      <c r="AQ700" s="123">
        <f t="shared" si="425"/>
        <v>0</v>
      </c>
      <c r="AR700" s="123">
        <f t="shared" si="425"/>
        <v>0</v>
      </c>
      <c r="AS700" s="123">
        <f t="shared" si="425"/>
        <v>0</v>
      </c>
      <c r="AT700" s="123">
        <f t="shared" si="425"/>
        <v>0</v>
      </c>
      <c r="AU700" s="123">
        <f t="shared" si="425"/>
        <v>0</v>
      </c>
      <c r="AV700" s="123">
        <f t="shared" si="425"/>
        <v>0</v>
      </c>
      <c r="AW700" s="123">
        <f t="shared" si="425"/>
        <v>0</v>
      </c>
      <c r="AX700" s="123">
        <f t="shared" si="425"/>
        <v>0</v>
      </c>
      <c r="AY700" s="123">
        <f t="shared" si="425"/>
        <v>0</v>
      </c>
      <c r="AZ700" s="123">
        <f t="shared" si="425"/>
        <v>0</v>
      </c>
      <c r="BA700" s="123">
        <f t="shared" si="425"/>
        <v>0</v>
      </c>
      <c r="BB700" s="123">
        <f t="shared" si="425"/>
        <v>0</v>
      </c>
      <c r="BC700" s="123">
        <f t="shared" si="425"/>
        <v>0</v>
      </c>
      <c r="BD700" s="123">
        <f t="shared" si="425"/>
        <v>0</v>
      </c>
      <c r="BE700" s="123">
        <f t="shared" si="425"/>
        <v>0</v>
      </c>
      <c r="BF700" s="123">
        <f t="shared" si="425"/>
        <v>0</v>
      </c>
      <c r="BG700" s="123">
        <f t="shared" si="425"/>
        <v>0</v>
      </c>
      <c r="BH700" s="123">
        <f t="shared" si="425"/>
        <v>0</v>
      </c>
      <c r="BI700" s="123">
        <f t="shared" si="425"/>
        <v>0</v>
      </c>
      <c r="BJ700" s="124">
        <f t="shared" si="425"/>
        <v>0</v>
      </c>
    </row>
    <row r="701" spans="1:64" s="116" customFormat="1">
      <c r="A701" s="212" t="s">
        <v>123</v>
      </c>
      <c r="B701" s="197">
        <f t="shared" si="421"/>
        <v>30269816.05428065</v>
      </c>
      <c r="C701" s="133">
        <f>C644*(1+$G633)^(C634-1)</f>
        <v>5588628.7640669327</v>
      </c>
      <c r="D701" s="134">
        <f>D644*(1+$G633)^(D634-1)</f>
        <v>5812173.9146296103</v>
      </c>
      <c r="E701" s="134">
        <f t="shared" ref="E701:BJ701" si="426">E644*(1+$G633)^(E634-1)</f>
        <v>6044660.8712147949</v>
      </c>
      <c r="F701" s="134">
        <f t="shared" si="426"/>
        <v>6286447.3060633866</v>
      </c>
      <c r="G701" s="134">
        <f t="shared" si="426"/>
        <v>6537905.1983059226</v>
      </c>
      <c r="H701" s="134">
        <f t="shared" si="426"/>
        <v>0</v>
      </c>
      <c r="I701" s="134">
        <f t="shared" si="426"/>
        <v>0</v>
      </c>
      <c r="J701" s="134">
        <f t="shared" si="426"/>
        <v>0</v>
      </c>
      <c r="K701" s="134">
        <f t="shared" si="426"/>
        <v>0</v>
      </c>
      <c r="L701" s="134">
        <f t="shared" si="426"/>
        <v>0</v>
      </c>
      <c r="M701" s="134">
        <f t="shared" si="426"/>
        <v>0</v>
      </c>
      <c r="N701" s="134">
        <f t="shared" si="426"/>
        <v>0</v>
      </c>
      <c r="O701" s="134">
        <f t="shared" si="426"/>
        <v>0</v>
      </c>
      <c r="P701" s="134">
        <f t="shared" si="426"/>
        <v>0</v>
      </c>
      <c r="Q701" s="134">
        <f t="shared" si="426"/>
        <v>0</v>
      </c>
      <c r="R701" s="134">
        <f t="shared" si="426"/>
        <v>0</v>
      </c>
      <c r="S701" s="134">
        <f t="shared" si="426"/>
        <v>0</v>
      </c>
      <c r="T701" s="134">
        <f t="shared" si="426"/>
        <v>0</v>
      </c>
      <c r="U701" s="134">
        <f t="shared" si="426"/>
        <v>0</v>
      </c>
      <c r="V701" s="134">
        <f t="shared" si="426"/>
        <v>0</v>
      </c>
      <c r="W701" s="134">
        <f t="shared" si="426"/>
        <v>0</v>
      </c>
      <c r="X701" s="134">
        <f t="shared" si="426"/>
        <v>0</v>
      </c>
      <c r="Y701" s="134">
        <f t="shared" si="426"/>
        <v>0</v>
      </c>
      <c r="Z701" s="134">
        <f t="shared" si="426"/>
        <v>0</v>
      </c>
      <c r="AA701" s="134">
        <f t="shared" si="426"/>
        <v>0</v>
      </c>
      <c r="AB701" s="134">
        <f t="shared" si="426"/>
        <v>0</v>
      </c>
      <c r="AC701" s="134">
        <f t="shared" si="426"/>
        <v>0</v>
      </c>
      <c r="AD701" s="134">
        <f t="shared" si="426"/>
        <v>0</v>
      </c>
      <c r="AE701" s="134">
        <f t="shared" si="426"/>
        <v>0</v>
      </c>
      <c r="AF701" s="134">
        <f t="shared" si="426"/>
        <v>0</v>
      </c>
      <c r="AG701" s="134">
        <f t="shared" si="426"/>
        <v>0</v>
      </c>
      <c r="AH701" s="134">
        <f t="shared" si="426"/>
        <v>0</v>
      </c>
      <c r="AI701" s="134">
        <f t="shared" si="426"/>
        <v>0</v>
      </c>
      <c r="AJ701" s="134">
        <f t="shared" si="426"/>
        <v>0</v>
      </c>
      <c r="AK701" s="134">
        <f t="shared" si="426"/>
        <v>0</v>
      </c>
      <c r="AL701" s="134">
        <f t="shared" si="426"/>
        <v>0</v>
      </c>
      <c r="AM701" s="134">
        <f t="shared" si="426"/>
        <v>0</v>
      </c>
      <c r="AN701" s="134">
        <f t="shared" si="426"/>
        <v>0</v>
      </c>
      <c r="AO701" s="134">
        <f t="shared" si="426"/>
        <v>0</v>
      </c>
      <c r="AP701" s="134">
        <f t="shared" si="426"/>
        <v>0</v>
      </c>
      <c r="AQ701" s="134">
        <f t="shared" si="426"/>
        <v>0</v>
      </c>
      <c r="AR701" s="134">
        <f t="shared" si="426"/>
        <v>0</v>
      </c>
      <c r="AS701" s="134">
        <f t="shared" si="426"/>
        <v>0</v>
      </c>
      <c r="AT701" s="134">
        <f t="shared" si="426"/>
        <v>0</v>
      </c>
      <c r="AU701" s="134">
        <f t="shared" si="426"/>
        <v>0</v>
      </c>
      <c r="AV701" s="134">
        <f t="shared" si="426"/>
        <v>0</v>
      </c>
      <c r="AW701" s="134">
        <f t="shared" si="426"/>
        <v>0</v>
      </c>
      <c r="AX701" s="134">
        <f t="shared" si="426"/>
        <v>0</v>
      </c>
      <c r="AY701" s="134">
        <f t="shared" si="426"/>
        <v>0</v>
      </c>
      <c r="AZ701" s="134">
        <f t="shared" si="426"/>
        <v>0</v>
      </c>
      <c r="BA701" s="134">
        <f t="shared" si="426"/>
        <v>0</v>
      </c>
      <c r="BB701" s="134">
        <f t="shared" si="426"/>
        <v>0</v>
      </c>
      <c r="BC701" s="134">
        <f t="shared" si="426"/>
        <v>0</v>
      </c>
      <c r="BD701" s="134">
        <f t="shared" si="426"/>
        <v>0</v>
      </c>
      <c r="BE701" s="134">
        <f t="shared" si="426"/>
        <v>0</v>
      </c>
      <c r="BF701" s="134">
        <f t="shared" si="426"/>
        <v>0</v>
      </c>
      <c r="BG701" s="134">
        <f t="shared" si="426"/>
        <v>0</v>
      </c>
      <c r="BH701" s="134">
        <f t="shared" si="426"/>
        <v>0</v>
      </c>
      <c r="BI701" s="134">
        <f t="shared" si="426"/>
        <v>0</v>
      </c>
      <c r="BJ701" s="135">
        <f t="shared" si="426"/>
        <v>0</v>
      </c>
    </row>
    <row r="702" spans="1:64" s="105" customFormat="1" ht="22.5" customHeight="1">
      <c r="A702" s="131" t="s">
        <v>124</v>
      </c>
      <c r="B702" s="132">
        <f t="shared" si="421"/>
        <v>3109925788.5819235</v>
      </c>
      <c r="C702" s="133">
        <f>C693-C695-C696-C701</f>
        <v>1128473.1158212079</v>
      </c>
      <c r="D702" s="134">
        <f>D693-D695-D696-D701</f>
        <v>1453043.478657403</v>
      </c>
      <c r="E702" s="134">
        <f t="shared" ref="E702:BJ702" si="427">E693-E695-E696-E701</f>
        <v>1511165.2178036999</v>
      </c>
      <c r="F702" s="134">
        <f t="shared" si="427"/>
        <v>1571611.8265158469</v>
      </c>
      <c r="G702" s="134">
        <f t="shared" si="427"/>
        <v>1634476.2995764818</v>
      </c>
      <c r="H702" s="134">
        <f t="shared" si="427"/>
        <v>35282828.875905253</v>
      </c>
      <c r="I702" s="134">
        <f t="shared" si="427"/>
        <v>73388284.061882913</v>
      </c>
      <c r="J702" s="134">
        <f t="shared" si="427"/>
        <v>114485723.13653733</v>
      </c>
      <c r="K702" s="134">
        <f t="shared" si="427"/>
        <v>158753536.08266515</v>
      </c>
      <c r="L702" s="134">
        <f t="shared" si="427"/>
        <v>272892988.12287807</v>
      </c>
      <c r="M702" s="134">
        <f t="shared" si="427"/>
        <v>283808707.64779311</v>
      </c>
      <c r="N702" s="134">
        <f t="shared" si="427"/>
        <v>295161055.95370489</v>
      </c>
      <c r="O702" s="134">
        <f t="shared" si="427"/>
        <v>306967498.19185311</v>
      </c>
      <c r="P702" s="134">
        <f t="shared" si="427"/>
        <v>319246198.11952728</v>
      </c>
      <c r="Q702" s="134">
        <f t="shared" si="427"/>
        <v>332016046.04430836</v>
      </c>
      <c r="R702" s="134">
        <f t="shared" si="427"/>
        <v>345296687.88608074</v>
      </c>
      <c r="S702" s="134">
        <f t="shared" si="427"/>
        <v>217265176.12513247</v>
      </c>
      <c r="T702" s="134">
        <f t="shared" si="427"/>
        <v>169466837.37760332</v>
      </c>
      <c r="U702" s="134">
        <f t="shared" si="427"/>
        <v>117497007.24847166</v>
      </c>
      <c r="V702" s="134">
        <f t="shared" si="427"/>
        <v>61098443.769205257</v>
      </c>
      <c r="W702" s="134">
        <f t="shared" si="427"/>
        <v>0</v>
      </c>
      <c r="X702" s="134">
        <f t="shared" si="427"/>
        <v>0</v>
      </c>
      <c r="Y702" s="134">
        <f t="shared" si="427"/>
        <v>0</v>
      </c>
      <c r="Z702" s="134">
        <f t="shared" si="427"/>
        <v>0</v>
      </c>
      <c r="AA702" s="134">
        <f t="shared" si="427"/>
        <v>0</v>
      </c>
      <c r="AB702" s="134">
        <f t="shared" si="427"/>
        <v>0</v>
      </c>
      <c r="AC702" s="134">
        <f t="shared" si="427"/>
        <v>0</v>
      </c>
      <c r="AD702" s="134">
        <f t="shared" si="427"/>
        <v>0</v>
      </c>
      <c r="AE702" s="134">
        <f t="shared" si="427"/>
        <v>0</v>
      </c>
      <c r="AF702" s="134">
        <f t="shared" si="427"/>
        <v>0</v>
      </c>
      <c r="AG702" s="134">
        <f t="shared" si="427"/>
        <v>0</v>
      </c>
      <c r="AH702" s="134">
        <f t="shared" si="427"/>
        <v>0</v>
      </c>
      <c r="AI702" s="134">
        <f t="shared" si="427"/>
        <v>0</v>
      </c>
      <c r="AJ702" s="134">
        <f t="shared" si="427"/>
        <v>0</v>
      </c>
      <c r="AK702" s="134">
        <f t="shared" si="427"/>
        <v>0</v>
      </c>
      <c r="AL702" s="134">
        <f t="shared" si="427"/>
        <v>0</v>
      </c>
      <c r="AM702" s="134">
        <f t="shared" si="427"/>
        <v>0</v>
      </c>
      <c r="AN702" s="134">
        <f t="shared" si="427"/>
        <v>0</v>
      </c>
      <c r="AO702" s="134">
        <f t="shared" si="427"/>
        <v>0</v>
      </c>
      <c r="AP702" s="134">
        <f t="shared" si="427"/>
        <v>0</v>
      </c>
      <c r="AQ702" s="134">
        <f t="shared" si="427"/>
        <v>0</v>
      </c>
      <c r="AR702" s="134">
        <f t="shared" si="427"/>
        <v>0</v>
      </c>
      <c r="AS702" s="134">
        <f t="shared" si="427"/>
        <v>0</v>
      </c>
      <c r="AT702" s="134">
        <f t="shared" si="427"/>
        <v>0</v>
      </c>
      <c r="AU702" s="134">
        <f t="shared" si="427"/>
        <v>0</v>
      </c>
      <c r="AV702" s="134">
        <f t="shared" si="427"/>
        <v>0</v>
      </c>
      <c r="AW702" s="134">
        <f t="shared" si="427"/>
        <v>0</v>
      </c>
      <c r="AX702" s="134">
        <f t="shared" si="427"/>
        <v>0</v>
      </c>
      <c r="AY702" s="134">
        <f t="shared" si="427"/>
        <v>0</v>
      </c>
      <c r="AZ702" s="134">
        <f t="shared" si="427"/>
        <v>0</v>
      </c>
      <c r="BA702" s="134">
        <f t="shared" si="427"/>
        <v>0</v>
      </c>
      <c r="BB702" s="134">
        <f t="shared" si="427"/>
        <v>0</v>
      </c>
      <c r="BC702" s="134">
        <f t="shared" si="427"/>
        <v>0</v>
      </c>
      <c r="BD702" s="134">
        <f t="shared" si="427"/>
        <v>0</v>
      </c>
      <c r="BE702" s="134">
        <f t="shared" si="427"/>
        <v>0</v>
      </c>
      <c r="BF702" s="134">
        <f t="shared" si="427"/>
        <v>0</v>
      </c>
      <c r="BG702" s="134">
        <f t="shared" si="427"/>
        <v>0</v>
      </c>
      <c r="BH702" s="134">
        <f t="shared" si="427"/>
        <v>0</v>
      </c>
      <c r="BI702" s="134">
        <f t="shared" si="427"/>
        <v>0</v>
      </c>
      <c r="BJ702" s="135">
        <f t="shared" si="427"/>
        <v>0</v>
      </c>
      <c r="BK702" s="109"/>
      <c r="BL702" s="109"/>
    </row>
    <row r="703" spans="1:64" s="116" customFormat="1">
      <c r="A703" s="136" t="s">
        <v>125</v>
      </c>
      <c r="B703" s="137">
        <f t="shared" ref="B703:G703" si="428">SUM(B704:B707)</f>
        <v>330986323.28250426</v>
      </c>
      <c r="C703" s="113">
        <f t="shared" si="428"/>
        <v>35489170.390521139</v>
      </c>
      <c r="D703" s="114">
        <f t="shared" si="428"/>
        <v>39804463.006855965</v>
      </c>
      <c r="E703" s="114">
        <f t="shared" si="428"/>
        <v>81910779.691545099</v>
      </c>
      <c r="F703" s="114">
        <f t="shared" si="428"/>
        <v>85187210.879206896</v>
      </c>
      <c r="G703" s="114">
        <f t="shared" si="428"/>
        <v>88594699.314375192</v>
      </c>
      <c r="H703" s="114"/>
      <c r="I703" s="114"/>
      <c r="J703" s="114"/>
      <c r="K703" s="114"/>
      <c r="L703" s="114"/>
      <c r="M703" s="114"/>
      <c r="N703" s="114"/>
      <c r="O703" s="114"/>
      <c r="P703" s="114"/>
      <c r="Q703" s="114"/>
      <c r="R703" s="114"/>
      <c r="S703" s="114"/>
      <c r="T703" s="114"/>
      <c r="U703" s="114"/>
      <c r="V703" s="114"/>
      <c r="W703" s="114"/>
      <c r="X703" s="114"/>
      <c r="Y703" s="114"/>
      <c r="Z703" s="114"/>
      <c r="AA703" s="114"/>
      <c r="AB703" s="114"/>
      <c r="AC703" s="114"/>
      <c r="AD703" s="114"/>
      <c r="AE703" s="114"/>
      <c r="AF703" s="114"/>
      <c r="AG703" s="114"/>
      <c r="AH703" s="114"/>
      <c r="AI703" s="114"/>
      <c r="AJ703" s="114"/>
      <c r="AK703" s="114"/>
      <c r="AL703" s="114"/>
      <c r="AM703" s="114"/>
      <c r="AN703" s="114"/>
      <c r="AO703" s="114"/>
      <c r="AP703" s="114"/>
      <c r="AQ703" s="114"/>
      <c r="AR703" s="114"/>
      <c r="AS703" s="114"/>
      <c r="AT703" s="114"/>
      <c r="AU703" s="114"/>
      <c r="AV703" s="114"/>
      <c r="AW703" s="114"/>
      <c r="AX703" s="114"/>
      <c r="AY703" s="114"/>
      <c r="AZ703" s="114"/>
      <c r="BA703" s="114"/>
      <c r="BB703" s="114"/>
      <c r="BC703" s="114"/>
      <c r="BD703" s="114"/>
      <c r="BE703" s="114"/>
      <c r="BF703" s="114"/>
      <c r="BG703" s="114"/>
      <c r="BH703" s="114"/>
      <c r="BI703" s="114"/>
      <c r="BJ703" s="115"/>
    </row>
    <row r="704" spans="1:64" s="143" customFormat="1" ht="12.75">
      <c r="A704" s="138" t="s">
        <v>126</v>
      </c>
      <c r="B704" s="139">
        <f>SUM(C704:BJ704)</f>
        <v>10217770.425815737</v>
      </c>
      <c r="C704" s="140">
        <f>C647*(1+$G633)^(C634-1)</f>
        <v>0</v>
      </c>
      <c r="D704" s="141">
        <f>D647*(1+$G633)^(D634-1)</f>
        <v>0</v>
      </c>
      <c r="E704" s="141">
        <f>E647*(1+$G633)^(E634-1)</f>
        <v>3273247.8298999672</v>
      </c>
      <c r="F704" s="141">
        <f>F647*(1+$G633)^(F634-1)</f>
        <v>3404177.7430959656</v>
      </c>
      <c r="G704" s="141">
        <f>G647*(1+$G633)^(G634-1)</f>
        <v>3540344.8528198046</v>
      </c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  <c r="AH704" s="141"/>
      <c r="AI704" s="141"/>
      <c r="AJ704" s="141"/>
      <c r="AK704" s="141"/>
      <c r="AL704" s="141"/>
      <c r="AM704" s="141"/>
      <c r="AN704" s="141"/>
      <c r="AO704" s="141"/>
      <c r="AP704" s="141"/>
      <c r="AQ704" s="141"/>
      <c r="AR704" s="141"/>
      <c r="AS704" s="141"/>
      <c r="AT704" s="141"/>
      <c r="AU704" s="141"/>
      <c r="AV704" s="141"/>
      <c r="AW704" s="141"/>
      <c r="AX704" s="141"/>
      <c r="AY704" s="141"/>
      <c r="AZ704" s="141"/>
      <c r="BA704" s="141"/>
      <c r="BB704" s="141"/>
      <c r="BC704" s="141"/>
      <c r="BD704" s="141"/>
      <c r="BE704" s="141"/>
      <c r="BF704" s="141"/>
      <c r="BG704" s="141"/>
      <c r="BH704" s="141"/>
      <c r="BI704" s="141"/>
      <c r="BJ704" s="142"/>
      <c r="BK704" s="141"/>
      <c r="BL704" s="141"/>
    </row>
    <row r="705" spans="1:64" s="143" customFormat="1" ht="12.75">
      <c r="A705" s="138" t="s">
        <v>127</v>
      </c>
      <c r="B705" s="139">
        <f>SUM(C705:BJ705)</f>
        <v>135052902.40000001</v>
      </c>
      <c r="C705" s="140">
        <f>C648*(1+$G633)^(C634-1)</f>
        <v>0</v>
      </c>
      <c r="D705" s="141">
        <f>D648*(1+$G633)^(D634-1)</f>
        <v>0</v>
      </c>
      <c r="E705" s="141">
        <f>E648*(1+$G633)^(E634-1)</f>
        <v>43264000.000000007</v>
      </c>
      <c r="F705" s="141">
        <f>F648*(1+$G633)^(F634-1)</f>
        <v>44994560</v>
      </c>
      <c r="G705" s="141">
        <f>G648*(1+$G633)^(G634-1)</f>
        <v>46794342.400000006</v>
      </c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  <c r="AH705" s="141"/>
      <c r="AI705" s="141"/>
      <c r="AJ705" s="141"/>
      <c r="AK705" s="141"/>
      <c r="AL705" s="141"/>
      <c r="AM705" s="141"/>
      <c r="AN705" s="141"/>
      <c r="AO705" s="141"/>
      <c r="AP705" s="141"/>
      <c r="AQ705" s="141"/>
      <c r="AR705" s="141"/>
      <c r="AS705" s="141"/>
      <c r="AT705" s="141"/>
      <c r="AU705" s="141"/>
      <c r="AV705" s="141"/>
      <c r="AW705" s="141"/>
      <c r="AX705" s="141"/>
      <c r="AY705" s="141"/>
      <c r="AZ705" s="141"/>
      <c r="BA705" s="141"/>
      <c r="BB705" s="141"/>
      <c r="BC705" s="141"/>
      <c r="BD705" s="141"/>
      <c r="BE705" s="141"/>
      <c r="BF705" s="141"/>
      <c r="BG705" s="141"/>
      <c r="BH705" s="141"/>
      <c r="BI705" s="141"/>
      <c r="BJ705" s="142"/>
      <c r="BK705" s="141"/>
      <c r="BL705" s="141"/>
    </row>
    <row r="706" spans="1:64" s="143" customFormat="1" ht="12.75">
      <c r="A706" s="138" t="s">
        <v>128</v>
      </c>
      <c r="B706" s="139">
        <f>SUM(C706:BJ706)</f>
        <v>177139847.12380481</v>
      </c>
      <c r="C706" s="140">
        <f>C649*(1+$G633)^(C634-1)</f>
        <v>32704818.659065384</v>
      </c>
      <c r="D706" s="141">
        <f>D649*(1+$G633)^(D634-1)</f>
        <v>34013011.405428</v>
      </c>
      <c r="E706" s="141">
        <f>E649*(1+$G633)^(E634-1)</f>
        <v>35373531.861645125</v>
      </c>
      <c r="F706" s="141">
        <f>F649*(1+$G633)^(F634-1)</f>
        <v>36788473.136110924</v>
      </c>
      <c r="G706" s="141">
        <f>G649*(1+$G633)^(G634-1)</f>
        <v>38260012.061555371</v>
      </c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  <c r="AH706" s="141"/>
      <c r="AI706" s="141"/>
      <c r="AJ706" s="141"/>
      <c r="AK706" s="141"/>
      <c r="AL706" s="141"/>
      <c r="AM706" s="141"/>
      <c r="AN706" s="141"/>
      <c r="AO706" s="141"/>
      <c r="AP706" s="141"/>
      <c r="AQ706" s="141"/>
      <c r="AR706" s="141"/>
      <c r="AS706" s="141"/>
      <c r="AT706" s="141"/>
      <c r="AU706" s="141"/>
      <c r="AV706" s="141"/>
      <c r="AW706" s="141"/>
      <c r="AX706" s="141"/>
      <c r="AY706" s="141"/>
      <c r="AZ706" s="141"/>
      <c r="BA706" s="141"/>
      <c r="BB706" s="141"/>
      <c r="BC706" s="141"/>
      <c r="BD706" s="141"/>
      <c r="BE706" s="141"/>
      <c r="BF706" s="141"/>
      <c r="BG706" s="141"/>
      <c r="BH706" s="141"/>
      <c r="BI706" s="141"/>
      <c r="BJ706" s="142"/>
      <c r="BK706" s="141"/>
      <c r="BL706" s="141"/>
    </row>
    <row r="707" spans="1:64" s="143" customFormat="1" ht="12.75">
      <c r="A707" s="138" t="s">
        <v>129</v>
      </c>
      <c r="B707" s="139">
        <f>SUM(C707:BJ707)</f>
        <v>8575803.3328837119</v>
      </c>
      <c r="C707" s="140">
        <f>C650*(1+$G633)^(C634-1)</f>
        <v>2784351.7314557508</v>
      </c>
      <c r="D707" s="141">
        <f>D650*(1+$G633)^(D634-1)</f>
        <v>5791451.6014279621</v>
      </c>
      <c r="E707" s="141">
        <f>E650*(1+$G633)^(E634-1)</f>
        <v>0</v>
      </c>
      <c r="F707" s="141">
        <f>F650*(1+$G633)^(F634-1)</f>
        <v>0</v>
      </c>
      <c r="G707" s="141">
        <f>G650*(1+$G633)^(G634-1)</f>
        <v>0</v>
      </c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  <c r="AH707" s="141"/>
      <c r="AI707" s="141"/>
      <c r="AJ707" s="141"/>
      <c r="AK707" s="141"/>
      <c r="AL707" s="141"/>
      <c r="AM707" s="141"/>
      <c r="AN707" s="141"/>
      <c r="AO707" s="141"/>
      <c r="AP707" s="141"/>
      <c r="AQ707" s="141"/>
      <c r="AR707" s="141"/>
      <c r="AS707" s="141"/>
      <c r="AT707" s="141"/>
      <c r="AU707" s="141"/>
      <c r="AV707" s="141"/>
      <c r="AW707" s="141"/>
      <c r="AX707" s="141"/>
      <c r="AY707" s="141"/>
      <c r="AZ707" s="141"/>
      <c r="BA707" s="141"/>
      <c r="BB707" s="141"/>
      <c r="BC707" s="141"/>
      <c r="BD707" s="141"/>
      <c r="BE707" s="141"/>
      <c r="BF707" s="141"/>
      <c r="BG707" s="141"/>
      <c r="BH707" s="141"/>
      <c r="BI707" s="141"/>
      <c r="BJ707" s="142"/>
      <c r="BK707" s="141"/>
      <c r="BL707" s="141"/>
    </row>
    <row r="708" spans="1:64" s="116" customFormat="1">
      <c r="A708" s="111" t="s">
        <v>130</v>
      </c>
      <c r="B708" s="137">
        <f>SUM(B709:B712)</f>
        <v>618778244.58761692</v>
      </c>
      <c r="C708" s="117">
        <f>SUM(C709:C712)</f>
        <v>1182972.3463507043</v>
      </c>
      <c r="D708" s="118">
        <f>SUM(D709:D712)</f>
        <v>2557106.6737665981</v>
      </c>
      <c r="E708" s="118">
        <f t="shared" ref="E708:BJ708" si="429">SUM(E709:E712)</f>
        <v>5389750.2637687651</v>
      </c>
      <c r="F708" s="118">
        <f t="shared" si="429"/>
        <v>8444913.9702930786</v>
      </c>
      <c r="G708" s="118">
        <f t="shared" si="429"/>
        <v>11735867.172917308</v>
      </c>
      <c r="H708" s="118">
        <f t="shared" si="429"/>
        <v>12205301.859834002</v>
      </c>
      <c r="I708" s="118">
        <f t="shared" si="429"/>
        <v>12693513.934227362</v>
      </c>
      <c r="J708" s="118">
        <f t="shared" si="429"/>
        <v>13201254.491596457</v>
      </c>
      <c r="K708" s="118">
        <f t="shared" si="429"/>
        <v>13729304.671260316</v>
      </c>
      <c r="L708" s="118">
        <f t="shared" si="429"/>
        <v>14278476.85811073</v>
      </c>
      <c r="M708" s="118">
        <f t="shared" si="429"/>
        <v>14849615.932435157</v>
      </c>
      <c r="N708" s="118">
        <f t="shared" si="429"/>
        <v>15443600.569732564</v>
      </c>
      <c r="O708" s="118">
        <f t="shared" si="429"/>
        <v>16061344.592521871</v>
      </c>
      <c r="P708" s="118">
        <f t="shared" si="429"/>
        <v>16703798.376222745</v>
      </c>
      <c r="Q708" s="118">
        <f t="shared" si="429"/>
        <v>17371950.311271656</v>
      </c>
      <c r="R708" s="118">
        <f t="shared" si="429"/>
        <v>18066828.323722523</v>
      </c>
      <c r="S708" s="118">
        <f t="shared" si="429"/>
        <v>18789501.456671424</v>
      </c>
      <c r="T708" s="118">
        <f t="shared" si="429"/>
        <v>19541081.51493828</v>
      </c>
      <c r="U708" s="118">
        <f t="shared" si="429"/>
        <v>20322724.775535814</v>
      </c>
      <c r="V708" s="118">
        <f t="shared" si="429"/>
        <v>21135633.766557246</v>
      </c>
      <c r="W708" s="118">
        <f t="shared" si="429"/>
        <v>21981059.117219537</v>
      </c>
      <c r="X708" s="118">
        <f t="shared" si="429"/>
        <v>22860301.481908325</v>
      </c>
      <c r="Y708" s="118">
        <f t="shared" si="429"/>
        <v>23774713.541184656</v>
      </c>
      <c r="Z708" s="118">
        <f t="shared" si="429"/>
        <v>24725702.082832046</v>
      </c>
      <c r="AA708" s="118">
        <f t="shared" si="429"/>
        <v>25714730.166145325</v>
      </c>
      <c r="AB708" s="118">
        <f t="shared" si="429"/>
        <v>26743319.372791141</v>
      </c>
      <c r="AC708" s="118">
        <f t="shared" si="429"/>
        <v>27813052.147702787</v>
      </c>
      <c r="AD708" s="118">
        <f t="shared" si="429"/>
        <v>28925574.233610898</v>
      </c>
      <c r="AE708" s="118">
        <f t="shared" si="429"/>
        <v>30082597.202955339</v>
      </c>
      <c r="AF708" s="118">
        <f t="shared" si="429"/>
        <v>31285901.091073558</v>
      </c>
      <c r="AG708" s="118">
        <f t="shared" si="429"/>
        <v>28700487.572131183</v>
      </c>
      <c r="AH708" s="118">
        <f t="shared" si="429"/>
        <v>25545117.201535761</v>
      </c>
      <c r="AI708" s="118">
        <f t="shared" si="429"/>
        <v>17711281.259731464</v>
      </c>
      <c r="AJ708" s="118">
        <f t="shared" si="429"/>
        <v>9209866.2550603598</v>
      </c>
      <c r="AK708" s="118">
        <f t="shared" si="429"/>
        <v>0</v>
      </c>
      <c r="AL708" s="118">
        <f t="shared" si="429"/>
        <v>0</v>
      </c>
      <c r="AM708" s="118">
        <f t="shared" si="429"/>
        <v>0</v>
      </c>
      <c r="AN708" s="118">
        <f t="shared" si="429"/>
        <v>0</v>
      </c>
      <c r="AO708" s="118">
        <f t="shared" si="429"/>
        <v>0</v>
      </c>
      <c r="AP708" s="118">
        <f t="shared" si="429"/>
        <v>0</v>
      </c>
      <c r="AQ708" s="118">
        <f t="shared" si="429"/>
        <v>0</v>
      </c>
      <c r="AR708" s="118">
        <f t="shared" si="429"/>
        <v>0</v>
      </c>
      <c r="AS708" s="118">
        <f t="shared" si="429"/>
        <v>0</v>
      </c>
      <c r="AT708" s="118">
        <f t="shared" si="429"/>
        <v>0</v>
      </c>
      <c r="AU708" s="118">
        <f t="shared" si="429"/>
        <v>0</v>
      </c>
      <c r="AV708" s="118">
        <f t="shared" si="429"/>
        <v>0</v>
      </c>
      <c r="AW708" s="118">
        <f t="shared" si="429"/>
        <v>0</v>
      </c>
      <c r="AX708" s="118">
        <f t="shared" si="429"/>
        <v>0</v>
      </c>
      <c r="AY708" s="118">
        <f t="shared" si="429"/>
        <v>0</v>
      </c>
      <c r="AZ708" s="118">
        <f t="shared" si="429"/>
        <v>0</v>
      </c>
      <c r="BA708" s="118">
        <f t="shared" si="429"/>
        <v>0</v>
      </c>
      <c r="BB708" s="118">
        <f t="shared" si="429"/>
        <v>0</v>
      </c>
      <c r="BC708" s="118">
        <f t="shared" si="429"/>
        <v>0</v>
      </c>
      <c r="BD708" s="118">
        <f t="shared" si="429"/>
        <v>0</v>
      </c>
      <c r="BE708" s="118">
        <f t="shared" si="429"/>
        <v>0</v>
      </c>
      <c r="BF708" s="118">
        <f t="shared" si="429"/>
        <v>0</v>
      </c>
      <c r="BG708" s="118">
        <f t="shared" si="429"/>
        <v>0</v>
      </c>
      <c r="BH708" s="118">
        <f t="shared" si="429"/>
        <v>0</v>
      </c>
      <c r="BI708" s="118">
        <f t="shared" si="429"/>
        <v>0</v>
      </c>
      <c r="BJ708" s="119">
        <f t="shared" si="429"/>
        <v>0</v>
      </c>
      <c r="BK708" s="118"/>
      <c r="BL708" s="118"/>
    </row>
    <row r="709" spans="1:64" s="143" customFormat="1" ht="12.75">
      <c r="A709" s="138" t="s">
        <v>126</v>
      </c>
      <c r="B709" s="139">
        <f>SUM(C709:BJ709)</f>
        <v>19102100.609423388</v>
      </c>
      <c r="C709" s="140">
        <f>C652*(1+$G633)^(C634-1)</f>
        <v>0</v>
      </c>
      <c r="D709" s="141">
        <f t="shared" ref="D709:AJ709" si="430">D652*(1+$G633)^(D634-1)</f>
        <v>0</v>
      </c>
      <c r="E709" s="141">
        <f t="shared" si="430"/>
        <v>109108.26099666557</v>
      </c>
      <c r="F709" s="141">
        <f t="shared" si="430"/>
        <v>226945.18287306439</v>
      </c>
      <c r="G709" s="141">
        <f t="shared" si="430"/>
        <v>354034.48528198054</v>
      </c>
      <c r="H709" s="141">
        <f t="shared" si="430"/>
        <v>368195.86469325976</v>
      </c>
      <c r="I709" s="141">
        <f t="shared" si="430"/>
        <v>382923.69928099017</v>
      </c>
      <c r="J709" s="141">
        <f t="shared" si="430"/>
        <v>398240.64725222974</v>
      </c>
      <c r="K709" s="141">
        <f t="shared" si="430"/>
        <v>414170.273142319</v>
      </c>
      <c r="L709" s="141">
        <f t="shared" si="430"/>
        <v>430737.08406801178</v>
      </c>
      <c r="M709" s="141">
        <f t="shared" si="430"/>
        <v>447966.56743073225</v>
      </c>
      <c r="N709" s="141">
        <f t="shared" si="430"/>
        <v>465885.23012796149</v>
      </c>
      <c r="O709" s="141">
        <f t="shared" si="430"/>
        <v>484520.63933308009</v>
      </c>
      <c r="P709" s="141">
        <f t="shared" si="430"/>
        <v>503901.46490640327</v>
      </c>
      <c r="Q709" s="141">
        <f t="shared" si="430"/>
        <v>524057.5235026594</v>
      </c>
      <c r="R709" s="141">
        <f t="shared" si="430"/>
        <v>545019.82444276579</v>
      </c>
      <c r="S709" s="141">
        <f t="shared" si="430"/>
        <v>566820.61742047651</v>
      </c>
      <c r="T709" s="141">
        <f t="shared" si="430"/>
        <v>589493.44211729558</v>
      </c>
      <c r="U709" s="141">
        <f t="shared" si="430"/>
        <v>613073.17980198748</v>
      </c>
      <c r="V709" s="141">
        <f t="shared" si="430"/>
        <v>637596.10699406697</v>
      </c>
      <c r="W709" s="141">
        <f t="shared" si="430"/>
        <v>663099.95127382968</v>
      </c>
      <c r="X709" s="141">
        <f t="shared" si="430"/>
        <v>689623.94932478305</v>
      </c>
      <c r="Y709" s="141">
        <f t="shared" si="430"/>
        <v>717208.90729777433</v>
      </c>
      <c r="Z709" s="141">
        <f t="shared" si="430"/>
        <v>745897.2635896852</v>
      </c>
      <c r="AA709" s="141">
        <f t="shared" si="430"/>
        <v>775733.15413327271</v>
      </c>
      <c r="AB709" s="141">
        <f t="shared" si="430"/>
        <v>806762.48029860377</v>
      </c>
      <c r="AC709" s="141">
        <f t="shared" si="430"/>
        <v>839032.97951054783</v>
      </c>
      <c r="AD709" s="141">
        <f t="shared" si="430"/>
        <v>872594.29869096971</v>
      </c>
      <c r="AE709" s="141">
        <f t="shared" si="430"/>
        <v>907498.07063860865</v>
      </c>
      <c r="AF709" s="141">
        <f t="shared" si="430"/>
        <v>943797.99346415314</v>
      </c>
      <c r="AG709" s="141">
        <f t="shared" si="430"/>
        <v>981549.91320271906</v>
      </c>
      <c r="AH709" s="141">
        <f t="shared" si="430"/>
        <v>1020811.9097308279</v>
      </c>
      <c r="AI709" s="141">
        <f t="shared" si="430"/>
        <v>707762.92408004066</v>
      </c>
      <c r="AJ709" s="141">
        <f t="shared" si="430"/>
        <v>368036.72052162117</v>
      </c>
      <c r="AK709" s="141"/>
      <c r="AL709" s="141"/>
      <c r="AM709" s="141"/>
      <c r="AN709" s="141"/>
      <c r="AO709" s="141"/>
      <c r="AP709" s="141"/>
      <c r="AQ709" s="141"/>
      <c r="AR709" s="141"/>
      <c r="AS709" s="141"/>
      <c r="AT709" s="141"/>
      <c r="AU709" s="141"/>
      <c r="AV709" s="141"/>
      <c r="AW709" s="141"/>
      <c r="AX709" s="141"/>
      <c r="AY709" s="141"/>
      <c r="AZ709" s="141"/>
      <c r="BA709" s="141"/>
      <c r="BB709" s="141"/>
      <c r="BC709" s="141"/>
      <c r="BD709" s="141"/>
      <c r="BE709" s="141"/>
      <c r="BF709" s="141"/>
      <c r="BG709" s="141"/>
      <c r="BH709" s="141"/>
      <c r="BI709" s="141"/>
      <c r="BJ709" s="142"/>
      <c r="BK709" s="141"/>
      <c r="BL709" s="141"/>
    </row>
    <row r="710" spans="1:64" s="143" customFormat="1" ht="12.75">
      <c r="A710" s="138" t="s">
        <v>127</v>
      </c>
      <c r="B710" s="139">
        <f>SUM(C710:BJ710)</f>
        <v>252481120.80512699</v>
      </c>
      <c r="C710" s="140">
        <f>C653*(1+$G633)^(C634-1)</f>
        <v>0</v>
      </c>
      <c r="D710" s="141">
        <f t="shared" ref="D710:AJ710" si="431">D653*(1+$G633)^(D634-1)</f>
        <v>0</v>
      </c>
      <c r="E710" s="141">
        <f t="shared" si="431"/>
        <v>1442133.3333333335</v>
      </c>
      <c r="F710" s="141">
        <f t="shared" si="431"/>
        <v>2999637.3333333335</v>
      </c>
      <c r="G710" s="141">
        <f t="shared" si="431"/>
        <v>4679434.2400000012</v>
      </c>
      <c r="H710" s="141">
        <f t="shared" si="431"/>
        <v>4866611.609600001</v>
      </c>
      <c r="I710" s="141">
        <f t="shared" si="431"/>
        <v>5061276.0739840018</v>
      </c>
      <c r="J710" s="141">
        <f t="shared" si="431"/>
        <v>5263727.1169433612</v>
      </c>
      <c r="K710" s="141">
        <f t="shared" si="431"/>
        <v>5474276.2016210966</v>
      </c>
      <c r="L710" s="141">
        <f t="shared" si="431"/>
        <v>5693247.2496859403</v>
      </c>
      <c r="M710" s="141">
        <f t="shared" si="431"/>
        <v>5920977.1396733783</v>
      </c>
      <c r="N710" s="141">
        <f t="shared" si="431"/>
        <v>6157816.2252603127</v>
      </c>
      <c r="O710" s="141">
        <f t="shared" si="431"/>
        <v>6404128.8742707269</v>
      </c>
      <c r="P710" s="141">
        <f t="shared" si="431"/>
        <v>6660294.0292415563</v>
      </c>
      <c r="Q710" s="141">
        <f t="shared" si="431"/>
        <v>6926705.7904112181</v>
      </c>
      <c r="R710" s="141">
        <f t="shared" si="431"/>
        <v>7203774.0220276667</v>
      </c>
      <c r="S710" s="141">
        <f t="shared" si="431"/>
        <v>7491924.9829087751</v>
      </c>
      <c r="T710" s="141">
        <f t="shared" si="431"/>
        <v>7791601.9822251266</v>
      </c>
      <c r="U710" s="141">
        <f t="shared" si="431"/>
        <v>8103266.0615141317</v>
      </c>
      <c r="V710" s="141">
        <f t="shared" si="431"/>
        <v>8427396.7039746977</v>
      </c>
      <c r="W710" s="141">
        <f t="shared" si="431"/>
        <v>8764492.5721336845</v>
      </c>
      <c r="X710" s="141">
        <f t="shared" si="431"/>
        <v>9115072.2750190347</v>
      </c>
      <c r="Y710" s="141">
        <f t="shared" si="431"/>
        <v>9479675.1660197955</v>
      </c>
      <c r="Z710" s="141">
        <f t="shared" si="431"/>
        <v>9858862.1726605874</v>
      </c>
      <c r="AA710" s="141">
        <f t="shared" si="431"/>
        <v>10253216.659567012</v>
      </c>
      <c r="AB710" s="141">
        <f t="shared" si="431"/>
        <v>10663345.325949693</v>
      </c>
      <c r="AC710" s="141">
        <f t="shared" si="431"/>
        <v>11089879.138987679</v>
      </c>
      <c r="AD710" s="141">
        <f t="shared" si="431"/>
        <v>11533474.304547187</v>
      </c>
      <c r="AE710" s="141">
        <f t="shared" si="431"/>
        <v>11994813.276729077</v>
      </c>
      <c r="AF710" s="141">
        <f t="shared" si="431"/>
        <v>12474605.80779824</v>
      </c>
      <c r="AG710" s="141">
        <f t="shared" si="431"/>
        <v>12973590.040110169</v>
      </c>
      <c r="AH710" s="141">
        <f t="shared" si="431"/>
        <v>13492533.641714577</v>
      </c>
      <c r="AI710" s="141">
        <f t="shared" si="431"/>
        <v>9354823.3249221072</v>
      </c>
      <c r="AJ710" s="141">
        <f t="shared" si="431"/>
        <v>4864508.1289594956</v>
      </c>
      <c r="AK710" s="141"/>
      <c r="AL710" s="141"/>
      <c r="AM710" s="141"/>
      <c r="AN710" s="141"/>
      <c r="AO710" s="141"/>
      <c r="AP710" s="141"/>
      <c r="AQ710" s="141"/>
      <c r="AR710" s="141"/>
      <c r="AS710" s="141"/>
      <c r="AT710" s="141"/>
      <c r="AU710" s="141"/>
      <c r="AV710" s="141"/>
      <c r="AW710" s="141"/>
      <c r="AX710" s="141"/>
      <c r="AY710" s="141"/>
      <c r="AZ710" s="141"/>
      <c r="BA710" s="141"/>
      <c r="BB710" s="141"/>
      <c r="BC710" s="141"/>
      <c r="BD710" s="141"/>
      <c r="BE710" s="141"/>
      <c r="BF710" s="141"/>
      <c r="BG710" s="141"/>
      <c r="BH710" s="141"/>
      <c r="BI710" s="141"/>
      <c r="BJ710" s="142"/>
      <c r="BK710" s="141"/>
      <c r="BL710" s="141"/>
    </row>
    <row r="711" spans="1:64" s="143" customFormat="1" ht="12.75">
      <c r="A711" s="138" t="s">
        <v>128</v>
      </c>
      <c r="B711" s="139">
        <f>SUM(C711:BJ711)</f>
        <v>331162576.63683558</v>
      </c>
      <c r="C711" s="140">
        <f>C654*(1+$G633)^(C634-1)</f>
        <v>1090160.6219688461</v>
      </c>
      <c r="D711" s="141">
        <f t="shared" ref="D711:AJ711" si="432">D654*(1+$G633)^(D634-1)</f>
        <v>2267534.0936952</v>
      </c>
      <c r="E711" s="141">
        <f t="shared" si="432"/>
        <v>3537353.1861645123</v>
      </c>
      <c r="F711" s="141">
        <f t="shared" si="432"/>
        <v>4905129.7514814567</v>
      </c>
      <c r="G711" s="141">
        <f t="shared" si="432"/>
        <v>6376668.6769258939</v>
      </c>
      <c r="H711" s="141">
        <f t="shared" si="432"/>
        <v>6631735.4240029305</v>
      </c>
      <c r="I711" s="141">
        <f t="shared" si="432"/>
        <v>6897004.8409630479</v>
      </c>
      <c r="J711" s="141">
        <f t="shared" si="432"/>
        <v>7172885.0346015692</v>
      </c>
      <c r="K711" s="141">
        <f t="shared" si="432"/>
        <v>7459800.4359856332</v>
      </c>
      <c r="L711" s="141">
        <f t="shared" si="432"/>
        <v>7758192.4534250591</v>
      </c>
      <c r="M711" s="141">
        <f t="shared" si="432"/>
        <v>8068520.1515620612</v>
      </c>
      <c r="N711" s="141">
        <f t="shared" si="432"/>
        <v>8391260.9576245435</v>
      </c>
      <c r="O711" s="141">
        <f t="shared" si="432"/>
        <v>8726911.3959295265</v>
      </c>
      <c r="P711" s="141">
        <f t="shared" si="432"/>
        <v>9075987.8517667074</v>
      </c>
      <c r="Q711" s="141">
        <f t="shared" si="432"/>
        <v>9439027.3658373766</v>
      </c>
      <c r="R711" s="141">
        <f t="shared" si="432"/>
        <v>9816588.460470872</v>
      </c>
      <c r="S711" s="141">
        <f t="shared" si="432"/>
        <v>10209251.998889707</v>
      </c>
      <c r="T711" s="141">
        <f t="shared" si="432"/>
        <v>10617622.078845296</v>
      </c>
      <c r="U711" s="141">
        <f t="shared" si="432"/>
        <v>11042326.961999109</v>
      </c>
      <c r="V711" s="141">
        <f t="shared" si="432"/>
        <v>11484020.040479073</v>
      </c>
      <c r="W711" s="141">
        <f t="shared" si="432"/>
        <v>11943380.842098236</v>
      </c>
      <c r="X711" s="141">
        <f t="shared" si="432"/>
        <v>12421116.075782169</v>
      </c>
      <c r="Y711" s="141">
        <f t="shared" si="432"/>
        <v>12917960.718813455</v>
      </c>
      <c r="Z711" s="141">
        <f t="shared" si="432"/>
        <v>13434679.147565993</v>
      </c>
      <c r="AA711" s="141">
        <f t="shared" si="432"/>
        <v>13972066.313468633</v>
      </c>
      <c r="AB711" s="141">
        <f t="shared" si="432"/>
        <v>14530948.966007382</v>
      </c>
      <c r="AC711" s="141">
        <f t="shared" si="432"/>
        <v>15112186.924647674</v>
      </c>
      <c r="AD711" s="141">
        <f t="shared" si="432"/>
        <v>15716674.401633583</v>
      </c>
      <c r="AE711" s="141">
        <f t="shared" si="432"/>
        <v>16345341.377698928</v>
      </c>
      <c r="AF711" s="141">
        <f t="shared" si="432"/>
        <v>16999155.032806888</v>
      </c>
      <c r="AG711" s="141">
        <f t="shared" si="432"/>
        <v>14143296.987295328</v>
      </c>
      <c r="AH711" s="141">
        <f t="shared" si="432"/>
        <v>11031771.650090357</v>
      </c>
      <c r="AI711" s="141">
        <f t="shared" si="432"/>
        <v>7648695.0107293148</v>
      </c>
      <c r="AJ711" s="141">
        <f t="shared" si="432"/>
        <v>3977321.4055792438</v>
      </c>
      <c r="AK711" s="141"/>
      <c r="AL711" s="141"/>
      <c r="AM711" s="141"/>
      <c r="AN711" s="141"/>
      <c r="AO711" s="141"/>
      <c r="AP711" s="141"/>
      <c r="AQ711" s="141"/>
      <c r="AR711" s="141"/>
      <c r="AS711" s="141"/>
      <c r="AT711" s="141"/>
      <c r="AU711" s="141"/>
      <c r="AV711" s="141"/>
      <c r="AW711" s="141"/>
      <c r="AX711" s="141"/>
      <c r="AY711" s="141"/>
      <c r="AZ711" s="141"/>
      <c r="BA711" s="141"/>
      <c r="BB711" s="141"/>
      <c r="BC711" s="141"/>
      <c r="BD711" s="141"/>
      <c r="BE711" s="141"/>
      <c r="BF711" s="141"/>
      <c r="BG711" s="141"/>
      <c r="BH711" s="141"/>
      <c r="BI711" s="141"/>
      <c r="BJ711" s="142"/>
      <c r="BK711" s="141"/>
      <c r="BL711" s="141"/>
    </row>
    <row r="712" spans="1:64" s="143" customFormat="1" ht="12.75">
      <c r="A712" s="138" t="s">
        <v>129</v>
      </c>
      <c r="B712" s="139">
        <f>SUM(C712:BJ712)</f>
        <v>16032446.536231</v>
      </c>
      <c r="C712" s="140">
        <f>C655*(1+$G633)^(C634-1)</f>
        <v>92811.724381858352</v>
      </c>
      <c r="D712" s="141">
        <f t="shared" ref="D712:AJ712" si="433">D655*(1+$G633)^(D634-1)</f>
        <v>289572.58007139806</v>
      </c>
      <c r="E712" s="141">
        <f t="shared" si="433"/>
        <v>301155.48327425402</v>
      </c>
      <c r="F712" s="141">
        <f t="shared" si="433"/>
        <v>313201.70260522416</v>
      </c>
      <c r="G712" s="141">
        <f t="shared" si="433"/>
        <v>325729.77070943313</v>
      </c>
      <c r="H712" s="141">
        <f t="shared" si="433"/>
        <v>338758.96153781051</v>
      </c>
      <c r="I712" s="141">
        <f t="shared" si="433"/>
        <v>352309.31999932294</v>
      </c>
      <c r="J712" s="141">
        <f t="shared" si="433"/>
        <v>366401.69279929582</v>
      </c>
      <c r="K712" s="141">
        <f t="shared" si="433"/>
        <v>381057.7605112677</v>
      </c>
      <c r="L712" s="141">
        <f t="shared" si="433"/>
        <v>396300.07093171845</v>
      </c>
      <c r="M712" s="141">
        <f t="shared" si="433"/>
        <v>412152.0737689872</v>
      </c>
      <c r="N712" s="141">
        <f t="shared" si="433"/>
        <v>428638.15671974665</v>
      </c>
      <c r="O712" s="141">
        <f t="shared" si="433"/>
        <v>445783.6829885366</v>
      </c>
      <c r="P712" s="141">
        <f t="shared" si="433"/>
        <v>463615.0303080781</v>
      </c>
      <c r="Q712" s="141">
        <f t="shared" si="433"/>
        <v>482159.63152040122</v>
      </c>
      <c r="R712" s="141">
        <f t="shared" si="433"/>
        <v>501446.01678121724</v>
      </c>
      <c r="S712" s="141">
        <f t="shared" si="433"/>
        <v>521503.85745246604</v>
      </c>
      <c r="T712" s="141">
        <f t="shared" si="433"/>
        <v>542364.01175056468</v>
      </c>
      <c r="U712" s="141">
        <f t="shared" si="433"/>
        <v>564058.57222058729</v>
      </c>
      <c r="V712" s="141">
        <f t="shared" si="433"/>
        <v>586620.91510941077</v>
      </c>
      <c r="W712" s="141">
        <f t="shared" si="433"/>
        <v>610085.75171378721</v>
      </c>
      <c r="X712" s="141">
        <f t="shared" si="433"/>
        <v>634489.18178233888</v>
      </c>
      <c r="Y712" s="141">
        <f t="shared" si="433"/>
        <v>659868.74905363237</v>
      </c>
      <c r="Z712" s="141">
        <f t="shared" si="433"/>
        <v>686263.4990157776</v>
      </c>
      <c r="AA712" s="141">
        <f t="shared" si="433"/>
        <v>713714.03897640877</v>
      </c>
      <c r="AB712" s="141">
        <f t="shared" si="433"/>
        <v>742262.60053546529</v>
      </c>
      <c r="AC712" s="141">
        <f t="shared" si="433"/>
        <v>771953.1045568838</v>
      </c>
      <c r="AD712" s="141">
        <f t="shared" si="433"/>
        <v>802831.22873915918</v>
      </c>
      <c r="AE712" s="141">
        <f t="shared" si="433"/>
        <v>834944.47788872581</v>
      </c>
      <c r="AF712" s="141">
        <f t="shared" si="433"/>
        <v>868342.25700427487</v>
      </c>
      <c r="AG712" s="141">
        <f t="shared" si="433"/>
        <v>602050.63152296375</v>
      </c>
      <c r="AH712" s="141">
        <f t="shared" si="433"/>
        <v>0</v>
      </c>
      <c r="AI712" s="141">
        <f t="shared" si="433"/>
        <v>0</v>
      </c>
      <c r="AJ712" s="141">
        <f t="shared" si="433"/>
        <v>0</v>
      </c>
      <c r="AK712" s="141"/>
      <c r="AL712" s="141"/>
      <c r="AM712" s="141"/>
      <c r="AN712" s="141"/>
      <c r="AO712" s="141"/>
      <c r="AP712" s="141"/>
      <c r="AQ712" s="141"/>
      <c r="AR712" s="141"/>
      <c r="AS712" s="141"/>
      <c r="AT712" s="141"/>
      <c r="AU712" s="141"/>
      <c r="AV712" s="141"/>
      <c r="AW712" s="141"/>
      <c r="AX712" s="141"/>
      <c r="AY712" s="141"/>
      <c r="AZ712" s="141"/>
      <c r="BA712" s="141"/>
      <c r="BB712" s="141"/>
      <c r="BC712" s="141"/>
      <c r="BD712" s="141"/>
      <c r="BE712" s="141"/>
      <c r="BF712" s="141"/>
      <c r="BG712" s="141"/>
      <c r="BH712" s="141"/>
      <c r="BI712" s="141"/>
      <c r="BJ712" s="142"/>
      <c r="BK712" s="141"/>
      <c r="BL712" s="141"/>
    </row>
    <row r="713" spans="1:64" s="148" customFormat="1">
      <c r="A713" s="111" t="s">
        <v>131</v>
      </c>
      <c r="B713" s="144"/>
      <c r="C713" s="140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  <c r="AF713" s="146"/>
      <c r="AG713" s="146"/>
      <c r="AH713" s="146"/>
      <c r="AI713" s="146"/>
      <c r="AJ713" s="146"/>
      <c r="AK713" s="146"/>
      <c r="AL713" s="146"/>
      <c r="AM713" s="146"/>
      <c r="AN713" s="146"/>
      <c r="AO713" s="146"/>
      <c r="AP713" s="146"/>
      <c r="AQ713" s="146"/>
      <c r="AR713" s="146"/>
      <c r="AS713" s="146"/>
      <c r="AT713" s="146"/>
      <c r="AU713" s="146"/>
      <c r="AV713" s="146"/>
      <c r="AW713" s="146"/>
      <c r="AX713" s="146"/>
      <c r="AY713" s="146"/>
      <c r="AZ713" s="146"/>
      <c r="BA713" s="146"/>
      <c r="BB713" s="146"/>
      <c r="BC713" s="146"/>
      <c r="BD713" s="146"/>
      <c r="BE713" s="146"/>
      <c r="BF713" s="146"/>
      <c r="BG713" s="146"/>
      <c r="BH713" s="146"/>
      <c r="BI713" s="146"/>
      <c r="BJ713" s="147"/>
      <c r="BK713" s="146"/>
      <c r="BL713" s="146"/>
    </row>
    <row r="714" spans="1:64" s="153" customFormat="1" ht="12.75">
      <c r="A714" s="138" t="s">
        <v>126</v>
      </c>
      <c r="B714" s="144"/>
      <c r="C714" s="140">
        <f>C657*(1+$G633)^(C634-1)</f>
        <v>0</v>
      </c>
      <c r="D714" s="141">
        <f t="shared" ref="D714:AJ714" si="434">D657*(1+$G633)^(D634-1)</f>
        <v>0</v>
      </c>
      <c r="E714" s="141">
        <f t="shared" si="434"/>
        <v>9710635.2287032343</v>
      </c>
      <c r="F714" s="141">
        <f t="shared" si="434"/>
        <v>9872115.4549783003</v>
      </c>
      <c r="G714" s="141">
        <f t="shared" si="434"/>
        <v>9912965.5878954511</v>
      </c>
      <c r="H714" s="141">
        <f t="shared" si="434"/>
        <v>9941288.3467180114</v>
      </c>
      <c r="I714" s="141">
        <f t="shared" si="434"/>
        <v>9956016.1813057419</v>
      </c>
      <c r="J714" s="141">
        <f t="shared" si="434"/>
        <v>9956016.1813057419</v>
      </c>
      <c r="K714" s="141">
        <f t="shared" si="434"/>
        <v>9940086.5554156546</v>
      </c>
      <c r="L714" s="141">
        <f t="shared" si="434"/>
        <v>9906952.9335642718</v>
      </c>
      <c r="M714" s="141">
        <f t="shared" si="434"/>
        <v>9855264.4834761098</v>
      </c>
      <c r="N714" s="141">
        <f t="shared" si="434"/>
        <v>9783589.8326871935</v>
      </c>
      <c r="O714" s="141">
        <f t="shared" si="434"/>
        <v>9690412.7866616026</v>
      </c>
      <c r="P714" s="141">
        <f t="shared" si="434"/>
        <v>9574127.8332216647</v>
      </c>
      <c r="Q714" s="141">
        <f t="shared" si="434"/>
        <v>9433035.4230478723</v>
      </c>
      <c r="R714" s="141">
        <f t="shared" si="434"/>
        <v>9265337.015527023</v>
      </c>
      <c r="S714" s="141">
        <f t="shared" si="434"/>
        <v>9069129.8787276298</v>
      </c>
      <c r="T714" s="141">
        <f t="shared" si="434"/>
        <v>8842401.6317594405</v>
      </c>
      <c r="U714" s="141">
        <f t="shared" si="434"/>
        <v>8583024.5172278322</v>
      </c>
      <c r="V714" s="141">
        <f t="shared" si="434"/>
        <v>8288749.3909228779</v>
      </c>
      <c r="W714" s="141">
        <f t="shared" si="434"/>
        <v>7957199.4152859636</v>
      </c>
      <c r="X714" s="141">
        <f t="shared" si="434"/>
        <v>7585863.4425726207</v>
      </c>
      <c r="Y714" s="141">
        <f t="shared" si="434"/>
        <v>7172089.0729777506</v>
      </c>
      <c r="Z714" s="141">
        <f t="shared" si="434"/>
        <v>6713075.3723071748</v>
      </c>
      <c r="AA714" s="141">
        <f t="shared" si="434"/>
        <v>6205865.23306619</v>
      </c>
      <c r="AB714" s="141">
        <f t="shared" si="434"/>
        <v>5647337.3620902346</v>
      </c>
      <c r="AC714" s="141">
        <f t="shared" si="434"/>
        <v>5034197.8770632958</v>
      </c>
      <c r="AD714" s="141">
        <f t="shared" si="434"/>
        <v>4362971.4934548577</v>
      </c>
      <c r="AE714" s="141">
        <f t="shared" si="434"/>
        <v>3629992.2825544439</v>
      </c>
      <c r="AF714" s="141">
        <f t="shared" si="434"/>
        <v>2831393.9803924686</v>
      </c>
      <c r="AG714" s="141">
        <f t="shared" si="434"/>
        <v>1963099.8264054477</v>
      </c>
      <c r="AH714" s="141">
        <f t="shared" si="434"/>
        <v>1020811.9097308377</v>
      </c>
      <c r="AI714" s="141">
        <f t="shared" si="434"/>
        <v>353881.46204003063</v>
      </c>
      <c r="AJ714" s="141">
        <f t="shared" si="434"/>
        <v>1.0671277420488244E-8</v>
      </c>
      <c r="AK714" s="151"/>
      <c r="AL714" s="151"/>
      <c r="AM714" s="151"/>
      <c r="AN714" s="151"/>
      <c r="AO714" s="151"/>
      <c r="AP714" s="151"/>
      <c r="AQ714" s="151"/>
      <c r="AR714" s="151"/>
      <c r="AS714" s="151"/>
      <c r="AT714" s="151"/>
      <c r="AU714" s="151"/>
      <c r="AV714" s="151"/>
      <c r="AW714" s="151"/>
      <c r="AX714" s="151"/>
      <c r="AY714" s="151"/>
      <c r="AZ714" s="151"/>
      <c r="BA714" s="151"/>
      <c r="BB714" s="151"/>
      <c r="BC714" s="151"/>
      <c r="BD714" s="151"/>
      <c r="BE714" s="151"/>
      <c r="BF714" s="151"/>
      <c r="BG714" s="151"/>
      <c r="BH714" s="151"/>
      <c r="BI714" s="151"/>
      <c r="BJ714" s="152"/>
      <c r="BK714" s="151"/>
      <c r="BL714" s="151"/>
    </row>
    <row r="715" spans="1:64" s="153" customFormat="1" ht="12.75">
      <c r="A715" s="138" t="s">
        <v>127</v>
      </c>
      <c r="B715" s="144"/>
      <c r="C715" s="140">
        <f>C658*(1+$G633)^(C634-1)</f>
        <v>0</v>
      </c>
      <c r="D715" s="141">
        <f t="shared" ref="D715:AJ715" si="435">D658*(1+$G633)^(D634-1)</f>
        <v>0</v>
      </c>
      <c r="E715" s="141">
        <f t="shared" si="435"/>
        <v>128349866.66666669</v>
      </c>
      <c r="F715" s="141">
        <f t="shared" si="435"/>
        <v>130484224.00000001</v>
      </c>
      <c r="G715" s="141">
        <f t="shared" si="435"/>
        <v>131024158.72000003</v>
      </c>
      <c r="H715" s="141">
        <f t="shared" si="435"/>
        <v>131398513.45920004</v>
      </c>
      <c r="I715" s="141">
        <f t="shared" si="435"/>
        <v>131593177.92358404</v>
      </c>
      <c r="J715" s="141">
        <f t="shared" si="435"/>
        <v>131593177.92358403</v>
      </c>
      <c r="K715" s="141">
        <f t="shared" si="435"/>
        <v>131382628.83890632</v>
      </c>
      <c r="L715" s="141">
        <f t="shared" si="435"/>
        <v>130944686.74277663</v>
      </c>
      <c r="M715" s="141">
        <f t="shared" si="435"/>
        <v>130261497.07281433</v>
      </c>
      <c r="N715" s="141">
        <f t="shared" si="435"/>
        <v>129314140.73046657</v>
      </c>
      <c r="O715" s="141">
        <f t="shared" si="435"/>
        <v>128082577.48541453</v>
      </c>
      <c r="P715" s="141">
        <f t="shared" si="435"/>
        <v>126545586.55558957</v>
      </c>
      <c r="Q715" s="141">
        <f t="shared" si="435"/>
        <v>124680704.22740193</v>
      </c>
      <c r="R715" s="141">
        <f t="shared" si="435"/>
        <v>122464158.37447034</v>
      </c>
      <c r="S715" s="141">
        <f t="shared" si="435"/>
        <v>119870799.7265404</v>
      </c>
      <c r="T715" s="141">
        <f t="shared" si="435"/>
        <v>116874029.73337689</v>
      </c>
      <c r="U715" s="141">
        <f t="shared" si="435"/>
        <v>113445724.86119784</v>
      </c>
      <c r="V715" s="141">
        <f t="shared" si="435"/>
        <v>109556157.15167107</v>
      </c>
      <c r="W715" s="141">
        <f t="shared" si="435"/>
        <v>105173910.86560422</v>
      </c>
      <c r="X715" s="141">
        <f t="shared" si="435"/>
        <v>100265795.02520938</v>
      </c>
      <c r="Y715" s="141">
        <f t="shared" si="435"/>
        <v>94796751.660197958</v>
      </c>
      <c r="Z715" s="141">
        <f t="shared" si="435"/>
        <v>88729759.553945273</v>
      </c>
      <c r="AA715" s="141">
        <f t="shared" si="435"/>
        <v>82025733.276536092</v>
      </c>
      <c r="AB715" s="141">
        <f t="shared" si="435"/>
        <v>74643417.281647861</v>
      </c>
      <c r="AC715" s="141">
        <f t="shared" si="435"/>
        <v>66539274.833926082</v>
      </c>
      <c r="AD715" s="141">
        <f t="shared" si="435"/>
        <v>57667371.522735938</v>
      </c>
      <c r="AE715" s="141">
        <f t="shared" si="435"/>
        <v>47979253.106916308</v>
      </c>
      <c r="AF715" s="141">
        <f t="shared" si="435"/>
        <v>37423817.423394725</v>
      </c>
      <c r="AG715" s="141">
        <f t="shared" si="435"/>
        <v>25947180.080220338</v>
      </c>
      <c r="AH715" s="141">
        <f t="shared" si="435"/>
        <v>13492533.641714577</v>
      </c>
      <c r="AI715" s="141">
        <f t="shared" si="435"/>
        <v>4677411.6624610545</v>
      </c>
      <c r="AJ715" s="141">
        <f t="shared" si="435"/>
        <v>0</v>
      </c>
      <c r="AK715" s="151"/>
      <c r="AL715" s="151"/>
      <c r="AM715" s="151"/>
      <c r="AN715" s="151"/>
      <c r="AO715" s="151"/>
      <c r="AP715" s="151"/>
      <c r="AQ715" s="151"/>
      <c r="AR715" s="151"/>
      <c r="AS715" s="151"/>
      <c r="AT715" s="151"/>
      <c r="AU715" s="151"/>
      <c r="AV715" s="151"/>
      <c r="AW715" s="151"/>
      <c r="AX715" s="151"/>
      <c r="AY715" s="151"/>
      <c r="AZ715" s="151"/>
      <c r="BA715" s="151"/>
      <c r="BB715" s="151"/>
      <c r="BC715" s="151"/>
      <c r="BD715" s="151"/>
      <c r="BE715" s="151"/>
      <c r="BF715" s="151"/>
      <c r="BG715" s="151"/>
      <c r="BH715" s="151"/>
      <c r="BI715" s="151"/>
      <c r="BJ715" s="152"/>
      <c r="BK715" s="151"/>
      <c r="BL715" s="151"/>
    </row>
    <row r="716" spans="1:64" s="153" customFormat="1" ht="12.75">
      <c r="A716" s="138" t="s">
        <v>128</v>
      </c>
      <c r="B716" s="144"/>
      <c r="C716" s="140">
        <f>C659*(1+$G633)^(C634-1)</f>
        <v>162433932.67335808</v>
      </c>
      <c r="D716" s="141">
        <f t="shared" ref="D716:AJ716" si="436">D659*(1+$G633)^(D634-1)</f>
        <v>166663755.88659722</v>
      </c>
      <c r="E716" s="141">
        <f t="shared" si="436"/>
        <v>169792952.93589661</v>
      </c>
      <c r="F716" s="141">
        <f t="shared" si="436"/>
        <v>171679541.301851</v>
      </c>
      <c r="G716" s="141">
        <f t="shared" si="436"/>
        <v>172170054.27699918</v>
      </c>
      <c r="H716" s="141">
        <f t="shared" si="436"/>
        <v>172425121.02407622</v>
      </c>
      <c r="I716" s="141">
        <f t="shared" si="436"/>
        <v>172425121.02407619</v>
      </c>
      <c r="J716" s="141">
        <f t="shared" si="436"/>
        <v>172149240.83043766</v>
      </c>
      <c r="K716" s="141">
        <f t="shared" si="436"/>
        <v>171575410.02766955</v>
      </c>
      <c r="L716" s="141">
        <f t="shared" si="436"/>
        <v>170680233.97535127</v>
      </c>
      <c r="M716" s="141">
        <f t="shared" si="436"/>
        <v>169438923.18280324</v>
      </c>
      <c r="N716" s="141">
        <f t="shared" si="436"/>
        <v>167825219.15249082</v>
      </c>
      <c r="O716" s="141">
        <f t="shared" si="436"/>
        <v>165811316.52266094</v>
      </c>
      <c r="P716" s="141">
        <f t="shared" si="436"/>
        <v>163367781.33180067</v>
      </c>
      <c r="Q716" s="141">
        <f t="shared" si="436"/>
        <v>160463465.2192353</v>
      </c>
      <c r="R716" s="141">
        <f t="shared" si="436"/>
        <v>157065415.36753383</v>
      </c>
      <c r="S716" s="141">
        <f t="shared" si="436"/>
        <v>153138779.98334548</v>
      </c>
      <c r="T716" s="141">
        <f t="shared" si="436"/>
        <v>148646709.103834</v>
      </c>
      <c r="U716" s="141">
        <f t="shared" si="436"/>
        <v>143550250.50598827</v>
      </c>
      <c r="V716" s="141">
        <f t="shared" si="436"/>
        <v>137808240.48574871</v>
      </c>
      <c r="W716" s="141">
        <f t="shared" si="436"/>
        <v>131377189.26308042</v>
      </c>
      <c r="X716" s="141">
        <f t="shared" si="436"/>
        <v>124211160.7578215</v>
      </c>
      <c r="Y716" s="141">
        <f t="shared" si="436"/>
        <v>116261646.46932089</v>
      </c>
      <c r="Z716" s="141">
        <f t="shared" si="436"/>
        <v>107477433.18052773</v>
      </c>
      <c r="AA716" s="141">
        <f t="shared" si="436"/>
        <v>97804464.194280222</v>
      </c>
      <c r="AB716" s="141">
        <f t="shared" si="436"/>
        <v>87185693.796044067</v>
      </c>
      <c r="AC716" s="141">
        <f t="shared" si="436"/>
        <v>75560934.623238146</v>
      </c>
      <c r="AD716" s="141">
        <f t="shared" si="436"/>
        <v>62866697.606534094</v>
      </c>
      <c r="AE716" s="141">
        <f t="shared" si="436"/>
        <v>49036024.133096538</v>
      </c>
      <c r="AF716" s="141">
        <f t="shared" si="436"/>
        <v>33998310.065613516</v>
      </c>
      <c r="AG716" s="141">
        <f t="shared" si="436"/>
        <v>21214945.480942726</v>
      </c>
      <c r="AH716" s="141">
        <f t="shared" si="436"/>
        <v>11031771.650090078</v>
      </c>
      <c r="AI716" s="141">
        <f t="shared" si="436"/>
        <v>3824347.5053643673</v>
      </c>
      <c r="AJ716" s="141">
        <f t="shared" si="436"/>
        <v>-3.0155649626056333E-7</v>
      </c>
      <c r="AK716" s="151"/>
      <c r="AL716" s="151"/>
      <c r="AM716" s="151"/>
      <c r="AN716" s="151"/>
      <c r="AO716" s="151"/>
      <c r="AP716" s="151"/>
      <c r="AQ716" s="151"/>
      <c r="AR716" s="151"/>
      <c r="AS716" s="151"/>
      <c r="AT716" s="151"/>
      <c r="AU716" s="151"/>
      <c r="AV716" s="151"/>
      <c r="AW716" s="151"/>
      <c r="AX716" s="151"/>
      <c r="AY716" s="151"/>
      <c r="AZ716" s="151"/>
      <c r="BA716" s="151"/>
      <c r="BB716" s="151"/>
      <c r="BC716" s="151"/>
      <c r="BD716" s="151"/>
      <c r="BE716" s="151"/>
      <c r="BF716" s="151"/>
      <c r="BG716" s="151"/>
      <c r="BH716" s="151"/>
      <c r="BI716" s="151"/>
      <c r="BJ716" s="152"/>
      <c r="BK716" s="151"/>
      <c r="BL716" s="151"/>
    </row>
    <row r="717" spans="1:64" s="153" customFormat="1" ht="12.75">
      <c r="A717" s="138" t="s">
        <v>129</v>
      </c>
      <c r="B717" s="144"/>
      <c r="C717" s="140">
        <f>C660*(1+$G633)^(C634-1)</f>
        <v>8260243.4699853938</v>
      </c>
      <c r="D717" s="141">
        <f t="shared" ref="D717:AJ717" si="437">D660*(1+$G633)^(D634-1)</f>
        <v>8301080.6287134113</v>
      </c>
      <c r="E717" s="141">
        <f t="shared" si="437"/>
        <v>8331968.3705876945</v>
      </c>
      <c r="F717" s="141">
        <f t="shared" si="437"/>
        <v>8352045.4028059766</v>
      </c>
      <c r="G717" s="141">
        <f t="shared" si="437"/>
        <v>8360397.4482087838</v>
      </c>
      <c r="H717" s="141">
        <f t="shared" si="437"/>
        <v>8356054.3845993243</v>
      </c>
      <c r="I717" s="141">
        <f t="shared" si="437"/>
        <v>8337987.239983974</v>
      </c>
      <c r="J717" s="141">
        <f t="shared" si="437"/>
        <v>8305105.0367840361</v>
      </c>
      <c r="K717" s="141">
        <f t="shared" si="437"/>
        <v>8256251.4777441304</v>
      </c>
      <c r="L717" s="141">
        <f t="shared" si="437"/>
        <v>8190201.4659221778</v>
      </c>
      <c r="M717" s="141">
        <f t="shared" si="437"/>
        <v>8105657.4507900765</v>
      </c>
      <c r="N717" s="141">
        <f t="shared" si="437"/>
        <v>8001245.5921019316</v>
      </c>
      <c r="O717" s="141">
        <f t="shared" si="437"/>
        <v>7875511.7327974737</v>
      </c>
      <c r="P717" s="141">
        <f t="shared" si="437"/>
        <v>7726917.1718012942</v>
      </c>
      <c r="Q717" s="141">
        <f t="shared" si="437"/>
        <v>7553834.2271529436</v>
      </c>
      <c r="R717" s="141">
        <f t="shared" si="437"/>
        <v>7354541.5794578446</v>
      </c>
      <c r="S717" s="141">
        <f t="shared" si="437"/>
        <v>7127219.3851836938</v>
      </c>
      <c r="T717" s="141">
        <f t="shared" si="437"/>
        <v>6869944.1488404768</v>
      </c>
      <c r="U717" s="141">
        <f t="shared" si="437"/>
        <v>6580683.3425735096</v>
      </c>
      <c r="V717" s="141">
        <f t="shared" si="437"/>
        <v>6257289.7611670392</v>
      </c>
      <c r="W717" s="141">
        <f t="shared" si="437"/>
        <v>5897495.5998999337</v>
      </c>
      <c r="X717" s="141">
        <f t="shared" si="437"/>
        <v>5498906.242113594</v>
      </c>
      <c r="Y717" s="141">
        <f t="shared" si="437"/>
        <v>5058993.7427445045</v>
      </c>
      <c r="Z717" s="141">
        <f t="shared" si="437"/>
        <v>4575089.9934385074</v>
      </c>
      <c r="AA717" s="141">
        <f t="shared" si="437"/>
        <v>4044379.5541996392</v>
      </c>
      <c r="AB717" s="141">
        <f t="shared" si="437"/>
        <v>3463892.1358321602</v>
      </c>
      <c r="AC717" s="141">
        <f t="shared" si="437"/>
        <v>2830494.7167085628</v>
      </c>
      <c r="AD717" s="141">
        <f t="shared" si="437"/>
        <v>2140883.276637746</v>
      </c>
      <c r="AE717" s="141">
        <f t="shared" si="437"/>
        <v>1391574.1298145307</v>
      </c>
      <c r="AF717" s="141">
        <f t="shared" si="437"/>
        <v>578894.83800283726</v>
      </c>
      <c r="AG717" s="141">
        <f t="shared" si="437"/>
        <v>-1.302655019051747E-8</v>
      </c>
      <c r="AH717" s="141">
        <f t="shared" si="437"/>
        <v>-1.3547612198138169E-8</v>
      </c>
      <c r="AI717" s="141">
        <f t="shared" si="437"/>
        <v>-1.4089516686063698E-8</v>
      </c>
      <c r="AJ717" s="141">
        <f t="shared" si="437"/>
        <v>-1.4653097353506246E-8</v>
      </c>
      <c r="AK717" s="151"/>
      <c r="AL717" s="151"/>
      <c r="AM717" s="151"/>
      <c r="AN717" s="151"/>
      <c r="AO717" s="151"/>
      <c r="AP717" s="151"/>
      <c r="AQ717" s="151"/>
      <c r="AR717" s="151"/>
      <c r="AS717" s="151"/>
      <c r="AT717" s="151"/>
      <c r="AU717" s="151"/>
      <c r="AV717" s="151"/>
      <c r="AW717" s="151"/>
      <c r="AX717" s="151"/>
      <c r="AY717" s="151"/>
      <c r="AZ717" s="151"/>
      <c r="BA717" s="151"/>
      <c r="BB717" s="151"/>
      <c r="BC717" s="151"/>
      <c r="BD717" s="151"/>
      <c r="BE717" s="151"/>
      <c r="BF717" s="151"/>
      <c r="BG717" s="151"/>
      <c r="BH717" s="151"/>
      <c r="BI717" s="151"/>
      <c r="BJ717" s="152"/>
      <c r="BK717" s="151"/>
      <c r="BL717" s="151"/>
    </row>
    <row r="718" spans="1:64" s="116" customFormat="1">
      <c r="A718" s="111" t="s">
        <v>132</v>
      </c>
      <c r="B718" s="155">
        <f>SUM(B719:B722)</f>
        <v>613876714.54474986</v>
      </c>
      <c r="C718" s="117">
        <f>SUM(C719:C722)</f>
        <v>17187714.848969419</v>
      </c>
      <c r="D718" s="118">
        <f t="shared" ref="D718:AJ718" si="438">SUM(D719:D722)</f>
        <v>17752194.318907723</v>
      </c>
      <c r="E718" s="118">
        <f t="shared" si="438"/>
        <v>32157517.3465623</v>
      </c>
      <c r="F718" s="118">
        <f t="shared" si="438"/>
        <v>32883284.01299284</v>
      </c>
      <c r="G718" s="118">
        <f t="shared" si="438"/>
        <v>33320344.320602074</v>
      </c>
      <c r="H718" s="118">
        <f t="shared" si="438"/>
        <v>33432627.90744276</v>
      </c>
      <c r="I718" s="118">
        <f t="shared" si="438"/>
        <v>33500581.630317736</v>
      </c>
      <c r="J718" s="118">
        <f t="shared" si="438"/>
        <v>33520479.446370799</v>
      </c>
      <c r="K718" s="118">
        <f t="shared" si="438"/>
        <v>33488368.157099601</v>
      </c>
      <c r="L718" s="118">
        <f t="shared" si="438"/>
        <v>33400055.197572514</v>
      </c>
      <c r="M718" s="118">
        <f t="shared" si="438"/>
        <v>33251095.812231895</v>
      </c>
      <c r="N718" s="118">
        <f t="shared" si="438"/>
        <v>33036779.587747909</v>
      </c>
      <c r="O718" s="118">
        <f t="shared" si="438"/>
        <v>32752116.312005647</v>
      </c>
      <c r="P718" s="118">
        <f t="shared" si="438"/>
        <v>32391821.126863599</v>
      </c>
      <c r="Q718" s="118">
        <f t="shared" si="438"/>
        <v>31950298.940810971</v>
      </c>
      <c r="R718" s="118">
        <f t="shared" si="438"/>
        <v>31421628.06607116</v>
      </c>
      <c r="S718" s="118">
        <f t="shared" si="438"/>
        <v>30799543.043046869</v>
      </c>
      <c r="T718" s="118">
        <f t="shared" si="438"/>
        <v>30077416.61327491</v>
      </c>
      <c r="U718" s="118">
        <f t="shared" si="438"/>
        <v>29248240.80025233</v>
      </c>
      <c r="V718" s="118">
        <f t="shared" si="438"/>
        <v>28304607.055606693</v>
      </c>
      <c r="W718" s="118">
        <f t="shared" si="438"/>
        <v>0</v>
      </c>
      <c r="X718" s="118">
        <f t="shared" si="438"/>
        <v>0</v>
      </c>
      <c r="Y718" s="118">
        <f t="shared" si="438"/>
        <v>0</v>
      </c>
      <c r="Z718" s="118">
        <f t="shared" si="438"/>
        <v>0</v>
      </c>
      <c r="AA718" s="118">
        <f t="shared" si="438"/>
        <v>0</v>
      </c>
      <c r="AB718" s="118">
        <f t="shared" si="438"/>
        <v>0</v>
      </c>
      <c r="AC718" s="118">
        <f t="shared" si="438"/>
        <v>0</v>
      </c>
      <c r="AD718" s="118">
        <f t="shared" si="438"/>
        <v>0</v>
      </c>
      <c r="AE718" s="118">
        <f t="shared" si="438"/>
        <v>0</v>
      </c>
      <c r="AF718" s="118">
        <f t="shared" si="438"/>
        <v>0</v>
      </c>
      <c r="AG718" s="118">
        <f t="shared" si="438"/>
        <v>0</v>
      </c>
      <c r="AH718" s="118">
        <f t="shared" si="438"/>
        <v>0</v>
      </c>
      <c r="AI718" s="118">
        <f t="shared" si="438"/>
        <v>0</v>
      </c>
      <c r="AJ718" s="118">
        <f t="shared" si="438"/>
        <v>0</v>
      </c>
      <c r="AK718" s="118"/>
      <c r="AL718" s="118"/>
      <c r="AM718" s="118"/>
      <c r="AN718" s="118"/>
      <c r="AO718" s="118"/>
      <c r="AP718" s="118"/>
      <c r="AQ718" s="118"/>
      <c r="AR718" s="118"/>
      <c r="AS718" s="118"/>
      <c r="AT718" s="118"/>
      <c r="AU718" s="118"/>
      <c r="AV718" s="118"/>
      <c r="AW718" s="118"/>
      <c r="AX718" s="118"/>
      <c r="AY718" s="118"/>
      <c r="AZ718" s="118"/>
      <c r="BA718" s="118"/>
      <c r="BB718" s="118"/>
      <c r="BC718" s="118"/>
      <c r="BD718" s="118"/>
      <c r="BE718" s="118"/>
      <c r="BF718" s="118"/>
      <c r="BG718" s="118"/>
      <c r="BH718" s="118"/>
      <c r="BI718" s="118"/>
      <c r="BJ718" s="119"/>
      <c r="BK718" s="118"/>
      <c r="BL718" s="118"/>
    </row>
    <row r="719" spans="1:64" s="143" customFormat="1" ht="12.75">
      <c r="A719" s="138" t="s">
        <v>126</v>
      </c>
      <c r="B719" s="139">
        <f>SUM(C719:BJ719)</f>
        <v>17964383.935681161</v>
      </c>
      <c r="C719" s="140">
        <f>C662*(1+$G633)^(C634-1)</f>
        <v>0</v>
      </c>
      <c r="D719" s="141">
        <f t="shared" ref="D719:BJ719" si="439">D662*(1+$G633)^(D634-1)</f>
        <v>0</v>
      </c>
      <c r="E719" s="141">
        <f t="shared" si="439"/>
        <v>981974.34896999015</v>
      </c>
      <c r="F719" s="141">
        <f t="shared" si="439"/>
        <v>1009906.0637851364</v>
      </c>
      <c r="G719" s="141">
        <f t="shared" si="439"/>
        <v>1026700.0073177434</v>
      </c>
      <c r="H719" s="141">
        <f t="shared" si="439"/>
        <v>1030948.4211411271</v>
      </c>
      <c r="I719" s="141">
        <f t="shared" si="439"/>
        <v>1033893.9880586733</v>
      </c>
      <c r="J719" s="141">
        <f t="shared" si="439"/>
        <v>1035425.6828557972</v>
      </c>
      <c r="K719" s="141">
        <f t="shared" si="439"/>
        <v>1035425.6828557973</v>
      </c>
      <c r="L719" s="141">
        <f t="shared" si="439"/>
        <v>1033769.0017632283</v>
      </c>
      <c r="M719" s="141">
        <f t="shared" si="439"/>
        <v>1030323.1050906843</v>
      </c>
      <c r="N719" s="141">
        <f t="shared" si="439"/>
        <v>1024947.5062815155</v>
      </c>
      <c r="O719" s="141">
        <f t="shared" si="439"/>
        <v>1017493.3425994683</v>
      </c>
      <c r="P719" s="141">
        <f t="shared" si="439"/>
        <v>1007802.9298128068</v>
      </c>
      <c r="Q719" s="141">
        <f t="shared" si="439"/>
        <v>995709.29465505329</v>
      </c>
      <c r="R719" s="141">
        <f t="shared" si="439"/>
        <v>981035.6839969788</v>
      </c>
      <c r="S719" s="141">
        <f t="shared" si="439"/>
        <v>963595.04961481062</v>
      </c>
      <c r="T719" s="141">
        <f t="shared" si="439"/>
        <v>943189.5073876736</v>
      </c>
      <c r="U719" s="141">
        <f t="shared" si="439"/>
        <v>919609.76970298192</v>
      </c>
      <c r="V719" s="141">
        <f t="shared" si="439"/>
        <v>892634.5497916945</v>
      </c>
      <c r="W719" s="141">
        <f t="shared" si="439"/>
        <v>0</v>
      </c>
      <c r="X719" s="141">
        <f t="shared" si="439"/>
        <v>0</v>
      </c>
      <c r="Y719" s="141">
        <f t="shared" si="439"/>
        <v>0</v>
      </c>
      <c r="Z719" s="141">
        <f t="shared" si="439"/>
        <v>0</v>
      </c>
      <c r="AA719" s="141">
        <f t="shared" si="439"/>
        <v>0</v>
      </c>
      <c r="AB719" s="141">
        <f t="shared" si="439"/>
        <v>0</v>
      </c>
      <c r="AC719" s="141">
        <f t="shared" si="439"/>
        <v>0</v>
      </c>
      <c r="AD719" s="141">
        <f t="shared" si="439"/>
        <v>0</v>
      </c>
      <c r="AE719" s="141">
        <f t="shared" si="439"/>
        <v>0</v>
      </c>
      <c r="AF719" s="141">
        <f t="shared" si="439"/>
        <v>0</v>
      </c>
      <c r="AG719" s="141">
        <f t="shared" si="439"/>
        <v>0</v>
      </c>
      <c r="AH719" s="141">
        <f t="shared" si="439"/>
        <v>0</v>
      </c>
      <c r="AI719" s="141">
        <f t="shared" si="439"/>
        <v>0</v>
      </c>
      <c r="AJ719" s="141">
        <f t="shared" si="439"/>
        <v>0</v>
      </c>
      <c r="AK719" s="141">
        <f t="shared" si="439"/>
        <v>0</v>
      </c>
      <c r="AL719" s="141">
        <f t="shared" si="439"/>
        <v>0</v>
      </c>
      <c r="AM719" s="141">
        <f t="shared" si="439"/>
        <v>0</v>
      </c>
      <c r="AN719" s="141">
        <f t="shared" si="439"/>
        <v>0</v>
      </c>
      <c r="AO719" s="141">
        <f t="shared" si="439"/>
        <v>0</v>
      </c>
      <c r="AP719" s="141">
        <f t="shared" si="439"/>
        <v>0</v>
      </c>
      <c r="AQ719" s="141">
        <f t="shared" si="439"/>
        <v>0</v>
      </c>
      <c r="AR719" s="141">
        <f t="shared" si="439"/>
        <v>0</v>
      </c>
      <c r="AS719" s="141">
        <f t="shared" si="439"/>
        <v>0</v>
      </c>
      <c r="AT719" s="141">
        <f t="shared" si="439"/>
        <v>0</v>
      </c>
      <c r="AU719" s="141">
        <f t="shared" si="439"/>
        <v>0</v>
      </c>
      <c r="AV719" s="141">
        <f t="shared" si="439"/>
        <v>0</v>
      </c>
      <c r="AW719" s="141">
        <f t="shared" si="439"/>
        <v>0</v>
      </c>
      <c r="AX719" s="141">
        <f t="shared" si="439"/>
        <v>0</v>
      </c>
      <c r="AY719" s="141">
        <f t="shared" si="439"/>
        <v>0</v>
      </c>
      <c r="AZ719" s="141">
        <f t="shared" si="439"/>
        <v>0</v>
      </c>
      <c r="BA719" s="141">
        <f t="shared" si="439"/>
        <v>0</v>
      </c>
      <c r="BB719" s="141">
        <f t="shared" si="439"/>
        <v>0</v>
      </c>
      <c r="BC719" s="141">
        <f t="shared" si="439"/>
        <v>0</v>
      </c>
      <c r="BD719" s="141">
        <f t="shared" si="439"/>
        <v>0</v>
      </c>
      <c r="BE719" s="141">
        <f t="shared" si="439"/>
        <v>0</v>
      </c>
      <c r="BF719" s="141">
        <f t="shared" si="439"/>
        <v>0</v>
      </c>
      <c r="BG719" s="141">
        <f t="shared" si="439"/>
        <v>0</v>
      </c>
      <c r="BH719" s="141">
        <f t="shared" si="439"/>
        <v>0</v>
      </c>
      <c r="BI719" s="141">
        <f t="shared" si="439"/>
        <v>0</v>
      </c>
      <c r="BJ719" s="142">
        <f t="shared" si="439"/>
        <v>0</v>
      </c>
      <c r="BK719" s="141"/>
      <c r="BL719" s="141"/>
    </row>
    <row r="720" spans="1:64" s="143" customFormat="1" ht="12.75">
      <c r="A720" s="138" t="s">
        <v>127</v>
      </c>
      <c r="B720" s="139">
        <f>SUM(C720:BJ720)</f>
        <v>237443403.91636702</v>
      </c>
      <c r="C720" s="140">
        <f>C663*(1+$G633)^(C634-1)</f>
        <v>0</v>
      </c>
      <c r="D720" s="141">
        <f t="shared" ref="D720:BJ720" si="440">D663*(1+$G633)^(D634-1)</f>
        <v>0</v>
      </c>
      <c r="E720" s="141">
        <f t="shared" si="440"/>
        <v>12979200.000000002</v>
      </c>
      <c r="F720" s="141">
        <f t="shared" si="440"/>
        <v>13348386.133333337</v>
      </c>
      <c r="G720" s="141">
        <f t="shared" si="440"/>
        <v>13570359.296000002</v>
      </c>
      <c r="H720" s="141">
        <f t="shared" si="440"/>
        <v>13626512.506880004</v>
      </c>
      <c r="I720" s="141">
        <f t="shared" si="440"/>
        <v>13665445.399756804</v>
      </c>
      <c r="J720" s="141">
        <f t="shared" si="440"/>
        <v>13685690.50405274</v>
      </c>
      <c r="K720" s="141">
        <f t="shared" si="440"/>
        <v>13685690.504052741</v>
      </c>
      <c r="L720" s="141">
        <f t="shared" si="440"/>
        <v>13663793.399246259</v>
      </c>
      <c r="M720" s="141">
        <f t="shared" si="440"/>
        <v>13618247.421248769</v>
      </c>
      <c r="N720" s="141">
        <f t="shared" si="440"/>
        <v>13547195.695572689</v>
      </c>
      <c r="O720" s="141">
        <f t="shared" si="440"/>
        <v>13448670.635968527</v>
      </c>
      <c r="P720" s="141">
        <f t="shared" si="440"/>
        <v>13320588.058483113</v>
      </c>
      <c r="Q720" s="141">
        <f t="shared" si="440"/>
        <v>13160741.001781315</v>
      </c>
      <c r="R720" s="141">
        <f t="shared" si="440"/>
        <v>12966793.239649801</v>
      </c>
      <c r="S720" s="141">
        <f t="shared" si="440"/>
        <v>12736272.470944917</v>
      </c>
      <c r="T720" s="141">
        <f t="shared" si="440"/>
        <v>12466563.171560202</v>
      </c>
      <c r="U720" s="141">
        <f t="shared" si="440"/>
        <v>12154899.092271198</v>
      </c>
      <c r="V720" s="141">
        <f t="shared" si="440"/>
        <v>11798355.385564577</v>
      </c>
      <c r="W720" s="141">
        <f t="shared" si="440"/>
        <v>0</v>
      </c>
      <c r="X720" s="141">
        <f t="shared" si="440"/>
        <v>0</v>
      </c>
      <c r="Y720" s="141">
        <f t="shared" si="440"/>
        <v>0</v>
      </c>
      <c r="Z720" s="141">
        <f t="shared" si="440"/>
        <v>0</v>
      </c>
      <c r="AA720" s="141">
        <f t="shared" si="440"/>
        <v>0</v>
      </c>
      <c r="AB720" s="141">
        <f t="shared" si="440"/>
        <v>0</v>
      </c>
      <c r="AC720" s="141">
        <f t="shared" si="440"/>
        <v>0</v>
      </c>
      <c r="AD720" s="141">
        <f t="shared" si="440"/>
        <v>0</v>
      </c>
      <c r="AE720" s="141">
        <f t="shared" si="440"/>
        <v>0</v>
      </c>
      <c r="AF720" s="141">
        <f t="shared" si="440"/>
        <v>0</v>
      </c>
      <c r="AG720" s="141">
        <f t="shared" si="440"/>
        <v>0</v>
      </c>
      <c r="AH720" s="141">
        <f t="shared" si="440"/>
        <v>0</v>
      </c>
      <c r="AI720" s="141">
        <f t="shared" si="440"/>
        <v>0</v>
      </c>
      <c r="AJ720" s="141">
        <f t="shared" si="440"/>
        <v>0</v>
      </c>
      <c r="AK720" s="141">
        <f t="shared" si="440"/>
        <v>0</v>
      </c>
      <c r="AL720" s="141">
        <f t="shared" si="440"/>
        <v>0</v>
      </c>
      <c r="AM720" s="141">
        <f t="shared" si="440"/>
        <v>0</v>
      </c>
      <c r="AN720" s="141">
        <f t="shared" si="440"/>
        <v>0</v>
      </c>
      <c r="AO720" s="141">
        <f t="shared" si="440"/>
        <v>0</v>
      </c>
      <c r="AP720" s="141">
        <f t="shared" si="440"/>
        <v>0</v>
      </c>
      <c r="AQ720" s="141">
        <f t="shared" si="440"/>
        <v>0</v>
      </c>
      <c r="AR720" s="141">
        <f t="shared" si="440"/>
        <v>0</v>
      </c>
      <c r="AS720" s="141">
        <f t="shared" si="440"/>
        <v>0</v>
      </c>
      <c r="AT720" s="141">
        <f t="shared" si="440"/>
        <v>0</v>
      </c>
      <c r="AU720" s="141">
        <f t="shared" si="440"/>
        <v>0</v>
      </c>
      <c r="AV720" s="141">
        <f t="shared" si="440"/>
        <v>0</v>
      </c>
      <c r="AW720" s="141">
        <f t="shared" si="440"/>
        <v>0</v>
      </c>
      <c r="AX720" s="141">
        <f t="shared" si="440"/>
        <v>0</v>
      </c>
      <c r="AY720" s="141">
        <f t="shared" si="440"/>
        <v>0</v>
      </c>
      <c r="AZ720" s="141">
        <f t="shared" si="440"/>
        <v>0</v>
      </c>
      <c r="BA720" s="141">
        <f t="shared" si="440"/>
        <v>0</v>
      </c>
      <c r="BB720" s="141">
        <f t="shared" si="440"/>
        <v>0</v>
      </c>
      <c r="BC720" s="141">
        <f t="shared" si="440"/>
        <v>0</v>
      </c>
      <c r="BD720" s="141">
        <f t="shared" si="440"/>
        <v>0</v>
      </c>
      <c r="BE720" s="141">
        <f t="shared" si="440"/>
        <v>0</v>
      </c>
      <c r="BF720" s="141">
        <f t="shared" si="440"/>
        <v>0</v>
      </c>
      <c r="BG720" s="141">
        <f t="shared" si="440"/>
        <v>0</v>
      </c>
      <c r="BH720" s="141">
        <f t="shared" si="440"/>
        <v>0</v>
      </c>
      <c r="BI720" s="141">
        <f t="shared" si="440"/>
        <v>0</v>
      </c>
      <c r="BJ720" s="142">
        <f t="shared" si="440"/>
        <v>0</v>
      </c>
      <c r="BK720" s="141"/>
      <c r="BL720" s="141"/>
    </row>
    <row r="721" spans="1:64" s="143" customFormat="1" ht="12.75">
      <c r="A721" s="138" t="s">
        <v>128</v>
      </c>
      <c r="B721" s="139">
        <f>SUM(C721:BJ721)</f>
        <v>342007944.65943742</v>
      </c>
      <c r="C721" s="140">
        <f>C664*(1+$G633)^(C634-1)</f>
        <v>16352409.329532692</v>
      </c>
      <c r="D721" s="141">
        <f t="shared" ref="D721:BJ721" si="441">D664*(1+$G633)^(D634-1)</f>
        <v>16893128.998029243</v>
      </c>
      <c r="E721" s="141">
        <f t="shared" si="441"/>
        <v>17333030.612206113</v>
      </c>
      <c r="F721" s="141">
        <f t="shared" si="441"/>
        <v>17658467.105333246</v>
      </c>
      <c r="G721" s="141">
        <f t="shared" si="441"/>
        <v>17854672.295392506</v>
      </c>
      <c r="H721" s="141">
        <f t="shared" si="441"/>
        <v>17905685.644807916</v>
      </c>
      <c r="I721" s="141">
        <f t="shared" si="441"/>
        <v>17932212.586503927</v>
      </c>
      <c r="J721" s="141">
        <f t="shared" si="441"/>
        <v>17932212.586503927</v>
      </c>
      <c r="K721" s="141">
        <f t="shared" si="441"/>
        <v>17903521.046365522</v>
      </c>
      <c r="L721" s="141">
        <f t="shared" si="441"/>
        <v>17843842.642877635</v>
      </c>
      <c r="M721" s="141">
        <f t="shared" si="441"/>
        <v>17750744.333436534</v>
      </c>
      <c r="N721" s="141">
        <f t="shared" si="441"/>
        <v>17621648.011011537</v>
      </c>
      <c r="O721" s="141">
        <f t="shared" si="441"/>
        <v>17453822.791859049</v>
      </c>
      <c r="P721" s="141">
        <f t="shared" si="441"/>
        <v>17244376.918356743</v>
      </c>
      <c r="Q721" s="141">
        <f t="shared" si="441"/>
        <v>16990249.25850727</v>
      </c>
      <c r="R721" s="141">
        <f t="shared" si="441"/>
        <v>16688200.382800473</v>
      </c>
      <c r="S721" s="141">
        <f t="shared" si="441"/>
        <v>16334803.198223522</v>
      </c>
      <c r="T721" s="141">
        <f t="shared" si="441"/>
        <v>15926433.118267931</v>
      </c>
      <c r="U721" s="141">
        <f t="shared" si="441"/>
        <v>15459257.746798739</v>
      </c>
      <c r="V721" s="141">
        <f t="shared" si="441"/>
        <v>14929226.052622778</v>
      </c>
      <c r="W721" s="141">
        <f t="shared" si="441"/>
        <v>0</v>
      </c>
      <c r="X721" s="141">
        <f t="shared" si="441"/>
        <v>0</v>
      </c>
      <c r="Y721" s="141">
        <f t="shared" si="441"/>
        <v>0</v>
      </c>
      <c r="Z721" s="141">
        <f t="shared" si="441"/>
        <v>0</v>
      </c>
      <c r="AA721" s="141">
        <f t="shared" si="441"/>
        <v>0</v>
      </c>
      <c r="AB721" s="141">
        <f t="shared" si="441"/>
        <v>0</v>
      </c>
      <c r="AC721" s="141">
        <f t="shared" si="441"/>
        <v>0</v>
      </c>
      <c r="AD721" s="141">
        <f t="shared" si="441"/>
        <v>0</v>
      </c>
      <c r="AE721" s="141">
        <f t="shared" si="441"/>
        <v>0</v>
      </c>
      <c r="AF721" s="141">
        <f t="shared" si="441"/>
        <v>0</v>
      </c>
      <c r="AG721" s="141">
        <f t="shared" si="441"/>
        <v>0</v>
      </c>
      <c r="AH721" s="141">
        <f t="shared" si="441"/>
        <v>0</v>
      </c>
      <c r="AI721" s="141">
        <f t="shared" si="441"/>
        <v>0</v>
      </c>
      <c r="AJ721" s="141">
        <f t="shared" si="441"/>
        <v>0</v>
      </c>
      <c r="AK721" s="141">
        <f t="shared" si="441"/>
        <v>0</v>
      </c>
      <c r="AL721" s="141">
        <f t="shared" si="441"/>
        <v>0</v>
      </c>
      <c r="AM721" s="141">
        <f t="shared" si="441"/>
        <v>0</v>
      </c>
      <c r="AN721" s="141">
        <f t="shared" si="441"/>
        <v>0</v>
      </c>
      <c r="AO721" s="141">
        <f t="shared" si="441"/>
        <v>0</v>
      </c>
      <c r="AP721" s="141">
        <f t="shared" si="441"/>
        <v>0</v>
      </c>
      <c r="AQ721" s="141">
        <f t="shared" si="441"/>
        <v>0</v>
      </c>
      <c r="AR721" s="141">
        <f t="shared" si="441"/>
        <v>0</v>
      </c>
      <c r="AS721" s="141">
        <f t="shared" si="441"/>
        <v>0</v>
      </c>
      <c r="AT721" s="141">
        <f t="shared" si="441"/>
        <v>0</v>
      </c>
      <c r="AU721" s="141">
        <f t="shared" si="441"/>
        <v>0</v>
      </c>
      <c r="AV721" s="141">
        <f t="shared" si="441"/>
        <v>0</v>
      </c>
      <c r="AW721" s="141">
        <f t="shared" si="441"/>
        <v>0</v>
      </c>
      <c r="AX721" s="141">
        <f t="shared" si="441"/>
        <v>0</v>
      </c>
      <c r="AY721" s="141">
        <f t="shared" si="441"/>
        <v>0</v>
      </c>
      <c r="AZ721" s="141">
        <f t="shared" si="441"/>
        <v>0</v>
      </c>
      <c r="BA721" s="141">
        <f t="shared" si="441"/>
        <v>0</v>
      </c>
      <c r="BB721" s="141">
        <f t="shared" si="441"/>
        <v>0</v>
      </c>
      <c r="BC721" s="141">
        <f t="shared" si="441"/>
        <v>0</v>
      </c>
      <c r="BD721" s="141">
        <f t="shared" si="441"/>
        <v>0</v>
      </c>
      <c r="BE721" s="141">
        <f t="shared" si="441"/>
        <v>0</v>
      </c>
      <c r="BF721" s="141">
        <f t="shared" si="441"/>
        <v>0</v>
      </c>
      <c r="BG721" s="141">
        <f t="shared" si="441"/>
        <v>0</v>
      </c>
      <c r="BH721" s="141">
        <f t="shared" si="441"/>
        <v>0</v>
      </c>
      <c r="BI721" s="141">
        <f t="shared" si="441"/>
        <v>0</v>
      </c>
      <c r="BJ721" s="142">
        <f t="shared" si="441"/>
        <v>0</v>
      </c>
      <c r="BK721" s="141"/>
      <c r="BL721" s="141"/>
    </row>
    <row r="722" spans="1:64" s="143" customFormat="1" ht="12.75">
      <c r="A722" s="138" t="s">
        <v>129</v>
      </c>
      <c r="B722" s="139">
        <f>SUM(C722:BJ722)</f>
        <v>16460982.033264272</v>
      </c>
      <c r="C722" s="140">
        <f>C665*(1+$G633)^(C634-1)</f>
        <v>835305.5194367253</v>
      </c>
      <c r="D722" s="141">
        <f t="shared" ref="D722:BJ722" si="442">D665*(1+$G633)^(D634-1)</f>
        <v>859065.32087848103</v>
      </c>
      <c r="E722" s="141">
        <f t="shared" si="442"/>
        <v>863312.3853861948</v>
      </c>
      <c r="F722" s="141">
        <f t="shared" si="442"/>
        <v>866524.71054112026</v>
      </c>
      <c r="G722" s="141">
        <f t="shared" si="442"/>
        <v>868612.72189182183</v>
      </c>
      <c r="H722" s="141">
        <f t="shared" si="442"/>
        <v>869481.33461371355</v>
      </c>
      <c r="I722" s="141">
        <f t="shared" si="442"/>
        <v>869029.65599832975</v>
      </c>
      <c r="J722" s="141">
        <f t="shared" si="442"/>
        <v>867150.67295833328</v>
      </c>
      <c r="K722" s="141">
        <f t="shared" si="442"/>
        <v>863730.92382554</v>
      </c>
      <c r="L722" s="141">
        <f t="shared" si="442"/>
        <v>858650.15368538979</v>
      </c>
      <c r="M722" s="141">
        <f t="shared" si="442"/>
        <v>851780.95245590655</v>
      </c>
      <c r="N722" s="141">
        <f t="shared" si="442"/>
        <v>842988.3748821679</v>
      </c>
      <c r="O722" s="141">
        <f t="shared" si="442"/>
        <v>832129.54157860111</v>
      </c>
      <c r="P722" s="141">
        <f t="shared" si="442"/>
        <v>819053.22021093732</v>
      </c>
      <c r="Q722" s="141">
        <f t="shared" si="442"/>
        <v>803599.38586733455</v>
      </c>
      <c r="R722" s="141">
        <f t="shared" si="442"/>
        <v>785598.75962390623</v>
      </c>
      <c r="S722" s="141">
        <f t="shared" si="442"/>
        <v>764872.324263616</v>
      </c>
      <c r="T722" s="141">
        <f t="shared" si="442"/>
        <v>741230.81605910417</v>
      </c>
      <c r="U722" s="141">
        <f t="shared" si="442"/>
        <v>714474.1914794097</v>
      </c>
      <c r="V722" s="141">
        <f t="shared" si="442"/>
        <v>684391.06762764498</v>
      </c>
      <c r="W722" s="141">
        <f t="shared" si="442"/>
        <v>0</v>
      </c>
      <c r="X722" s="141">
        <f t="shared" si="442"/>
        <v>0</v>
      </c>
      <c r="Y722" s="141">
        <f t="shared" si="442"/>
        <v>0</v>
      </c>
      <c r="Z722" s="141">
        <f t="shared" si="442"/>
        <v>0</v>
      </c>
      <c r="AA722" s="141">
        <f t="shared" si="442"/>
        <v>0</v>
      </c>
      <c r="AB722" s="141">
        <f t="shared" si="442"/>
        <v>0</v>
      </c>
      <c r="AC722" s="141">
        <f t="shared" si="442"/>
        <v>0</v>
      </c>
      <c r="AD722" s="141">
        <f t="shared" si="442"/>
        <v>0</v>
      </c>
      <c r="AE722" s="141">
        <f t="shared" si="442"/>
        <v>0</v>
      </c>
      <c r="AF722" s="141">
        <f t="shared" si="442"/>
        <v>0</v>
      </c>
      <c r="AG722" s="141">
        <f t="shared" si="442"/>
        <v>0</v>
      </c>
      <c r="AH722" s="141">
        <f t="shared" si="442"/>
        <v>0</v>
      </c>
      <c r="AI722" s="141">
        <f t="shared" si="442"/>
        <v>0</v>
      </c>
      <c r="AJ722" s="141">
        <f t="shared" si="442"/>
        <v>0</v>
      </c>
      <c r="AK722" s="141">
        <f t="shared" si="442"/>
        <v>0</v>
      </c>
      <c r="AL722" s="141">
        <f t="shared" si="442"/>
        <v>0</v>
      </c>
      <c r="AM722" s="141">
        <f t="shared" si="442"/>
        <v>0</v>
      </c>
      <c r="AN722" s="141">
        <f t="shared" si="442"/>
        <v>0</v>
      </c>
      <c r="AO722" s="141">
        <f t="shared" si="442"/>
        <v>0</v>
      </c>
      <c r="AP722" s="141">
        <f t="shared" si="442"/>
        <v>0</v>
      </c>
      <c r="AQ722" s="141">
        <f t="shared" si="442"/>
        <v>0</v>
      </c>
      <c r="AR722" s="141">
        <f t="shared" si="442"/>
        <v>0</v>
      </c>
      <c r="AS722" s="141">
        <f t="shared" si="442"/>
        <v>0</v>
      </c>
      <c r="AT722" s="141">
        <f t="shared" si="442"/>
        <v>0</v>
      </c>
      <c r="AU722" s="141">
        <f t="shared" si="442"/>
        <v>0</v>
      </c>
      <c r="AV722" s="141">
        <f t="shared" si="442"/>
        <v>0</v>
      </c>
      <c r="AW722" s="141">
        <f t="shared" si="442"/>
        <v>0</v>
      </c>
      <c r="AX722" s="141">
        <f t="shared" si="442"/>
        <v>0</v>
      </c>
      <c r="AY722" s="141">
        <f t="shared" si="442"/>
        <v>0</v>
      </c>
      <c r="AZ722" s="141">
        <f t="shared" si="442"/>
        <v>0</v>
      </c>
      <c r="BA722" s="141">
        <f t="shared" si="442"/>
        <v>0</v>
      </c>
      <c r="BB722" s="141">
        <f t="shared" si="442"/>
        <v>0</v>
      </c>
      <c r="BC722" s="141">
        <f t="shared" si="442"/>
        <v>0</v>
      </c>
      <c r="BD722" s="141">
        <f t="shared" si="442"/>
        <v>0</v>
      </c>
      <c r="BE722" s="141">
        <f t="shared" si="442"/>
        <v>0</v>
      </c>
      <c r="BF722" s="141">
        <f t="shared" si="442"/>
        <v>0</v>
      </c>
      <c r="BG722" s="141">
        <f t="shared" si="442"/>
        <v>0</v>
      </c>
      <c r="BH722" s="141">
        <f t="shared" si="442"/>
        <v>0</v>
      </c>
      <c r="BI722" s="141">
        <f t="shared" si="442"/>
        <v>0</v>
      </c>
      <c r="BJ722" s="142">
        <f t="shared" si="442"/>
        <v>0</v>
      </c>
      <c r="BK722" s="141"/>
      <c r="BL722" s="141"/>
    </row>
    <row r="723" spans="1:64" s="116" customFormat="1">
      <c r="A723" s="111" t="s">
        <v>133</v>
      </c>
      <c r="B723" s="155">
        <f>SUM(B724:B727)</f>
        <v>273704541.86173457</v>
      </c>
      <c r="C723" s="117">
        <f>SUM(C724:C727)</f>
        <v>1182972.3463507043</v>
      </c>
      <c r="D723" s="118">
        <f>SUM(D724:D727)</f>
        <v>2557106.6737665981</v>
      </c>
      <c r="E723" s="118">
        <f>SUM(E724:E727)</f>
        <v>5389750.2637687651</v>
      </c>
      <c r="F723" s="118">
        <f t="shared" ref="F723:AJ723" si="443">SUM(F724:F727)</f>
        <v>8444913.9702930786</v>
      </c>
      <c r="G723" s="118">
        <f t="shared" si="443"/>
        <v>11735867.172917308</v>
      </c>
      <c r="H723" s="118">
        <f t="shared" si="443"/>
        <v>12205301.859834002</v>
      </c>
      <c r="I723" s="118">
        <f t="shared" si="443"/>
        <v>12693513.934227362</v>
      </c>
      <c r="J723" s="118">
        <f t="shared" si="443"/>
        <v>13201254.491596457</v>
      </c>
      <c r="K723" s="118">
        <f t="shared" si="443"/>
        <v>13729304.671260316</v>
      </c>
      <c r="L723" s="118">
        <f t="shared" si="443"/>
        <v>14278476.85811073</v>
      </c>
      <c r="M723" s="118">
        <f t="shared" si="443"/>
        <v>14849615.932435157</v>
      </c>
      <c r="N723" s="118">
        <f t="shared" si="443"/>
        <v>15443600.569732564</v>
      </c>
      <c r="O723" s="118">
        <f t="shared" si="443"/>
        <v>16061344.592521871</v>
      </c>
      <c r="P723" s="118">
        <f t="shared" si="443"/>
        <v>16703798.376222745</v>
      </c>
      <c r="Q723" s="118">
        <f t="shared" si="443"/>
        <v>17371950.311271656</v>
      </c>
      <c r="R723" s="118">
        <f t="shared" si="443"/>
        <v>18066828.323722523</v>
      </c>
      <c r="S723" s="118">
        <f t="shared" si="443"/>
        <v>18789501.456671424</v>
      </c>
      <c r="T723" s="118">
        <f t="shared" si="443"/>
        <v>19541081.51493828</v>
      </c>
      <c r="U723" s="118">
        <f t="shared" si="443"/>
        <v>20322724.775535814</v>
      </c>
      <c r="V723" s="118">
        <f t="shared" si="443"/>
        <v>21135633.766557246</v>
      </c>
      <c r="W723" s="118">
        <f t="shared" si="443"/>
        <v>0</v>
      </c>
      <c r="X723" s="118">
        <f t="shared" si="443"/>
        <v>0</v>
      </c>
      <c r="Y723" s="118">
        <f t="shared" si="443"/>
        <v>0</v>
      </c>
      <c r="Z723" s="118">
        <f t="shared" si="443"/>
        <v>0</v>
      </c>
      <c r="AA723" s="118">
        <f t="shared" si="443"/>
        <v>0</v>
      </c>
      <c r="AB723" s="118">
        <f t="shared" si="443"/>
        <v>0</v>
      </c>
      <c r="AC723" s="118">
        <f t="shared" si="443"/>
        <v>0</v>
      </c>
      <c r="AD723" s="118">
        <f t="shared" si="443"/>
        <v>0</v>
      </c>
      <c r="AE723" s="118">
        <f t="shared" si="443"/>
        <v>0</v>
      </c>
      <c r="AF723" s="118">
        <f t="shared" si="443"/>
        <v>0</v>
      </c>
      <c r="AG723" s="118">
        <f t="shared" si="443"/>
        <v>0</v>
      </c>
      <c r="AH723" s="118">
        <f t="shared" si="443"/>
        <v>0</v>
      </c>
      <c r="AI723" s="118">
        <f t="shared" si="443"/>
        <v>0</v>
      </c>
      <c r="AJ723" s="118">
        <f t="shared" si="443"/>
        <v>0</v>
      </c>
      <c r="AK723" s="118"/>
      <c r="AL723" s="118"/>
      <c r="AM723" s="118"/>
      <c r="AN723" s="118"/>
      <c r="AO723" s="118"/>
      <c r="AP723" s="118"/>
      <c r="AQ723" s="118"/>
      <c r="AR723" s="118"/>
      <c r="AS723" s="118"/>
      <c r="AT723" s="118"/>
      <c r="AU723" s="118"/>
      <c r="AV723" s="118"/>
      <c r="AW723" s="118"/>
      <c r="AX723" s="118"/>
      <c r="AY723" s="118"/>
      <c r="AZ723" s="118"/>
      <c r="BA723" s="118"/>
      <c r="BB723" s="118"/>
      <c r="BC723" s="118"/>
      <c r="BD723" s="118"/>
      <c r="BE723" s="118"/>
      <c r="BF723" s="118"/>
      <c r="BG723" s="118"/>
      <c r="BH723" s="118"/>
      <c r="BI723" s="118"/>
      <c r="BJ723" s="119"/>
      <c r="BK723" s="118"/>
      <c r="BL723" s="118"/>
    </row>
    <row r="724" spans="1:64" s="143" customFormat="1" ht="12.75">
      <c r="A724" s="138" t="s">
        <v>126</v>
      </c>
      <c r="B724" s="139">
        <f t="shared" ref="B724:B730" si="444">SUM(C724:BJ724)</f>
        <v>8062690.09366595</v>
      </c>
      <c r="C724" s="140">
        <f>C667*(1+$G633)^(C634-1)</f>
        <v>0</v>
      </c>
      <c r="D724" s="141">
        <f>D667*(1+$G633)^(D634-1)</f>
        <v>0</v>
      </c>
      <c r="E724" s="141">
        <f t="shared" ref="E724:BJ724" si="445">E667*(1+$G633)^(E634-1)</f>
        <v>109108.26099666557</v>
      </c>
      <c r="F724" s="141">
        <f t="shared" si="445"/>
        <v>226945.18287306439</v>
      </c>
      <c r="G724" s="141">
        <f t="shared" si="445"/>
        <v>354034.48528198054</v>
      </c>
      <c r="H724" s="141">
        <f t="shared" si="445"/>
        <v>368195.86469325976</v>
      </c>
      <c r="I724" s="141">
        <f t="shared" si="445"/>
        <v>382923.69928099017</v>
      </c>
      <c r="J724" s="141">
        <f t="shared" si="445"/>
        <v>398240.64725222974</v>
      </c>
      <c r="K724" s="141">
        <f t="shared" si="445"/>
        <v>414170.273142319</v>
      </c>
      <c r="L724" s="141">
        <f t="shared" si="445"/>
        <v>430737.08406801178</v>
      </c>
      <c r="M724" s="141">
        <f t="shared" si="445"/>
        <v>447966.56743073225</v>
      </c>
      <c r="N724" s="141">
        <f t="shared" si="445"/>
        <v>465885.23012796149</v>
      </c>
      <c r="O724" s="141">
        <f t="shared" si="445"/>
        <v>484520.63933308009</v>
      </c>
      <c r="P724" s="141">
        <f t="shared" si="445"/>
        <v>503901.46490640327</v>
      </c>
      <c r="Q724" s="141">
        <f t="shared" si="445"/>
        <v>524057.5235026594</v>
      </c>
      <c r="R724" s="141">
        <f t="shared" si="445"/>
        <v>545019.82444276579</v>
      </c>
      <c r="S724" s="141">
        <f t="shared" si="445"/>
        <v>566820.61742047651</v>
      </c>
      <c r="T724" s="141">
        <f t="shared" si="445"/>
        <v>589493.44211729558</v>
      </c>
      <c r="U724" s="141">
        <f t="shared" si="445"/>
        <v>613073.17980198748</v>
      </c>
      <c r="V724" s="141">
        <f t="shared" si="445"/>
        <v>637596.10699406697</v>
      </c>
      <c r="W724" s="141">
        <f t="shared" si="445"/>
        <v>0</v>
      </c>
      <c r="X724" s="141">
        <f t="shared" si="445"/>
        <v>0</v>
      </c>
      <c r="Y724" s="141">
        <f t="shared" si="445"/>
        <v>0</v>
      </c>
      <c r="Z724" s="141">
        <f t="shared" si="445"/>
        <v>0</v>
      </c>
      <c r="AA724" s="141">
        <f t="shared" si="445"/>
        <v>0</v>
      </c>
      <c r="AB724" s="141">
        <f t="shared" si="445"/>
        <v>0</v>
      </c>
      <c r="AC724" s="141">
        <f t="shared" si="445"/>
        <v>0</v>
      </c>
      <c r="AD724" s="141">
        <f t="shared" si="445"/>
        <v>0</v>
      </c>
      <c r="AE724" s="141">
        <f t="shared" si="445"/>
        <v>0</v>
      </c>
      <c r="AF724" s="141">
        <f t="shared" si="445"/>
        <v>0</v>
      </c>
      <c r="AG724" s="141">
        <f t="shared" si="445"/>
        <v>0</v>
      </c>
      <c r="AH724" s="141">
        <f t="shared" si="445"/>
        <v>0</v>
      </c>
      <c r="AI724" s="141">
        <f t="shared" si="445"/>
        <v>0</v>
      </c>
      <c r="AJ724" s="141">
        <f t="shared" si="445"/>
        <v>0</v>
      </c>
      <c r="AK724" s="141">
        <f t="shared" si="445"/>
        <v>0</v>
      </c>
      <c r="AL724" s="141">
        <f t="shared" si="445"/>
        <v>0</v>
      </c>
      <c r="AM724" s="141">
        <f t="shared" si="445"/>
        <v>0</v>
      </c>
      <c r="AN724" s="141">
        <f t="shared" si="445"/>
        <v>0</v>
      </c>
      <c r="AO724" s="141">
        <f t="shared" si="445"/>
        <v>0</v>
      </c>
      <c r="AP724" s="141">
        <f t="shared" si="445"/>
        <v>0</v>
      </c>
      <c r="AQ724" s="141">
        <f t="shared" si="445"/>
        <v>0</v>
      </c>
      <c r="AR724" s="141">
        <f t="shared" si="445"/>
        <v>0</v>
      </c>
      <c r="AS724" s="141">
        <f t="shared" si="445"/>
        <v>0</v>
      </c>
      <c r="AT724" s="141">
        <f t="shared" si="445"/>
        <v>0</v>
      </c>
      <c r="AU724" s="141">
        <f t="shared" si="445"/>
        <v>0</v>
      </c>
      <c r="AV724" s="141">
        <f t="shared" si="445"/>
        <v>0</v>
      </c>
      <c r="AW724" s="141">
        <f t="shared" si="445"/>
        <v>0</v>
      </c>
      <c r="AX724" s="141">
        <f t="shared" si="445"/>
        <v>0</v>
      </c>
      <c r="AY724" s="141">
        <f t="shared" si="445"/>
        <v>0</v>
      </c>
      <c r="AZ724" s="141">
        <f t="shared" si="445"/>
        <v>0</v>
      </c>
      <c r="BA724" s="141">
        <f t="shared" si="445"/>
        <v>0</v>
      </c>
      <c r="BB724" s="141">
        <f t="shared" si="445"/>
        <v>0</v>
      </c>
      <c r="BC724" s="141">
        <f t="shared" si="445"/>
        <v>0</v>
      </c>
      <c r="BD724" s="141">
        <f t="shared" si="445"/>
        <v>0</v>
      </c>
      <c r="BE724" s="141">
        <f t="shared" si="445"/>
        <v>0</v>
      </c>
      <c r="BF724" s="141">
        <f t="shared" si="445"/>
        <v>0</v>
      </c>
      <c r="BG724" s="141">
        <f t="shared" si="445"/>
        <v>0</v>
      </c>
      <c r="BH724" s="141">
        <f t="shared" si="445"/>
        <v>0</v>
      </c>
      <c r="BI724" s="141">
        <f t="shared" si="445"/>
        <v>0</v>
      </c>
      <c r="BJ724" s="142">
        <f t="shared" si="445"/>
        <v>0</v>
      </c>
      <c r="BK724" s="141"/>
      <c r="BL724" s="141"/>
    </row>
    <row r="725" spans="1:64" s="143" customFormat="1" ht="12.75">
      <c r="A725" s="138" t="s">
        <v>127</v>
      </c>
      <c r="B725" s="139">
        <f t="shared" si="444"/>
        <v>106568228.97000864</v>
      </c>
      <c r="C725" s="140">
        <f>C668*(1+$G633)^(C634-1)</f>
        <v>0</v>
      </c>
      <c r="D725" s="141">
        <f>D668*(1+$G633)^(D634-1)</f>
        <v>0</v>
      </c>
      <c r="E725" s="141">
        <f t="shared" ref="E725:BJ725" si="446">E668*(1+$G633)^(E634-1)</f>
        <v>1442133.3333333335</v>
      </c>
      <c r="F725" s="141">
        <f t="shared" si="446"/>
        <v>2999637.3333333335</v>
      </c>
      <c r="G725" s="141">
        <f t="shared" si="446"/>
        <v>4679434.2400000012</v>
      </c>
      <c r="H725" s="141">
        <f t="shared" si="446"/>
        <v>4866611.609600001</v>
      </c>
      <c r="I725" s="141">
        <f t="shared" si="446"/>
        <v>5061276.0739840018</v>
      </c>
      <c r="J725" s="141">
        <f t="shared" si="446"/>
        <v>5263727.1169433612</v>
      </c>
      <c r="K725" s="141">
        <f t="shared" si="446"/>
        <v>5474276.2016210966</v>
      </c>
      <c r="L725" s="141">
        <f t="shared" si="446"/>
        <v>5693247.2496859403</v>
      </c>
      <c r="M725" s="141">
        <f t="shared" si="446"/>
        <v>5920977.1396733783</v>
      </c>
      <c r="N725" s="141">
        <f t="shared" si="446"/>
        <v>6157816.2252603127</v>
      </c>
      <c r="O725" s="141">
        <f t="shared" si="446"/>
        <v>6404128.8742707269</v>
      </c>
      <c r="P725" s="141">
        <f t="shared" si="446"/>
        <v>6660294.0292415563</v>
      </c>
      <c r="Q725" s="141">
        <f t="shared" si="446"/>
        <v>6926705.7904112181</v>
      </c>
      <c r="R725" s="141">
        <f t="shared" si="446"/>
        <v>7203774.0220276667</v>
      </c>
      <c r="S725" s="141">
        <f t="shared" si="446"/>
        <v>7491924.9829087751</v>
      </c>
      <c r="T725" s="141">
        <f t="shared" si="446"/>
        <v>7791601.9822251266</v>
      </c>
      <c r="U725" s="141">
        <f t="shared" si="446"/>
        <v>8103266.0615141317</v>
      </c>
      <c r="V725" s="141">
        <f t="shared" si="446"/>
        <v>8427396.7039746977</v>
      </c>
      <c r="W725" s="141">
        <f t="shared" si="446"/>
        <v>0</v>
      </c>
      <c r="X725" s="141">
        <f t="shared" si="446"/>
        <v>0</v>
      </c>
      <c r="Y725" s="141">
        <f t="shared" si="446"/>
        <v>0</v>
      </c>
      <c r="Z725" s="141">
        <f t="shared" si="446"/>
        <v>0</v>
      </c>
      <c r="AA725" s="141">
        <f t="shared" si="446"/>
        <v>0</v>
      </c>
      <c r="AB725" s="141">
        <f t="shared" si="446"/>
        <v>0</v>
      </c>
      <c r="AC725" s="141">
        <f t="shared" si="446"/>
        <v>0</v>
      </c>
      <c r="AD725" s="141">
        <f t="shared" si="446"/>
        <v>0</v>
      </c>
      <c r="AE725" s="141">
        <f t="shared" si="446"/>
        <v>0</v>
      </c>
      <c r="AF725" s="141">
        <f t="shared" si="446"/>
        <v>0</v>
      </c>
      <c r="AG725" s="141">
        <f t="shared" si="446"/>
        <v>0</v>
      </c>
      <c r="AH725" s="141">
        <f t="shared" si="446"/>
        <v>0</v>
      </c>
      <c r="AI725" s="141">
        <f t="shared" si="446"/>
        <v>0</v>
      </c>
      <c r="AJ725" s="141">
        <f t="shared" si="446"/>
        <v>0</v>
      </c>
      <c r="AK725" s="141">
        <f t="shared" si="446"/>
        <v>0</v>
      </c>
      <c r="AL725" s="141">
        <f t="shared" si="446"/>
        <v>0</v>
      </c>
      <c r="AM725" s="141">
        <f t="shared" si="446"/>
        <v>0</v>
      </c>
      <c r="AN725" s="141">
        <f t="shared" si="446"/>
        <v>0</v>
      </c>
      <c r="AO725" s="141">
        <f t="shared" si="446"/>
        <v>0</v>
      </c>
      <c r="AP725" s="141">
        <f t="shared" si="446"/>
        <v>0</v>
      </c>
      <c r="AQ725" s="141">
        <f t="shared" si="446"/>
        <v>0</v>
      </c>
      <c r="AR725" s="141">
        <f t="shared" si="446"/>
        <v>0</v>
      </c>
      <c r="AS725" s="141">
        <f t="shared" si="446"/>
        <v>0</v>
      </c>
      <c r="AT725" s="141">
        <f t="shared" si="446"/>
        <v>0</v>
      </c>
      <c r="AU725" s="141">
        <f t="shared" si="446"/>
        <v>0</v>
      </c>
      <c r="AV725" s="141">
        <f t="shared" si="446"/>
        <v>0</v>
      </c>
      <c r="AW725" s="141">
        <f t="shared" si="446"/>
        <v>0</v>
      </c>
      <c r="AX725" s="141">
        <f t="shared" si="446"/>
        <v>0</v>
      </c>
      <c r="AY725" s="141">
        <f t="shared" si="446"/>
        <v>0</v>
      </c>
      <c r="AZ725" s="141">
        <f t="shared" si="446"/>
        <v>0</v>
      </c>
      <c r="BA725" s="141">
        <f t="shared" si="446"/>
        <v>0</v>
      </c>
      <c r="BB725" s="141">
        <f t="shared" si="446"/>
        <v>0</v>
      </c>
      <c r="BC725" s="141">
        <f t="shared" si="446"/>
        <v>0</v>
      </c>
      <c r="BD725" s="141">
        <f t="shared" si="446"/>
        <v>0</v>
      </c>
      <c r="BE725" s="141">
        <f t="shared" si="446"/>
        <v>0</v>
      </c>
      <c r="BF725" s="141">
        <f t="shared" si="446"/>
        <v>0</v>
      </c>
      <c r="BG725" s="141">
        <f t="shared" si="446"/>
        <v>0</v>
      </c>
      <c r="BH725" s="141">
        <f t="shared" si="446"/>
        <v>0</v>
      </c>
      <c r="BI725" s="141">
        <f t="shared" si="446"/>
        <v>0</v>
      </c>
      <c r="BJ725" s="142">
        <f t="shared" si="446"/>
        <v>0</v>
      </c>
      <c r="BK725" s="141"/>
      <c r="BL725" s="141"/>
    </row>
    <row r="726" spans="1:64" s="143" customFormat="1" ht="12.75">
      <c r="A726" s="138" t="s">
        <v>128</v>
      </c>
      <c r="B726" s="139">
        <f t="shared" si="444"/>
        <v>150967981.7826184</v>
      </c>
      <c r="C726" s="140">
        <f>C669*(1+$G633)^(C634-1)</f>
        <v>1090160.6219688461</v>
      </c>
      <c r="D726" s="141">
        <f>D669*(1+$G633)^(D634-1)</f>
        <v>2267534.0936952</v>
      </c>
      <c r="E726" s="141">
        <f t="shared" ref="E726:BJ726" si="447">E669*(1+$G633)^(E634-1)</f>
        <v>3537353.1861645123</v>
      </c>
      <c r="F726" s="141">
        <f t="shared" si="447"/>
        <v>4905129.7514814567</v>
      </c>
      <c r="G726" s="141">
        <f t="shared" si="447"/>
        <v>6376668.6769258939</v>
      </c>
      <c r="H726" s="141">
        <f t="shared" si="447"/>
        <v>6631735.4240029305</v>
      </c>
      <c r="I726" s="141">
        <f t="shared" si="447"/>
        <v>6897004.8409630479</v>
      </c>
      <c r="J726" s="141">
        <f t="shared" si="447"/>
        <v>7172885.0346015692</v>
      </c>
      <c r="K726" s="141">
        <f t="shared" si="447"/>
        <v>7459800.4359856332</v>
      </c>
      <c r="L726" s="141">
        <f t="shared" si="447"/>
        <v>7758192.4534250591</v>
      </c>
      <c r="M726" s="141">
        <f t="shared" si="447"/>
        <v>8068520.1515620612</v>
      </c>
      <c r="N726" s="141">
        <f t="shared" si="447"/>
        <v>8391260.9576245435</v>
      </c>
      <c r="O726" s="141">
        <f t="shared" si="447"/>
        <v>8726911.3959295265</v>
      </c>
      <c r="P726" s="141">
        <f t="shared" si="447"/>
        <v>9075987.8517667074</v>
      </c>
      <c r="Q726" s="141">
        <f t="shared" si="447"/>
        <v>9439027.3658373766</v>
      </c>
      <c r="R726" s="141">
        <f t="shared" si="447"/>
        <v>9816588.460470872</v>
      </c>
      <c r="S726" s="141">
        <f t="shared" si="447"/>
        <v>10209251.998889707</v>
      </c>
      <c r="T726" s="141">
        <f t="shared" si="447"/>
        <v>10617622.078845296</v>
      </c>
      <c r="U726" s="141">
        <f t="shared" si="447"/>
        <v>11042326.961999109</v>
      </c>
      <c r="V726" s="141">
        <f t="shared" si="447"/>
        <v>11484020.040479073</v>
      </c>
      <c r="W726" s="141">
        <f t="shared" si="447"/>
        <v>0</v>
      </c>
      <c r="X726" s="141">
        <f t="shared" si="447"/>
        <v>0</v>
      </c>
      <c r="Y726" s="141">
        <f t="shared" si="447"/>
        <v>0</v>
      </c>
      <c r="Z726" s="141">
        <f t="shared" si="447"/>
        <v>0</v>
      </c>
      <c r="AA726" s="141">
        <f t="shared" si="447"/>
        <v>0</v>
      </c>
      <c r="AB726" s="141">
        <f t="shared" si="447"/>
        <v>0</v>
      </c>
      <c r="AC726" s="141">
        <f t="shared" si="447"/>
        <v>0</v>
      </c>
      <c r="AD726" s="141">
        <f t="shared" si="447"/>
        <v>0</v>
      </c>
      <c r="AE726" s="141">
        <f t="shared" si="447"/>
        <v>0</v>
      </c>
      <c r="AF726" s="141">
        <f t="shared" si="447"/>
        <v>0</v>
      </c>
      <c r="AG726" s="141">
        <f t="shared" si="447"/>
        <v>0</v>
      </c>
      <c r="AH726" s="141">
        <f t="shared" si="447"/>
        <v>0</v>
      </c>
      <c r="AI726" s="141">
        <f t="shared" si="447"/>
        <v>0</v>
      </c>
      <c r="AJ726" s="141">
        <f t="shared" si="447"/>
        <v>0</v>
      </c>
      <c r="AK726" s="141">
        <f t="shared" si="447"/>
        <v>0</v>
      </c>
      <c r="AL726" s="141">
        <f t="shared" si="447"/>
        <v>0</v>
      </c>
      <c r="AM726" s="141">
        <f t="shared" si="447"/>
        <v>0</v>
      </c>
      <c r="AN726" s="141">
        <f t="shared" si="447"/>
        <v>0</v>
      </c>
      <c r="AO726" s="141">
        <f t="shared" si="447"/>
        <v>0</v>
      </c>
      <c r="AP726" s="141">
        <f t="shared" si="447"/>
        <v>0</v>
      </c>
      <c r="AQ726" s="141">
        <f t="shared" si="447"/>
        <v>0</v>
      </c>
      <c r="AR726" s="141">
        <f t="shared" si="447"/>
        <v>0</v>
      </c>
      <c r="AS726" s="141">
        <f t="shared" si="447"/>
        <v>0</v>
      </c>
      <c r="AT726" s="141">
        <f t="shared" si="447"/>
        <v>0</v>
      </c>
      <c r="AU726" s="141">
        <f t="shared" si="447"/>
        <v>0</v>
      </c>
      <c r="AV726" s="141">
        <f t="shared" si="447"/>
        <v>0</v>
      </c>
      <c r="AW726" s="141">
        <f t="shared" si="447"/>
        <v>0</v>
      </c>
      <c r="AX726" s="141">
        <f t="shared" si="447"/>
        <v>0</v>
      </c>
      <c r="AY726" s="141">
        <f t="shared" si="447"/>
        <v>0</v>
      </c>
      <c r="AZ726" s="141">
        <f t="shared" si="447"/>
        <v>0</v>
      </c>
      <c r="BA726" s="141">
        <f t="shared" si="447"/>
        <v>0</v>
      </c>
      <c r="BB726" s="141">
        <f t="shared" si="447"/>
        <v>0</v>
      </c>
      <c r="BC726" s="141">
        <f t="shared" si="447"/>
        <v>0</v>
      </c>
      <c r="BD726" s="141">
        <f t="shared" si="447"/>
        <v>0</v>
      </c>
      <c r="BE726" s="141">
        <f t="shared" si="447"/>
        <v>0</v>
      </c>
      <c r="BF726" s="141">
        <f t="shared" si="447"/>
        <v>0</v>
      </c>
      <c r="BG726" s="141">
        <f t="shared" si="447"/>
        <v>0</v>
      </c>
      <c r="BH726" s="141">
        <f t="shared" si="447"/>
        <v>0</v>
      </c>
      <c r="BI726" s="141">
        <f t="shared" si="447"/>
        <v>0</v>
      </c>
      <c r="BJ726" s="142">
        <f t="shared" si="447"/>
        <v>0</v>
      </c>
      <c r="BK726" s="141"/>
      <c r="BL726" s="141"/>
    </row>
    <row r="727" spans="1:64" s="143" customFormat="1" ht="12.75">
      <c r="A727" s="138" t="s">
        <v>129</v>
      </c>
      <c r="B727" s="139">
        <f t="shared" si="444"/>
        <v>8105641.0154415797</v>
      </c>
      <c r="C727" s="213">
        <f>C670*(1+$G633)^(C634-1)</f>
        <v>92811.724381858352</v>
      </c>
      <c r="D727" s="214">
        <f>D670*(1+$G633)^(D634-1)</f>
        <v>289572.58007139806</v>
      </c>
      <c r="E727" s="214">
        <f t="shared" ref="E727:BJ727" si="448">E670*(1+$G633)^(E634-1)</f>
        <v>301155.48327425402</v>
      </c>
      <c r="F727" s="214">
        <f t="shared" si="448"/>
        <v>313201.70260522416</v>
      </c>
      <c r="G727" s="214">
        <f t="shared" si="448"/>
        <v>325729.77070943313</v>
      </c>
      <c r="H727" s="214">
        <f t="shared" si="448"/>
        <v>338758.96153781051</v>
      </c>
      <c r="I727" s="214">
        <f t="shared" si="448"/>
        <v>352309.31999932294</v>
      </c>
      <c r="J727" s="214">
        <f t="shared" si="448"/>
        <v>366401.69279929582</v>
      </c>
      <c r="K727" s="214">
        <f t="shared" si="448"/>
        <v>381057.7605112677</v>
      </c>
      <c r="L727" s="214">
        <f t="shared" si="448"/>
        <v>396300.07093171845</v>
      </c>
      <c r="M727" s="214">
        <f t="shared" si="448"/>
        <v>412152.0737689872</v>
      </c>
      <c r="N727" s="214">
        <f t="shared" si="448"/>
        <v>428638.15671974665</v>
      </c>
      <c r="O727" s="214">
        <f t="shared" si="448"/>
        <v>445783.6829885366</v>
      </c>
      <c r="P727" s="214">
        <f t="shared" si="448"/>
        <v>463615.0303080781</v>
      </c>
      <c r="Q727" s="214">
        <f t="shared" si="448"/>
        <v>482159.63152040122</v>
      </c>
      <c r="R727" s="214">
        <f t="shared" si="448"/>
        <v>501446.01678121724</v>
      </c>
      <c r="S727" s="214">
        <f t="shared" si="448"/>
        <v>521503.85745246604</v>
      </c>
      <c r="T727" s="214">
        <f t="shared" si="448"/>
        <v>542364.01175056468</v>
      </c>
      <c r="U727" s="214">
        <f t="shared" si="448"/>
        <v>564058.57222058729</v>
      </c>
      <c r="V727" s="214">
        <f t="shared" si="448"/>
        <v>586620.91510941077</v>
      </c>
      <c r="W727" s="214">
        <f t="shared" si="448"/>
        <v>0</v>
      </c>
      <c r="X727" s="214">
        <f t="shared" si="448"/>
        <v>0</v>
      </c>
      <c r="Y727" s="214">
        <f t="shared" si="448"/>
        <v>0</v>
      </c>
      <c r="Z727" s="214">
        <f t="shared" si="448"/>
        <v>0</v>
      </c>
      <c r="AA727" s="214">
        <f t="shared" si="448"/>
        <v>0</v>
      </c>
      <c r="AB727" s="214">
        <f t="shared" si="448"/>
        <v>0</v>
      </c>
      <c r="AC727" s="214">
        <f t="shared" si="448"/>
        <v>0</v>
      </c>
      <c r="AD727" s="214">
        <f t="shared" si="448"/>
        <v>0</v>
      </c>
      <c r="AE727" s="214">
        <f t="shared" si="448"/>
        <v>0</v>
      </c>
      <c r="AF727" s="214">
        <f t="shared" si="448"/>
        <v>0</v>
      </c>
      <c r="AG727" s="214">
        <f t="shared" si="448"/>
        <v>0</v>
      </c>
      <c r="AH727" s="214">
        <f t="shared" si="448"/>
        <v>0</v>
      </c>
      <c r="AI727" s="214">
        <f t="shared" si="448"/>
        <v>0</v>
      </c>
      <c r="AJ727" s="214">
        <f t="shared" si="448"/>
        <v>0</v>
      </c>
      <c r="AK727" s="214">
        <f t="shared" si="448"/>
        <v>0</v>
      </c>
      <c r="AL727" s="214">
        <f t="shared" si="448"/>
        <v>0</v>
      </c>
      <c r="AM727" s="214">
        <f t="shared" si="448"/>
        <v>0</v>
      </c>
      <c r="AN727" s="214">
        <f t="shared" si="448"/>
        <v>0</v>
      </c>
      <c r="AO727" s="214">
        <f t="shared" si="448"/>
        <v>0</v>
      </c>
      <c r="AP727" s="214">
        <f t="shared" si="448"/>
        <v>0</v>
      </c>
      <c r="AQ727" s="214">
        <f t="shared" si="448"/>
        <v>0</v>
      </c>
      <c r="AR727" s="214">
        <f t="shared" si="448"/>
        <v>0</v>
      </c>
      <c r="AS727" s="214">
        <f t="shared" si="448"/>
        <v>0</v>
      </c>
      <c r="AT727" s="214">
        <f t="shared" si="448"/>
        <v>0</v>
      </c>
      <c r="AU727" s="214">
        <f t="shared" si="448"/>
        <v>0</v>
      </c>
      <c r="AV727" s="214">
        <f t="shared" si="448"/>
        <v>0</v>
      </c>
      <c r="AW727" s="214">
        <f t="shared" si="448"/>
        <v>0</v>
      </c>
      <c r="AX727" s="214">
        <f t="shared" si="448"/>
        <v>0</v>
      </c>
      <c r="AY727" s="214">
        <f t="shared" si="448"/>
        <v>0</v>
      </c>
      <c r="AZ727" s="214">
        <f t="shared" si="448"/>
        <v>0</v>
      </c>
      <c r="BA727" s="214">
        <f t="shared" si="448"/>
        <v>0</v>
      </c>
      <c r="BB727" s="214">
        <f t="shared" si="448"/>
        <v>0</v>
      </c>
      <c r="BC727" s="214">
        <f t="shared" si="448"/>
        <v>0</v>
      </c>
      <c r="BD727" s="214">
        <f t="shared" si="448"/>
        <v>0</v>
      </c>
      <c r="BE727" s="214">
        <f t="shared" si="448"/>
        <v>0</v>
      </c>
      <c r="BF727" s="214">
        <f t="shared" si="448"/>
        <v>0</v>
      </c>
      <c r="BG727" s="214">
        <f t="shared" si="448"/>
        <v>0</v>
      </c>
      <c r="BH727" s="214">
        <f t="shared" si="448"/>
        <v>0</v>
      </c>
      <c r="BI727" s="214">
        <f t="shared" si="448"/>
        <v>0</v>
      </c>
      <c r="BJ727" s="215">
        <f t="shared" si="448"/>
        <v>0</v>
      </c>
      <c r="BK727" s="141"/>
      <c r="BL727" s="141"/>
    </row>
    <row r="728" spans="1:64" s="160" customFormat="1">
      <c r="A728" s="131" t="s">
        <v>134</v>
      </c>
      <c r="B728" s="156">
        <f t="shared" si="444"/>
        <v>2505234923.4376845</v>
      </c>
      <c r="C728" s="161">
        <f>C702-C703-C723</f>
        <v>-35543669.621050641</v>
      </c>
      <c r="D728" s="162">
        <f>D702-D703-D723</f>
        <v>-40908526.201965161</v>
      </c>
      <c r="E728" s="162">
        <f>E702-E703-E723</f>
        <v>-85789364.73751016</v>
      </c>
      <c r="F728" s="162">
        <f>F702-F703-F723</f>
        <v>-92060513.022984117</v>
      </c>
      <c r="G728" s="162">
        <f t="shared" ref="G728:BJ728" si="449">G702-G703-G723</f>
        <v>-98696090.187716022</v>
      </c>
      <c r="H728" s="162">
        <f t="shared" si="449"/>
        <v>23077527.016071253</v>
      </c>
      <c r="I728" s="162">
        <f t="shared" si="449"/>
        <v>60694770.127655551</v>
      </c>
      <c r="J728" s="162">
        <f t="shared" si="449"/>
        <v>101284468.64494087</v>
      </c>
      <c r="K728" s="162">
        <f t="shared" si="449"/>
        <v>145024231.41140482</v>
      </c>
      <c r="L728" s="162">
        <f t="shared" si="449"/>
        <v>258614511.26476735</v>
      </c>
      <c r="M728" s="162">
        <f t="shared" si="449"/>
        <v>268959091.71535796</v>
      </c>
      <c r="N728" s="162">
        <f t="shared" si="449"/>
        <v>279717455.38397235</v>
      </c>
      <c r="O728" s="162">
        <f t="shared" si="449"/>
        <v>290906153.59933126</v>
      </c>
      <c r="P728" s="162">
        <f t="shared" si="449"/>
        <v>302542399.74330455</v>
      </c>
      <c r="Q728" s="162">
        <f t="shared" si="449"/>
        <v>314644095.7330367</v>
      </c>
      <c r="R728" s="162">
        <f t="shared" si="449"/>
        <v>327229859.5623582</v>
      </c>
      <c r="S728" s="162">
        <f t="shared" si="449"/>
        <v>198475674.66846105</v>
      </c>
      <c r="T728" s="162">
        <f t="shared" si="449"/>
        <v>149925755.86266506</v>
      </c>
      <c r="U728" s="162">
        <f t="shared" si="449"/>
        <v>97174282.472935855</v>
      </c>
      <c r="V728" s="162">
        <f t="shared" si="449"/>
        <v>39962810.002648011</v>
      </c>
      <c r="W728" s="162">
        <f t="shared" si="449"/>
        <v>0</v>
      </c>
      <c r="X728" s="162">
        <f t="shared" si="449"/>
        <v>0</v>
      </c>
      <c r="Y728" s="162">
        <f t="shared" si="449"/>
        <v>0</v>
      </c>
      <c r="Z728" s="162">
        <f t="shared" si="449"/>
        <v>0</v>
      </c>
      <c r="AA728" s="162">
        <f t="shared" si="449"/>
        <v>0</v>
      </c>
      <c r="AB728" s="162">
        <f t="shared" si="449"/>
        <v>0</v>
      </c>
      <c r="AC728" s="162">
        <f t="shared" si="449"/>
        <v>0</v>
      </c>
      <c r="AD728" s="162">
        <f t="shared" si="449"/>
        <v>0</v>
      </c>
      <c r="AE728" s="162">
        <f t="shared" si="449"/>
        <v>0</v>
      </c>
      <c r="AF728" s="162">
        <f t="shared" si="449"/>
        <v>0</v>
      </c>
      <c r="AG728" s="162">
        <f t="shared" si="449"/>
        <v>0</v>
      </c>
      <c r="AH728" s="162">
        <f t="shared" si="449"/>
        <v>0</v>
      </c>
      <c r="AI728" s="162">
        <f t="shared" si="449"/>
        <v>0</v>
      </c>
      <c r="AJ728" s="162">
        <f t="shared" si="449"/>
        <v>0</v>
      </c>
      <c r="AK728" s="162">
        <f t="shared" si="449"/>
        <v>0</v>
      </c>
      <c r="AL728" s="162">
        <f t="shared" si="449"/>
        <v>0</v>
      </c>
      <c r="AM728" s="162">
        <f t="shared" si="449"/>
        <v>0</v>
      </c>
      <c r="AN728" s="162">
        <f t="shared" si="449"/>
        <v>0</v>
      </c>
      <c r="AO728" s="162">
        <f t="shared" si="449"/>
        <v>0</v>
      </c>
      <c r="AP728" s="162">
        <f t="shared" si="449"/>
        <v>0</v>
      </c>
      <c r="AQ728" s="162">
        <f t="shared" si="449"/>
        <v>0</v>
      </c>
      <c r="AR728" s="162">
        <f t="shared" si="449"/>
        <v>0</v>
      </c>
      <c r="AS728" s="162">
        <f t="shared" si="449"/>
        <v>0</v>
      </c>
      <c r="AT728" s="162">
        <f t="shared" si="449"/>
        <v>0</v>
      </c>
      <c r="AU728" s="162">
        <f t="shared" si="449"/>
        <v>0</v>
      </c>
      <c r="AV728" s="162">
        <f t="shared" si="449"/>
        <v>0</v>
      </c>
      <c r="AW728" s="162">
        <f t="shared" si="449"/>
        <v>0</v>
      </c>
      <c r="AX728" s="162">
        <f t="shared" si="449"/>
        <v>0</v>
      </c>
      <c r="AY728" s="162">
        <f t="shared" si="449"/>
        <v>0</v>
      </c>
      <c r="AZ728" s="162">
        <f t="shared" si="449"/>
        <v>0</v>
      </c>
      <c r="BA728" s="162">
        <f t="shared" si="449"/>
        <v>0</v>
      </c>
      <c r="BB728" s="162">
        <f t="shared" si="449"/>
        <v>0</v>
      </c>
      <c r="BC728" s="162">
        <f t="shared" si="449"/>
        <v>0</v>
      </c>
      <c r="BD728" s="162">
        <f t="shared" si="449"/>
        <v>0</v>
      </c>
      <c r="BE728" s="162">
        <f t="shared" si="449"/>
        <v>0</v>
      </c>
      <c r="BF728" s="162">
        <f t="shared" si="449"/>
        <v>0</v>
      </c>
      <c r="BG728" s="162">
        <f t="shared" si="449"/>
        <v>0</v>
      </c>
      <c r="BH728" s="162">
        <f t="shared" si="449"/>
        <v>0</v>
      </c>
      <c r="BI728" s="162">
        <f t="shared" si="449"/>
        <v>0</v>
      </c>
      <c r="BJ728" s="163">
        <f t="shared" si="449"/>
        <v>0</v>
      </c>
      <c r="BK728" s="159"/>
      <c r="BL728" s="159"/>
    </row>
    <row r="729" spans="1:64" s="160" customFormat="1">
      <c r="A729" s="131" t="s">
        <v>135</v>
      </c>
      <c r="B729" s="156">
        <f t="shared" si="444"/>
        <v>857469926.16267323</v>
      </c>
      <c r="C729" s="161">
        <f>IF(C728&lt;=0,0,C728*$K633)</f>
        <v>0</v>
      </c>
      <c r="D729" s="162">
        <f>IF(D728&lt;=0,0,D728*$K633)</f>
        <v>0</v>
      </c>
      <c r="E729" s="162">
        <f t="shared" ref="E729:BJ729" si="450">IF(E728&lt;=0,0,E728*$K633)</f>
        <v>0</v>
      </c>
      <c r="F729" s="162">
        <f t="shared" si="450"/>
        <v>0</v>
      </c>
      <c r="G729" s="162">
        <f t="shared" si="450"/>
        <v>0</v>
      </c>
      <c r="H729" s="162">
        <f t="shared" si="450"/>
        <v>6923258.1048213756</v>
      </c>
      <c r="I729" s="162">
        <f t="shared" si="450"/>
        <v>18208431.038296666</v>
      </c>
      <c r="J729" s="162">
        <f t="shared" si="450"/>
        <v>30385340.59348226</v>
      </c>
      <c r="K729" s="162">
        <f t="shared" si="450"/>
        <v>43507269.423421443</v>
      </c>
      <c r="L729" s="162">
        <f t="shared" si="450"/>
        <v>77584353.379430205</v>
      </c>
      <c r="M729" s="162">
        <f t="shared" si="450"/>
        <v>80687727.514607385</v>
      </c>
      <c r="N729" s="162">
        <f t="shared" si="450"/>
        <v>83915236.615191698</v>
      </c>
      <c r="O729" s="162">
        <f t="shared" si="450"/>
        <v>87271846.079799369</v>
      </c>
      <c r="P729" s="162">
        <f t="shared" si="450"/>
        <v>90762719.922991365</v>
      </c>
      <c r="Q729" s="162">
        <f t="shared" si="450"/>
        <v>94393228.719911009</v>
      </c>
      <c r="R729" s="162">
        <f t="shared" si="450"/>
        <v>98168957.868707463</v>
      </c>
      <c r="S729" s="162">
        <f t="shared" si="450"/>
        <v>59542702.400538318</v>
      </c>
      <c r="T729" s="162">
        <f t="shared" si="450"/>
        <v>44977726.758799516</v>
      </c>
      <c r="U729" s="162">
        <f t="shared" si="450"/>
        <v>29152284.741880756</v>
      </c>
      <c r="V729" s="162">
        <f t="shared" si="450"/>
        <v>11988843.000794403</v>
      </c>
      <c r="W729" s="162">
        <f t="shared" si="450"/>
        <v>0</v>
      </c>
      <c r="X729" s="162">
        <f t="shared" si="450"/>
        <v>0</v>
      </c>
      <c r="Y729" s="162">
        <f t="shared" si="450"/>
        <v>0</v>
      </c>
      <c r="Z729" s="162">
        <f t="shared" si="450"/>
        <v>0</v>
      </c>
      <c r="AA729" s="162">
        <f t="shared" si="450"/>
        <v>0</v>
      </c>
      <c r="AB729" s="162">
        <f t="shared" si="450"/>
        <v>0</v>
      </c>
      <c r="AC729" s="162">
        <f t="shared" si="450"/>
        <v>0</v>
      </c>
      <c r="AD729" s="162">
        <f t="shared" si="450"/>
        <v>0</v>
      </c>
      <c r="AE729" s="162">
        <f t="shared" si="450"/>
        <v>0</v>
      </c>
      <c r="AF729" s="162">
        <f t="shared" si="450"/>
        <v>0</v>
      </c>
      <c r="AG729" s="162">
        <f t="shared" si="450"/>
        <v>0</v>
      </c>
      <c r="AH729" s="162">
        <f t="shared" si="450"/>
        <v>0</v>
      </c>
      <c r="AI729" s="162">
        <f t="shared" si="450"/>
        <v>0</v>
      </c>
      <c r="AJ729" s="162">
        <f t="shared" si="450"/>
        <v>0</v>
      </c>
      <c r="AK729" s="162">
        <f t="shared" si="450"/>
        <v>0</v>
      </c>
      <c r="AL729" s="162">
        <f t="shared" si="450"/>
        <v>0</v>
      </c>
      <c r="AM729" s="162">
        <f t="shared" si="450"/>
        <v>0</v>
      </c>
      <c r="AN729" s="162">
        <f t="shared" si="450"/>
        <v>0</v>
      </c>
      <c r="AO729" s="162">
        <f t="shared" si="450"/>
        <v>0</v>
      </c>
      <c r="AP729" s="162">
        <f t="shared" si="450"/>
        <v>0</v>
      </c>
      <c r="AQ729" s="162">
        <f t="shared" si="450"/>
        <v>0</v>
      </c>
      <c r="AR729" s="162">
        <f t="shared" si="450"/>
        <v>0</v>
      </c>
      <c r="AS729" s="162">
        <f t="shared" si="450"/>
        <v>0</v>
      </c>
      <c r="AT729" s="162">
        <f t="shared" si="450"/>
        <v>0</v>
      </c>
      <c r="AU729" s="162">
        <f t="shared" si="450"/>
        <v>0</v>
      </c>
      <c r="AV729" s="162">
        <f t="shared" si="450"/>
        <v>0</v>
      </c>
      <c r="AW729" s="162">
        <f t="shared" si="450"/>
        <v>0</v>
      </c>
      <c r="AX729" s="162">
        <f t="shared" si="450"/>
        <v>0</v>
      </c>
      <c r="AY729" s="162">
        <f t="shared" si="450"/>
        <v>0</v>
      </c>
      <c r="AZ729" s="162">
        <f t="shared" si="450"/>
        <v>0</v>
      </c>
      <c r="BA729" s="162">
        <f t="shared" si="450"/>
        <v>0</v>
      </c>
      <c r="BB729" s="162">
        <f t="shared" si="450"/>
        <v>0</v>
      </c>
      <c r="BC729" s="162">
        <f t="shared" si="450"/>
        <v>0</v>
      </c>
      <c r="BD729" s="162">
        <f t="shared" si="450"/>
        <v>0</v>
      </c>
      <c r="BE729" s="162">
        <f t="shared" si="450"/>
        <v>0</v>
      </c>
      <c r="BF729" s="162">
        <f t="shared" si="450"/>
        <v>0</v>
      </c>
      <c r="BG729" s="162">
        <f t="shared" si="450"/>
        <v>0</v>
      </c>
      <c r="BH729" s="162">
        <f t="shared" si="450"/>
        <v>0</v>
      </c>
      <c r="BI729" s="162">
        <f t="shared" si="450"/>
        <v>0</v>
      </c>
      <c r="BJ729" s="163">
        <f t="shared" si="450"/>
        <v>0</v>
      </c>
      <c r="BK729" s="159"/>
      <c r="BL729" s="159"/>
    </row>
    <row r="730" spans="1:64" s="105" customFormat="1">
      <c r="A730" s="164" t="s">
        <v>136</v>
      </c>
      <c r="B730" s="161">
        <f t="shared" si="444"/>
        <v>1647764997.2750115</v>
      </c>
      <c r="C730" s="133">
        <f>C728-C729</f>
        <v>-35543669.621050641</v>
      </c>
      <c r="D730" s="134">
        <f>D728-D729</f>
        <v>-40908526.201965161</v>
      </c>
      <c r="E730" s="134">
        <f>E728-E729</f>
        <v>-85789364.73751016</v>
      </c>
      <c r="F730" s="134">
        <f>F728-F729</f>
        <v>-92060513.022984117</v>
      </c>
      <c r="G730" s="134">
        <f t="shared" ref="G730:BJ730" si="451">G728-G729</f>
        <v>-98696090.187716022</v>
      </c>
      <c r="H730" s="134">
        <f t="shared" si="451"/>
        <v>16154268.911249876</v>
      </c>
      <c r="I730" s="134">
        <f t="shared" si="451"/>
        <v>42486339.089358881</v>
      </c>
      <c r="J730" s="134">
        <f t="shared" si="451"/>
        <v>70899128.051458612</v>
      </c>
      <c r="K730" s="134">
        <f t="shared" si="451"/>
        <v>101516961.98798338</v>
      </c>
      <c r="L730" s="134">
        <f t="shared" si="451"/>
        <v>181030157.88533714</v>
      </c>
      <c r="M730" s="134">
        <f t="shared" si="451"/>
        <v>188271364.20075059</v>
      </c>
      <c r="N730" s="134">
        <f t="shared" si="451"/>
        <v>195802218.76878065</v>
      </c>
      <c r="O730" s="134">
        <f t="shared" si="451"/>
        <v>203634307.51953191</v>
      </c>
      <c r="P730" s="134">
        <f t="shared" si="451"/>
        <v>211779679.82031319</v>
      </c>
      <c r="Q730" s="134">
        <f t="shared" si="451"/>
        <v>220250867.01312569</v>
      </c>
      <c r="R730" s="134">
        <f t="shared" si="451"/>
        <v>229060901.69365072</v>
      </c>
      <c r="S730" s="134">
        <f t="shared" si="451"/>
        <v>138932972.26792273</v>
      </c>
      <c r="T730" s="134">
        <f t="shared" si="451"/>
        <v>104948029.10386553</v>
      </c>
      <c r="U730" s="134">
        <f t="shared" si="451"/>
        <v>68021997.731055096</v>
      </c>
      <c r="V730" s="134">
        <f t="shared" si="451"/>
        <v>27973967.001853608</v>
      </c>
      <c r="W730" s="134">
        <f t="shared" si="451"/>
        <v>0</v>
      </c>
      <c r="X730" s="134">
        <f t="shared" si="451"/>
        <v>0</v>
      </c>
      <c r="Y730" s="134">
        <f t="shared" si="451"/>
        <v>0</v>
      </c>
      <c r="Z730" s="134">
        <f t="shared" si="451"/>
        <v>0</v>
      </c>
      <c r="AA730" s="134">
        <f t="shared" si="451"/>
        <v>0</v>
      </c>
      <c r="AB730" s="134">
        <f t="shared" si="451"/>
        <v>0</v>
      </c>
      <c r="AC730" s="134">
        <f t="shared" si="451"/>
        <v>0</v>
      </c>
      <c r="AD730" s="134">
        <f t="shared" si="451"/>
        <v>0</v>
      </c>
      <c r="AE730" s="134">
        <f t="shared" si="451"/>
        <v>0</v>
      </c>
      <c r="AF730" s="134">
        <f t="shared" si="451"/>
        <v>0</v>
      </c>
      <c r="AG730" s="134">
        <f t="shared" si="451"/>
        <v>0</v>
      </c>
      <c r="AH730" s="134">
        <f t="shared" si="451"/>
        <v>0</v>
      </c>
      <c r="AI730" s="134">
        <f t="shared" si="451"/>
        <v>0</v>
      </c>
      <c r="AJ730" s="134">
        <f t="shared" si="451"/>
        <v>0</v>
      </c>
      <c r="AK730" s="134">
        <f t="shared" si="451"/>
        <v>0</v>
      </c>
      <c r="AL730" s="134">
        <f t="shared" si="451"/>
        <v>0</v>
      </c>
      <c r="AM730" s="134">
        <f t="shared" si="451"/>
        <v>0</v>
      </c>
      <c r="AN730" s="134">
        <f t="shared" si="451"/>
        <v>0</v>
      </c>
      <c r="AO730" s="134">
        <f t="shared" si="451"/>
        <v>0</v>
      </c>
      <c r="AP730" s="134">
        <f t="shared" si="451"/>
        <v>0</v>
      </c>
      <c r="AQ730" s="134">
        <f t="shared" si="451"/>
        <v>0</v>
      </c>
      <c r="AR730" s="134">
        <f t="shared" si="451"/>
        <v>0</v>
      </c>
      <c r="AS730" s="134">
        <f t="shared" si="451"/>
        <v>0</v>
      </c>
      <c r="AT730" s="134">
        <f t="shared" si="451"/>
        <v>0</v>
      </c>
      <c r="AU730" s="134">
        <f t="shared" si="451"/>
        <v>0</v>
      </c>
      <c r="AV730" s="134">
        <f t="shared" si="451"/>
        <v>0</v>
      </c>
      <c r="AW730" s="134">
        <f t="shared" si="451"/>
        <v>0</v>
      </c>
      <c r="AX730" s="134">
        <f t="shared" si="451"/>
        <v>0</v>
      </c>
      <c r="AY730" s="134">
        <f t="shared" si="451"/>
        <v>0</v>
      </c>
      <c r="AZ730" s="134">
        <f t="shared" si="451"/>
        <v>0</v>
      </c>
      <c r="BA730" s="134">
        <f t="shared" si="451"/>
        <v>0</v>
      </c>
      <c r="BB730" s="134">
        <f t="shared" si="451"/>
        <v>0</v>
      </c>
      <c r="BC730" s="134">
        <f t="shared" si="451"/>
        <v>0</v>
      </c>
      <c r="BD730" s="134">
        <f t="shared" si="451"/>
        <v>0</v>
      </c>
      <c r="BE730" s="134">
        <f t="shared" si="451"/>
        <v>0</v>
      </c>
      <c r="BF730" s="134">
        <f t="shared" si="451"/>
        <v>0</v>
      </c>
      <c r="BG730" s="134">
        <f t="shared" si="451"/>
        <v>0</v>
      </c>
      <c r="BH730" s="134">
        <f t="shared" si="451"/>
        <v>0</v>
      </c>
      <c r="BI730" s="134">
        <f t="shared" si="451"/>
        <v>0</v>
      </c>
      <c r="BJ730" s="135">
        <f t="shared" si="451"/>
        <v>0</v>
      </c>
      <c r="BK730" s="109"/>
      <c r="BL730" s="109"/>
    </row>
    <row r="731" spans="1:64">
      <c r="A731" s="165" t="s">
        <v>137</v>
      </c>
      <c r="B731" s="161"/>
      <c r="C731" s="166"/>
      <c r="D731" s="167"/>
      <c r="E731" s="168"/>
      <c r="F731" s="168"/>
      <c r="G731" s="168"/>
      <c r="H731" s="168"/>
      <c r="I731" s="168"/>
      <c r="J731" s="168"/>
      <c r="K731" s="168"/>
      <c r="L731" s="168"/>
      <c r="M731" s="168"/>
      <c r="N731" s="168"/>
      <c r="O731" s="168"/>
      <c r="P731" s="168"/>
      <c r="Q731" s="168"/>
      <c r="R731" s="168"/>
      <c r="S731" s="168"/>
      <c r="T731" s="168"/>
      <c r="U731" s="168"/>
      <c r="V731" s="168"/>
      <c r="W731" s="168"/>
      <c r="X731" s="168"/>
      <c r="Y731" s="168"/>
      <c r="Z731" s="168"/>
      <c r="AA731" s="168"/>
      <c r="AB731" s="168"/>
      <c r="AC731" s="168"/>
      <c r="AD731" s="168"/>
      <c r="AE731" s="168"/>
      <c r="AF731" s="168"/>
      <c r="AG731" s="168"/>
      <c r="AH731" s="168"/>
      <c r="AI731" s="168"/>
      <c r="AJ731" s="168"/>
      <c r="AK731" s="168"/>
      <c r="AL731" s="168"/>
      <c r="AM731" s="168"/>
      <c r="AN731" s="168"/>
      <c r="AO731" s="168"/>
      <c r="AP731" s="168"/>
      <c r="AQ731" s="168"/>
      <c r="AR731" s="168"/>
      <c r="AS731" s="168"/>
      <c r="AT731" s="168"/>
      <c r="AU731" s="168"/>
      <c r="AV731" s="168"/>
      <c r="AW731" s="168"/>
      <c r="AX731" s="168"/>
      <c r="AY731" s="168"/>
      <c r="AZ731" s="168"/>
      <c r="BA731" s="168"/>
      <c r="BB731" s="168"/>
      <c r="BC731" s="168"/>
      <c r="BD731" s="168"/>
      <c r="BE731" s="168"/>
      <c r="BF731" s="168"/>
      <c r="BG731" s="168"/>
      <c r="BH731" s="168"/>
      <c r="BI731" s="168"/>
      <c r="BJ731" s="169"/>
    </row>
    <row r="732" spans="1:64" s="174" customFormat="1" ht="12.75">
      <c r="A732" s="120" t="s">
        <v>138</v>
      </c>
      <c r="B732" s="170">
        <f>SUM(C732:BJ732)</f>
        <v>57281781.420769662</v>
      </c>
      <c r="C732" s="171">
        <f>C703-C708</f>
        <v>34306198.044170432</v>
      </c>
      <c r="D732" s="172">
        <f t="shared" ref="D732:BJ732" si="452">IF(AND(D691&gt;5,D692=0),0,D703-D708)</f>
        <v>37247356.333089367</v>
      </c>
      <c r="E732" s="172">
        <f t="shared" si="452"/>
        <v>76521029.427776337</v>
      </c>
      <c r="F732" s="172">
        <f t="shared" si="452"/>
        <v>76742296.908913821</v>
      </c>
      <c r="G732" s="172">
        <f t="shared" si="452"/>
        <v>76858832.141457886</v>
      </c>
      <c r="H732" s="172">
        <f t="shared" si="452"/>
        <v>-12205301.859834002</v>
      </c>
      <c r="I732" s="172">
        <f t="shared" si="452"/>
        <v>-12693513.934227362</v>
      </c>
      <c r="J732" s="172">
        <f t="shared" si="452"/>
        <v>-13201254.491596457</v>
      </c>
      <c r="K732" s="172">
        <f t="shared" si="452"/>
        <v>-13729304.671260316</v>
      </c>
      <c r="L732" s="172">
        <f t="shared" si="452"/>
        <v>-14278476.85811073</v>
      </c>
      <c r="M732" s="172">
        <f t="shared" si="452"/>
        <v>-14849615.932435157</v>
      </c>
      <c r="N732" s="172">
        <f t="shared" si="452"/>
        <v>-15443600.569732564</v>
      </c>
      <c r="O732" s="172">
        <f t="shared" si="452"/>
        <v>-16061344.592521871</v>
      </c>
      <c r="P732" s="172">
        <f t="shared" si="452"/>
        <v>-16703798.376222745</v>
      </c>
      <c r="Q732" s="172">
        <f t="shared" si="452"/>
        <v>-17371950.311271656</v>
      </c>
      <c r="R732" s="172">
        <f t="shared" si="452"/>
        <v>-18066828.323722523</v>
      </c>
      <c r="S732" s="172">
        <f t="shared" si="452"/>
        <v>-18789501.456671424</v>
      </c>
      <c r="T732" s="172">
        <f t="shared" si="452"/>
        <v>-19541081.51493828</v>
      </c>
      <c r="U732" s="172">
        <f t="shared" si="452"/>
        <v>-20322724.775535814</v>
      </c>
      <c r="V732" s="172">
        <f t="shared" si="452"/>
        <v>-21135633.766557246</v>
      </c>
      <c r="W732" s="172">
        <f t="shared" si="452"/>
        <v>0</v>
      </c>
      <c r="X732" s="172">
        <f t="shared" si="452"/>
        <v>0</v>
      </c>
      <c r="Y732" s="172">
        <f t="shared" si="452"/>
        <v>0</v>
      </c>
      <c r="Z732" s="172">
        <f t="shared" si="452"/>
        <v>0</v>
      </c>
      <c r="AA732" s="172">
        <f t="shared" si="452"/>
        <v>0</v>
      </c>
      <c r="AB732" s="172">
        <f t="shared" si="452"/>
        <v>0</v>
      </c>
      <c r="AC732" s="172">
        <f t="shared" si="452"/>
        <v>0</v>
      </c>
      <c r="AD732" s="172">
        <f t="shared" si="452"/>
        <v>0</v>
      </c>
      <c r="AE732" s="172">
        <f t="shared" si="452"/>
        <v>0</v>
      </c>
      <c r="AF732" s="172">
        <f t="shared" si="452"/>
        <v>0</v>
      </c>
      <c r="AG732" s="172">
        <f t="shared" si="452"/>
        <v>0</v>
      </c>
      <c r="AH732" s="172">
        <f t="shared" si="452"/>
        <v>0</v>
      </c>
      <c r="AI732" s="172">
        <f t="shared" si="452"/>
        <v>0</v>
      </c>
      <c r="AJ732" s="172">
        <f t="shared" si="452"/>
        <v>0</v>
      </c>
      <c r="AK732" s="172">
        <f t="shared" si="452"/>
        <v>0</v>
      </c>
      <c r="AL732" s="172">
        <f t="shared" si="452"/>
        <v>0</v>
      </c>
      <c r="AM732" s="172">
        <f t="shared" si="452"/>
        <v>0</v>
      </c>
      <c r="AN732" s="172">
        <f t="shared" si="452"/>
        <v>0</v>
      </c>
      <c r="AO732" s="172">
        <f t="shared" si="452"/>
        <v>0</v>
      </c>
      <c r="AP732" s="172">
        <f t="shared" si="452"/>
        <v>0</v>
      </c>
      <c r="AQ732" s="172">
        <f t="shared" si="452"/>
        <v>0</v>
      </c>
      <c r="AR732" s="172">
        <f t="shared" si="452"/>
        <v>0</v>
      </c>
      <c r="AS732" s="172">
        <f t="shared" si="452"/>
        <v>0</v>
      </c>
      <c r="AT732" s="172">
        <f t="shared" si="452"/>
        <v>0</v>
      </c>
      <c r="AU732" s="172">
        <f t="shared" si="452"/>
        <v>0</v>
      </c>
      <c r="AV732" s="172">
        <f t="shared" si="452"/>
        <v>0</v>
      </c>
      <c r="AW732" s="172">
        <f t="shared" si="452"/>
        <v>0</v>
      </c>
      <c r="AX732" s="172">
        <f t="shared" si="452"/>
        <v>0</v>
      </c>
      <c r="AY732" s="172">
        <f t="shared" si="452"/>
        <v>0</v>
      </c>
      <c r="AZ732" s="172">
        <f t="shared" si="452"/>
        <v>0</v>
      </c>
      <c r="BA732" s="172">
        <f t="shared" si="452"/>
        <v>0</v>
      </c>
      <c r="BB732" s="172">
        <f t="shared" si="452"/>
        <v>0</v>
      </c>
      <c r="BC732" s="172">
        <f t="shared" si="452"/>
        <v>0</v>
      </c>
      <c r="BD732" s="172">
        <f t="shared" si="452"/>
        <v>0</v>
      </c>
      <c r="BE732" s="172">
        <f t="shared" si="452"/>
        <v>0</v>
      </c>
      <c r="BF732" s="172">
        <f t="shared" si="452"/>
        <v>0</v>
      </c>
      <c r="BG732" s="172">
        <f t="shared" si="452"/>
        <v>0</v>
      </c>
      <c r="BH732" s="172">
        <f t="shared" si="452"/>
        <v>0</v>
      </c>
      <c r="BI732" s="172">
        <f t="shared" si="452"/>
        <v>0</v>
      </c>
      <c r="BJ732" s="173">
        <f t="shared" si="452"/>
        <v>0</v>
      </c>
      <c r="BK732" s="172"/>
      <c r="BL732" s="172"/>
    </row>
    <row r="733" spans="1:64" s="174" customFormat="1" ht="12.75">
      <c r="A733" s="120" t="s">
        <v>139</v>
      </c>
      <c r="B733" s="170">
        <f>SUM(C733:BJ733)</f>
        <v>273704541.86173463</v>
      </c>
      <c r="C733" s="171">
        <f>C723</f>
        <v>1182972.3463507043</v>
      </c>
      <c r="D733" s="172">
        <f>D723</f>
        <v>2557106.6737665981</v>
      </c>
      <c r="E733" s="172">
        <f t="shared" ref="E733:BJ733" si="453">E723</f>
        <v>5389750.2637687651</v>
      </c>
      <c r="F733" s="172">
        <f t="shared" si="453"/>
        <v>8444913.9702930786</v>
      </c>
      <c r="G733" s="172">
        <f t="shared" si="453"/>
        <v>11735867.172917308</v>
      </c>
      <c r="H733" s="172">
        <f t="shared" si="453"/>
        <v>12205301.859834002</v>
      </c>
      <c r="I733" s="172">
        <f t="shared" si="453"/>
        <v>12693513.934227362</v>
      </c>
      <c r="J733" s="172">
        <f t="shared" si="453"/>
        <v>13201254.491596457</v>
      </c>
      <c r="K733" s="172">
        <f t="shared" si="453"/>
        <v>13729304.671260316</v>
      </c>
      <c r="L733" s="172">
        <f t="shared" si="453"/>
        <v>14278476.85811073</v>
      </c>
      <c r="M733" s="172">
        <f t="shared" si="453"/>
        <v>14849615.932435157</v>
      </c>
      <c r="N733" s="172">
        <f t="shared" si="453"/>
        <v>15443600.569732564</v>
      </c>
      <c r="O733" s="172">
        <f t="shared" si="453"/>
        <v>16061344.592521871</v>
      </c>
      <c r="P733" s="172">
        <f t="shared" si="453"/>
        <v>16703798.376222745</v>
      </c>
      <c r="Q733" s="172">
        <f t="shared" si="453"/>
        <v>17371950.311271656</v>
      </c>
      <c r="R733" s="172">
        <f t="shared" si="453"/>
        <v>18066828.323722523</v>
      </c>
      <c r="S733" s="172">
        <f t="shared" si="453"/>
        <v>18789501.456671424</v>
      </c>
      <c r="T733" s="172">
        <f t="shared" si="453"/>
        <v>19541081.51493828</v>
      </c>
      <c r="U733" s="172">
        <f t="shared" si="453"/>
        <v>20322724.775535814</v>
      </c>
      <c r="V733" s="172">
        <f t="shared" si="453"/>
        <v>21135633.766557246</v>
      </c>
      <c r="W733" s="172">
        <f t="shared" si="453"/>
        <v>0</v>
      </c>
      <c r="X733" s="172">
        <f t="shared" si="453"/>
        <v>0</v>
      </c>
      <c r="Y733" s="172">
        <f t="shared" si="453"/>
        <v>0</v>
      </c>
      <c r="Z733" s="172">
        <f t="shared" si="453"/>
        <v>0</v>
      </c>
      <c r="AA733" s="172">
        <f t="shared" si="453"/>
        <v>0</v>
      </c>
      <c r="AB733" s="172">
        <f t="shared" si="453"/>
        <v>0</v>
      </c>
      <c r="AC733" s="172">
        <f t="shared" si="453"/>
        <v>0</v>
      </c>
      <c r="AD733" s="172">
        <f t="shared" si="453"/>
        <v>0</v>
      </c>
      <c r="AE733" s="172">
        <f t="shared" si="453"/>
        <v>0</v>
      </c>
      <c r="AF733" s="172">
        <f t="shared" si="453"/>
        <v>0</v>
      </c>
      <c r="AG733" s="172">
        <f t="shared" si="453"/>
        <v>0</v>
      </c>
      <c r="AH733" s="172">
        <f t="shared" si="453"/>
        <v>0</v>
      </c>
      <c r="AI733" s="172">
        <f t="shared" si="453"/>
        <v>0</v>
      </c>
      <c r="AJ733" s="172">
        <f t="shared" si="453"/>
        <v>0</v>
      </c>
      <c r="AK733" s="172">
        <f t="shared" si="453"/>
        <v>0</v>
      </c>
      <c r="AL733" s="172">
        <f t="shared" si="453"/>
        <v>0</v>
      </c>
      <c r="AM733" s="172">
        <f t="shared" si="453"/>
        <v>0</v>
      </c>
      <c r="AN733" s="172">
        <f t="shared" si="453"/>
        <v>0</v>
      </c>
      <c r="AO733" s="172">
        <f t="shared" si="453"/>
        <v>0</v>
      </c>
      <c r="AP733" s="172">
        <f t="shared" si="453"/>
        <v>0</v>
      </c>
      <c r="AQ733" s="172">
        <f t="shared" si="453"/>
        <v>0</v>
      </c>
      <c r="AR733" s="172">
        <f t="shared" si="453"/>
        <v>0</v>
      </c>
      <c r="AS733" s="172">
        <f t="shared" si="453"/>
        <v>0</v>
      </c>
      <c r="AT733" s="172">
        <f t="shared" si="453"/>
        <v>0</v>
      </c>
      <c r="AU733" s="172">
        <f t="shared" si="453"/>
        <v>0</v>
      </c>
      <c r="AV733" s="172">
        <f t="shared" si="453"/>
        <v>0</v>
      </c>
      <c r="AW733" s="172">
        <f t="shared" si="453"/>
        <v>0</v>
      </c>
      <c r="AX733" s="172">
        <f t="shared" si="453"/>
        <v>0</v>
      </c>
      <c r="AY733" s="172">
        <f t="shared" si="453"/>
        <v>0</v>
      </c>
      <c r="AZ733" s="172">
        <f t="shared" si="453"/>
        <v>0</v>
      </c>
      <c r="BA733" s="172">
        <f t="shared" si="453"/>
        <v>0</v>
      </c>
      <c r="BB733" s="172">
        <f t="shared" si="453"/>
        <v>0</v>
      </c>
      <c r="BC733" s="172">
        <f t="shared" si="453"/>
        <v>0</v>
      </c>
      <c r="BD733" s="172">
        <f t="shared" si="453"/>
        <v>0</v>
      </c>
      <c r="BE733" s="172">
        <f t="shared" si="453"/>
        <v>0</v>
      </c>
      <c r="BF733" s="172">
        <f t="shared" si="453"/>
        <v>0</v>
      </c>
      <c r="BG733" s="172">
        <f t="shared" si="453"/>
        <v>0</v>
      </c>
      <c r="BH733" s="172">
        <f t="shared" si="453"/>
        <v>0</v>
      </c>
      <c r="BI733" s="172">
        <f t="shared" si="453"/>
        <v>0</v>
      </c>
      <c r="BJ733" s="173">
        <f t="shared" si="453"/>
        <v>0</v>
      </c>
      <c r="BK733" s="172"/>
      <c r="BL733" s="172"/>
    </row>
    <row r="734" spans="1:64" s="174" customFormat="1" ht="12.75">
      <c r="A734" s="120" t="s">
        <v>140</v>
      </c>
      <c r="B734" s="170" t="e">
        <f>SUM(C734:BJ734)</f>
        <v>#REF!</v>
      </c>
      <c r="C734" s="171">
        <f>-C703</f>
        <v>-35489170.390521139</v>
      </c>
      <c r="D734" s="172">
        <f>IF(AND(D691&gt;5,E692=0,D692&lt;&gt;0),SUM(D$71:$BJ708)-D703,-D703)</f>
        <v>-39804463.006855965</v>
      </c>
      <c r="E734" s="172">
        <f>IF(AND(E691&gt;5,F692=0,E692&lt;&gt;0),SUM(E$71:$BJ708)-E703,-E703)</f>
        <v>-81910779.691545099</v>
      </c>
      <c r="F734" s="172">
        <f>IF(AND(F691&gt;5,G692=0,F692&lt;&gt;0),SUM(F$71:$BJ708)-F703,-F703)</f>
        <v>-85187210.879206896</v>
      </c>
      <c r="G734" s="172">
        <f>IF(AND(G691&gt;5,H692=0,G692&lt;&gt;0),SUM(G$71:$BJ708)-G703,-G703)</f>
        <v>-88594699.314375192</v>
      </c>
      <c r="H734" s="172">
        <f>IF(AND(H691&gt;5,I692=0,H692&lt;&gt;0),SUM(H$71:$BJ708)-H703,-H703)</f>
        <v>0</v>
      </c>
      <c r="I734" s="172">
        <f>IF(AND(I691&gt;5,J692=0,I692&lt;&gt;0),SUM(I$71:$BJ708)-I703,-I703)</f>
        <v>0</v>
      </c>
      <c r="J734" s="172">
        <f>IF(AND(J691&gt;5,K692=0,J692&lt;&gt;0),SUM(J$71:$BJ708)-J703,-J703)</f>
        <v>0</v>
      </c>
      <c r="K734" s="172">
        <f>IF(AND(K691&gt;5,L692=0,K692&lt;&gt;0),SUM(K$71:$BJ708)-K703,-K703)</f>
        <v>0</v>
      </c>
      <c r="L734" s="172">
        <f>IF(AND(L691&gt;5,M692=0,L692&lt;&gt;0),SUM(L$71:$BJ708)-L703,-L703)</f>
        <v>0</v>
      </c>
      <c r="M734" s="172">
        <f>IF(AND(M691&gt;5,N692=0,M692&lt;&gt;0),SUM(M$71:$BJ708)-M703,-M703)</f>
        <v>0</v>
      </c>
      <c r="N734" s="172">
        <f>IF(AND(N691&gt;5,O692=0,N692&lt;&gt;0),SUM(N$71:$BJ708)-N703,-N703)</f>
        <v>0</v>
      </c>
      <c r="O734" s="172">
        <f>IF(AND(O691&gt;5,P692=0,O692&lt;&gt;0),SUM(O$71:$BJ708)-O703,-O703)</f>
        <v>0</v>
      </c>
      <c r="P734" s="172">
        <f>IF(AND(P691&gt;5,Q692=0,P692&lt;&gt;0),SUM(P$71:$BJ708)-P703,-P703)</f>
        <v>0</v>
      </c>
      <c r="Q734" s="172">
        <f>IF(AND(Q691&gt;5,R692=0,Q692&lt;&gt;0),SUM(Q$71:$BJ708)-Q703,-Q703)</f>
        <v>0</v>
      </c>
      <c r="R734" s="172">
        <f>IF(AND(R691&gt;5,S692=0,R692&lt;&gt;0),SUM(R$71:$BJ708)-R703,-R703)</f>
        <v>0</v>
      </c>
      <c r="S734" s="172">
        <f>IF(AND(S691&gt;5,T692=0,S692&lt;&gt;0),SUM(S$71:$BJ708)-S703,-S703)</f>
        <v>0</v>
      </c>
      <c r="T734" s="172">
        <f>IF(AND(T691&gt;5,U692=0,T692&lt;&gt;0),SUM(T$71:$BJ708)-T703,-T703)</f>
        <v>0</v>
      </c>
      <c r="U734" s="172">
        <f>IF(AND(U691&gt;5,V692=0,U692&lt;&gt;0),SUM(U$71:$BJ708)-U703,-U703)</f>
        <v>0</v>
      </c>
      <c r="V734" s="172" t="e">
        <f>IF(AND(V691&gt;5,W692=0,V692&lt;&gt;0),SUM(V$71:$BJ708)-V703,-V703)</f>
        <v>#REF!</v>
      </c>
      <c r="W734" s="172">
        <f>IF(AND(W691&gt;5,X692=0,W692&lt;&gt;0),SUM(W$71:$BJ708)-W703,-W703)</f>
        <v>0</v>
      </c>
      <c r="X734" s="172">
        <f>IF(AND(X691&gt;5,Y692=0,X692&lt;&gt;0),SUM(X$71:$BJ708)-X703,-X703)</f>
        <v>0</v>
      </c>
      <c r="Y734" s="172">
        <f>IF(AND(Y691&gt;5,Z692=0,Y692&lt;&gt;0),SUM(Y$71:$BJ708)-Y703,-Y703)</f>
        <v>0</v>
      </c>
      <c r="Z734" s="175">
        <f>IF(AND(Z691&gt;5,AA692=0,Z692&lt;&gt;0),SUM(Z$71:$BJ708)-Z703,-Z703)</f>
        <v>0</v>
      </c>
      <c r="AA734" s="172">
        <f>IF(AND(AA691&gt;5,AB692=0,AA692&lt;&gt;0),SUM(AA$71:$BJ708)-AA703,-AA703)</f>
        <v>0</v>
      </c>
      <c r="AB734" s="172">
        <f>IF(AND(AB691&gt;5,AC692=0,AB692&lt;&gt;0),SUM(AB$71:$BJ708)-AB703,-AB703)</f>
        <v>0</v>
      </c>
      <c r="AC734" s="172">
        <f>IF(AND(AC691&gt;5,AD692=0,AC692&lt;&gt;0),SUM(AC$71:$BJ708)-AC703,-AC703)</f>
        <v>0</v>
      </c>
      <c r="AD734" s="172">
        <f>IF(AND(AD691&gt;5,AE692=0,AD692&lt;&gt;0),SUM(AD$71:$BJ708)-AD703,-AD703)</f>
        <v>0</v>
      </c>
      <c r="AE734" s="172">
        <f>IF(AND(AE691&gt;5,AF692=0,AE692&lt;&gt;0),SUM(AE$71:$BJ708)-AE703,-AE703)</f>
        <v>0</v>
      </c>
      <c r="AF734" s="172">
        <f>IF(AND(AF691&gt;5,AG692=0,AF692&lt;&gt;0),SUM(AF$71:$BJ708)-AF703,-AF703)</f>
        <v>0</v>
      </c>
      <c r="AG734" s="172">
        <f>IF(AND(AG691&gt;5,AH692=0,AG692&lt;&gt;0),SUM(AG$71:$BJ708)-AG703,-AG703)</f>
        <v>0</v>
      </c>
      <c r="AH734" s="172">
        <f>IF(AND(AH691&gt;5,AI692=0,AH692&lt;&gt;0),SUM(AH$71:$BJ708)-AH703,-AH703)</f>
        <v>0</v>
      </c>
      <c r="AI734" s="172">
        <f>IF(AND(AI691&gt;5,AJ692=0,AI692&lt;&gt;0),SUM(AI$71:$BJ708)-AI703,-AI703)</f>
        <v>0</v>
      </c>
      <c r="AJ734" s="172">
        <f>IF(AND(AJ691&gt;5,AK692=0,AJ692&lt;&gt;0),SUM(AJ$71:$BJ708)-AJ703,-AJ703)</f>
        <v>0</v>
      </c>
      <c r="AK734" s="172">
        <f>IF(AND(AK691&gt;5,AL692=0,AK692&lt;&gt;0),SUM(AK$71:$BJ708)-AK703,-AK703)</f>
        <v>0</v>
      </c>
      <c r="AL734" s="172">
        <f>IF(AND(AL691&gt;5,AM692=0,AL692&lt;&gt;0),SUM(AL$71:$BJ708)-AL703,-AL703)</f>
        <v>0</v>
      </c>
      <c r="AM734" s="172">
        <f>IF(AND(AM691&gt;5,AN692=0,AM692&lt;&gt;0),SUM(AM$71:$BJ708)-AM703,-AM703)</f>
        <v>0</v>
      </c>
      <c r="AN734" s="172">
        <f>IF(AND(AN691&gt;5,AO692=0,AN692&lt;&gt;0),SUM(AN$71:$BJ708)-AN703,-AN703)</f>
        <v>0</v>
      </c>
      <c r="AO734" s="172">
        <f>IF(AND(AO691&gt;5,AP692=0,AO692&lt;&gt;0),SUM(AO$71:$BJ708)-AO703,-AO703)</f>
        <v>0</v>
      </c>
      <c r="AP734" s="172">
        <f>IF(AND(AP691&gt;5,AQ692=0,AP692&lt;&gt;0),SUM(AP$71:$BJ708)-AP703,-AP703)</f>
        <v>0</v>
      </c>
      <c r="AQ734" s="172">
        <f>IF(AND(AQ691&gt;5,AR692=0,AQ692&lt;&gt;0),SUM(AQ$71:$BJ708)-AQ703,-AQ703)</f>
        <v>0</v>
      </c>
      <c r="AR734" s="172">
        <f>IF(AND(AR691&gt;5,AS692=0,AR692&lt;&gt;0),SUM(AR$71:$BJ708)-AR703,-AR703)</f>
        <v>0</v>
      </c>
      <c r="AS734" s="172">
        <f>IF(AND(AS691&gt;5,AT692=0,AS692&lt;&gt;0),SUM(AS$71:$BJ708)-AS703,-AS703)</f>
        <v>0</v>
      </c>
      <c r="AT734" s="172">
        <f>IF(AND(AT691&gt;5,AU692=0,AT692&lt;&gt;0),SUM(AT$71:$BJ708)-AT703,-AT703)</f>
        <v>0</v>
      </c>
      <c r="AU734" s="172">
        <f>IF(AND(AU691&gt;5,AV692=0,AU692&lt;&gt;0),SUM(AU$71:$BJ708)-AU703,-AU703)</f>
        <v>0</v>
      </c>
      <c r="AV734" s="172">
        <f>IF(AND(AV691&gt;5,AW692=0,AV692&lt;&gt;0),SUM(AV$71:$BJ708)-AV703,-AV703)</f>
        <v>0</v>
      </c>
      <c r="AW734" s="172">
        <f>IF(AND(AW691&gt;5,AX692=0,AW692&lt;&gt;0),SUM(AW$71:$BJ708)-AW703,-AW703)</f>
        <v>0</v>
      </c>
      <c r="AX734" s="172">
        <f>IF(AND(AX691&gt;5,AY692=0,AX692&lt;&gt;0),SUM(AX$71:$BJ708)-AX703,-AX703)</f>
        <v>0</v>
      </c>
      <c r="AY734" s="172">
        <f>IF(AND(AY691&gt;5,AZ692=0,AY692&lt;&gt;0),SUM(AY$71:$BJ708)-AY703,-AY703)</f>
        <v>0</v>
      </c>
      <c r="AZ734" s="172">
        <f>IF(AND(AZ691&gt;5,BA692=0,AZ692&lt;&gt;0),SUM(AZ$71:$BJ708)-AZ703,-AZ703)</f>
        <v>0</v>
      </c>
      <c r="BA734" s="172">
        <f>IF(AND(BA691&gt;5,BB692=0,BA692&lt;&gt;0),SUM(BA$71:$BJ708)-BA703,-BA703)</f>
        <v>0</v>
      </c>
      <c r="BB734" s="172">
        <f>IF(AND(BB691&gt;5,BC692=0,BB692&lt;&gt;0),SUM(BB$71:$BJ708)-BB703,-BB703)</f>
        <v>0</v>
      </c>
      <c r="BC734" s="172">
        <f>IF(AND(BC691&gt;5,BD692=0,BC692&lt;&gt;0),SUM(BC$71:$BJ708)-BC703,-BC703)</f>
        <v>0</v>
      </c>
      <c r="BD734" s="172">
        <f>IF(AND(BD691&gt;5,BE692=0,BD692&lt;&gt;0),SUM(BD$71:$BJ708)-BD703,-BD703)</f>
        <v>0</v>
      </c>
      <c r="BE734" s="172">
        <f>IF(AND(BE691&gt;5,BF692=0,BE692&lt;&gt;0),SUM(BE$71:$BJ708)-BE703,-BE703)</f>
        <v>0</v>
      </c>
      <c r="BF734" s="172">
        <f>IF(AND(BF691&gt;5,BG692=0,BF692&lt;&gt;0),SUM(BF$71:$BJ708)-BF703,-BF703)</f>
        <v>0</v>
      </c>
      <c r="BG734" s="172">
        <f>IF(AND(BG691&gt;5,BH692=0,BG692&lt;&gt;0),SUM(BG$71:$BJ708)-BG703,-BG703)</f>
        <v>0</v>
      </c>
      <c r="BH734" s="172">
        <f>IF(AND(BH691&gt;5,BI692=0,BH692&lt;&gt;0),SUM(BH$71:$BJ708)-BH703,-BH703)</f>
        <v>0</v>
      </c>
      <c r="BI734" s="172">
        <f>IF(AND(BI691&gt;5,BJ692=0,BI692&lt;&gt;0),SUM(BI$71:$BJ708)-BI703,-BI703)</f>
        <v>0</v>
      </c>
      <c r="BJ734" s="173">
        <f>IF(AND(BJ691&gt;5,BK692=0,BJ692&lt;&gt;0),SUM(BJ$71:$BJ708)-BJ703,-BJ703)</f>
        <v>0</v>
      </c>
      <c r="BK734" s="172"/>
      <c r="BL734" s="172"/>
    </row>
    <row r="735" spans="1:64" s="160" customFormat="1">
      <c r="A735" s="176" t="s">
        <v>141</v>
      </c>
      <c r="B735" s="177">
        <f>SUM(C735:BJ735)</f>
        <v>1921469539.1367462</v>
      </c>
      <c r="C735" s="178">
        <f>C730+C733</f>
        <v>-34360697.274699934</v>
      </c>
      <c r="D735" s="179">
        <f t="shared" ref="D735:BJ735" si="454">D730+D733</f>
        <v>-38351419.528198563</v>
      </c>
      <c r="E735" s="179">
        <f t="shared" si="454"/>
        <v>-80399614.473741397</v>
      </c>
      <c r="F735" s="179">
        <f t="shared" si="454"/>
        <v>-83615599.052691042</v>
      </c>
      <c r="G735" s="179">
        <f t="shared" si="454"/>
        <v>-86960223.014798716</v>
      </c>
      <c r="H735" s="179">
        <f t="shared" si="454"/>
        <v>28359570.771083876</v>
      </c>
      <c r="I735" s="179">
        <f t="shared" si="454"/>
        <v>55179853.023586243</v>
      </c>
      <c r="J735" s="179">
        <f t="shared" si="454"/>
        <v>84100382.543055072</v>
      </c>
      <c r="K735" s="179">
        <f t="shared" si="454"/>
        <v>115246266.65924369</v>
      </c>
      <c r="L735" s="179">
        <f t="shared" si="454"/>
        <v>195308634.74344787</v>
      </c>
      <c r="M735" s="179">
        <f t="shared" si="454"/>
        <v>203120980.13318574</v>
      </c>
      <c r="N735" s="179">
        <f t="shared" si="454"/>
        <v>211245819.33851323</v>
      </c>
      <c r="O735" s="179">
        <f t="shared" si="454"/>
        <v>219695652.11205378</v>
      </c>
      <c r="P735" s="179">
        <f t="shared" si="454"/>
        <v>228483478.19653594</v>
      </c>
      <c r="Q735" s="179">
        <f t="shared" si="454"/>
        <v>237622817.32439736</v>
      </c>
      <c r="R735" s="179">
        <f t="shared" si="454"/>
        <v>247127730.01737323</v>
      </c>
      <c r="S735" s="179">
        <f t="shared" si="454"/>
        <v>157722473.72459415</v>
      </c>
      <c r="T735" s="179">
        <f t="shared" si="454"/>
        <v>124489110.61880381</v>
      </c>
      <c r="U735" s="179">
        <f t="shared" si="454"/>
        <v>88344722.506590903</v>
      </c>
      <c r="V735" s="179">
        <f t="shared" si="454"/>
        <v>49109600.768410854</v>
      </c>
      <c r="W735" s="179">
        <f t="shared" si="454"/>
        <v>0</v>
      </c>
      <c r="X735" s="179">
        <f t="shared" si="454"/>
        <v>0</v>
      </c>
      <c r="Y735" s="179">
        <f t="shared" si="454"/>
        <v>0</v>
      </c>
      <c r="Z735" s="179">
        <f t="shared" si="454"/>
        <v>0</v>
      </c>
      <c r="AA735" s="179">
        <f t="shared" si="454"/>
        <v>0</v>
      </c>
      <c r="AB735" s="179">
        <f t="shared" si="454"/>
        <v>0</v>
      </c>
      <c r="AC735" s="179">
        <f t="shared" si="454"/>
        <v>0</v>
      </c>
      <c r="AD735" s="179">
        <f t="shared" si="454"/>
        <v>0</v>
      </c>
      <c r="AE735" s="179">
        <f t="shared" si="454"/>
        <v>0</v>
      </c>
      <c r="AF735" s="179">
        <f t="shared" si="454"/>
        <v>0</v>
      </c>
      <c r="AG735" s="179">
        <f t="shared" si="454"/>
        <v>0</v>
      </c>
      <c r="AH735" s="179">
        <f t="shared" si="454"/>
        <v>0</v>
      </c>
      <c r="AI735" s="179">
        <f t="shared" si="454"/>
        <v>0</v>
      </c>
      <c r="AJ735" s="179">
        <f t="shared" si="454"/>
        <v>0</v>
      </c>
      <c r="AK735" s="179">
        <f t="shared" si="454"/>
        <v>0</v>
      </c>
      <c r="AL735" s="179">
        <f t="shared" si="454"/>
        <v>0</v>
      </c>
      <c r="AM735" s="179">
        <f t="shared" si="454"/>
        <v>0</v>
      </c>
      <c r="AN735" s="179">
        <f t="shared" si="454"/>
        <v>0</v>
      </c>
      <c r="AO735" s="179">
        <f t="shared" si="454"/>
        <v>0</v>
      </c>
      <c r="AP735" s="179">
        <f t="shared" si="454"/>
        <v>0</v>
      </c>
      <c r="AQ735" s="179">
        <f t="shared" si="454"/>
        <v>0</v>
      </c>
      <c r="AR735" s="179">
        <f t="shared" si="454"/>
        <v>0</v>
      </c>
      <c r="AS735" s="179">
        <f t="shared" si="454"/>
        <v>0</v>
      </c>
      <c r="AT735" s="179">
        <f t="shared" si="454"/>
        <v>0</v>
      </c>
      <c r="AU735" s="179">
        <f t="shared" si="454"/>
        <v>0</v>
      </c>
      <c r="AV735" s="179">
        <f t="shared" si="454"/>
        <v>0</v>
      </c>
      <c r="AW735" s="179">
        <f t="shared" si="454"/>
        <v>0</v>
      </c>
      <c r="AX735" s="179">
        <f t="shared" si="454"/>
        <v>0</v>
      </c>
      <c r="AY735" s="179">
        <f t="shared" si="454"/>
        <v>0</v>
      </c>
      <c r="AZ735" s="179">
        <f t="shared" si="454"/>
        <v>0</v>
      </c>
      <c r="BA735" s="179">
        <f t="shared" si="454"/>
        <v>0</v>
      </c>
      <c r="BB735" s="179">
        <f t="shared" si="454"/>
        <v>0</v>
      </c>
      <c r="BC735" s="179">
        <f t="shared" si="454"/>
        <v>0</v>
      </c>
      <c r="BD735" s="179">
        <f t="shared" si="454"/>
        <v>0</v>
      </c>
      <c r="BE735" s="179">
        <f t="shared" si="454"/>
        <v>0</v>
      </c>
      <c r="BF735" s="179">
        <f t="shared" si="454"/>
        <v>0</v>
      </c>
      <c r="BG735" s="179">
        <f t="shared" si="454"/>
        <v>0</v>
      </c>
      <c r="BH735" s="179">
        <f t="shared" si="454"/>
        <v>0</v>
      </c>
      <c r="BI735" s="179">
        <f t="shared" si="454"/>
        <v>0</v>
      </c>
      <c r="BJ735" s="180">
        <f t="shared" si="454"/>
        <v>0</v>
      </c>
    </row>
    <row r="736" spans="1:64" s="80" customFormat="1">
      <c r="A736" s="176" t="s">
        <v>142</v>
      </c>
      <c r="B736" s="177">
        <f>SUM(C736:BJ736)</f>
        <v>341290565.25817537</v>
      </c>
      <c r="C736" s="181">
        <f>C735*(1+$C633)^-(C691-1)</f>
        <v>-34360697.274699934</v>
      </c>
      <c r="D736" s="182">
        <f>D735*(1+$C633)^-(D691-1)</f>
        <v>-34242338.864463001</v>
      </c>
      <c r="E736" s="182">
        <f t="shared" ref="E736:BJ736" si="455">E735*(1+$C633)^-(E691-1)</f>
        <v>-64094080.415929042</v>
      </c>
      <c r="F736" s="182">
        <f t="shared" si="455"/>
        <v>-59515931.814791232</v>
      </c>
      <c r="G736" s="182">
        <f t="shared" si="455"/>
        <v>-55264793.828020461</v>
      </c>
      <c r="H736" s="182">
        <f t="shared" si="455"/>
        <v>16091982.072165214</v>
      </c>
      <c r="I736" s="182">
        <f t="shared" si="455"/>
        <v>27955830.803739268</v>
      </c>
      <c r="J736" s="182">
        <f t="shared" si="455"/>
        <v>38042742.052883536</v>
      </c>
      <c r="K736" s="182">
        <f t="shared" si="455"/>
        <v>46546034.19090648</v>
      </c>
      <c r="L736" s="182">
        <f t="shared" si="455"/>
        <v>70430251.653952941</v>
      </c>
      <c r="M736" s="182">
        <f t="shared" si="455"/>
        <v>65399519.392956272</v>
      </c>
      <c r="N736" s="182">
        <f t="shared" si="455"/>
        <v>60728125.150602259</v>
      </c>
      <c r="O736" s="182">
        <f t="shared" si="455"/>
        <v>56390401.92555926</v>
      </c>
      <c r="P736" s="182">
        <f t="shared" si="455"/>
        <v>52362516.073733591</v>
      </c>
      <c r="Q736" s="182">
        <f t="shared" si="455"/>
        <v>48622336.354181178</v>
      </c>
      <c r="R736" s="182">
        <f t="shared" si="455"/>
        <v>45149312.328882523</v>
      </c>
      <c r="S736" s="182">
        <f t="shared" si="455"/>
        <v>25727952.023950223</v>
      </c>
      <c r="T736" s="182">
        <f t="shared" si="455"/>
        <v>18131134.469197053</v>
      </c>
      <c r="U736" s="182">
        <f t="shared" si="455"/>
        <v>11488311.503776217</v>
      </c>
      <c r="V736" s="182">
        <f t="shared" si="455"/>
        <v>5701957.459593066</v>
      </c>
      <c r="W736" s="182">
        <f t="shared" si="455"/>
        <v>0</v>
      </c>
      <c r="X736" s="182">
        <f t="shared" si="455"/>
        <v>0</v>
      </c>
      <c r="Y736" s="182">
        <f t="shared" si="455"/>
        <v>0</v>
      </c>
      <c r="Z736" s="182">
        <f t="shared" si="455"/>
        <v>0</v>
      </c>
      <c r="AA736" s="182">
        <f t="shared" si="455"/>
        <v>0</v>
      </c>
      <c r="AB736" s="182">
        <f t="shared" si="455"/>
        <v>0</v>
      </c>
      <c r="AC736" s="182">
        <f t="shared" si="455"/>
        <v>0</v>
      </c>
      <c r="AD736" s="182">
        <f t="shared" si="455"/>
        <v>0</v>
      </c>
      <c r="AE736" s="182">
        <f t="shared" si="455"/>
        <v>0</v>
      </c>
      <c r="AF736" s="182">
        <f t="shared" si="455"/>
        <v>0</v>
      </c>
      <c r="AG736" s="182">
        <f t="shared" si="455"/>
        <v>0</v>
      </c>
      <c r="AH736" s="182">
        <f t="shared" si="455"/>
        <v>0</v>
      </c>
      <c r="AI736" s="182">
        <f t="shared" si="455"/>
        <v>0</v>
      </c>
      <c r="AJ736" s="182">
        <f t="shared" si="455"/>
        <v>0</v>
      </c>
      <c r="AK736" s="182">
        <f t="shared" si="455"/>
        <v>0</v>
      </c>
      <c r="AL736" s="182">
        <f t="shared" si="455"/>
        <v>0</v>
      </c>
      <c r="AM736" s="182">
        <f t="shared" si="455"/>
        <v>0</v>
      </c>
      <c r="AN736" s="182">
        <f t="shared" si="455"/>
        <v>0</v>
      </c>
      <c r="AO736" s="182">
        <f t="shared" si="455"/>
        <v>0</v>
      </c>
      <c r="AP736" s="182">
        <f t="shared" si="455"/>
        <v>0</v>
      </c>
      <c r="AQ736" s="182">
        <f t="shared" si="455"/>
        <v>0</v>
      </c>
      <c r="AR736" s="182">
        <f t="shared" si="455"/>
        <v>0</v>
      </c>
      <c r="AS736" s="182">
        <f t="shared" si="455"/>
        <v>0</v>
      </c>
      <c r="AT736" s="182">
        <f t="shared" si="455"/>
        <v>0</v>
      </c>
      <c r="AU736" s="182">
        <f t="shared" si="455"/>
        <v>0</v>
      </c>
      <c r="AV736" s="182">
        <f t="shared" si="455"/>
        <v>0</v>
      </c>
      <c r="AW736" s="182">
        <f t="shared" si="455"/>
        <v>0</v>
      </c>
      <c r="AX736" s="182">
        <f t="shared" si="455"/>
        <v>0</v>
      </c>
      <c r="AY736" s="182">
        <f t="shared" si="455"/>
        <v>0</v>
      </c>
      <c r="AZ736" s="182">
        <f t="shared" si="455"/>
        <v>0</v>
      </c>
      <c r="BA736" s="182">
        <f t="shared" si="455"/>
        <v>0</v>
      </c>
      <c r="BB736" s="182">
        <f t="shared" si="455"/>
        <v>0</v>
      </c>
      <c r="BC736" s="182">
        <f t="shared" si="455"/>
        <v>0</v>
      </c>
      <c r="BD736" s="182">
        <f t="shared" si="455"/>
        <v>0</v>
      </c>
      <c r="BE736" s="182">
        <f t="shared" si="455"/>
        <v>0</v>
      </c>
      <c r="BF736" s="182">
        <f t="shared" si="455"/>
        <v>0</v>
      </c>
      <c r="BG736" s="182">
        <f t="shared" si="455"/>
        <v>0</v>
      </c>
      <c r="BH736" s="182">
        <f t="shared" si="455"/>
        <v>0</v>
      </c>
      <c r="BI736" s="182">
        <f t="shared" si="455"/>
        <v>0</v>
      </c>
      <c r="BJ736" s="183">
        <f t="shared" si="455"/>
        <v>0</v>
      </c>
    </row>
    <row r="737" spans="1:63" s="80" customFormat="1">
      <c r="A737" s="184" t="s">
        <v>143</v>
      </c>
      <c r="B737" s="177"/>
      <c r="C737" s="181">
        <f>C736</f>
        <v>-34360697.274699934</v>
      </c>
      <c r="D737" s="182">
        <f t="shared" ref="D737:BJ737" si="456">IF(D736=0, 0, C737+D736)</f>
        <v>-68603036.139162928</v>
      </c>
      <c r="E737" s="182">
        <f t="shared" si="456"/>
        <v>-132697116.55509198</v>
      </c>
      <c r="F737" s="182">
        <f t="shared" si="456"/>
        <v>-192213048.36988321</v>
      </c>
      <c r="G737" s="182">
        <f t="shared" si="456"/>
        <v>-247477842.19790366</v>
      </c>
      <c r="H737" s="182">
        <f t="shared" si="456"/>
        <v>-231385860.12573844</v>
      </c>
      <c r="I737" s="182">
        <f t="shared" si="456"/>
        <v>-203430029.32199916</v>
      </c>
      <c r="J737" s="182">
        <f t="shared" si="456"/>
        <v>-165387287.26911563</v>
      </c>
      <c r="K737" s="182">
        <f t="shared" si="456"/>
        <v>-118841253.07820915</v>
      </c>
      <c r="L737" s="182">
        <f t="shared" si="456"/>
        <v>-48411001.424256206</v>
      </c>
      <c r="M737" s="182">
        <f t="shared" si="456"/>
        <v>16988517.968700066</v>
      </c>
      <c r="N737" s="182">
        <f t="shared" si="456"/>
        <v>77716643.119302332</v>
      </c>
      <c r="O737" s="182">
        <f t="shared" si="456"/>
        <v>134107045.04486158</v>
      </c>
      <c r="P737" s="182">
        <f t="shared" si="456"/>
        <v>186469561.11859518</v>
      </c>
      <c r="Q737" s="182">
        <f t="shared" si="456"/>
        <v>235091897.47277635</v>
      </c>
      <c r="R737" s="182">
        <f t="shared" si="456"/>
        <v>280241209.80165887</v>
      </c>
      <c r="S737" s="182">
        <f t="shared" si="456"/>
        <v>305969161.82560909</v>
      </c>
      <c r="T737" s="182">
        <f t="shared" si="456"/>
        <v>324100296.29480612</v>
      </c>
      <c r="U737" s="182">
        <f t="shared" si="456"/>
        <v>335588607.79858232</v>
      </c>
      <c r="V737" s="182">
        <f t="shared" si="456"/>
        <v>341290565.25817537</v>
      </c>
      <c r="W737" s="182">
        <f t="shared" si="456"/>
        <v>0</v>
      </c>
      <c r="X737" s="182">
        <f t="shared" si="456"/>
        <v>0</v>
      </c>
      <c r="Y737" s="182">
        <f t="shared" si="456"/>
        <v>0</v>
      </c>
      <c r="Z737" s="182">
        <f t="shared" si="456"/>
        <v>0</v>
      </c>
      <c r="AA737" s="182">
        <f t="shared" si="456"/>
        <v>0</v>
      </c>
      <c r="AB737" s="182">
        <f t="shared" si="456"/>
        <v>0</v>
      </c>
      <c r="AC737" s="182">
        <f t="shared" si="456"/>
        <v>0</v>
      </c>
      <c r="AD737" s="182">
        <f t="shared" si="456"/>
        <v>0</v>
      </c>
      <c r="AE737" s="182">
        <f t="shared" si="456"/>
        <v>0</v>
      </c>
      <c r="AF737" s="182">
        <f t="shared" si="456"/>
        <v>0</v>
      </c>
      <c r="AG737" s="182">
        <f t="shared" si="456"/>
        <v>0</v>
      </c>
      <c r="AH737" s="182">
        <f t="shared" si="456"/>
        <v>0</v>
      </c>
      <c r="AI737" s="182">
        <f t="shared" si="456"/>
        <v>0</v>
      </c>
      <c r="AJ737" s="182">
        <f t="shared" si="456"/>
        <v>0</v>
      </c>
      <c r="AK737" s="182">
        <f t="shared" si="456"/>
        <v>0</v>
      </c>
      <c r="AL737" s="182">
        <f t="shared" si="456"/>
        <v>0</v>
      </c>
      <c r="AM737" s="182">
        <f t="shared" si="456"/>
        <v>0</v>
      </c>
      <c r="AN737" s="182">
        <f t="shared" si="456"/>
        <v>0</v>
      </c>
      <c r="AO737" s="182">
        <f t="shared" si="456"/>
        <v>0</v>
      </c>
      <c r="AP737" s="182">
        <f t="shared" si="456"/>
        <v>0</v>
      </c>
      <c r="AQ737" s="182">
        <f t="shared" si="456"/>
        <v>0</v>
      </c>
      <c r="AR737" s="182">
        <f t="shared" si="456"/>
        <v>0</v>
      </c>
      <c r="AS737" s="182">
        <f t="shared" si="456"/>
        <v>0</v>
      </c>
      <c r="AT737" s="182">
        <f t="shared" si="456"/>
        <v>0</v>
      </c>
      <c r="AU737" s="182">
        <f t="shared" si="456"/>
        <v>0</v>
      </c>
      <c r="AV737" s="182">
        <f t="shared" si="456"/>
        <v>0</v>
      </c>
      <c r="AW737" s="182">
        <f t="shared" si="456"/>
        <v>0</v>
      </c>
      <c r="AX737" s="182">
        <f t="shared" si="456"/>
        <v>0</v>
      </c>
      <c r="AY737" s="182">
        <f t="shared" si="456"/>
        <v>0</v>
      </c>
      <c r="AZ737" s="182">
        <f t="shared" si="456"/>
        <v>0</v>
      </c>
      <c r="BA737" s="182">
        <f t="shared" si="456"/>
        <v>0</v>
      </c>
      <c r="BB737" s="182">
        <f t="shared" si="456"/>
        <v>0</v>
      </c>
      <c r="BC737" s="182">
        <f t="shared" si="456"/>
        <v>0</v>
      </c>
      <c r="BD737" s="182">
        <f t="shared" si="456"/>
        <v>0</v>
      </c>
      <c r="BE737" s="182">
        <f t="shared" si="456"/>
        <v>0</v>
      </c>
      <c r="BF737" s="182">
        <f t="shared" si="456"/>
        <v>0</v>
      </c>
      <c r="BG737" s="182">
        <f t="shared" si="456"/>
        <v>0</v>
      </c>
      <c r="BH737" s="182">
        <f t="shared" si="456"/>
        <v>0</v>
      </c>
      <c r="BI737" s="182">
        <f t="shared" si="456"/>
        <v>0</v>
      </c>
      <c r="BJ737" s="183">
        <f t="shared" si="456"/>
        <v>0</v>
      </c>
    </row>
    <row r="738" spans="1:63" s="83" customFormat="1">
      <c r="A738" s="78"/>
      <c r="B738" s="81"/>
      <c r="C738" s="82"/>
      <c r="D738" s="82"/>
      <c r="E738" s="82"/>
      <c r="F738" s="82"/>
      <c r="G738" s="82"/>
      <c r="H738" s="82"/>
      <c r="I738" s="82"/>
      <c r="J738" s="82"/>
      <c r="K738" s="82"/>
      <c r="L738" s="82"/>
      <c r="M738" s="82"/>
      <c r="N738" s="82"/>
      <c r="O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2"/>
      <c r="AD738" s="82"/>
      <c r="AE738" s="82"/>
      <c r="AF738" s="82"/>
      <c r="AG738" s="82"/>
      <c r="AH738" s="82"/>
      <c r="AI738" s="82"/>
      <c r="AJ738" s="82"/>
      <c r="AK738" s="82"/>
      <c r="AL738" s="82"/>
      <c r="AM738" s="82"/>
      <c r="AN738" s="82"/>
      <c r="AO738" s="82"/>
      <c r="AP738" s="82"/>
      <c r="AQ738" s="82"/>
      <c r="AR738" s="82"/>
      <c r="AS738" s="82"/>
      <c r="AT738" s="82"/>
      <c r="AU738" s="82"/>
      <c r="AV738" s="82"/>
      <c r="AW738" s="82"/>
      <c r="AX738" s="82"/>
      <c r="AY738" s="82"/>
      <c r="AZ738" s="82"/>
      <c r="BA738" s="82"/>
      <c r="BB738" s="82"/>
      <c r="BC738" s="82"/>
      <c r="BD738" s="82"/>
      <c r="BE738" s="82"/>
      <c r="BF738" s="82"/>
      <c r="BG738" s="82"/>
      <c r="BH738" s="82"/>
      <c r="BI738" s="82"/>
      <c r="BJ738" s="82"/>
    </row>
    <row r="739" spans="1:63" ht="21">
      <c r="A739" s="185" t="s">
        <v>163</v>
      </c>
      <c r="B739" s="93"/>
      <c r="C739" s="186"/>
      <c r="D739" s="186"/>
      <c r="E739" s="186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86"/>
      <c r="AD739" s="186"/>
      <c r="AE739" s="186"/>
      <c r="AF739" s="186"/>
      <c r="AG739" s="186"/>
      <c r="AH739" s="186"/>
      <c r="AI739" s="186"/>
      <c r="AJ739" s="186"/>
      <c r="AK739" s="186"/>
      <c r="AL739" s="186"/>
      <c r="AM739" s="186"/>
      <c r="AN739" s="186"/>
      <c r="AO739" s="186"/>
      <c r="AP739" s="186"/>
      <c r="AQ739" s="186"/>
      <c r="AR739" s="186"/>
      <c r="AS739" s="186"/>
      <c r="AT739" s="186"/>
      <c r="AU739" s="186"/>
      <c r="AV739" s="186"/>
      <c r="AW739" s="186"/>
      <c r="AX739" s="186"/>
      <c r="AY739" s="186"/>
      <c r="AZ739" s="186"/>
      <c r="BA739" s="186"/>
      <c r="BB739" s="186"/>
      <c r="BC739" s="186"/>
      <c r="BD739" s="186"/>
      <c r="BE739" s="186"/>
      <c r="BF739" s="186"/>
      <c r="BG739" s="186"/>
      <c r="BH739" s="186"/>
      <c r="BI739" s="186"/>
      <c r="BJ739" s="186"/>
    </row>
    <row r="740" spans="1:63">
      <c r="A740" s="187" t="s">
        <v>158</v>
      </c>
      <c r="B740" s="188">
        <f>SUM(C740:BJ740)</f>
        <v>769.08005137223563</v>
      </c>
      <c r="C740" s="189">
        <f>(C692*(1-$K633))/(1+$C633)^(C691-1)</f>
        <v>0</v>
      </c>
      <c r="D740" s="190">
        <f>(D692*(1-$K633))/(1+$C633)^(D691-1)</f>
        <v>0</v>
      </c>
      <c r="E740" s="190">
        <f t="shared" ref="E740:BJ740" si="457">(E692*(1-$K633))/(1+$C633)^(E691-1)</f>
        <v>0</v>
      </c>
      <c r="F740" s="190">
        <f t="shared" si="457"/>
        <v>0</v>
      </c>
      <c r="G740" s="190">
        <f t="shared" si="457"/>
        <v>0</v>
      </c>
      <c r="H740" s="190">
        <f t="shared" si="457"/>
        <v>23.970947519832219</v>
      </c>
      <c r="I740" s="190">
        <f t="shared" si="457"/>
        <v>42.805263428271815</v>
      </c>
      <c r="J740" s="190">
        <f t="shared" si="457"/>
        <v>57.328477805721171</v>
      </c>
      <c r="K740" s="190">
        <f t="shared" si="457"/>
        <v>68.248187863953774</v>
      </c>
      <c r="L740" s="190">
        <f t="shared" si="457"/>
        <v>100.71837997735516</v>
      </c>
      <c r="M740" s="190">
        <f t="shared" si="457"/>
        <v>89.927124979781382</v>
      </c>
      <c r="N740" s="190">
        <f t="shared" si="457"/>
        <v>80.292075874804794</v>
      </c>
      <c r="O740" s="190">
        <f t="shared" si="457"/>
        <v>71.689353459647137</v>
      </c>
      <c r="P740" s="190">
        <f t="shared" si="457"/>
        <v>64.008351303256362</v>
      </c>
      <c r="Q740" s="190">
        <f t="shared" si="457"/>
        <v>57.150313663621752</v>
      </c>
      <c r="R740" s="190">
        <f t="shared" si="457"/>
        <v>51.027065771090854</v>
      </c>
      <c r="S740" s="190">
        <f t="shared" si="457"/>
        <v>27.564298418236056</v>
      </c>
      <c r="T740" s="190">
        <f t="shared" si="457"/>
        <v>18.458235547925927</v>
      </c>
      <c r="U740" s="190">
        <f t="shared" si="457"/>
        <v>10.987044969003527</v>
      </c>
      <c r="V740" s="190">
        <f t="shared" si="457"/>
        <v>4.9049307897337169</v>
      </c>
      <c r="W740" s="190">
        <f t="shared" si="457"/>
        <v>0</v>
      </c>
      <c r="X740" s="190">
        <f t="shared" si="457"/>
        <v>0</v>
      </c>
      <c r="Y740" s="190">
        <f t="shared" si="457"/>
        <v>0</v>
      </c>
      <c r="Z740" s="190">
        <f t="shared" si="457"/>
        <v>0</v>
      </c>
      <c r="AA740" s="190">
        <f t="shared" si="457"/>
        <v>0</v>
      </c>
      <c r="AB740" s="190">
        <f t="shared" si="457"/>
        <v>0</v>
      </c>
      <c r="AC740" s="190">
        <f t="shared" si="457"/>
        <v>0</v>
      </c>
      <c r="AD740" s="190">
        <f t="shared" si="457"/>
        <v>0</v>
      </c>
      <c r="AE740" s="190">
        <f t="shared" si="457"/>
        <v>0</v>
      </c>
      <c r="AF740" s="190">
        <f t="shared" si="457"/>
        <v>0</v>
      </c>
      <c r="AG740" s="190">
        <f t="shared" si="457"/>
        <v>0</v>
      </c>
      <c r="AH740" s="190">
        <f t="shared" si="457"/>
        <v>0</v>
      </c>
      <c r="AI740" s="190">
        <f t="shared" si="457"/>
        <v>0</v>
      </c>
      <c r="AJ740" s="190">
        <f t="shared" si="457"/>
        <v>0</v>
      </c>
      <c r="AK740" s="190">
        <f t="shared" si="457"/>
        <v>0</v>
      </c>
      <c r="AL740" s="190">
        <f t="shared" si="457"/>
        <v>0</v>
      </c>
      <c r="AM740" s="190">
        <f t="shared" si="457"/>
        <v>0</v>
      </c>
      <c r="AN740" s="190">
        <f t="shared" si="457"/>
        <v>0</v>
      </c>
      <c r="AO740" s="190">
        <f t="shared" si="457"/>
        <v>0</v>
      </c>
      <c r="AP740" s="190">
        <f t="shared" si="457"/>
        <v>0</v>
      </c>
      <c r="AQ740" s="190">
        <f t="shared" si="457"/>
        <v>0</v>
      </c>
      <c r="AR740" s="190">
        <f t="shared" si="457"/>
        <v>0</v>
      </c>
      <c r="AS740" s="190">
        <f t="shared" si="457"/>
        <v>0</v>
      </c>
      <c r="AT740" s="190">
        <f t="shared" si="457"/>
        <v>0</v>
      </c>
      <c r="AU740" s="190">
        <f t="shared" si="457"/>
        <v>0</v>
      </c>
      <c r="AV740" s="190">
        <f t="shared" si="457"/>
        <v>0</v>
      </c>
      <c r="AW740" s="190">
        <f t="shared" si="457"/>
        <v>0</v>
      </c>
      <c r="AX740" s="190">
        <f t="shared" si="457"/>
        <v>0</v>
      </c>
      <c r="AY740" s="190">
        <f t="shared" si="457"/>
        <v>0</v>
      </c>
      <c r="AZ740" s="190">
        <f t="shared" si="457"/>
        <v>0</v>
      </c>
      <c r="BA740" s="190">
        <f t="shared" si="457"/>
        <v>0</v>
      </c>
      <c r="BB740" s="190">
        <f t="shared" si="457"/>
        <v>0</v>
      </c>
      <c r="BC740" s="190">
        <f t="shared" si="457"/>
        <v>0</v>
      </c>
      <c r="BD740" s="190">
        <f t="shared" si="457"/>
        <v>0</v>
      </c>
      <c r="BE740" s="190">
        <f t="shared" si="457"/>
        <v>0</v>
      </c>
      <c r="BF740" s="190">
        <f t="shared" si="457"/>
        <v>0</v>
      </c>
      <c r="BG740" s="190">
        <f t="shared" si="457"/>
        <v>0</v>
      </c>
      <c r="BH740" s="190">
        <f t="shared" si="457"/>
        <v>0</v>
      </c>
      <c r="BI740" s="190">
        <f t="shared" si="457"/>
        <v>0</v>
      </c>
      <c r="BJ740" s="191">
        <f t="shared" si="457"/>
        <v>0</v>
      </c>
    </row>
    <row r="741" spans="1:63">
      <c r="A741" s="192" t="s">
        <v>159</v>
      </c>
      <c r="B741" s="193">
        <f>SUM(C741:BJ741)</f>
        <v>345354353.22651434</v>
      </c>
      <c r="C741" s="194">
        <f>(((C694+C723)*(1-$K633))-(C733-C703))/(1+$C633)^(C691-1)</f>
        <v>39046318.82146278</v>
      </c>
      <c r="D741" s="186">
        <f>(((D694+D723)*(1-$K633))-(D733-D703))/(1+$C633)^(D691-1)</f>
        <v>38487368.522291705</v>
      </c>
      <c r="E741" s="186">
        <f t="shared" ref="E741:BJ741" si="458">(((E694+E723)*(1-$K633))-(E733-E703))/(1+$C633)^(E691-1)</f>
        <v>67382905.948871821</v>
      </c>
      <c r="F741" s="186">
        <f t="shared" si="458"/>
        <v>61963495.497536764</v>
      </c>
      <c r="G741" s="186">
        <f t="shared" si="458"/>
        <v>56974496.202775747</v>
      </c>
      <c r="H741" s="186">
        <f t="shared" si="458"/>
        <v>409229.42718102032</v>
      </c>
      <c r="I741" s="186">
        <f t="shared" si="458"/>
        <v>2689276.2664751592</v>
      </c>
      <c r="J741" s="186">
        <f t="shared" si="458"/>
        <v>4641514.2234865585</v>
      </c>
      <c r="K741" s="186">
        <f t="shared" si="458"/>
        <v>6301140.2465041103</v>
      </c>
      <c r="L741" s="186">
        <f t="shared" si="458"/>
        <v>10679434.050523607</v>
      </c>
      <c r="M741" s="186">
        <f t="shared" si="458"/>
        <v>9916617.3326290622</v>
      </c>
      <c r="N741" s="186">
        <f t="shared" si="458"/>
        <v>9208287.5231555533</v>
      </c>
      <c r="O741" s="186">
        <f t="shared" si="458"/>
        <v>8550552.7000730187</v>
      </c>
      <c r="P741" s="186">
        <f t="shared" si="458"/>
        <v>7939798.9357820852</v>
      </c>
      <c r="Q741" s="186">
        <f t="shared" si="458"/>
        <v>7372670.4403690798</v>
      </c>
      <c r="R741" s="186">
        <f t="shared" si="458"/>
        <v>6846051.1231998606</v>
      </c>
      <c r="S741" s="186">
        <f t="shared" si="458"/>
        <v>3482905.4027101523</v>
      </c>
      <c r="T741" s="186">
        <f t="shared" si="458"/>
        <v>2212141.2386557129</v>
      </c>
      <c r="U741" s="186">
        <f t="shared" si="458"/>
        <v>1105144.8867993038</v>
      </c>
      <c r="V741" s="186">
        <f t="shared" si="458"/>
        <v>145004.43603128183</v>
      </c>
      <c r="W741" s="186">
        <f t="shared" si="458"/>
        <v>0</v>
      </c>
      <c r="X741" s="186">
        <f t="shared" si="458"/>
        <v>0</v>
      </c>
      <c r="Y741" s="186">
        <f t="shared" si="458"/>
        <v>0</v>
      </c>
      <c r="Z741" s="186">
        <f t="shared" si="458"/>
        <v>0</v>
      </c>
      <c r="AA741" s="186">
        <f t="shared" si="458"/>
        <v>0</v>
      </c>
      <c r="AB741" s="186">
        <f t="shared" si="458"/>
        <v>0</v>
      </c>
      <c r="AC741" s="186">
        <f t="shared" si="458"/>
        <v>0</v>
      </c>
      <c r="AD741" s="186">
        <f t="shared" si="458"/>
        <v>0</v>
      </c>
      <c r="AE741" s="186">
        <f t="shared" si="458"/>
        <v>0</v>
      </c>
      <c r="AF741" s="186">
        <f t="shared" si="458"/>
        <v>0</v>
      </c>
      <c r="AG741" s="186">
        <f t="shared" si="458"/>
        <v>0</v>
      </c>
      <c r="AH741" s="186">
        <f t="shared" si="458"/>
        <v>0</v>
      </c>
      <c r="AI741" s="186">
        <f t="shared" si="458"/>
        <v>0</v>
      </c>
      <c r="AJ741" s="186">
        <f t="shared" si="458"/>
        <v>0</v>
      </c>
      <c r="AK741" s="186">
        <f t="shared" si="458"/>
        <v>0</v>
      </c>
      <c r="AL741" s="186">
        <f t="shared" si="458"/>
        <v>0</v>
      </c>
      <c r="AM741" s="186">
        <f t="shared" si="458"/>
        <v>0</v>
      </c>
      <c r="AN741" s="186">
        <f t="shared" si="458"/>
        <v>0</v>
      </c>
      <c r="AO741" s="186">
        <f t="shared" si="458"/>
        <v>0</v>
      </c>
      <c r="AP741" s="186">
        <f t="shared" si="458"/>
        <v>0</v>
      </c>
      <c r="AQ741" s="186">
        <f t="shared" si="458"/>
        <v>0</v>
      </c>
      <c r="AR741" s="186">
        <f t="shared" si="458"/>
        <v>0</v>
      </c>
      <c r="AS741" s="186">
        <f t="shared" si="458"/>
        <v>0</v>
      </c>
      <c r="AT741" s="186">
        <f t="shared" si="458"/>
        <v>0</v>
      </c>
      <c r="AU741" s="186">
        <f t="shared" si="458"/>
        <v>0</v>
      </c>
      <c r="AV741" s="186">
        <f t="shared" si="458"/>
        <v>0</v>
      </c>
      <c r="AW741" s="186">
        <f t="shared" si="458"/>
        <v>0</v>
      </c>
      <c r="AX741" s="186">
        <f t="shared" si="458"/>
        <v>0</v>
      </c>
      <c r="AY741" s="186">
        <f t="shared" si="458"/>
        <v>0</v>
      </c>
      <c r="AZ741" s="186">
        <f t="shared" si="458"/>
        <v>0</v>
      </c>
      <c r="BA741" s="186">
        <f t="shared" si="458"/>
        <v>0</v>
      </c>
      <c r="BB741" s="186">
        <f t="shared" si="458"/>
        <v>0</v>
      </c>
      <c r="BC741" s="186">
        <f t="shared" si="458"/>
        <v>0</v>
      </c>
      <c r="BD741" s="186">
        <f t="shared" si="458"/>
        <v>0</v>
      </c>
      <c r="BE741" s="186">
        <f t="shared" si="458"/>
        <v>0</v>
      </c>
      <c r="BF741" s="186">
        <f t="shared" si="458"/>
        <v>0</v>
      </c>
      <c r="BG741" s="186">
        <f t="shared" si="458"/>
        <v>0</v>
      </c>
      <c r="BH741" s="186">
        <f t="shared" si="458"/>
        <v>0</v>
      </c>
      <c r="BI741" s="186">
        <f t="shared" si="458"/>
        <v>0</v>
      </c>
      <c r="BJ741" s="195">
        <f t="shared" si="458"/>
        <v>0</v>
      </c>
    </row>
    <row r="742" spans="1:63">
      <c r="A742" s="196" t="s">
        <v>160</v>
      </c>
      <c r="B742" s="197">
        <f>B741/B740</f>
        <v>449048.64273922303</v>
      </c>
      <c r="C742" s="166"/>
      <c r="D742" s="167"/>
      <c r="E742" s="167"/>
      <c r="F742" s="167"/>
      <c r="G742" s="167"/>
      <c r="H742" s="167"/>
      <c r="I742" s="167"/>
      <c r="J742" s="167"/>
      <c r="K742" s="167"/>
      <c r="L742" s="167"/>
      <c r="M742" s="167"/>
      <c r="N742" s="167"/>
      <c r="O742" s="167"/>
      <c r="P742" s="167"/>
      <c r="Q742" s="167"/>
      <c r="R742" s="167"/>
      <c r="S742" s="167"/>
      <c r="T742" s="167"/>
      <c r="U742" s="167"/>
      <c r="V742" s="167"/>
      <c r="W742" s="167"/>
      <c r="X742" s="167"/>
      <c r="Y742" s="167"/>
      <c r="Z742" s="167"/>
      <c r="AA742" s="167"/>
      <c r="AB742" s="167"/>
      <c r="AC742" s="167"/>
      <c r="AD742" s="167"/>
      <c r="AE742" s="167"/>
      <c r="AF742" s="167"/>
      <c r="AG742" s="167"/>
      <c r="AH742" s="167"/>
      <c r="AI742" s="167"/>
      <c r="AJ742" s="167"/>
      <c r="AK742" s="167"/>
      <c r="AL742" s="167"/>
      <c r="AM742" s="167"/>
      <c r="AN742" s="167"/>
      <c r="AO742" s="167"/>
      <c r="AP742" s="167"/>
      <c r="AQ742" s="167"/>
      <c r="AR742" s="167"/>
      <c r="AS742" s="167"/>
      <c r="AT742" s="167"/>
      <c r="AU742" s="167"/>
      <c r="AV742" s="167"/>
      <c r="AW742" s="167"/>
      <c r="AX742" s="167"/>
      <c r="AY742" s="167"/>
      <c r="AZ742" s="167"/>
      <c r="BA742" s="167"/>
      <c r="BB742" s="167"/>
      <c r="BC742" s="167"/>
      <c r="BD742" s="167"/>
      <c r="BE742" s="167"/>
      <c r="BF742" s="167"/>
      <c r="BG742" s="167"/>
      <c r="BH742" s="167"/>
      <c r="BI742" s="167"/>
      <c r="BJ742" s="198"/>
    </row>
    <row r="743" spans="1:63">
      <c r="A743" s="187" t="s">
        <v>158</v>
      </c>
      <c r="B743" s="188">
        <f>SUM(C743:BJ743)</f>
        <v>2799.9999999999991</v>
      </c>
      <c r="C743" s="189">
        <f>(C692*(1-$K633))/(1)^(C691-1)</f>
        <v>0</v>
      </c>
      <c r="D743" s="190">
        <f>(D692*(1-$K633))/(1)^(D691-1)</f>
        <v>0</v>
      </c>
      <c r="E743" s="190">
        <f t="shared" ref="E743:BJ743" si="459">(E692*(1-$K633))/(1)^(E691-1)</f>
        <v>0</v>
      </c>
      <c r="F743" s="190">
        <f t="shared" si="459"/>
        <v>0</v>
      </c>
      <c r="G743" s="190">
        <f t="shared" si="459"/>
        <v>0</v>
      </c>
      <c r="H743" s="190">
        <f t="shared" si="459"/>
        <v>42.24499999999999</v>
      </c>
      <c r="I743" s="190">
        <f t="shared" si="459"/>
        <v>84.489999999999981</v>
      </c>
      <c r="J743" s="190">
        <f t="shared" si="459"/>
        <v>126.73499999999996</v>
      </c>
      <c r="K743" s="190">
        <f t="shared" si="459"/>
        <v>168.97999999999996</v>
      </c>
      <c r="L743" s="190">
        <f t="shared" si="459"/>
        <v>279.29999999999995</v>
      </c>
      <c r="M743" s="190">
        <f t="shared" si="459"/>
        <v>279.29999999999995</v>
      </c>
      <c r="N743" s="190">
        <f t="shared" si="459"/>
        <v>279.29999999999995</v>
      </c>
      <c r="O743" s="190">
        <f t="shared" si="459"/>
        <v>279.29999999999995</v>
      </c>
      <c r="P743" s="190">
        <f t="shared" si="459"/>
        <v>279.29999999999995</v>
      </c>
      <c r="Q743" s="190">
        <f t="shared" si="459"/>
        <v>279.29999999999995</v>
      </c>
      <c r="R743" s="190">
        <f t="shared" si="459"/>
        <v>279.29999999999995</v>
      </c>
      <c r="S743" s="190">
        <f t="shared" si="459"/>
        <v>168.97999999999996</v>
      </c>
      <c r="T743" s="190">
        <f t="shared" si="459"/>
        <v>126.73499999999996</v>
      </c>
      <c r="U743" s="190">
        <f t="shared" si="459"/>
        <v>84.489999999999981</v>
      </c>
      <c r="V743" s="190">
        <f t="shared" si="459"/>
        <v>42.24499999999999</v>
      </c>
      <c r="W743" s="190">
        <f t="shared" si="459"/>
        <v>0</v>
      </c>
      <c r="X743" s="190">
        <f t="shared" si="459"/>
        <v>0</v>
      </c>
      <c r="Y743" s="190">
        <f t="shared" si="459"/>
        <v>0</v>
      </c>
      <c r="Z743" s="190">
        <f t="shared" si="459"/>
        <v>0</v>
      </c>
      <c r="AA743" s="190">
        <f t="shared" si="459"/>
        <v>0</v>
      </c>
      <c r="AB743" s="190">
        <f t="shared" si="459"/>
        <v>0</v>
      </c>
      <c r="AC743" s="190">
        <f t="shared" si="459"/>
        <v>0</v>
      </c>
      <c r="AD743" s="190">
        <f t="shared" si="459"/>
        <v>0</v>
      </c>
      <c r="AE743" s="190">
        <f t="shared" si="459"/>
        <v>0</v>
      </c>
      <c r="AF743" s="190">
        <f t="shared" si="459"/>
        <v>0</v>
      </c>
      <c r="AG743" s="190">
        <f t="shared" si="459"/>
        <v>0</v>
      </c>
      <c r="AH743" s="190">
        <f t="shared" si="459"/>
        <v>0</v>
      </c>
      <c r="AI743" s="190">
        <f t="shared" si="459"/>
        <v>0</v>
      </c>
      <c r="AJ743" s="190">
        <f t="shared" si="459"/>
        <v>0</v>
      </c>
      <c r="AK743" s="190">
        <f t="shared" si="459"/>
        <v>0</v>
      </c>
      <c r="AL743" s="190">
        <f t="shared" si="459"/>
        <v>0</v>
      </c>
      <c r="AM743" s="190">
        <f t="shared" si="459"/>
        <v>0</v>
      </c>
      <c r="AN743" s="190">
        <f t="shared" si="459"/>
        <v>0</v>
      </c>
      <c r="AO743" s="190">
        <f t="shared" si="459"/>
        <v>0</v>
      </c>
      <c r="AP743" s="190">
        <f t="shared" si="459"/>
        <v>0</v>
      </c>
      <c r="AQ743" s="190">
        <f t="shared" si="459"/>
        <v>0</v>
      </c>
      <c r="AR743" s="190">
        <f t="shared" si="459"/>
        <v>0</v>
      </c>
      <c r="AS743" s="190">
        <f t="shared" si="459"/>
        <v>0</v>
      </c>
      <c r="AT743" s="190">
        <f t="shared" si="459"/>
        <v>0</v>
      </c>
      <c r="AU743" s="190">
        <f t="shared" si="459"/>
        <v>0</v>
      </c>
      <c r="AV743" s="190">
        <f t="shared" si="459"/>
        <v>0</v>
      </c>
      <c r="AW743" s="190">
        <f t="shared" si="459"/>
        <v>0</v>
      </c>
      <c r="AX743" s="190">
        <f t="shared" si="459"/>
        <v>0</v>
      </c>
      <c r="AY743" s="190">
        <f t="shared" si="459"/>
        <v>0</v>
      </c>
      <c r="AZ743" s="190">
        <f t="shared" si="459"/>
        <v>0</v>
      </c>
      <c r="BA743" s="190">
        <f t="shared" si="459"/>
        <v>0</v>
      </c>
      <c r="BB743" s="190">
        <f t="shared" si="459"/>
        <v>0</v>
      </c>
      <c r="BC743" s="190">
        <f t="shared" si="459"/>
        <v>0</v>
      </c>
      <c r="BD743" s="190">
        <f t="shared" si="459"/>
        <v>0</v>
      </c>
      <c r="BE743" s="190">
        <f t="shared" si="459"/>
        <v>0</v>
      </c>
      <c r="BF743" s="190">
        <f t="shared" si="459"/>
        <v>0</v>
      </c>
      <c r="BG743" s="190">
        <f t="shared" si="459"/>
        <v>0</v>
      </c>
      <c r="BH743" s="190">
        <f t="shared" si="459"/>
        <v>0</v>
      </c>
      <c r="BI743" s="190">
        <f t="shared" si="459"/>
        <v>0</v>
      </c>
      <c r="BJ743" s="191">
        <f t="shared" si="459"/>
        <v>0</v>
      </c>
    </row>
    <row r="744" spans="1:63">
      <c r="A744" s="192" t="s">
        <v>159</v>
      </c>
      <c r="B744" s="193">
        <f>SUM(C744:BJ744)</f>
        <v>655468610.46563518</v>
      </c>
      <c r="C744" s="194">
        <f>(((C694+C723)*(1-$K633))-(C733-C703))/(1)^(C691-1)</f>
        <v>39046318.82146278</v>
      </c>
      <c r="D744" s="186">
        <f>(((D694+D723)*(1-$K633))-(D733-D703))/(1)^(D691-1)</f>
        <v>43105852.744966716</v>
      </c>
      <c r="E744" s="186">
        <f t="shared" ref="E744:BJ744" si="460">(((E694+E723)*(1-$K633))-(E733-E703))/(1)^(E691-1)</f>
        <v>84525117.222264826</v>
      </c>
      <c r="F744" s="186">
        <f t="shared" si="460"/>
        <v>87054249.802363351</v>
      </c>
      <c r="G744" s="186">
        <f t="shared" si="460"/>
        <v>89650472.801314145</v>
      </c>
      <c r="H744" s="186">
        <f t="shared" si="460"/>
        <v>721202.07751317136</v>
      </c>
      <c r="I744" s="186">
        <f t="shared" si="460"/>
        <v>5308154.5014956035</v>
      </c>
      <c r="J744" s="186">
        <f t="shared" si="460"/>
        <v>10260909.196072608</v>
      </c>
      <c r="K744" s="186">
        <f t="shared" si="460"/>
        <v>15601391.219013385</v>
      </c>
      <c r="L744" s="186">
        <f t="shared" si="460"/>
        <v>29614911.707097236</v>
      </c>
      <c r="M744" s="186">
        <f t="shared" si="460"/>
        <v>30799508.175381124</v>
      </c>
      <c r="N744" s="186">
        <f t="shared" si="460"/>
        <v>32031488.50239636</v>
      </c>
      <c r="O744" s="186">
        <f t="shared" si="460"/>
        <v>33312748.042492226</v>
      </c>
      <c r="P744" s="186">
        <f t="shared" si="460"/>
        <v>34645257.964191906</v>
      </c>
      <c r="Q744" s="186">
        <f t="shared" si="460"/>
        <v>36031068.282759592</v>
      </c>
      <c r="R744" s="186">
        <f t="shared" si="460"/>
        <v>37472311.014069974</v>
      </c>
      <c r="S744" s="186">
        <f t="shared" si="460"/>
        <v>21351581.165606335</v>
      </c>
      <c r="T744" s="186">
        <f t="shared" si="460"/>
        <v>15188652.195552573</v>
      </c>
      <c r="U744" s="186">
        <f t="shared" si="460"/>
        <v>8498526.3780295327</v>
      </c>
      <c r="V744" s="186">
        <f t="shared" si="460"/>
        <v>1248888.6515917704</v>
      </c>
      <c r="W744" s="186">
        <f t="shared" si="460"/>
        <v>0</v>
      </c>
      <c r="X744" s="186">
        <f t="shared" si="460"/>
        <v>0</v>
      </c>
      <c r="Y744" s="186">
        <f t="shared" si="460"/>
        <v>0</v>
      </c>
      <c r="Z744" s="186">
        <f t="shared" si="460"/>
        <v>0</v>
      </c>
      <c r="AA744" s="186">
        <f t="shared" si="460"/>
        <v>0</v>
      </c>
      <c r="AB744" s="186">
        <f t="shared" si="460"/>
        <v>0</v>
      </c>
      <c r="AC744" s="186">
        <f t="shared" si="460"/>
        <v>0</v>
      </c>
      <c r="AD744" s="186">
        <f t="shared" si="460"/>
        <v>0</v>
      </c>
      <c r="AE744" s="186">
        <f t="shared" si="460"/>
        <v>0</v>
      </c>
      <c r="AF744" s="186">
        <f t="shared" si="460"/>
        <v>0</v>
      </c>
      <c r="AG744" s="186">
        <f t="shared" si="460"/>
        <v>0</v>
      </c>
      <c r="AH744" s="186">
        <f t="shared" si="460"/>
        <v>0</v>
      </c>
      <c r="AI744" s="186">
        <f t="shared" si="460"/>
        <v>0</v>
      </c>
      <c r="AJ744" s="186">
        <f t="shared" si="460"/>
        <v>0</v>
      </c>
      <c r="AK744" s="186">
        <f t="shared" si="460"/>
        <v>0</v>
      </c>
      <c r="AL744" s="186">
        <f t="shared" si="460"/>
        <v>0</v>
      </c>
      <c r="AM744" s="186">
        <f t="shared" si="460"/>
        <v>0</v>
      </c>
      <c r="AN744" s="186">
        <f t="shared" si="460"/>
        <v>0</v>
      </c>
      <c r="AO744" s="186">
        <f t="shared" si="460"/>
        <v>0</v>
      </c>
      <c r="AP744" s="186">
        <f t="shared" si="460"/>
        <v>0</v>
      </c>
      <c r="AQ744" s="186">
        <f t="shared" si="460"/>
        <v>0</v>
      </c>
      <c r="AR744" s="186">
        <f t="shared" si="460"/>
        <v>0</v>
      </c>
      <c r="AS744" s="186">
        <f t="shared" si="460"/>
        <v>0</v>
      </c>
      <c r="AT744" s="186">
        <f t="shared" si="460"/>
        <v>0</v>
      </c>
      <c r="AU744" s="186">
        <f t="shared" si="460"/>
        <v>0</v>
      </c>
      <c r="AV744" s="186">
        <f t="shared" si="460"/>
        <v>0</v>
      </c>
      <c r="AW744" s="186">
        <f t="shared" si="460"/>
        <v>0</v>
      </c>
      <c r="AX744" s="186">
        <f t="shared" si="460"/>
        <v>0</v>
      </c>
      <c r="AY744" s="186">
        <f t="shared" si="460"/>
        <v>0</v>
      </c>
      <c r="AZ744" s="186">
        <f t="shared" si="460"/>
        <v>0</v>
      </c>
      <c r="BA744" s="186">
        <f t="shared" si="460"/>
        <v>0</v>
      </c>
      <c r="BB744" s="186">
        <f t="shared" si="460"/>
        <v>0</v>
      </c>
      <c r="BC744" s="186">
        <f t="shared" si="460"/>
        <v>0</v>
      </c>
      <c r="BD744" s="186">
        <f t="shared" si="460"/>
        <v>0</v>
      </c>
      <c r="BE744" s="186">
        <f t="shared" si="460"/>
        <v>0</v>
      </c>
      <c r="BF744" s="186">
        <f t="shared" si="460"/>
        <v>0</v>
      </c>
      <c r="BG744" s="186">
        <f t="shared" si="460"/>
        <v>0</v>
      </c>
      <c r="BH744" s="186">
        <f t="shared" si="460"/>
        <v>0</v>
      </c>
      <c r="BI744" s="186">
        <f t="shared" si="460"/>
        <v>0</v>
      </c>
      <c r="BJ744" s="195">
        <f t="shared" si="460"/>
        <v>0</v>
      </c>
      <c r="BK744" s="186"/>
    </row>
    <row r="745" spans="1:63">
      <c r="A745" s="196" t="s">
        <v>161</v>
      </c>
      <c r="B745" s="197">
        <f>B744/B743</f>
        <v>234095.9323091555</v>
      </c>
      <c r="C745" s="166"/>
      <c r="D745" s="167"/>
      <c r="E745" s="167"/>
      <c r="F745" s="167"/>
      <c r="G745" s="167"/>
      <c r="H745" s="167"/>
      <c r="I745" s="167"/>
      <c r="J745" s="167"/>
      <c r="K745" s="167"/>
      <c r="L745" s="167"/>
      <c r="M745" s="167"/>
      <c r="N745" s="167"/>
      <c r="O745" s="167"/>
      <c r="P745" s="167"/>
      <c r="Q745" s="167"/>
      <c r="R745" s="167"/>
      <c r="S745" s="167"/>
      <c r="T745" s="167"/>
      <c r="U745" s="167"/>
      <c r="V745" s="167"/>
      <c r="W745" s="167"/>
      <c r="X745" s="167"/>
      <c r="Y745" s="167"/>
      <c r="Z745" s="167"/>
      <c r="AA745" s="167"/>
      <c r="AB745" s="167"/>
      <c r="AC745" s="167"/>
      <c r="AD745" s="167"/>
      <c r="AE745" s="167"/>
      <c r="AF745" s="167"/>
      <c r="AG745" s="167"/>
      <c r="AH745" s="167"/>
      <c r="AI745" s="167"/>
      <c r="AJ745" s="167"/>
      <c r="AK745" s="167"/>
      <c r="AL745" s="167"/>
      <c r="AM745" s="167"/>
      <c r="AN745" s="167"/>
      <c r="AO745" s="167"/>
      <c r="AP745" s="167"/>
      <c r="AQ745" s="167"/>
      <c r="AR745" s="167"/>
      <c r="AS745" s="167"/>
      <c r="AT745" s="167"/>
      <c r="AU745" s="167"/>
      <c r="AV745" s="167"/>
      <c r="AW745" s="167"/>
      <c r="AX745" s="167"/>
      <c r="AY745" s="167"/>
      <c r="AZ745" s="167"/>
      <c r="BA745" s="167"/>
      <c r="BB745" s="167"/>
      <c r="BC745" s="167"/>
      <c r="BD745" s="167"/>
      <c r="BE745" s="167"/>
      <c r="BF745" s="167"/>
      <c r="BG745" s="167"/>
      <c r="BH745" s="167"/>
      <c r="BI745" s="167"/>
      <c r="BJ745" s="198"/>
    </row>
    <row r="746" spans="1:63">
      <c r="A746" s="216" t="s">
        <v>164</v>
      </c>
      <c r="B746" s="235">
        <v>11</v>
      </c>
      <c r="C746" s="218"/>
      <c r="D746" s="186"/>
      <c r="E746" s="186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86"/>
      <c r="AD746" s="186"/>
      <c r="AE746" s="186"/>
      <c r="AF746" s="186"/>
      <c r="AG746" s="186"/>
      <c r="AH746" s="186"/>
      <c r="AI746" s="186"/>
      <c r="AJ746" s="186"/>
      <c r="AK746" s="186"/>
      <c r="AL746" s="186"/>
      <c r="AM746" s="186"/>
      <c r="AN746" s="186"/>
      <c r="AO746" s="186"/>
      <c r="AP746" s="186"/>
      <c r="AQ746" s="186"/>
      <c r="AR746" s="186"/>
      <c r="AS746" s="186"/>
      <c r="AT746" s="186"/>
      <c r="AU746" s="186"/>
      <c r="AV746" s="186"/>
      <c r="AW746" s="186"/>
      <c r="AX746" s="186"/>
      <c r="AY746" s="186"/>
      <c r="AZ746" s="186"/>
      <c r="BA746" s="186"/>
      <c r="BB746" s="186"/>
      <c r="BC746" s="186"/>
      <c r="BD746" s="186"/>
      <c r="BE746" s="186"/>
      <c r="BF746" s="186"/>
      <c r="BG746" s="186"/>
      <c r="BH746" s="186"/>
      <c r="BI746" s="186"/>
      <c r="BJ746" s="186"/>
    </row>
    <row r="749" spans="1:63" ht="28.5">
      <c r="A749" s="84">
        <v>7</v>
      </c>
      <c r="B749" s="85" t="s">
        <v>147</v>
      </c>
      <c r="C749" s="86">
        <v>0.12</v>
      </c>
      <c r="D749" s="85" t="s">
        <v>148</v>
      </c>
      <c r="E749" s="86">
        <v>0.25</v>
      </c>
      <c r="F749" s="85" t="s">
        <v>149</v>
      </c>
      <c r="G749" s="86">
        <v>0.04</v>
      </c>
      <c r="H749" s="85" t="s">
        <v>150</v>
      </c>
      <c r="I749" s="87">
        <v>0.1</v>
      </c>
      <c r="J749" s="85" t="s">
        <v>151</v>
      </c>
      <c r="K749" s="86">
        <v>0.2</v>
      </c>
      <c r="L749" s="85" t="s">
        <v>152</v>
      </c>
      <c r="M749" s="87">
        <v>0.26</v>
      </c>
      <c r="N749" s="85" t="s">
        <v>153</v>
      </c>
      <c r="O749" s="88">
        <v>30</v>
      </c>
    </row>
    <row r="750" spans="1:63" s="94" customFormat="1">
      <c r="A750" s="90" t="s">
        <v>154</v>
      </c>
      <c r="B750" s="91" t="s">
        <v>155</v>
      </c>
      <c r="C750" s="91">
        <v>1</v>
      </c>
      <c r="D750" s="92">
        <v>2</v>
      </c>
      <c r="E750" s="92">
        <v>3</v>
      </c>
      <c r="F750" s="92">
        <v>4</v>
      </c>
      <c r="G750" s="92">
        <v>5</v>
      </c>
      <c r="H750" s="92">
        <v>6</v>
      </c>
      <c r="I750" s="92">
        <v>7</v>
      </c>
      <c r="J750" s="92">
        <v>8</v>
      </c>
      <c r="K750" s="92">
        <v>9</v>
      </c>
      <c r="L750" s="92">
        <v>10</v>
      </c>
      <c r="M750" s="92">
        <v>11</v>
      </c>
      <c r="N750" s="92">
        <v>12</v>
      </c>
      <c r="O750" s="92">
        <v>13</v>
      </c>
      <c r="P750" s="92">
        <v>14</v>
      </c>
      <c r="Q750" s="92">
        <v>15</v>
      </c>
      <c r="R750" s="92">
        <v>16</v>
      </c>
      <c r="S750" s="92">
        <v>17</v>
      </c>
      <c r="T750" s="92">
        <v>18</v>
      </c>
      <c r="U750" s="92">
        <v>19</v>
      </c>
      <c r="V750" s="92">
        <v>20</v>
      </c>
      <c r="W750" s="92">
        <v>21</v>
      </c>
      <c r="X750" s="92">
        <v>22</v>
      </c>
      <c r="Y750" s="92">
        <v>23</v>
      </c>
      <c r="Z750" s="92">
        <v>24</v>
      </c>
      <c r="AA750" s="92">
        <v>25</v>
      </c>
      <c r="AB750" s="92">
        <v>26</v>
      </c>
      <c r="AC750" s="92">
        <v>27</v>
      </c>
      <c r="AD750" s="92">
        <v>28</v>
      </c>
      <c r="AE750" s="92">
        <v>29</v>
      </c>
      <c r="AF750" s="92">
        <v>30</v>
      </c>
      <c r="AG750" s="92">
        <v>31</v>
      </c>
      <c r="AH750" s="92">
        <v>32</v>
      </c>
      <c r="AI750" s="92">
        <v>33</v>
      </c>
      <c r="AJ750" s="92">
        <v>34</v>
      </c>
      <c r="AK750" s="92">
        <v>35</v>
      </c>
      <c r="AL750" s="92">
        <v>36</v>
      </c>
      <c r="AM750" s="92">
        <v>37</v>
      </c>
      <c r="AN750" s="92">
        <v>38</v>
      </c>
      <c r="AO750" s="92">
        <v>39</v>
      </c>
      <c r="AP750" s="92">
        <v>40</v>
      </c>
      <c r="AQ750" s="92">
        <v>41</v>
      </c>
      <c r="AR750" s="92">
        <v>42</v>
      </c>
      <c r="AS750" s="92">
        <v>43</v>
      </c>
      <c r="AT750" s="92">
        <v>44</v>
      </c>
      <c r="AU750" s="92">
        <v>45</v>
      </c>
      <c r="AV750" s="92">
        <v>46</v>
      </c>
      <c r="AW750" s="92">
        <v>47</v>
      </c>
      <c r="AX750" s="92">
        <v>48</v>
      </c>
      <c r="AY750" s="92">
        <v>49</v>
      </c>
      <c r="AZ750" s="92">
        <v>50</v>
      </c>
      <c r="BA750" s="92">
        <v>51</v>
      </c>
      <c r="BB750" s="92">
        <v>52</v>
      </c>
      <c r="BC750" s="92">
        <v>53</v>
      </c>
      <c r="BD750" s="92">
        <v>54</v>
      </c>
      <c r="BE750" s="92">
        <v>55</v>
      </c>
      <c r="BF750" s="92">
        <v>56</v>
      </c>
      <c r="BG750" s="92">
        <v>57</v>
      </c>
      <c r="BH750" s="92">
        <v>58</v>
      </c>
      <c r="BI750" s="92">
        <v>59</v>
      </c>
      <c r="BJ750" s="93">
        <v>60</v>
      </c>
    </row>
    <row r="751" spans="1:63" s="100" customFormat="1">
      <c r="A751" s="95" t="s">
        <v>156</v>
      </c>
      <c r="B751" s="97">
        <f>SUM(C751:BJ751)</f>
        <v>4000</v>
      </c>
      <c r="C751" s="97">
        <v>0</v>
      </c>
      <c r="D751" s="98">
        <v>0</v>
      </c>
      <c r="E751" s="98">
        <v>0</v>
      </c>
      <c r="F751" s="98">
        <v>0</v>
      </c>
      <c r="G751" s="98">
        <v>0</v>
      </c>
      <c r="H751" s="98">
        <v>75.199999999999989</v>
      </c>
      <c r="I751" s="98">
        <v>150.39999999999998</v>
      </c>
      <c r="J751" s="98">
        <v>225.59999999999997</v>
      </c>
      <c r="K751" s="98">
        <v>300.79999999999995</v>
      </c>
      <c r="L751" s="98">
        <v>416</v>
      </c>
      <c r="M751" s="98">
        <v>416</v>
      </c>
      <c r="N751" s="98">
        <v>416</v>
      </c>
      <c r="O751" s="98">
        <v>416</v>
      </c>
      <c r="P751" s="98">
        <v>416</v>
      </c>
      <c r="Q751" s="98">
        <v>416</v>
      </c>
      <c r="R751" s="98">
        <v>300.79999999999995</v>
      </c>
      <c r="S751" s="98">
        <v>225.59999999999997</v>
      </c>
      <c r="T751" s="98">
        <v>150.39999999999998</v>
      </c>
      <c r="U751" s="98">
        <v>75.199999999999989</v>
      </c>
      <c r="V751" s="98">
        <v>0</v>
      </c>
      <c r="W751" s="98">
        <v>0</v>
      </c>
      <c r="X751" s="98">
        <v>0</v>
      </c>
      <c r="Y751" s="98">
        <v>0</v>
      </c>
      <c r="Z751" s="98">
        <v>0</v>
      </c>
      <c r="AA751" s="98">
        <v>0</v>
      </c>
      <c r="AB751" s="98">
        <v>0</v>
      </c>
      <c r="AC751" s="98">
        <v>0</v>
      </c>
      <c r="AD751" s="98">
        <v>0</v>
      </c>
      <c r="AE751" s="98">
        <v>0</v>
      </c>
      <c r="AF751" s="98">
        <v>0</v>
      </c>
      <c r="AG751" s="98">
        <v>0</v>
      </c>
      <c r="AH751" s="98">
        <v>0</v>
      </c>
      <c r="AI751" s="98">
        <v>0</v>
      </c>
      <c r="AJ751" s="98">
        <v>0</v>
      </c>
      <c r="AK751" s="98">
        <v>0</v>
      </c>
      <c r="AL751" s="98">
        <v>0</v>
      </c>
      <c r="AM751" s="98">
        <v>0</v>
      </c>
      <c r="AN751" s="98">
        <v>0</v>
      </c>
      <c r="AO751" s="98">
        <v>0</v>
      </c>
      <c r="AP751" s="98">
        <v>0</v>
      </c>
      <c r="AQ751" s="98">
        <v>0</v>
      </c>
      <c r="AR751" s="98">
        <v>0</v>
      </c>
      <c r="AS751" s="98">
        <v>0</v>
      </c>
      <c r="AT751" s="98">
        <v>0</v>
      </c>
      <c r="AU751" s="98">
        <v>0</v>
      </c>
      <c r="AV751" s="98">
        <v>0</v>
      </c>
      <c r="AW751" s="98">
        <v>0</v>
      </c>
      <c r="AX751" s="98">
        <v>0</v>
      </c>
      <c r="AY751" s="98">
        <v>0</v>
      </c>
      <c r="AZ751" s="98">
        <v>0</v>
      </c>
      <c r="BA751" s="98">
        <v>0</v>
      </c>
      <c r="BB751" s="98">
        <v>0</v>
      </c>
      <c r="BC751" s="98">
        <v>0</v>
      </c>
      <c r="BD751" s="98">
        <v>0</v>
      </c>
      <c r="BE751" s="98">
        <v>0</v>
      </c>
      <c r="BF751" s="98">
        <v>0</v>
      </c>
      <c r="BG751" s="98">
        <v>0</v>
      </c>
      <c r="BH751" s="98">
        <v>0</v>
      </c>
      <c r="BI751" s="98">
        <v>0</v>
      </c>
      <c r="BJ751" s="99">
        <v>0</v>
      </c>
    </row>
    <row r="752" spans="1:63" s="105" customFormat="1">
      <c r="A752" s="101" t="s">
        <v>115</v>
      </c>
      <c r="B752" s="102">
        <f>SUM(C752:BJ752)</f>
        <v>2792179354.2652216</v>
      </c>
      <c r="C752" s="222">
        <f>(C760*(1+$E749))+(C751*$B858)+(C751*$B858*$M749)</f>
        <v>14816654.134088311</v>
      </c>
      <c r="D752" s="103">
        <f>(D760*(1+$E749))+(D751*$B858)+(D751*$B858*$M749)</f>
        <v>14816654.134088311</v>
      </c>
      <c r="E752" s="103">
        <f t="shared" ref="E752:BJ752" si="461">(E760*(1+$E749))+(E751*$B858)+(E751*$B858*$M749)</f>
        <v>14816654.134088311</v>
      </c>
      <c r="F752" s="103">
        <f t="shared" si="461"/>
        <v>14816654.134088311</v>
      </c>
      <c r="G752" s="103">
        <f t="shared" si="461"/>
        <v>14816654.134088311</v>
      </c>
      <c r="H752" s="103">
        <f t="shared" si="461"/>
        <v>51100206.371581852</v>
      </c>
      <c r="I752" s="103">
        <f t="shared" si="461"/>
        <v>102200412.7431637</v>
      </c>
      <c r="J752" s="103">
        <f t="shared" si="461"/>
        <v>153300619.11474556</v>
      </c>
      <c r="K752" s="103">
        <f t="shared" si="461"/>
        <v>204400825.48632741</v>
      </c>
      <c r="L752" s="103">
        <f t="shared" si="461"/>
        <v>282681992.69385713</v>
      </c>
      <c r="M752" s="103">
        <f t="shared" si="461"/>
        <v>282681992.69385713</v>
      </c>
      <c r="N752" s="103">
        <f t="shared" si="461"/>
        <v>282681992.69385713</v>
      </c>
      <c r="O752" s="103">
        <f t="shared" si="461"/>
        <v>282681992.69385713</v>
      </c>
      <c r="P752" s="103">
        <f t="shared" si="461"/>
        <v>282681992.69385713</v>
      </c>
      <c r="Q752" s="103">
        <f t="shared" si="461"/>
        <v>282681992.69385713</v>
      </c>
      <c r="R752" s="103">
        <f t="shared" si="461"/>
        <v>204400825.48632741</v>
      </c>
      <c r="S752" s="103">
        <f t="shared" si="461"/>
        <v>153300619.11474556</v>
      </c>
      <c r="T752" s="103">
        <f t="shared" si="461"/>
        <v>102200412.7431637</v>
      </c>
      <c r="U752" s="103">
        <f t="shared" si="461"/>
        <v>51100206.371581852</v>
      </c>
      <c r="V752" s="103">
        <f t="shared" si="461"/>
        <v>0</v>
      </c>
      <c r="W752" s="103">
        <f t="shared" si="461"/>
        <v>0</v>
      </c>
      <c r="X752" s="103">
        <f t="shared" si="461"/>
        <v>0</v>
      </c>
      <c r="Y752" s="103">
        <f t="shared" si="461"/>
        <v>0</v>
      </c>
      <c r="Z752" s="103">
        <f t="shared" si="461"/>
        <v>0</v>
      </c>
      <c r="AA752" s="103">
        <f t="shared" si="461"/>
        <v>0</v>
      </c>
      <c r="AB752" s="103">
        <f t="shared" si="461"/>
        <v>0</v>
      </c>
      <c r="AC752" s="103">
        <f t="shared" si="461"/>
        <v>0</v>
      </c>
      <c r="AD752" s="103">
        <f t="shared" si="461"/>
        <v>0</v>
      </c>
      <c r="AE752" s="103">
        <f t="shared" si="461"/>
        <v>0</v>
      </c>
      <c r="AF752" s="103">
        <f t="shared" si="461"/>
        <v>0</v>
      </c>
      <c r="AG752" s="103">
        <f t="shared" si="461"/>
        <v>0</v>
      </c>
      <c r="AH752" s="103">
        <f t="shared" si="461"/>
        <v>0</v>
      </c>
      <c r="AI752" s="103">
        <f t="shared" si="461"/>
        <v>0</v>
      </c>
      <c r="AJ752" s="103">
        <f t="shared" si="461"/>
        <v>0</v>
      </c>
      <c r="AK752" s="103">
        <f t="shared" si="461"/>
        <v>0</v>
      </c>
      <c r="AL752" s="103">
        <f t="shared" si="461"/>
        <v>0</v>
      </c>
      <c r="AM752" s="103">
        <f t="shared" si="461"/>
        <v>0</v>
      </c>
      <c r="AN752" s="103">
        <f t="shared" si="461"/>
        <v>0</v>
      </c>
      <c r="AO752" s="103">
        <f t="shared" si="461"/>
        <v>0</v>
      </c>
      <c r="AP752" s="103">
        <f t="shared" si="461"/>
        <v>0</v>
      </c>
      <c r="AQ752" s="103">
        <f t="shared" si="461"/>
        <v>0</v>
      </c>
      <c r="AR752" s="103">
        <f t="shared" si="461"/>
        <v>0</v>
      </c>
      <c r="AS752" s="103">
        <f t="shared" si="461"/>
        <v>0</v>
      </c>
      <c r="AT752" s="103">
        <f t="shared" si="461"/>
        <v>0</v>
      </c>
      <c r="AU752" s="103">
        <f t="shared" si="461"/>
        <v>0</v>
      </c>
      <c r="AV752" s="103">
        <f t="shared" si="461"/>
        <v>0</v>
      </c>
      <c r="AW752" s="103">
        <f t="shared" si="461"/>
        <v>0</v>
      </c>
      <c r="AX752" s="103">
        <f t="shared" si="461"/>
        <v>0</v>
      </c>
      <c r="AY752" s="103">
        <f t="shared" si="461"/>
        <v>0</v>
      </c>
      <c r="AZ752" s="103">
        <f t="shared" si="461"/>
        <v>0</v>
      </c>
      <c r="BA752" s="103">
        <f t="shared" si="461"/>
        <v>0</v>
      </c>
      <c r="BB752" s="103">
        <f t="shared" si="461"/>
        <v>0</v>
      </c>
      <c r="BC752" s="103">
        <f t="shared" si="461"/>
        <v>0</v>
      </c>
      <c r="BD752" s="103">
        <f t="shared" si="461"/>
        <v>0</v>
      </c>
      <c r="BE752" s="103">
        <f t="shared" si="461"/>
        <v>0</v>
      </c>
      <c r="BF752" s="103">
        <f t="shared" si="461"/>
        <v>0</v>
      </c>
      <c r="BG752" s="103">
        <f t="shared" si="461"/>
        <v>0</v>
      </c>
      <c r="BH752" s="103">
        <f t="shared" si="461"/>
        <v>0</v>
      </c>
      <c r="BI752" s="103">
        <f t="shared" si="461"/>
        <v>0</v>
      </c>
      <c r="BJ752" s="104">
        <f t="shared" si="461"/>
        <v>0</v>
      </c>
    </row>
    <row r="753" spans="1:67" s="105" customFormat="1">
      <c r="A753" s="106" t="s">
        <v>116</v>
      </c>
      <c r="B753" s="107">
        <f>SUM(B760,B754:B755)</f>
        <v>1024010762.3542461</v>
      </c>
      <c r="C753" s="133">
        <f>SUM(C754,C755,C760)</f>
        <v>11853323.30727065</v>
      </c>
      <c r="D753" s="134">
        <f>D754+D755+D760</f>
        <v>11853323.30727065</v>
      </c>
      <c r="E753" s="134">
        <f t="shared" ref="E753:BJ753" si="462">E754+E755+E760</f>
        <v>11853323.30727065</v>
      </c>
      <c r="F753" s="134">
        <f t="shared" si="462"/>
        <v>11853323.30727065</v>
      </c>
      <c r="G753" s="134">
        <f t="shared" si="462"/>
        <v>11853323.30727065</v>
      </c>
      <c r="H753" s="134">
        <f t="shared" si="462"/>
        <v>18137189.941376388</v>
      </c>
      <c r="I753" s="134">
        <f t="shared" si="462"/>
        <v>36274379.882752776</v>
      </c>
      <c r="J753" s="134">
        <f t="shared" si="462"/>
        <v>54411569.824129157</v>
      </c>
      <c r="K753" s="134">
        <f t="shared" si="462"/>
        <v>72548759.765505552</v>
      </c>
      <c r="L753" s="134">
        <f t="shared" si="462"/>
        <v>100333391.16506086</v>
      </c>
      <c r="M753" s="134">
        <f t="shared" si="462"/>
        <v>100333391.16506086</v>
      </c>
      <c r="N753" s="134">
        <f t="shared" si="462"/>
        <v>100333391.16506086</v>
      </c>
      <c r="O753" s="134">
        <f t="shared" si="462"/>
        <v>100333391.16506086</v>
      </c>
      <c r="P753" s="134">
        <f t="shared" si="462"/>
        <v>100333391.16506086</v>
      </c>
      <c r="Q753" s="134">
        <f t="shared" si="462"/>
        <v>100333391.16506086</v>
      </c>
      <c r="R753" s="134">
        <f t="shared" si="462"/>
        <v>72548759.765505552</v>
      </c>
      <c r="S753" s="134">
        <f t="shared" si="462"/>
        <v>54411569.824129157</v>
      </c>
      <c r="T753" s="134">
        <f t="shared" si="462"/>
        <v>36274379.882752776</v>
      </c>
      <c r="U753" s="134">
        <f t="shared" si="462"/>
        <v>18137189.941376388</v>
      </c>
      <c r="V753" s="134">
        <f t="shared" si="462"/>
        <v>0</v>
      </c>
      <c r="W753" s="134">
        <f t="shared" si="462"/>
        <v>0</v>
      </c>
      <c r="X753" s="134">
        <f t="shared" si="462"/>
        <v>0</v>
      </c>
      <c r="Y753" s="134">
        <f t="shared" si="462"/>
        <v>0</v>
      </c>
      <c r="Z753" s="134">
        <f t="shared" si="462"/>
        <v>0</v>
      </c>
      <c r="AA753" s="134">
        <f t="shared" si="462"/>
        <v>0</v>
      </c>
      <c r="AB753" s="134">
        <f t="shared" si="462"/>
        <v>0</v>
      </c>
      <c r="AC753" s="134">
        <f t="shared" si="462"/>
        <v>0</v>
      </c>
      <c r="AD753" s="134">
        <f t="shared" si="462"/>
        <v>0</v>
      </c>
      <c r="AE753" s="134">
        <f t="shared" si="462"/>
        <v>0</v>
      </c>
      <c r="AF753" s="134">
        <f t="shared" si="462"/>
        <v>0</v>
      </c>
      <c r="AG753" s="134">
        <f t="shared" si="462"/>
        <v>0</v>
      </c>
      <c r="AH753" s="134">
        <f t="shared" si="462"/>
        <v>0</v>
      </c>
      <c r="AI753" s="134">
        <f t="shared" si="462"/>
        <v>0</v>
      </c>
      <c r="AJ753" s="134">
        <f t="shared" si="462"/>
        <v>0</v>
      </c>
      <c r="AK753" s="134">
        <f t="shared" si="462"/>
        <v>0</v>
      </c>
      <c r="AL753" s="134">
        <f t="shared" si="462"/>
        <v>0</v>
      </c>
      <c r="AM753" s="134">
        <f t="shared" si="462"/>
        <v>0</v>
      </c>
      <c r="AN753" s="134">
        <f t="shared" si="462"/>
        <v>0</v>
      </c>
      <c r="AO753" s="134">
        <f t="shared" si="462"/>
        <v>0</v>
      </c>
      <c r="AP753" s="134">
        <f t="shared" si="462"/>
        <v>0</v>
      </c>
      <c r="AQ753" s="134">
        <f t="shared" si="462"/>
        <v>0</v>
      </c>
      <c r="AR753" s="134">
        <f t="shared" si="462"/>
        <v>0</v>
      </c>
      <c r="AS753" s="134">
        <f t="shared" si="462"/>
        <v>0</v>
      </c>
      <c r="AT753" s="134">
        <f t="shared" si="462"/>
        <v>0</v>
      </c>
      <c r="AU753" s="134">
        <f t="shared" si="462"/>
        <v>0</v>
      </c>
      <c r="AV753" s="134">
        <f t="shared" si="462"/>
        <v>0</v>
      </c>
      <c r="AW753" s="134">
        <f t="shared" si="462"/>
        <v>0</v>
      </c>
      <c r="AX753" s="134">
        <f t="shared" si="462"/>
        <v>0</v>
      </c>
      <c r="AY753" s="134">
        <f t="shared" si="462"/>
        <v>0</v>
      </c>
      <c r="AZ753" s="134">
        <f t="shared" si="462"/>
        <v>0</v>
      </c>
      <c r="BA753" s="134">
        <f t="shared" si="462"/>
        <v>0</v>
      </c>
      <c r="BB753" s="134">
        <f t="shared" si="462"/>
        <v>0</v>
      </c>
      <c r="BC753" s="134">
        <f t="shared" si="462"/>
        <v>0</v>
      </c>
      <c r="BD753" s="134">
        <f t="shared" si="462"/>
        <v>0</v>
      </c>
      <c r="BE753" s="134">
        <f t="shared" si="462"/>
        <v>0</v>
      </c>
      <c r="BF753" s="134">
        <f t="shared" si="462"/>
        <v>0</v>
      </c>
      <c r="BG753" s="134">
        <f t="shared" si="462"/>
        <v>0</v>
      </c>
      <c r="BH753" s="134">
        <f t="shared" si="462"/>
        <v>0</v>
      </c>
      <c r="BI753" s="134">
        <f t="shared" si="462"/>
        <v>0</v>
      </c>
      <c r="BJ753" s="135">
        <f t="shared" si="462"/>
        <v>0</v>
      </c>
    </row>
    <row r="754" spans="1:67" s="116" customFormat="1">
      <c r="A754" s="111" t="s">
        <v>117</v>
      </c>
      <c r="B754" s="112">
        <f>SUM(C754:BJ754)</f>
        <v>890481089.35896909</v>
      </c>
      <c r="C754" s="223">
        <v>0</v>
      </c>
      <c r="D754" s="118">
        <v>0</v>
      </c>
      <c r="E754" s="118">
        <v>0</v>
      </c>
      <c r="F754" s="118">
        <v>0</v>
      </c>
      <c r="G754" s="118">
        <v>0</v>
      </c>
      <c r="H754" s="118">
        <v>16741044.479948618</v>
      </c>
      <c r="I754" s="118">
        <v>33482088.959897235</v>
      </c>
      <c r="J754" s="118">
        <v>50223133.439845853</v>
      </c>
      <c r="K754" s="118">
        <v>66964177.91979447</v>
      </c>
      <c r="L754" s="118">
        <v>92610033.293332785</v>
      </c>
      <c r="M754" s="118">
        <v>92610033.293332785</v>
      </c>
      <c r="N754" s="118">
        <v>92610033.293332785</v>
      </c>
      <c r="O754" s="118">
        <v>92610033.293332785</v>
      </c>
      <c r="P754" s="118">
        <v>92610033.293332785</v>
      </c>
      <c r="Q754" s="118">
        <v>92610033.293332785</v>
      </c>
      <c r="R754" s="118">
        <v>66964177.91979447</v>
      </c>
      <c r="S754" s="118">
        <v>50223133.439845853</v>
      </c>
      <c r="T754" s="118">
        <v>33482088.959897235</v>
      </c>
      <c r="U754" s="118">
        <v>16741044.479948618</v>
      </c>
      <c r="V754" s="118">
        <v>0</v>
      </c>
      <c r="W754" s="118">
        <v>0</v>
      </c>
      <c r="X754" s="118">
        <v>0</v>
      </c>
      <c r="Y754" s="118">
        <v>0</v>
      </c>
      <c r="Z754" s="118">
        <v>0</v>
      </c>
      <c r="AA754" s="118">
        <v>0</v>
      </c>
      <c r="AB754" s="118">
        <v>0</v>
      </c>
      <c r="AC754" s="118">
        <v>0</v>
      </c>
      <c r="AD754" s="118">
        <v>0</v>
      </c>
      <c r="AE754" s="118">
        <v>0</v>
      </c>
      <c r="AF754" s="118">
        <v>0</v>
      </c>
      <c r="AG754" s="118">
        <v>0</v>
      </c>
      <c r="AH754" s="118">
        <v>0</v>
      </c>
      <c r="AI754" s="118">
        <v>0</v>
      </c>
      <c r="AJ754" s="118">
        <v>0</v>
      </c>
      <c r="AK754" s="118">
        <v>0</v>
      </c>
      <c r="AL754" s="118">
        <v>0</v>
      </c>
      <c r="AM754" s="118">
        <v>0</v>
      </c>
      <c r="AN754" s="118">
        <v>0</v>
      </c>
      <c r="AO754" s="118">
        <v>0</v>
      </c>
      <c r="AP754" s="118">
        <v>0</v>
      </c>
      <c r="AQ754" s="118">
        <v>0</v>
      </c>
      <c r="AR754" s="118">
        <v>0</v>
      </c>
      <c r="AS754" s="118">
        <v>0</v>
      </c>
      <c r="AT754" s="118">
        <v>0</v>
      </c>
      <c r="AU754" s="118">
        <v>0</v>
      </c>
      <c r="AV754" s="118">
        <v>0</v>
      </c>
      <c r="AW754" s="118">
        <v>0</v>
      </c>
      <c r="AX754" s="118">
        <v>0</v>
      </c>
      <c r="AY754" s="118">
        <v>0</v>
      </c>
      <c r="AZ754" s="118">
        <v>0</v>
      </c>
      <c r="BA754" s="118">
        <v>0</v>
      </c>
      <c r="BB754" s="118">
        <v>0</v>
      </c>
      <c r="BC754" s="118">
        <v>0</v>
      </c>
      <c r="BD754" s="118">
        <v>0</v>
      </c>
      <c r="BE754" s="118">
        <v>0</v>
      </c>
      <c r="BF754" s="118">
        <v>0</v>
      </c>
      <c r="BG754" s="118">
        <v>0</v>
      </c>
      <c r="BH754" s="118">
        <v>0</v>
      </c>
      <c r="BI754" s="118">
        <v>0</v>
      </c>
      <c r="BJ754" s="119">
        <v>0</v>
      </c>
    </row>
    <row r="755" spans="1:67" s="116" customFormat="1">
      <c r="A755" s="111" t="s">
        <v>118</v>
      </c>
      <c r="B755" s="112">
        <f>SUM(B756:B759)</f>
        <v>74263056.458923876</v>
      </c>
      <c r="C755" s="117">
        <f>SUM(C756:C759)</f>
        <v>0</v>
      </c>
      <c r="D755" s="118">
        <f>SUM(D756:D759)</f>
        <v>0</v>
      </c>
      <c r="E755" s="118">
        <f t="shared" ref="E755:BJ755" si="463">SUM(E756:E759)</f>
        <v>0</v>
      </c>
      <c r="F755" s="118">
        <f t="shared" si="463"/>
        <v>0</v>
      </c>
      <c r="G755" s="118">
        <f t="shared" si="463"/>
        <v>0</v>
      </c>
      <c r="H755" s="118">
        <f t="shared" si="463"/>
        <v>1396145.4614277689</v>
      </c>
      <c r="I755" s="118">
        <f t="shared" si="463"/>
        <v>2792290.9228555379</v>
      </c>
      <c r="J755" s="118">
        <f t="shared" si="463"/>
        <v>4188436.3842833061</v>
      </c>
      <c r="K755" s="118">
        <f t="shared" si="463"/>
        <v>5584581.8457110757</v>
      </c>
      <c r="L755" s="118">
        <f t="shared" si="463"/>
        <v>7723357.8717280831</v>
      </c>
      <c r="M755" s="118">
        <f t="shared" si="463"/>
        <v>7723357.8717280831</v>
      </c>
      <c r="N755" s="118">
        <f t="shared" si="463"/>
        <v>7723357.8717280831</v>
      </c>
      <c r="O755" s="118">
        <f t="shared" si="463"/>
        <v>7723357.8717280831</v>
      </c>
      <c r="P755" s="118">
        <f t="shared" si="463"/>
        <v>7723357.8717280831</v>
      </c>
      <c r="Q755" s="118">
        <f t="shared" si="463"/>
        <v>7723357.8717280831</v>
      </c>
      <c r="R755" s="118">
        <f t="shared" si="463"/>
        <v>5584581.8457110757</v>
      </c>
      <c r="S755" s="118">
        <f t="shared" si="463"/>
        <v>4188436.3842833061</v>
      </c>
      <c r="T755" s="118">
        <f t="shared" si="463"/>
        <v>2792290.9228555379</v>
      </c>
      <c r="U755" s="118">
        <f t="shared" si="463"/>
        <v>1396145.4614277689</v>
      </c>
      <c r="V755" s="118">
        <f t="shared" si="463"/>
        <v>0</v>
      </c>
      <c r="W755" s="118">
        <f t="shared" si="463"/>
        <v>0</v>
      </c>
      <c r="X755" s="118">
        <f t="shared" si="463"/>
        <v>0</v>
      </c>
      <c r="Y755" s="118">
        <f t="shared" si="463"/>
        <v>0</v>
      </c>
      <c r="Z755" s="118">
        <f t="shared" si="463"/>
        <v>0</v>
      </c>
      <c r="AA755" s="118">
        <f t="shared" si="463"/>
        <v>0</v>
      </c>
      <c r="AB755" s="118">
        <f t="shared" si="463"/>
        <v>0</v>
      </c>
      <c r="AC755" s="118">
        <f t="shared" si="463"/>
        <v>0</v>
      </c>
      <c r="AD755" s="118">
        <f t="shared" si="463"/>
        <v>0</v>
      </c>
      <c r="AE755" s="118">
        <f t="shared" si="463"/>
        <v>0</v>
      </c>
      <c r="AF755" s="118">
        <f t="shared" si="463"/>
        <v>0</v>
      </c>
      <c r="AG755" s="118">
        <f t="shared" si="463"/>
        <v>0</v>
      </c>
      <c r="AH755" s="118">
        <f t="shared" si="463"/>
        <v>0</v>
      </c>
      <c r="AI755" s="118">
        <f t="shared" si="463"/>
        <v>0</v>
      </c>
      <c r="AJ755" s="118">
        <f t="shared" si="463"/>
        <v>0</v>
      </c>
      <c r="AK755" s="118">
        <f t="shared" si="463"/>
        <v>0</v>
      </c>
      <c r="AL755" s="118">
        <f t="shared" si="463"/>
        <v>0</v>
      </c>
      <c r="AM755" s="118">
        <f t="shared" si="463"/>
        <v>0</v>
      </c>
      <c r="AN755" s="118">
        <f t="shared" si="463"/>
        <v>0</v>
      </c>
      <c r="AO755" s="118">
        <f t="shared" si="463"/>
        <v>0</v>
      </c>
      <c r="AP755" s="118">
        <f t="shared" si="463"/>
        <v>0</v>
      </c>
      <c r="AQ755" s="118">
        <f t="shared" si="463"/>
        <v>0</v>
      </c>
      <c r="AR755" s="118">
        <f t="shared" si="463"/>
        <v>0</v>
      </c>
      <c r="AS755" s="118">
        <f t="shared" si="463"/>
        <v>0</v>
      </c>
      <c r="AT755" s="118">
        <f t="shared" si="463"/>
        <v>0</v>
      </c>
      <c r="AU755" s="118">
        <f t="shared" si="463"/>
        <v>0</v>
      </c>
      <c r="AV755" s="118">
        <f t="shared" si="463"/>
        <v>0</v>
      </c>
      <c r="AW755" s="118">
        <f t="shared" si="463"/>
        <v>0</v>
      </c>
      <c r="AX755" s="118">
        <f t="shared" si="463"/>
        <v>0</v>
      </c>
      <c r="AY755" s="118">
        <f t="shared" si="463"/>
        <v>0</v>
      </c>
      <c r="AZ755" s="118">
        <f t="shared" si="463"/>
        <v>0</v>
      </c>
      <c r="BA755" s="118">
        <f t="shared" si="463"/>
        <v>0</v>
      </c>
      <c r="BB755" s="118">
        <f t="shared" si="463"/>
        <v>0</v>
      </c>
      <c r="BC755" s="118">
        <f t="shared" si="463"/>
        <v>0</v>
      </c>
      <c r="BD755" s="118">
        <f t="shared" si="463"/>
        <v>0</v>
      </c>
      <c r="BE755" s="118">
        <f t="shared" si="463"/>
        <v>0</v>
      </c>
      <c r="BF755" s="118">
        <f t="shared" si="463"/>
        <v>0</v>
      </c>
      <c r="BG755" s="118">
        <f t="shared" si="463"/>
        <v>0</v>
      </c>
      <c r="BH755" s="118">
        <f t="shared" si="463"/>
        <v>0</v>
      </c>
      <c r="BI755" s="118">
        <f t="shared" si="463"/>
        <v>0</v>
      </c>
      <c r="BJ755" s="119">
        <f t="shared" si="463"/>
        <v>0</v>
      </c>
    </row>
    <row r="756" spans="1:67" s="125" customFormat="1" ht="12.75">
      <c r="A756" s="120" t="s">
        <v>119</v>
      </c>
      <c r="B756" s="121">
        <f t="shared" ref="B756:B761" si="464">SUM(C756:BJ756)</f>
        <v>31878119.757679306</v>
      </c>
      <c r="C756" s="224">
        <v>0</v>
      </c>
      <c r="D756" s="123">
        <v>0</v>
      </c>
      <c r="E756" s="123">
        <v>0</v>
      </c>
      <c r="F756" s="123">
        <v>0</v>
      </c>
      <c r="G756" s="123">
        <v>0</v>
      </c>
      <c r="H756" s="123">
        <v>599308.65144437097</v>
      </c>
      <c r="I756" s="123">
        <v>1198617.3028887419</v>
      </c>
      <c r="J756" s="123">
        <v>1797925.9543331128</v>
      </c>
      <c r="K756" s="123">
        <v>2397234.6057774839</v>
      </c>
      <c r="L756" s="123">
        <v>3315324.4547986481</v>
      </c>
      <c r="M756" s="123">
        <v>3315324.4547986481</v>
      </c>
      <c r="N756" s="123">
        <v>3315324.4547986481</v>
      </c>
      <c r="O756" s="123">
        <v>3315324.4547986481</v>
      </c>
      <c r="P756" s="123">
        <v>3315324.4547986481</v>
      </c>
      <c r="Q756" s="123">
        <v>3315324.4547986481</v>
      </c>
      <c r="R756" s="123">
        <v>2397234.6057774839</v>
      </c>
      <c r="S756" s="123">
        <v>1797925.9543331128</v>
      </c>
      <c r="T756" s="123">
        <v>1198617.3028887419</v>
      </c>
      <c r="U756" s="123">
        <v>599308.65144437097</v>
      </c>
      <c r="V756" s="123">
        <v>0</v>
      </c>
      <c r="W756" s="123">
        <v>0</v>
      </c>
      <c r="X756" s="123">
        <v>0</v>
      </c>
      <c r="Y756" s="123">
        <v>0</v>
      </c>
      <c r="Z756" s="123">
        <v>0</v>
      </c>
      <c r="AA756" s="123">
        <v>0</v>
      </c>
      <c r="AB756" s="123">
        <v>0</v>
      </c>
      <c r="AC756" s="123">
        <v>0</v>
      </c>
      <c r="AD756" s="123">
        <v>0</v>
      </c>
      <c r="AE756" s="123">
        <v>0</v>
      </c>
      <c r="AF756" s="123">
        <v>0</v>
      </c>
      <c r="AG756" s="123">
        <v>0</v>
      </c>
      <c r="AH756" s="123">
        <v>0</v>
      </c>
      <c r="AI756" s="123">
        <v>0</v>
      </c>
      <c r="AJ756" s="123">
        <v>0</v>
      </c>
      <c r="AK756" s="123">
        <v>0</v>
      </c>
      <c r="AL756" s="123">
        <v>0</v>
      </c>
      <c r="AM756" s="123">
        <v>0</v>
      </c>
      <c r="AN756" s="123">
        <v>0</v>
      </c>
      <c r="AO756" s="123">
        <v>0</v>
      </c>
      <c r="AP756" s="123">
        <v>0</v>
      </c>
      <c r="AQ756" s="123">
        <v>0</v>
      </c>
      <c r="AR756" s="123">
        <v>0</v>
      </c>
      <c r="AS756" s="123">
        <v>0</v>
      </c>
      <c r="AT756" s="123">
        <v>0</v>
      </c>
      <c r="AU756" s="123">
        <v>0</v>
      </c>
      <c r="AV756" s="123">
        <v>0</v>
      </c>
      <c r="AW756" s="123">
        <v>0</v>
      </c>
      <c r="AX756" s="123">
        <v>0</v>
      </c>
      <c r="AY756" s="123">
        <v>0</v>
      </c>
      <c r="AZ756" s="123">
        <v>0</v>
      </c>
      <c r="BA756" s="123">
        <v>0</v>
      </c>
      <c r="BB756" s="123">
        <v>0</v>
      </c>
      <c r="BC756" s="123">
        <v>0</v>
      </c>
      <c r="BD756" s="123">
        <v>0</v>
      </c>
      <c r="BE756" s="123">
        <v>0</v>
      </c>
      <c r="BF756" s="123">
        <v>0</v>
      </c>
      <c r="BG756" s="123">
        <v>0</v>
      </c>
      <c r="BH756" s="123">
        <v>0</v>
      </c>
      <c r="BI756" s="123">
        <v>0</v>
      </c>
      <c r="BJ756" s="124">
        <v>0</v>
      </c>
    </row>
    <row r="757" spans="1:67" s="125" customFormat="1" ht="12.75">
      <c r="A757" s="120" t="s">
        <v>120</v>
      </c>
      <c r="B757" s="121">
        <f t="shared" si="464"/>
        <v>33990073.23175671</v>
      </c>
      <c r="C757" s="224">
        <v>0</v>
      </c>
      <c r="D757" s="123">
        <v>0</v>
      </c>
      <c r="E757" s="123">
        <v>0</v>
      </c>
      <c r="F757" s="123">
        <v>0</v>
      </c>
      <c r="G757" s="123">
        <v>0</v>
      </c>
      <c r="H757" s="123">
        <v>639013.37675702607</v>
      </c>
      <c r="I757" s="123">
        <v>1278026.7535140521</v>
      </c>
      <c r="J757" s="123">
        <v>1917040.1302710781</v>
      </c>
      <c r="K757" s="123">
        <v>2556053.5070281043</v>
      </c>
      <c r="L757" s="123">
        <v>3534967.6161026978</v>
      </c>
      <c r="M757" s="123">
        <v>3534967.6161026978</v>
      </c>
      <c r="N757" s="123">
        <v>3534967.6161026978</v>
      </c>
      <c r="O757" s="123">
        <v>3534967.6161026978</v>
      </c>
      <c r="P757" s="123">
        <v>3534967.6161026978</v>
      </c>
      <c r="Q757" s="123">
        <v>3534967.6161026978</v>
      </c>
      <c r="R757" s="123">
        <v>2556053.5070281043</v>
      </c>
      <c r="S757" s="123">
        <v>1917040.1302710781</v>
      </c>
      <c r="T757" s="123">
        <v>1278026.7535140521</v>
      </c>
      <c r="U757" s="123">
        <v>639013.37675702607</v>
      </c>
      <c r="V757" s="123">
        <v>0</v>
      </c>
      <c r="W757" s="123">
        <v>0</v>
      </c>
      <c r="X757" s="123">
        <v>0</v>
      </c>
      <c r="Y757" s="123">
        <v>0</v>
      </c>
      <c r="Z757" s="123">
        <v>0</v>
      </c>
      <c r="AA757" s="123">
        <v>0</v>
      </c>
      <c r="AB757" s="123">
        <v>0</v>
      </c>
      <c r="AC757" s="123">
        <v>0</v>
      </c>
      <c r="AD757" s="123">
        <v>0</v>
      </c>
      <c r="AE757" s="123">
        <v>0</v>
      </c>
      <c r="AF757" s="123">
        <v>0</v>
      </c>
      <c r="AG757" s="123">
        <v>0</v>
      </c>
      <c r="AH757" s="123">
        <v>0</v>
      </c>
      <c r="AI757" s="123">
        <v>0</v>
      </c>
      <c r="AJ757" s="123">
        <v>0</v>
      </c>
      <c r="AK757" s="123">
        <v>0</v>
      </c>
      <c r="AL757" s="123">
        <v>0</v>
      </c>
      <c r="AM757" s="123">
        <v>0</v>
      </c>
      <c r="AN757" s="123">
        <v>0</v>
      </c>
      <c r="AO757" s="123">
        <v>0</v>
      </c>
      <c r="AP757" s="123">
        <v>0</v>
      </c>
      <c r="AQ757" s="123">
        <v>0</v>
      </c>
      <c r="AR757" s="123">
        <v>0</v>
      </c>
      <c r="AS757" s="123">
        <v>0</v>
      </c>
      <c r="AT757" s="123">
        <v>0</v>
      </c>
      <c r="AU757" s="123">
        <v>0</v>
      </c>
      <c r="AV757" s="123">
        <v>0</v>
      </c>
      <c r="AW757" s="123">
        <v>0</v>
      </c>
      <c r="AX757" s="123">
        <v>0</v>
      </c>
      <c r="AY757" s="123">
        <v>0</v>
      </c>
      <c r="AZ757" s="123">
        <v>0</v>
      </c>
      <c r="BA757" s="123">
        <v>0</v>
      </c>
      <c r="BB757" s="123">
        <v>0</v>
      </c>
      <c r="BC757" s="123">
        <v>0</v>
      </c>
      <c r="BD757" s="123">
        <v>0</v>
      </c>
      <c r="BE757" s="123">
        <v>0</v>
      </c>
      <c r="BF757" s="123">
        <v>0</v>
      </c>
      <c r="BG757" s="123">
        <v>0</v>
      </c>
      <c r="BH757" s="123">
        <v>0</v>
      </c>
      <c r="BI757" s="123">
        <v>0</v>
      </c>
      <c r="BJ757" s="124">
        <v>0</v>
      </c>
      <c r="BO757" s="126"/>
    </row>
    <row r="758" spans="1:67" s="125" customFormat="1" ht="12.75">
      <c r="A758" s="120" t="s">
        <v>121</v>
      </c>
      <c r="B758" s="121">
        <f t="shared" si="464"/>
        <v>7010905.9945108043</v>
      </c>
      <c r="C758" s="224">
        <v>0</v>
      </c>
      <c r="D758" s="123">
        <v>0</v>
      </c>
      <c r="E758" s="123">
        <v>0</v>
      </c>
      <c r="F758" s="123">
        <v>0</v>
      </c>
      <c r="G758" s="123">
        <v>0</v>
      </c>
      <c r="H758" s="123">
        <v>131805.0326968031</v>
      </c>
      <c r="I758" s="123">
        <v>263610.0653936062</v>
      </c>
      <c r="J758" s="123">
        <v>395415.0980904093</v>
      </c>
      <c r="K758" s="123">
        <v>527220.1307872124</v>
      </c>
      <c r="L758" s="123">
        <v>729134.22342912364</v>
      </c>
      <c r="M758" s="123">
        <v>729134.22342912364</v>
      </c>
      <c r="N758" s="123">
        <v>729134.22342912364</v>
      </c>
      <c r="O758" s="123">
        <v>729134.22342912364</v>
      </c>
      <c r="P758" s="123">
        <v>729134.22342912364</v>
      </c>
      <c r="Q758" s="123">
        <v>729134.22342912364</v>
      </c>
      <c r="R758" s="123">
        <v>527220.1307872124</v>
      </c>
      <c r="S758" s="123">
        <v>395415.0980904093</v>
      </c>
      <c r="T758" s="123">
        <v>263610.0653936062</v>
      </c>
      <c r="U758" s="123">
        <v>131805.0326968031</v>
      </c>
      <c r="V758" s="123">
        <v>0</v>
      </c>
      <c r="W758" s="123">
        <v>0</v>
      </c>
      <c r="X758" s="123">
        <v>0</v>
      </c>
      <c r="Y758" s="123">
        <v>0</v>
      </c>
      <c r="Z758" s="123">
        <v>0</v>
      </c>
      <c r="AA758" s="123">
        <v>0</v>
      </c>
      <c r="AB758" s="123">
        <v>0</v>
      </c>
      <c r="AC758" s="123">
        <v>0</v>
      </c>
      <c r="AD758" s="123">
        <v>0</v>
      </c>
      <c r="AE758" s="123">
        <v>0</v>
      </c>
      <c r="AF758" s="123">
        <v>0</v>
      </c>
      <c r="AG758" s="123">
        <v>0</v>
      </c>
      <c r="AH758" s="123">
        <v>0</v>
      </c>
      <c r="AI758" s="123">
        <v>0</v>
      </c>
      <c r="AJ758" s="123">
        <v>0</v>
      </c>
      <c r="AK758" s="123">
        <v>0</v>
      </c>
      <c r="AL758" s="123">
        <v>0</v>
      </c>
      <c r="AM758" s="123">
        <v>0</v>
      </c>
      <c r="AN758" s="123">
        <v>0</v>
      </c>
      <c r="AO758" s="123">
        <v>0</v>
      </c>
      <c r="AP758" s="123">
        <v>0</v>
      </c>
      <c r="AQ758" s="123">
        <v>0</v>
      </c>
      <c r="AR758" s="123">
        <v>0</v>
      </c>
      <c r="AS758" s="123">
        <v>0</v>
      </c>
      <c r="AT758" s="123">
        <v>0</v>
      </c>
      <c r="AU758" s="123">
        <v>0</v>
      </c>
      <c r="AV758" s="123">
        <v>0</v>
      </c>
      <c r="AW758" s="123">
        <v>0</v>
      </c>
      <c r="AX758" s="123">
        <v>0</v>
      </c>
      <c r="AY758" s="123">
        <v>0</v>
      </c>
      <c r="AZ758" s="123">
        <v>0</v>
      </c>
      <c r="BA758" s="123">
        <v>0</v>
      </c>
      <c r="BB758" s="123">
        <v>0</v>
      </c>
      <c r="BC758" s="123">
        <v>0</v>
      </c>
      <c r="BD758" s="123">
        <v>0</v>
      </c>
      <c r="BE758" s="123">
        <v>0</v>
      </c>
      <c r="BF758" s="123">
        <v>0</v>
      </c>
      <c r="BG758" s="123">
        <v>0</v>
      </c>
      <c r="BH758" s="123">
        <v>0</v>
      </c>
      <c r="BI758" s="123">
        <v>0</v>
      </c>
      <c r="BJ758" s="124">
        <v>0</v>
      </c>
    </row>
    <row r="759" spans="1:67" s="125" customFormat="1" ht="12.75">
      <c r="A759" s="120" t="s">
        <v>122</v>
      </c>
      <c r="B759" s="121">
        <f t="shared" si="464"/>
        <v>1383957.4749770584</v>
      </c>
      <c r="C759" s="224">
        <v>0</v>
      </c>
      <c r="D759" s="123">
        <v>0</v>
      </c>
      <c r="E759" s="123">
        <v>0</v>
      </c>
      <c r="F759" s="123">
        <v>0</v>
      </c>
      <c r="G759" s="123">
        <v>0</v>
      </c>
      <c r="H759" s="123">
        <v>26018.400529568695</v>
      </c>
      <c r="I759" s="123">
        <v>52036.80105913739</v>
      </c>
      <c r="J759" s="123">
        <v>78055.201588706084</v>
      </c>
      <c r="K759" s="123">
        <v>104073.60211827478</v>
      </c>
      <c r="L759" s="123">
        <v>143931.57739761408</v>
      </c>
      <c r="M759" s="123">
        <v>143931.57739761408</v>
      </c>
      <c r="N759" s="123">
        <v>143931.57739761408</v>
      </c>
      <c r="O759" s="123">
        <v>143931.57739761408</v>
      </c>
      <c r="P759" s="123">
        <v>143931.57739761408</v>
      </c>
      <c r="Q759" s="123">
        <v>143931.57739761408</v>
      </c>
      <c r="R759" s="123">
        <v>104073.60211827478</v>
      </c>
      <c r="S759" s="123">
        <v>78055.201588706084</v>
      </c>
      <c r="T759" s="123">
        <v>52036.80105913739</v>
      </c>
      <c r="U759" s="123">
        <v>26018.400529568695</v>
      </c>
      <c r="V759" s="123">
        <v>0</v>
      </c>
      <c r="W759" s="123">
        <v>0</v>
      </c>
      <c r="X759" s="123">
        <v>0</v>
      </c>
      <c r="Y759" s="123">
        <v>0</v>
      </c>
      <c r="Z759" s="123">
        <v>0</v>
      </c>
      <c r="AA759" s="123">
        <v>0</v>
      </c>
      <c r="AB759" s="123">
        <v>0</v>
      </c>
      <c r="AC759" s="123">
        <v>0</v>
      </c>
      <c r="AD759" s="123">
        <v>0</v>
      </c>
      <c r="AE759" s="123">
        <v>0</v>
      </c>
      <c r="AF759" s="123">
        <v>0</v>
      </c>
      <c r="AG759" s="123">
        <v>0</v>
      </c>
      <c r="AH759" s="123">
        <v>0</v>
      </c>
      <c r="AI759" s="123">
        <v>0</v>
      </c>
      <c r="AJ759" s="123">
        <v>0</v>
      </c>
      <c r="AK759" s="123">
        <v>0</v>
      </c>
      <c r="AL759" s="123">
        <v>0</v>
      </c>
      <c r="AM759" s="123">
        <v>0</v>
      </c>
      <c r="AN759" s="123">
        <v>0</v>
      </c>
      <c r="AO759" s="123">
        <v>0</v>
      </c>
      <c r="AP759" s="123">
        <v>0</v>
      </c>
      <c r="AQ759" s="123">
        <v>0</v>
      </c>
      <c r="AR759" s="123">
        <v>0</v>
      </c>
      <c r="AS759" s="123">
        <v>0</v>
      </c>
      <c r="AT759" s="123">
        <v>0</v>
      </c>
      <c r="AU759" s="123">
        <v>0</v>
      </c>
      <c r="AV759" s="123">
        <v>0</v>
      </c>
      <c r="AW759" s="123">
        <v>0</v>
      </c>
      <c r="AX759" s="123">
        <v>0</v>
      </c>
      <c r="AY759" s="123">
        <v>0</v>
      </c>
      <c r="AZ759" s="123">
        <v>0</v>
      </c>
      <c r="BA759" s="123">
        <v>0</v>
      </c>
      <c r="BB759" s="123">
        <v>0</v>
      </c>
      <c r="BC759" s="123">
        <v>0</v>
      </c>
      <c r="BD759" s="123">
        <v>0</v>
      </c>
      <c r="BE759" s="123">
        <v>0</v>
      </c>
      <c r="BF759" s="123">
        <v>0</v>
      </c>
      <c r="BG759" s="123">
        <v>0</v>
      </c>
      <c r="BH759" s="123">
        <v>0</v>
      </c>
      <c r="BI759" s="123">
        <v>0</v>
      </c>
      <c r="BJ759" s="124">
        <v>0</v>
      </c>
    </row>
    <row r="760" spans="1:67" s="116" customFormat="1">
      <c r="A760" s="127" t="s">
        <v>123</v>
      </c>
      <c r="B760" s="112">
        <f t="shared" si="464"/>
        <v>59266616.536353245</v>
      </c>
      <c r="C760" s="225">
        <v>11853323.30727065</v>
      </c>
      <c r="D760" s="129">
        <f>C760</f>
        <v>11853323.30727065</v>
      </c>
      <c r="E760" s="129">
        <f>D760</f>
        <v>11853323.30727065</v>
      </c>
      <c r="F760" s="129">
        <f>E760</f>
        <v>11853323.30727065</v>
      </c>
      <c r="G760" s="129">
        <f>F760</f>
        <v>11853323.30727065</v>
      </c>
      <c r="H760" s="129"/>
      <c r="I760" s="129"/>
      <c r="J760" s="129"/>
      <c r="K760" s="129"/>
      <c r="L760" s="129"/>
      <c r="M760" s="129"/>
      <c r="N760" s="129"/>
      <c r="O760" s="129"/>
      <c r="P760" s="129"/>
      <c r="Q760" s="129"/>
      <c r="R760" s="129"/>
      <c r="S760" s="129"/>
      <c r="T760" s="129"/>
      <c r="U760" s="129"/>
      <c r="V760" s="129"/>
      <c r="W760" s="129"/>
      <c r="X760" s="129"/>
      <c r="Y760" s="129"/>
      <c r="Z760" s="129"/>
      <c r="AA760" s="129"/>
      <c r="AB760" s="129"/>
      <c r="AC760" s="129"/>
      <c r="AD760" s="129"/>
      <c r="AE760" s="129"/>
      <c r="AF760" s="129"/>
      <c r="AG760" s="129"/>
      <c r="AH760" s="129"/>
      <c r="AI760" s="129"/>
      <c r="AJ760" s="129"/>
      <c r="AK760" s="129"/>
      <c r="AL760" s="129"/>
      <c r="AM760" s="129"/>
      <c r="AN760" s="129"/>
      <c r="AO760" s="129"/>
      <c r="AP760" s="129"/>
      <c r="AQ760" s="129"/>
      <c r="AR760" s="129"/>
      <c r="AS760" s="129"/>
      <c r="AT760" s="129"/>
      <c r="AU760" s="129"/>
      <c r="AV760" s="129"/>
      <c r="AW760" s="129"/>
      <c r="AX760" s="129"/>
      <c r="AY760" s="129"/>
      <c r="AZ760" s="129"/>
      <c r="BA760" s="129"/>
      <c r="BB760" s="129"/>
      <c r="BC760" s="129"/>
      <c r="BD760" s="129"/>
      <c r="BE760" s="129"/>
      <c r="BF760" s="129"/>
      <c r="BG760" s="129"/>
      <c r="BH760" s="129"/>
      <c r="BI760" s="129"/>
      <c r="BJ760" s="130"/>
    </row>
    <row r="761" spans="1:67" s="105" customFormat="1" ht="22.5" customHeight="1">
      <c r="A761" s="131" t="s">
        <v>124</v>
      </c>
      <c r="B761" s="132">
        <f t="shared" si="464"/>
        <v>1768168591.910975</v>
      </c>
      <c r="C761" s="102">
        <f>C752-C754-C755-C760</f>
        <v>2963330.8268176615</v>
      </c>
      <c r="D761" s="103">
        <f>D752-D754-D755-D760</f>
        <v>2963330.8268176615</v>
      </c>
      <c r="E761" s="103">
        <f t="shared" ref="E761:BJ761" si="465">E752-E754-E755-E760</f>
        <v>2963330.8268176615</v>
      </c>
      <c r="F761" s="103">
        <f t="shared" si="465"/>
        <v>2963330.8268176615</v>
      </c>
      <c r="G761" s="103">
        <f t="shared" si="465"/>
        <v>2963330.8268176615</v>
      </c>
      <c r="H761" s="103">
        <f t="shared" si="465"/>
        <v>32963016.430205464</v>
      </c>
      <c r="I761" s="103">
        <f t="shared" si="465"/>
        <v>65926032.860410929</v>
      </c>
      <c r="J761" s="103">
        <f t="shared" si="465"/>
        <v>98889049.290616393</v>
      </c>
      <c r="K761" s="103">
        <f t="shared" si="465"/>
        <v>131852065.72082186</v>
      </c>
      <c r="L761" s="103">
        <f t="shared" si="465"/>
        <v>182348601.52879626</v>
      </c>
      <c r="M761" s="103">
        <f t="shared" si="465"/>
        <v>182348601.52879626</v>
      </c>
      <c r="N761" s="103">
        <f t="shared" si="465"/>
        <v>182348601.52879626</v>
      </c>
      <c r="O761" s="103">
        <f t="shared" si="465"/>
        <v>182348601.52879626</v>
      </c>
      <c r="P761" s="103">
        <f t="shared" si="465"/>
        <v>182348601.52879626</v>
      </c>
      <c r="Q761" s="103">
        <f t="shared" si="465"/>
        <v>182348601.52879626</v>
      </c>
      <c r="R761" s="103">
        <f t="shared" si="465"/>
        <v>131852065.72082186</v>
      </c>
      <c r="S761" s="103">
        <f t="shared" si="465"/>
        <v>98889049.290616393</v>
      </c>
      <c r="T761" s="103">
        <f t="shared" si="465"/>
        <v>65926032.860410929</v>
      </c>
      <c r="U761" s="103">
        <f t="shared" si="465"/>
        <v>32963016.430205464</v>
      </c>
      <c r="V761" s="103">
        <f t="shared" si="465"/>
        <v>0</v>
      </c>
      <c r="W761" s="103">
        <f t="shared" si="465"/>
        <v>0</v>
      </c>
      <c r="X761" s="103">
        <f t="shared" si="465"/>
        <v>0</v>
      </c>
      <c r="Y761" s="103">
        <f t="shared" si="465"/>
        <v>0</v>
      </c>
      <c r="Z761" s="103">
        <f t="shared" si="465"/>
        <v>0</v>
      </c>
      <c r="AA761" s="103">
        <f t="shared" si="465"/>
        <v>0</v>
      </c>
      <c r="AB761" s="103">
        <f t="shared" si="465"/>
        <v>0</v>
      </c>
      <c r="AC761" s="103">
        <f t="shared" si="465"/>
        <v>0</v>
      </c>
      <c r="AD761" s="103">
        <f t="shared" si="465"/>
        <v>0</v>
      </c>
      <c r="AE761" s="103">
        <f t="shared" si="465"/>
        <v>0</v>
      </c>
      <c r="AF761" s="103">
        <f t="shared" si="465"/>
        <v>0</v>
      </c>
      <c r="AG761" s="103">
        <f t="shared" si="465"/>
        <v>0</v>
      </c>
      <c r="AH761" s="103">
        <f t="shared" si="465"/>
        <v>0</v>
      </c>
      <c r="AI761" s="103">
        <f t="shared" si="465"/>
        <v>0</v>
      </c>
      <c r="AJ761" s="103">
        <f t="shared" si="465"/>
        <v>0</v>
      </c>
      <c r="AK761" s="103">
        <f t="shared" si="465"/>
        <v>0</v>
      </c>
      <c r="AL761" s="103">
        <f t="shared" si="465"/>
        <v>0</v>
      </c>
      <c r="AM761" s="103">
        <f t="shared" si="465"/>
        <v>0</v>
      </c>
      <c r="AN761" s="103">
        <f t="shared" si="465"/>
        <v>0</v>
      </c>
      <c r="AO761" s="103">
        <f t="shared" si="465"/>
        <v>0</v>
      </c>
      <c r="AP761" s="103">
        <f t="shared" si="465"/>
        <v>0</v>
      </c>
      <c r="AQ761" s="103">
        <f t="shared" si="465"/>
        <v>0</v>
      </c>
      <c r="AR761" s="103">
        <f t="shared" si="465"/>
        <v>0</v>
      </c>
      <c r="AS761" s="103">
        <f t="shared" si="465"/>
        <v>0</v>
      </c>
      <c r="AT761" s="103">
        <f t="shared" si="465"/>
        <v>0</v>
      </c>
      <c r="AU761" s="103">
        <f t="shared" si="465"/>
        <v>0</v>
      </c>
      <c r="AV761" s="103">
        <f t="shared" si="465"/>
        <v>0</v>
      </c>
      <c r="AW761" s="103">
        <f t="shared" si="465"/>
        <v>0</v>
      </c>
      <c r="AX761" s="103">
        <f t="shared" si="465"/>
        <v>0</v>
      </c>
      <c r="AY761" s="103">
        <f t="shared" si="465"/>
        <v>0</v>
      </c>
      <c r="AZ761" s="103">
        <f t="shared" si="465"/>
        <v>0</v>
      </c>
      <c r="BA761" s="103">
        <f t="shared" si="465"/>
        <v>0</v>
      </c>
      <c r="BB761" s="103">
        <f t="shared" si="465"/>
        <v>0</v>
      </c>
      <c r="BC761" s="103">
        <f t="shared" si="465"/>
        <v>0</v>
      </c>
      <c r="BD761" s="103">
        <f t="shared" si="465"/>
        <v>0</v>
      </c>
      <c r="BE761" s="103">
        <f t="shared" si="465"/>
        <v>0</v>
      </c>
      <c r="BF761" s="103">
        <f t="shared" si="465"/>
        <v>0</v>
      </c>
      <c r="BG761" s="103">
        <f t="shared" si="465"/>
        <v>0</v>
      </c>
      <c r="BH761" s="103">
        <f t="shared" si="465"/>
        <v>0</v>
      </c>
      <c r="BI761" s="103">
        <f t="shared" si="465"/>
        <v>0</v>
      </c>
      <c r="BJ761" s="104">
        <f t="shared" si="465"/>
        <v>0</v>
      </c>
      <c r="BK761" s="109"/>
      <c r="BL761" s="109"/>
    </row>
    <row r="762" spans="1:67" s="116" customFormat="1">
      <c r="A762" s="136" t="s">
        <v>125</v>
      </c>
      <c r="B762" s="137">
        <f t="shared" ref="B762:G762" si="466">SUM(B763:B766)</f>
        <v>151424668.16433525</v>
      </c>
      <c r="C762" s="113">
        <f t="shared" si="466"/>
        <v>20064964.491109535</v>
      </c>
      <c r="D762" s="114">
        <f t="shared" si="466"/>
        <v>22997375.52456753</v>
      </c>
      <c r="E762" s="114">
        <f t="shared" si="466"/>
        <v>36120776.049552724</v>
      </c>
      <c r="F762" s="114">
        <f t="shared" si="466"/>
        <v>36120776.049552724</v>
      </c>
      <c r="G762" s="114">
        <f t="shared" si="466"/>
        <v>36120776.049552724</v>
      </c>
      <c r="H762" s="114"/>
      <c r="I762" s="114"/>
      <c r="J762" s="114"/>
      <c r="K762" s="114"/>
      <c r="L762" s="114"/>
      <c r="M762" s="114"/>
      <c r="N762" s="114"/>
      <c r="O762" s="114"/>
      <c r="P762" s="114"/>
      <c r="Q762" s="114"/>
      <c r="R762" s="114"/>
      <c r="S762" s="114"/>
      <c r="T762" s="114"/>
      <c r="U762" s="114"/>
      <c r="V762" s="114"/>
      <c r="W762" s="114"/>
      <c r="X762" s="114"/>
      <c r="Y762" s="114"/>
      <c r="Z762" s="114"/>
      <c r="AA762" s="114"/>
      <c r="AB762" s="114"/>
      <c r="AC762" s="114"/>
      <c r="AD762" s="114"/>
      <c r="AE762" s="114"/>
      <c r="AF762" s="114"/>
      <c r="AG762" s="114"/>
      <c r="AH762" s="114"/>
      <c r="AI762" s="114"/>
      <c r="AJ762" s="114"/>
      <c r="AK762" s="114"/>
      <c r="AL762" s="114"/>
      <c r="AM762" s="114"/>
      <c r="AN762" s="114"/>
      <c r="AO762" s="114"/>
      <c r="AP762" s="114"/>
      <c r="AQ762" s="114"/>
      <c r="AR762" s="114"/>
      <c r="AS762" s="114"/>
      <c r="AT762" s="114"/>
      <c r="AU762" s="114"/>
      <c r="AV762" s="114"/>
      <c r="AW762" s="114"/>
      <c r="AX762" s="114"/>
      <c r="AY762" s="114"/>
      <c r="AZ762" s="114"/>
      <c r="BA762" s="114"/>
      <c r="BB762" s="114"/>
      <c r="BC762" s="114"/>
      <c r="BD762" s="114"/>
      <c r="BE762" s="114"/>
      <c r="BF762" s="114"/>
      <c r="BG762" s="114"/>
      <c r="BH762" s="114"/>
      <c r="BI762" s="114"/>
      <c r="BJ762" s="115"/>
    </row>
    <row r="763" spans="1:67" s="143" customFormat="1" ht="12.75">
      <c r="A763" s="138" t="s">
        <v>126</v>
      </c>
      <c r="B763" s="139">
        <f>SUM(C763:BJ763)</f>
        <v>56964667.775703572</v>
      </c>
      <c r="C763" s="140"/>
      <c r="D763" s="141"/>
      <c r="E763" s="141">
        <v>18988222.591901191</v>
      </c>
      <c r="F763" s="141">
        <f t="shared" ref="F763:G765" si="467">E763</f>
        <v>18988222.591901191</v>
      </c>
      <c r="G763" s="141">
        <f t="shared" si="467"/>
        <v>18988222.591901191</v>
      </c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  <c r="AH763" s="141"/>
      <c r="AI763" s="141"/>
      <c r="AJ763" s="141"/>
      <c r="AK763" s="141"/>
      <c r="AL763" s="141"/>
      <c r="AM763" s="141"/>
      <c r="AN763" s="141"/>
      <c r="AO763" s="141"/>
      <c r="AP763" s="141"/>
      <c r="AQ763" s="141"/>
      <c r="AR763" s="141"/>
      <c r="AS763" s="141"/>
      <c r="AT763" s="141"/>
      <c r="AU763" s="141"/>
      <c r="AV763" s="141"/>
      <c r="AW763" s="141"/>
      <c r="AX763" s="141"/>
      <c r="AY763" s="141"/>
      <c r="AZ763" s="141"/>
      <c r="BA763" s="141"/>
      <c r="BB763" s="141"/>
      <c r="BC763" s="141"/>
      <c r="BD763" s="141"/>
      <c r="BE763" s="141"/>
      <c r="BF763" s="141"/>
      <c r="BG763" s="141"/>
      <c r="BH763" s="141"/>
      <c r="BI763" s="141"/>
      <c r="BJ763" s="142"/>
      <c r="BK763" s="141"/>
      <c r="BL763" s="141"/>
    </row>
    <row r="764" spans="1:67" s="143" customFormat="1" ht="12.75">
      <c r="A764" s="138" t="s">
        <v>127</v>
      </c>
      <c r="B764" s="139">
        <f>SUM(C764:BJ764)</f>
        <v>0</v>
      </c>
      <c r="C764" s="140"/>
      <c r="D764" s="141"/>
      <c r="E764" s="141">
        <v>0</v>
      </c>
      <c r="F764" s="141">
        <f t="shared" si="467"/>
        <v>0</v>
      </c>
      <c r="G764" s="141">
        <f t="shared" si="467"/>
        <v>0</v>
      </c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  <c r="AH764" s="141"/>
      <c r="AI764" s="141"/>
      <c r="AJ764" s="141"/>
      <c r="AK764" s="141"/>
      <c r="AL764" s="141"/>
      <c r="AM764" s="141"/>
      <c r="AN764" s="141"/>
      <c r="AO764" s="141"/>
      <c r="AP764" s="141"/>
      <c r="AQ764" s="141"/>
      <c r="AR764" s="141"/>
      <c r="AS764" s="141"/>
      <c r="AT764" s="141"/>
      <c r="AU764" s="141"/>
      <c r="AV764" s="141"/>
      <c r="AW764" s="141"/>
      <c r="AX764" s="141"/>
      <c r="AY764" s="141"/>
      <c r="AZ764" s="141"/>
      <c r="BA764" s="141"/>
      <c r="BB764" s="141"/>
      <c r="BC764" s="141"/>
      <c r="BD764" s="141"/>
      <c r="BE764" s="141"/>
      <c r="BF764" s="141"/>
      <c r="BG764" s="141"/>
      <c r="BH764" s="141"/>
      <c r="BI764" s="141"/>
      <c r="BJ764" s="142"/>
      <c r="BK764" s="141"/>
      <c r="BL764" s="141"/>
    </row>
    <row r="765" spans="1:67" s="143" customFormat="1" ht="12.75">
      <c r="A765" s="138" t="s">
        <v>128</v>
      </c>
      <c r="B765" s="139">
        <f>SUM(C765:BJ765)</f>
        <v>85662767.288257688</v>
      </c>
      <c r="C765" s="140">
        <v>17132553.457651537</v>
      </c>
      <c r="D765" s="141">
        <f>C765</f>
        <v>17132553.457651537</v>
      </c>
      <c r="E765" s="141">
        <f>D765</f>
        <v>17132553.457651537</v>
      </c>
      <c r="F765" s="141">
        <f t="shared" si="467"/>
        <v>17132553.457651537</v>
      </c>
      <c r="G765" s="141">
        <f t="shared" si="467"/>
        <v>17132553.457651537</v>
      </c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  <c r="AH765" s="141"/>
      <c r="AI765" s="141"/>
      <c r="AJ765" s="141"/>
      <c r="AK765" s="141"/>
      <c r="AL765" s="141"/>
      <c r="AM765" s="141"/>
      <c r="AN765" s="141"/>
      <c r="AO765" s="141"/>
      <c r="AP765" s="141"/>
      <c r="AQ765" s="141"/>
      <c r="AR765" s="141"/>
      <c r="AS765" s="141"/>
      <c r="AT765" s="141"/>
      <c r="AU765" s="141"/>
      <c r="AV765" s="141"/>
      <c r="AW765" s="141"/>
      <c r="AX765" s="141"/>
      <c r="AY765" s="141"/>
      <c r="AZ765" s="141"/>
      <c r="BA765" s="141"/>
      <c r="BB765" s="141"/>
      <c r="BC765" s="141"/>
      <c r="BD765" s="141"/>
      <c r="BE765" s="141"/>
      <c r="BF765" s="141"/>
      <c r="BG765" s="141"/>
      <c r="BH765" s="141"/>
      <c r="BI765" s="141"/>
      <c r="BJ765" s="142"/>
      <c r="BK765" s="141"/>
      <c r="BL765" s="141"/>
    </row>
    <row r="766" spans="1:67" s="143" customFormat="1" ht="12.75">
      <c r="A766" s="138" t="s">
        <v>129</v>
      </c>
      <c r="B766" s="139">
        <f>SUM(C766:BJ766)</f>
        <v>8797233.1003739908</v>
      </c>
      <c r="C766" s="140">
        <v>2932411.0334579973</v>
      </c>
      <c r="D766" s="141">
        <v>5864822.0669159945</v>
      </c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  <c r="AH766" s="141"/>
      <c r="AI766" s="141"/>
      <c r="AJ766" s="141"/>
      <c r="AK766" s="141"/>
      <c r="AL766" s="141"/>
      <c r="AM766" s="141"/>
      <c r="AN766" s="141"/>
      <c r="AO766" s="141"/>
      <c r="AP766" s="141"/>
      <c r="AQ766" s="141"/>
      <c r="AR766" s="141"/>
      <c r="AS766" s="141"/>
      <c r="AT766" s="141"/>
      <c r="AU766" s="141"/>
      <c r="AV766" s="141"/>
      <c r="AW766" s="141"/>
      <c r="AX766" s="141"/>
      <c r="AY766" s="141"/>
      <c r="AZ766" s="141"/>
      <c r="BA766" s="141"/>
      <c r="BB766" s="141"/>
      <c r="BC766" s="141"/>
      <c r="BD766" s="141"/>
      <c r="BE766" s="141"/>
      <c r="BF766" s="141"/>
      <c r="BG766" s="141"/>
      <c r="BH766" s="141"/>
      <c r="BI766" s="141"/>
      <c r="BJ766" s="142"/>
      <c r="BK766" s="141"/>
      <c r="BL766" s="141"/>
    </row>
    <row r="767" spans="1:67" s="116" customFormat="1">
      <c r="A767" s="111" t="s">
        <v>130</v>
      </c>
      <c r="B767" s="137">
        <f>SUM(B768:B771)</f>
        <v>151424668.16433531</v>
      </c>
      <c r="C767" s="117">
        <f>SUM(C768:C771)</f>
        <v>668832.14970365108</v>
      </c>
      <c r="D767" s="118">
        <f>SUM(D768:D771)</f>
        <v>1435411.3338559021</v>
      </c>
      <c r="E767" s="118">
        <f t="shared" ref="E767:BJ767" si="468">SUM(E768:E771)</f>
        <v>2639437.2021743259</v>
      </c>
      <c r="F767" s="118">
        <f t="shared" si="468"/>
        <v>3843463.0704927505</v>
      </c>
      <c r="G767" s="118">
        <f t="shared" si="468"/>
        <v>5047488.9388111755</v>
      </c>
      <c r="H767" s="118">
        <f t="shared" si="468"/>
        <v>5047488.9388111755</v>
      </c>
      <c r="I767" s="118">
        <f t="shared" si="468"/>
        <v>5047488.9388111755</v>
      </c>
      <c r="J767" s="118">
        <f t="shared" si="468"/>
        <v>5047488.9388111755</v>
      </c>
      <c r="K767" s="118">
        <f t="shared" si="468"/>
        <v>5047488.9388111755</v>
      </c>
      <c r="L767" s="118">
        <f t="shared" si="468"/>
        <v>5047488.9388111755</v>
      </c>
      <c r="M767" s="118">
        <f t="shared" si="468"/>
        <v>5047488.9388111755</v>
      </c>
      <c r="N767" s="118">
        <f t="shared" si="468"/>
        <v>5047488.9388111755</v>
      </c>
      <c r="O767" s="118">
        <f t="shared" si="468"/>
        <v>5047488.9388111755</v>
      </c>
      <c r="P767" s="118">
        <f t="shared" si="468"/>
        <v>5047488.9388111755</v>
      </c>
      <c r="Q767" s="118">
        <f t="shared" si="468"/>
        <v>5047488.9388111755</v>
      </c>
      <c r="R767" s="118">
        <f t="shared" si="468"/>
        <v>5047488.9388111755</v>
      </c>
      <c r="S767" s="118">
        <f t="shared" si="468"/>
        <v>5047488.9388111755</v>
      </c>
      <c r="T767" s="118">
        <f t="shared" si="468"/>
        <v>5047488.9388111755</v>
      </c>
      <c r="U767" s="118">
        <f t="shared" si="468"/>
        <v>5047488.9388111755</v>
      </c>
      <c r="V767" s="118">
        <f t="shared" si="468"/>
        <v>5047488.9388111755</v>
      </c>
      <c r="W767" s="118">
        <f t="shared" si="468"/>
        <v>5047488.9388111755</v>
      </c>
      <c r="X767" s="118">
        <f t="shared" si="468"/>
        <v>5047488.9388111755</v>
      </c>
      <c r="Y767" s="118">
        <f t="shared" si="468"/>
        <v>5047488.9388111755</v>
      </c>
      <c r="Z767" s="118">
        <f t="shared" si="468"/>
        <v>5047488.9388111755</v>
      </c>
      <c r="AA767" s="118">
        <f t="shared" si="468"/>
        <v>5047488.9388111755</v>
      </c>
      <c r="AB767" s="118">
        <f t="shared" si="468"/>
        <v>5047488.9388111755</v>
      </c>
      <c r="AC767" s="118">
        <f t="shared" si="468"/>
        <v>5047488.9388111755</v>
      </c>
      <c r="AD767" s="118">
        <f t="shared" si="468"/>
        <v>5047488.9388111755</v>
      </c>
      <c r="AE767" s="118">
        <f t="shared" si="468"/>
        <v>5047488.9388111755</v>
      </c>
      <c r="AF767" s="118">
        <f t="shared" si="468"/>
        <v>5047488.9388111755</v>
      </c>
      <c r="AG767" s="118">
        <f t="shared" si="468"/>
        <v>4378656.7891075239</v>
      </c>
      <c r="AH767" s="118">
        <f t="shared" si="468"/>
        <v>3612077.6049552727</v>
      </c>
      <c r="AI767" s="118">
        <f t="shared" si="468"/>
        <v>2408051.7366368482</v>
      </c>
      <c r="AJ767" s="118">
        <f t="shared" si="468"/>
        <v>1204025.8683184241</v>
      </c>
      <c r="AK767" s="118">
        <f t="shared" si="468"/>
        <v>0</v>
      </c>
      <c r="AL767" s="118">
        <f t="shared" si="468"/>
        <v>0</v>
      </c>
      <c r="AM767" s="118">
        <f t="shared" si="468"/>
        <v>0</v>
      </c>
      <c r="AN767" s="118">
        <f t="shared" si="468"/>
        <v>0</v>
      </c>
      <c r="AO767" s="118">
        <f t="shared" si="468"/>
        <v>0</v>
      </c>
      <c r="AP767" s="118">
        <f t="shared" si="468"/>
        <v>0</v>
      </c>
      <c r="AQ767" s="118">
        <f t="shared" si="468"/>
        <v>0</v>
      </c>
      <c r="AR767" s="118">
        <f t="shared" si="468"/>
        <v>0</v>
      </c>
      <c r="AS767" s="118">
        <f t="shared" si="468"/>
        <v>0</v>
      </c>
      <c r="AT767" s="118">
        <f t="shared" si="468"/>
        <v>0</v>
      </c>
      <c r="AU767" s="118">
        <f t="shared" si="468"/>
        <v>0</v>
      </c>
      <c r="AV767" s="118">
        <f t="shared" si="468"/>
        <v>0</v>
      </c>
      <c r="AW767" s="118">
        <f t="shared" si="468"/>
        <v>0</v>
      </c>
      <c r="AX767" s="118">
        <f t="shared" si="468"/>
        <v>0</v>
      </c>
      <c r="AY767" s="118">
        <f t="shared" si="468"/>
        <v>0</v>
      </c>
      <c r="AZ767" s="118">
        <f t="shared" si="468"/>
        <v>0</v>
      </c>
      <c r="BA767" s="118">
        <f t="shared" si="468"/>
        <v>0</v>
      </c>
      <c r="BB767" s="118">
        <f t="shared" si="468"/>
        <v>0</v>
      </c>
      <c r="BC767" s="118">
        <f t="shared" si="468"/>
        <v>0</v>
      </c>
      <c r="BD767" s="118">
        <f t="shared" si="468"/>
        <v>0</v>
      </c>
      <c r="BE767" s="118">
        <f t="shared" si="468"/>
        <v>0</v>
      </c>
      <c r="BF767" s="118">
        <f t="shared" si="468"/>
        <v>0</v>
      </c>
      <c r="BG767" s="118">
        <f t="shared" si="468"/>
        <v>0</v>
      </c>
      <c r="BH767" s="118">
        <f t="shared" si="468"/>
        <v>0</v>
      </c>
      <c r="BI767" s="118">
        <f t="shared" si="468"/>
        <v>0</v>
      </c>
      <c r="BJ767" s="119">
        <f t="shared" si="468"/>
        <v>0</v>
      </c>
      <c r="BK767" s="118"/>
      <c r="BL767" s="118"/>
    </row>
    <row r="768" spans="1:67" s="143" customFormat="1" ht="12.75">
      <c r="A768" s="138" t="s">
        <v>126</v>
      </c>
      <c r="B768" s="139">
        <f>SUM(C768:BJ768)</f>
        <v>56964667.775703587</v>
      </c>
      <c r="C768" s="140"/>
      <c r="D768" s="141"/>
      <c r="E768" s="226">
        <f>$C763/$O749+$D763/$O749+$E763/$O749</f>
        <v>632940.75306337303</v>
      </c>
      <c r="F768" s="141">
        <f>$C763/$O749+$D763/$O749+$E763/$O749+$F763/$O749</f>
        <v>1265881.5061267461</v>
      </c>
      <c r="G768" s="141">
        <f>$C763/$O749+$D763/$O749+$E763/$O749+$F763/$O749+$G763/$O749</f>
        <v>1898822.2591901191</v>
      </c>
      <c r="H768" s="141">
        <f t="shared" ref="H768:AH771" si="469">G768</f>
        <v>1898822.2591901191</v>
      </c>
      <c r="I768" s="141">
        <f t="shared" si="469"/>
        <v>1898822.2591901191</v>
      </c>
      <c r="J768" s="141">
        <f t="shared" si="469"/>
        <v>1898822.2591901191</v>
      </c>
      <c r="K768" s="141">
        <f t="shared" si="469"/>
        <v>1898822.2591901191</v>
      </c>
      <c r="L768" s="141">
        <f t="shared" si="469"/>
        <v>1898822.2591901191</v>
      </c>
      <c r="M768" s="141">
        <f t="shared" si="469"/>
        <v>1898822.2591901191</v>
      </c>
      <c r="N768" s="141">
        <f t="shared" si="469"/>
        <v>1898822.2591901191</v>
      </c>
      <c r="O768" s="141">
        <f t="shared" si="469"/>
        <v>1898822.2591901191</v>
      </c>
      <c r="P768" s="141">
        <f t="shared" si="469"/>
        <v>1898822.2591901191</v>
      </c>
      <c r="Q768" s="141">
        <f t="shared" si="469"/>
        <v>1898822.2591901191</v>
      </c>
      <c r="R768" s="141">
        <f t="shared" si="469"/>
        <v>1898822.2591901191</v>
      </c>
      <c r="S768" s="141">
        <f t="shared" si="469"/>
        <v>1898822.2591901191</v>
      </c>
      <c r="T768" s="141">
        <f t="shared" si="469"/>
        <v>1898822.2591901191</v>
      </c>
      <c r="U768" s="141">
        <f t="shared" si="469"/>
        <v>1898822.2591901191</v>
      </c>
      <c r="V768" s="141">
        <f t="shared" si="469"/>
        <v>1898822.2591901191</v>
      </c>
      <c r="W768" s="141">
        <f t="shared" si="469"/>
        <v>1898822.2591901191</v>
      </c>
      <c r="X768" s="141">
        <f t="shared" si="469"/>
        <v>1898822.2591901191</v>
      </c>
      <c r="Y768" s="141">
        <f t="shared" si="469"/>
        <v>1898822.2591901191</v>
      </c>
      <c r="Z768" s="141">
        <f t="shared" si="469"/>
        <v>1898822.2591901191</v>
      </c>
      <c r="AA768" s="141">
        <f t="shared" si="469"/>
        <v>1898822.2591901191</v>
      </c>
      <c r="AB768" s="141">
        <f t="shared" si="469"/>
        <v>1898822.2591901191</v>
      </c>
      <c r="AC768" s="141">
        <f t="shared" si="469"/>
        <v>1898822.2591901191</v>
      </c>
      <c r="AD768" s="141">
        <f t="shared" si="469"/>
        <v>1898822.2591901191</v>
      </c>
      <c r="AE768" s="141">
        <f t="shared" si="469"/>
        <v>1898822.2591901191</v>
      </c>
      <c r="AF768" s="141">
        <f t="shared" si="469"/>
        <v>1898822.2591901191</v>
      </c>
      <c r="AG768" s="141">
        <f t="shared" si="469"/>
        <v>1898822.2591901191</v>
      </c>
      <c r="AH768" s="141">
        <f t="shared" si="469"/>
        <v>1898822.2591901191</v>
      </c>
      <c r="AI768" s="141">
        <f>F768</f>
        <v>1265881.5061267461</v>
      </c>
      <c r="AJ768" s="141">
        <f>E768</f>
        <v>632940.75306337303</v>
      </c>
      <c r="AK768" s="141"/>
      <c r="AL768" s="141"/>
      <c r="AM768" s="141"/>
      <c r="AN768" s="141"/>
      <c r="AO768" s="141"/>
      <c r="AP768" s="141"/>
      <c r="AQ768" s="141"/>
      <c r="AR768" s="141"/>
      <c r="AS768" s="141"/>
      <c r="AT768" s="141"/>
      <c r="AU768" s="141"/>
      <c r="AV768" s="141"/>
      <c r="AW768" s="141"/>
      <c r="AX768" s="141"/>
      <c r="AY768" s="141"/>
      <c r="AZ768" s="141"/>
      <c r="BA768" s="141"/>
      <c r="BB768" s="141"/>
      <c r="BC768" s="141"/>
      <c r="BD768" s="141"/>
      <c r="BE768" s="141"/>
      <c r="BF768" s="141"/>
      <c r="BG768" s="141"/>
      <c r="BH768" s="141"/>
      <c r="BI768" s="141"/>
      <c r="BJ768" s="142"/>
      <c r="BK768" s="141"/>
      <c r="BL768" s="141"/>
    </row>
    <row r="769" spans="1:64" s="143" customFormat="1" ht="12.75">
      <c r="A769" s="138" t="s">
        <v>127</v>
      </c>
      <c r="B769" s="139">
        <f>SUM(C769:BJ769)</f>
        <v>0</v>
      </c>
      <c r="C769" s="140"/>
      <c r="D769" s="141"/>
      <c r="E769" s="226">
        <f>$C764/$O749+$D764/$O749+$E764/$O749</f>
        <v>0</v>
      </c>
      <c r="F769" s="141">
        <f>$C764/$O749+$D764/$O749+$E764/$O749+$F764/$O749</f>
        <v>0</v>
      </c>
      <c r="G769" s="141">
        <f>$C764/$O749+$D764/$O749+$E764/$O749+$F764/$O749+$G764/$O749</f>
        <v>0</v>
      </c>
      <c r="H769" s="141">
        <f t="shared" si="469"/>
        <v>0</v>
      </c>
      <c r="I769" s="141">
        <f t="shared" si="469"/>
        <v>0</v>
      </c>
      <c r="J769" s="141">
        <f t="shared" si="469"/>
        <v>0</v>
      </c>
      <c r="K769" s="141">
        <f t="shared" si="469"/>
        <v>0</v>
      </c>
      <c r="L769" s="141">
        <f t="shared" si="469"/>
        <v>0</v>
      </c>
      <c r="M769" s="141">
        <f t="shared" si="469"/>
        <v>0</v>
      </c>
      <c r="N769" s="141">
        <f t="shared" si="469"/>
        <v>0</v>
      </c>
      <c r="O769" s="141">
        <f t="shared" si="469"/>
        <v>0</v>
      </c>
      <c r="P769" s="141">
        <f t="shared" si="469"/>
        <v>0</v>
      </c>
      <c r="Q769" s="141">
        <f t="shared" si="469"/>
        <v>0</v>
      </c>
      <c r="R769" s="141">
        <f t="shared" si="469"/>
        <v>0</v>
      </c>
      <c r="S769" s="141">
        <f t="shared" si="469"/>
        <v>0</v>
      </c>
      <c r="T769" s="141">
        <f t="shared" si="469"/>
        <v>0</v>
      </c>
      <c r="U769" s="141">
        <f t="shared" si="469"/>
        <v>0</v>
      </c>
      <c r="V769" s="141">
        <f t="shared" si="469"/>
        <v>0</v>
      </c>
      <c r="W769" s="141">
        <f t="shared" si="469"/>
        <v>0</v>
      </c>
      <c r="X769" s="141">
        <f t="shared" si="469"/>
        <v>0</v>
      </c>
      <c r="Y769" s="141">
        <f t="shared" si="469"/>
        <v>0</v>
      </c>
      <c r="Z769" s="141">
        <f t="shared" si="469"/>
        <v>0</v>
      </c>
      <c r="AA769" s="141">
        <f t="shared" si="469"/>
        <v>0</v>
      </c>
      <c r="AB769" s="141">
        <f t="shared" si="469"/>
        <v>0</v>
      </c>
      <c r="AC769" s="141">
        <f t="shared" si="469"/>
        <v>0</v>
      </c>
      <c r="AD769" s="141">
        <f t="shared" si="469"/>
        <v>0</v>
      </c>
      <c r="AE769" s="141">
        <f t="shared" si="469"/>
        <v>0</v>
      </c>
      <c r="AF769" s="141">
        <f t="shared" si="469"/>
        <v>0</v>
      </c>
      <c r="AG769" s="141">
        <f t="shared" si="469"/>
        <v>0</v>
      </c>
      <c r="AH769" s="141">
        <f t="shared" si="469"/>
        <v>0</v>
      </c>
      <c r="AI769" s="141">
        <f>F769</f>
        <v>0</v>
      </c>
      <c r="AJ769" s="141">
        <f>E769</f>
        <v>0</v>
      </c>
      <c r="AK769" s="141"/>
      <c r="AL769" s="141"/>
      <c r="AM769" s="141"/>
      <c r="AN769" s="141"/>
      <c r="AO769" s="141"/>
      <c r="AP769" s="141"/>
      <c r="AQ769" s="141"/>
      <c r="AR769" s="141"/>
      <c r="AS769" s="141"/>
      <c r="AT769" s="141"/>
      <c r="AU769" s="141"/>
      <c r="AV769" s="141"/>
      <c r="AW769" s="141"/>
      <c r="AX769" s="141"/>
      <c r="AY769" s="141"/>
      <c r="AZ769" s="141"/>
      <c r="BA769" s="141"/>
      <c r="BB769" s="141"/>
      <c r="BC769" s="141"/>
      <c r="BD769" s="141"/>
      <c r="BE769" s="141"/>
      <c r="BF769" s="141"/>
      <c r="BG769" s="141"/>
      <c r="BH769" s="141"/>
      <c r="BI769" s="141"/>
      <c r="BJ769" s="142"/>
      <c r="BK769" s="141"/>
      <c r="BL769" s="141"/>
    </row>
    <row r="770" spans="1:64" s="143" customFormat="1" ht="12.75">
      <c r="A770" s="138" t="s">
        <v>128</v>
      </c>
      <c r="B770" s="139">
        <f>SUM(C770:BJ770)</f>
        <v>85662767.288257733</v>
      </c>
      <c r="C770" s="227">
        <f>$C765/$O749</f>
        <v>571085.11525505118</v>
      </c>
      <c r="D770" s="141">
        <f>$C765/$O749+$D765/$O749</f>
        <v>1142170.2305101024</v>
      </c>
      <c r="E770" s="141">
        <f>$C765/$O749+$D765/$O749+$E765/$O749</f>
        <v>1713255.3457651534</v>
      </c>
      <c r="F770" s="141">
        <f>$C765/$O749+$D765/$O749+$E765/$O749+$F765/$O749</f>
        <v>2284340.4610202047</v>
      </c>
      <c r="G770" s="141">
        <f>$C765/$O749+$D765/$O749+$E765/$O749+$F765/$O749+$G765/$O749</f>
        <v>2855425.576275256</v>
      </c>
      <c r="H770" s="141">
        <f t="shared" si="469"/>
        <v>2855425.576275256</v>
      </c>
      <c r="I770" s="141">
        <f t="shared" si="469"/>
        <v>2855425.576275256</v>
      </c>
      <c r="J770" s="141">
        <f t="shared" si="469"/>
        <v>2855425.576275256</v>
      </c>
      <c r="K770" s="141">
        <f t="shared" si="469"/>
        <v>2855425.576275256</v>
      </c>
      <c r="L770" s="141">
        <f t="shared" si="469"/>
        <v>2855425.576275256</v>
      </c>
      <c r="M770" s="141">
        <f t="shared" si="469"/>
        <v>2855425.576275256</v>
      </c>
      <c r="N770" s="141">
        <f t="shared" si="469"/>
        <v>2855425.576275256</v>
      </c>
      <c r="O770" s="141">
        <f t="shared" si="469"/>
        <v>2855425.576275256</v>
      </c>
      <c r="P770" s="141">
        <f t="shared" si="469"/>
        <v>2855425.576275256</v>
      </c>
      <c r="Q770" s="141">
        <f t="shared" si="469"/>
        <v>2855425.576275256</v>
      </c>
      <c r="R770" s="141">
        <f t="shared" si="469"/>
        <v>2855425.576275256</v>
      </c>
      <c r="S770" s="141">
        <f t="shared" si="469"/>
        <v>2855425.576275256</v>
      </c>
      <c r="T770" s="141">
        <f t="shared" si="469"/>
        <v>2855425.576275256</v>
      </c>
      <c r="U770" s="141">
        <f t="shared" si="469"/>
        <v>2855425.576275256</v>
      </c>
      <c r="V770" s="141">
        <f t="shared" si="469"/>
        <v>2855425.576275256</v>
      </c>
      <c r="W770" s="141">
        <f t="shared" si="469"/>
        <v>2855425.576275256</v>
      </c>
      <c r="X770" s="141">
        <f t="shared" si="469"/>
        <v>2855425.576275256</v>
      </c>
      <c r="Y770" s="141">
        <f t="shared" si="469"/>
        <v>2855425.576275256</v>
      </c>
      <c r="Z770" s="141">
        <f t="shared" si="469"/>
        <v>2855425.576275256</v>
      </c>
      <c r="AA770" s="141">
        <f t="shared" si="469"/>
        <v>2855425.576275256</v>
      </c>
      <c r="AB770" s="141">
        <f t="shared" si="469"/>
        <v>2855425.576275256</v>
      </c>
      <c r="AC770" s="141">
        <f t="shared" si="469"/>
        <v>2855425.576275256</v>
      </c>
      <c r="AD770" s="141">
        <f t="shared" si="469"/>
        <v>2855425.576275256</v>
      </c>
      <c r="AE770" s="141">
        <f t="shared" si="469"/>
        <v>2855425.576275256</v>
      </c>
      <c r="AF770" s="141">
        <f t="shared" si="469"/>
        <v>2855425.576275256</v>
      </c>
      <c r="AG770" s="141">
        <f>F770</f>
        <v>2284340.4610202047</v>
      </c>
      <c r="AH770" s="141">
        <f>E770</f>
        <v>1713255.3457651534</v>
      </c>
      <c r="AI770" s="141">
        <f>D770</f>
        <v>1142170.2305101024</v>
      </c>
      <c r="AJ770" s="141">
        <f>C770</f>
        <v>571085.11525505118</v>
      </c>
      <c r="AK770" s="141"/>
      <c r="AL770" s="141"/>
      <c r="AM770" s="141"/>
      <c r="AN770" s="141"/>
      <c r="AO770" s="141"/>
      <c r="AP770" s="141"/>
      <c r="AQ770" s="141"/>
      <c r="AR770" s="141"/>
      <c r="AS770" s="141"/>
      <c r="AT770" s="141"/>
      <c r="AU770" s="141"/>
      <c r="AV770" s="141"/>
      <c r="AW770" s="141"/>
      <c r="AX770" s="141"/>
      <c r="AY770" s="141"/>
      <c r="AZ770" s="141"/>
      <c r="BA770" s="141"/>
      <c r="BB770" s="141"/>
      <c r="BC770" s="141"/>
      <c r="BD770" s="141"/>
      <c r="BE770" s="141"/>
      <c r="BF770" s="141"/>
      <c r="BG770" s="141"/>
      <c r="BH770" s="141"/>
      <c r="BI770" s="141"/>
      <c r="BJ770" s="142"/>
      <c r="BK770" s="141"/>
      <c r="BL770" s="141"/>
    </row>
    <row r="771" spans="1:64" s="143" customFormat="1" ht="12.75">
      <c r="A771" s="138" t="s">
        <v>129</v>
      </c>
      <c r="B771" s="139">
        <f>SUM(C771:BJ771)</f>
        <v>8797233.1003739983</v>
      </c>
      <c r="C771" s="227">
        <f>$C766/$O749</f>
        <v>97747.034448599909</v>
      </c>
      <c r="D771" s="141">
        <f>$C766/$O749+$D766/$O749</f>
        <v>293241.10334579973</v>
      </c>
      <c r="E771" s="141">
        <f>$C766/$O749+$D766/$O749+$E766/$O749</f>
        <v>293241.10334579973</v>
      </c>
      <c r="F771" s="141">
        <f>$C766/$O749+$D766/$O749+$E766/$O749+$F766/$O749</f>
        <v>293241.10334579973</v>
      </c>
      <c r="G771" s="141">
        <f>$C766/$O749+$D766/$O749+$E766/$O749+$F766/$O749+$G766/$O749</f>
        <v>293241.10334579973</v>
      </c>
      <c r="H771" s="141">
        <f t="shared" si="469"/>
        <v>293241.10334579973</v>
      </c>
      <c r="I771" s="141">
        <f t="shared" si="469"/>
        <v>293241.10334579973</v>
      </c>
      <c r="J771" s="141">
        <f t="shared" si="469"/>
        <v>293241.10334579973</v>
      </c>
      <c r="K771" s="141">
        <f t="shared" si="469"/>
        <v>293241.10334579973</v>
      </c>
      <c r="L771" s="141">
        <f t="shared" si="469"/>
        <v>293241.10334579973</v>
      </c>
      <c r="M771" s="141">
        <f t="shared" si="469"/>
        <v>293241.10334579973</v>
      </c>
      <c r="N771" s="141">
        <f t="shared" si="469"/>
        <v>293241.10334579973</v>
      </c>
      <c r="O771" s="141">
        <f t="shared" si="469"/>
        <v>293241.10334579973</v>
      </c>
      <c r="P771" s="141">
        <f t="shared" si="469"/>
        <v>293241.10334579973</v>
      </c>
      <c r="Q771" s="141">
        <f t="shared" si="469"/>
        <v>293241.10334579973</v>
      </c>
      <c r="R771" s="141">
        <f t="shared" si="469"/>
        <v>293241.10334579973</v>
      </c>
      <c r="S771" s="141">
        <f t="shared" si="469"/>
        <v>293241.10334579973</v>
      </c>
      <c r="T771" s="141">
        <f t="shared" si="469"/>
        <v>293241.10334579973</v>
      </c>
      <c r="U771" s="141">
        <f t="shared" si="469"/>
        <v>293241.10334579973</v>
      </c>
      <c r="V771" s="141">
        <f t="shared" si="469"/>
        <v>293241.10334579973</v>
      </c>
      <c r="W771" s="141">
        <f t="shared" si="469"/>
        <v>293241.10334579973</v>
      </c>
      <c r="X771" s="141">
        <f t="shared" si="469"/>
        <v>293241.10334579973</v>
      </c>
      <c r="Y771" s="141">
        <f t="shared" si="469"/>
        <v>293241.10334579973</v>
      </c>
      <c r="Z771" s="141">
        <f t="shared" si="469"/>
        <v>293241.10334579973</v>
      </c>
      <c r="AA771" s="141">
        <f t="shared" si="469"/>
        <v>293241.10334579973</v>
      </c>
      <c r="AB771" s="141">
        <f t="shared" si="469"/>
        <v>293241.10334579973</v>
      </c>
      <c r="AC771" s="141">
        <f t="shared" si="469"/>
        <v>293241.10334579973</v>
      </c>
      <c r="AD771" s="141">
        <f t="shared" si="469"/>
        <v>293241.10334579973</v>
      </c>
      <c r="AE771" s="141">
        <f t="shared" si="469"/>
        <v>293241.10334579973</v>
      </c>
      <c r="AF771" s="141">
        <f t="shared" si="469"/>
        <v>293241.10334579973</v>
      </c>
      <c r="AG771" s="141">
        <f>AF771-C771</f>
        <v>195494.06889719982</v>
      </c>
      <c r="AH771" s="141"/>
      <c r="AI771" s="141"/>
      <c r="AJ771" s="141"/>
      <c r="AK771" s="141"/>
      <c r="AL771" s="141"/>
      <c r="AM771" s="141"/>
      <c r="AN771" s="141"/>
      <c r="AO771" s="141"/>
      <c r="AP771" s="141"/>
      <c r="AQ771" s="141"/>
      <c r="AR771" s="141"/>
      <c r="AS771" s="141"/>
      <c r="AT771" s="141"/>
      <c r="AU771" s="141"/>
      <c r="AV771" s="141"/>
      <c r="AW771" s="141"/>
      <c r="AX771" s="141"/>
      <c r="AY771" s="141"/>
      <c r="AZ771" s="141"/>
      <c r="BA771" s="141"/>
      <c r="BB771" s="141"/>
      <c r="BC771" s="141"/>
      <c r="BD771" s="141"/>
      <c r="BE771" s="141"/>
      <c r="BF771" s="141"/>
      <c r="BG771" s="141"/>
      <c r="BH771" s="141"/>
      <c r="BI771" s="141"/>
      <c r="BJ771" s="142"/>
      <c r="BK771" s="141"/>
      <c r="BL771" s="141"/>
    </row>
    <row r="772" spans="1:64" s="148" customFormat="1">
      <c r="A772" s="111" t="s">
        <v>131</v>
      </c>
      <c r="B772" s="144"/>
      <c r="C772" s="145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  <c r="AF772" s="146"/>
      <c r="AG772" s="146"/>
      <c r="AH772" s="146"/>
      <c r="AI772" s="146"/>
      <c r="AJ772" s="146"/>
      <c r="AK772" s="146"/>
      <c r="AL772" s="146"/>
      <c r="AM772" s="146"/>
      <c r="AN772" s="146"/>
      <c r="AO772" s="146"/>
      <c r="AP772" s="146"/>
      <c r="AQ772" s="146"/>
      <c r="AR772" s="146"/>
      <c r="AS772" s="146"/>
      <c r="AT772" s="146"/>
      <c r="AU772" s="146"/>
      <c r="AV772" s="146"/>
      <c r="AW772" s="146"/>
      <c r="AX772" s="146"/>
      <c r="AY772" s="146"/>
      <c r="AZ772" s="146"/>
      <c r="BA772" s="146"/>
      <c r="BB772" s="146"/>
      <c r="BC772" s="146"/>
      <c r="BD772" s="146"/>
      <c r="BE772" s="146"/>
      <c r="BF772" s="146"/>
      <c r="BG772" s="146"/>
      <c r="BH772" s="146"/>
      <c r="BI772" s="146"/>
      <c r="BJ772" s="147"/>
      <c r="BK772" s="146"/>
      <c r="BL772" s="146"/>
    </row>
    <row r="773" spans="1:64" s="153" customFormat="1" ht="12.75">
      <c r="A773" s="138" t="s">
        <v>126</v>
      </c>
      <c r="B773" s="144"/>
      <c r="C773" s="149"/>
      <c r="D773" s="150"/>
      <c r="E773" s="151">
        <f>$B763-E768</f>
        <v>56331727.022640198</v>
      </c>
      <c r="F773" s="151">
        <f t="shared" ref="F773:AJ776" si="470">E773-F768</f>
        <v>55065845.516513452</v>
      </c>
      <c r="G773" s="151">
        <f t="shared" si="470"/>
        <v>53167023.257323332</v>
      </c>
      <c r="H773" s="151">
        <f t="shared" si="470"/>
        <v>51268200.998133212</v>
      </c>
      <c r="I773" s="151">
        <f t="shared" si="470"/>
        <v>49369378.738943093</v>
      </c>
      <c r="J773" s="151">
        <f t="shared" si="470"/>
        <v>47470556.479752973</v>
      </c>
      <c r="K773" s="151">
        <f t="shared" si="470"/>
        <v>45571734.220562853</v>
      </c>
      <c r="L773" s="151">
        <f t="shared" si="470"/>
        <v>43672911.961372733</v>
      </c>
      <c r="M773" s="151">
        <f t="shared" si="470"/>
        <v>41774089.702182613</v>
      </c>
      <c r="N773" s="151">
        <f t="shared" si="470"/>
        <v>39875267.442992494</v>
      </c>
      <c r="O773" s="151">
        <f t="shared" si="470"/>
        <v>37976445.183802374</v>
      </c>
      <c r="P773" s="151">
        <f t="shared" si="470"/>
        <v>36077622.924612254</v>
      </c>
      <c r="Q773" s="151">
        <f t="shared" si="470"/>
        <v>34178800.665422134</v>
      </c>
      <c r="R773" s="151">
        <f t="shared" si="470"/>
        <v>32279978.406232014</v>
      </c>
      <c r="S773" s="151">
        <f t="shared" si="470"/>
        <v>30381156.147041894</v>
      </c>
      <c r="T773" s="151">
        <f t="shared" si="470"/>
        <v>28482333.887851775</v>
      </c>
      <c r="U773" s="151">
        <f t="shared" si="470"/>
        <v>26583511.628661655</v>
      </c>
      <c r="V773" s="151">
        <f t="shared" si="470"/>
        <v>24684689.369471535</v>
      </c>
      <c r="W773" s="151">
        <f t="shared" si="470"/>
        <v>22785867.110281415</v>
      </c>
      <c r="X773" s="151">
        <f t="shared" si="470"/>
        <v>20887044.851091295</v>
      </c>
      <c r="Y773" s="151">
        <f t="shared" si="470"/>
        <v>18988222.591901176</v>
      </c>
      <c r="Z773" s="151">
        <f t="shared" si="470"/>
        <v>17089400.332711056</v>
      </c>
      <c r="AA773" s="151">
        <f t="shared" si="470"/>
        <v>15190578.073520936</v>
      </c>
      <c r="AB773" s="151">
        <f t="shared" si="470"/>
        <v>13291755.814330816</v>
      </c>
      <c r="AC773" s="151">
        <f t="shared" si="470"/>
        <v>11392933.555140696</v>
      </c>
      <c r="AD773" s="151">
        <f t="shared" si="470"/>
        <v>9494111.2959505767</v>
      </c>
      <c r="AE773" s="151">
        <f t="shared" si="470"/>
        <v>7595289.0367604578</v>
      </c>
      <c r="AF773" s="151">
        <f t="shared" si="470"/>
        <v>5696466.7775703389</v>
      </c>
      <c r="AG773" s="151">
        <f t="shared" si="470"/>
        <v>3797644.51838022</v>
      </c>
      <c r="AH773" s="151">
        <f t="shared" si="470"/>
        <v>1898822.2591901009</v>
      </c>
      <c r="AI773" s="151">
        <f t="shared" si="470"/>
        <v>632940.75306335487</v>
      </c>
      <c r="AJ773" s="151">
        <f t="shared" si="470"/>
        <v>-1.8160790205001831E-8</v>
      </c>
      <c r="AK773" s="151"/>
      <c r="AL773" s="151"/>
      <c r="AM773" s="151"/>
      <c r="AN773" s="151"/>
      <c r="AO773" s="151"/>
      <c r="AP773" s="151"/>
      <c r="AQ773" s="151"/>
      <c r="AR773" s="151"/>
      <c r="AS773" s="151"/>
      <c r="AT773" s="151"/>
      <c r="AU773" s="151"/>
      <c r="AV773" s="151"/>
      <c r="AW773" s="151"/>
      <c r="AX773" s="151"/>
      <c r="AY773" s="151"/>
      <c r="AZ773" s="151"/>
      <c r="BA773" s="151"/>
      <c r="BB773" s="151"/>
      <c r="BC773" s="151"/>
      <c r="BD773" s="151"/>
      <c r="BE773" s="151"/>
      <c r="BF773" s="151"/>
      <c r="BG773" s="151"/>
      <c r="BH773" s="151"/>
      <c r="BI773" s="151"/>
      <c r="BJ773" s="152"/>
      <c r="BK773" s="151"/>
      <c r="BL773" s="151"/>
    </row>
    <row r="774" spans="1:64" s="153" customFormat="1" ht="12.75">
      <c r="A774" s="138" t="s">
        <v>127</v>
      </c>
      <c r="B774" s="144"/>
      <c r="C774" s="149"/>
      <c r="D774" s="150"/>
      <c r="E774" s="151">
        <f>$B764-E769</f>
        <v>0</v>
      </c>
      <c r="F774" s="151">
        <f t="shared" si="470"/>
        <v>0</v>
      </c>
      <c r="G774" s="151">
        <f t="shared" si="470"/>
        <v>0</v>
      </c>
      <c r="H774" s="151">
        <f t="shared" si="470"/>
        <v>0</v>
      </c>
      <c r="I774" s="151">
        <f t="shared" si="470"/>
        <v>0</v>
      </c>
      <c r="J774" s="151">
        <f t="shared" si="470"/>
        <v>0</v>
      </c>
      <c r="K774" s="151">
        <f t="shared" si="470"/>
        <v>0</v>
      </c>
      <c r="L774" s="151">
        <f t="shared" si="470"/>
        <v>0</v>
      </c>
      <c r="M774" s="151">
        <f t="shared" si="470"/>
        <v>0</v>
      </c>
      <c r="N774" s="151">
        <f t="shared" si="470"/>
        <v>0</v>
      </c>
      <c r="O774" s="151">
        <f t="shared" si="470"/>
        <v>0</v>
      </c>
      <c r="P774" s="151">
        <f t="shared" si="470"/>
        <v>0</v>
      </c>
      <c r="Q774" s="151">
        <f t="shared" si="470"/>
        <v>0</v>
      </c>
      <c r="R774" s="151">
        <f t="shared" si="470"/>
        <v>0</v>
      </c>
      <c r="S774" s="151">
        <f t="shared" si="470"/>
        <v>0</v>
      </c>
      <c r="T774" s="151">
        <f t="shared" si="470"/>
        <v>0</v>
      </c>
      <c r="U774" s="151">
        <f t="shared" si="470"/>
        <v>0</v>
      </c>
      <c r="V774" s="151">
        <f t="shared" si="470"/>
        <v>0</v>
      </c>
      <c r="W774" s="151">
        <f t="shared" si="470"/>
        <v>0</v>
      </c>
      <c r="X774" s="151">
        <f t="shared" si="470"/>
        <v>0</v>
      </c>
      <c r="Y774" s="151">
        <f t="shared" si="470"/>
        <v>0</v>
      </c>
      <c r="Z774" s="151">
        <f t="shared" si="470"/>
        <v>0</v>
      </c>
      <c r="AA774" s="151">
        <f t="shared" si="470"/>
        <v>0</v>
      </c>
      <c r="AB774" s="151">
        <f t="shared" si="470"/>
        <v>0</v>
      </c>
      <c r="AC774" s="151">
        <f t="shared" si="470"/>
        <v>0</v>
      </c>
      <c r="AD774" s="151">
        <f t="shared" si="470"/>
        <v>0</v>
      </c>
      <c r="AE774" s="151">
        <f t="shared" si="470"/>
        <v>0</v>
      </c>
      <c r="AF774" s="151">
        <f t="shared" si="470"/>
        <v>0</v>
      </c>
      <c r="AG774" s="151">
        <f t="shared" si="470"/>
        <v>0</v>
      </c>
      <c r="AH774" s="151">
        <f t="shared" si="470"/>
        <v>0</v>
      </c>
      <c r="AI774" s="151">
        <f t="shared" si="470"/>
        <v>0</v>
      </c>
      <c r="AJ774" s="151">
        <f t="shared" si="470"/>
        <v>0</v>
      </c>
      <c r="AK774" s="151"/>
      <c r="AL774" s="151"/>
      <c r="AM774" s="151"/>
      <c r="AN774" s="151"/>
      <c r="AO774" s="151"/>
      <c r="AP774" s="151"/>
      <c r="AQ774" s="151"/>
      <c r="AR774" s="151"/>
      <c r="AS774" s="151"/>
      <c r="AT774" s="151"/>
      <c r="AU774" s="151"/>
      <c r="AV774" s="151"/>
      <c r="AW774" s="151"/>
      <c r="AX774" s="151"/>
      <c r="AY774" s="151"/>
      <c r="AZ774" s="151"/>
      <c r="BA774" s="151"/>
      <c r="BB774" s="151"/>
      <c r="BC774" s="151"/>
      <c r="BD774" s="151"/>
      <c r="BE774" s="151"/>
      <c r="BF774" s="151"/>
      <c r="BG774" s="151"/>
      <c r="BH774" s="151"/>
      <c r="BI774" s="151"/>
      <c r="BJ774" s="152"/>
      <c r="BK774" s="151"/>
      <c r="BL774" s="151"/>
    </row>
    <row r="775" spans="1:64" s="153" customFormat="1" ht="12.75">
      <c r="A775" s="138" t="s">
        <v>128</v>
      </c>
      <c r="B775" s="144"/>
      <c r="C775" s="154">
        <f>$B765-C770</f>
        <v>85091682.17300263</v>
      </c>
      <c r="D775" s="151">
        <f>C775-D770</f>
        <v>83949511.94249253</v>
      </c>
      <c r="E775" s="151">
        <f>D775-E770</f>
        <v>82236256.596727371</v>
      </c>
      <c r="F775" s="151">
        <f t="shared" si="470"/>
        <v>79951916.13570717</v>
      </c>
      <c r="G775" s="151">
        <f t="shared" si="470"/>
        <v>77096490.559431911</v>
      </c>
      <c r="H775" s="151">
        <f t="shared" si="470"/>
        <v>74241064.983156651</v>
      </c>
      <c r="I775" s="151">
        <f t="shared" si="470"/>
        <v>71385639.406881392</v>
      </c>
      <c r="J775" s="151">
        <f t="shared" si="470"/>
        <v>68530213.830606133</v>
      </c>
      <c r="K775" s="151">
        <f t="shared" si="470"/>
        <v>65674788.254330873</v>
      </c>
      <c r="L775" s="151">
        <f t="shared" si="470"/>
        <v>62819362.678055614</v>
      </c>
      <c r="M775" s="151">
        <f t="shared" si="470"/>
        <v>59963937.101780355</v>
      </c>
      <c r="N775" s="151">
        <f t="shared" si="470"/>
        <v>57108511.525505096</v>
      </c>
      <c r="O775" s="151">
        <f t="shared" si="470"/>
        <v>54253085.949229836</v>
      </c>
      <c r="P775" s="151">
        <f t="shared" si="470"/>
        <v>51397660.372954577</v>
      </c>
      <c r="Q775" s="151">
        <f t="shared" si="470"/>
        <v>48542234.796679318</v>
      </c>
      <c r="R775" s="151">
        <f t="shared" si="470"/>
        <v>45686809.220404059</v>
      </c>
      <c r="S775" s="151">
        <f t="shared" si="470"/>
        <v>42831383.644128799</v>
      </c>
      <c r="T775" s="151">
        <f t="shared" si="470"/>
        <v>39975958.06785354</v>
      </c>
      <c r="U775" s="151">
        <f t="shared" si="470"/>
        <v>37120532.491578281</v>
      </c>
      <c r="V775" s="151">
        <f t="shared" si="470"/>
        <v>34265106.915303022</v>
      </c>
      <c r="W775" s="151">
        <f t="shared" si="470"/>
        <v>31409681.339027766</v>
      </c>
      <c r="X775" s="151">
        <f t="shared" si="470"/>
        <v>28554255.762752511</v>
      </c>
      <c r="Y775" s="151">
        <f t="shared" si="470"/>
        <v>25698830.186477255</v>
      </c>
      <c r="Z775" s="151">
        <f t="shared" si="470"/>
        <v>22843404.610202</v>
      </c>
      <c r="AA775" s="151">
        <f t="shared" si="470"/>
        <v>19987979.033926744</v>
      </c>
      <c r="AB775" s="151">
        <f t="shared" si="470"/>
        <v>17132553.457651488</v>
      </c>
      <c r="AC775" s="151">
        <f t="shared" si="470"/>
        <v>14277127.881376233</v>
      </c>
      <c r="AD775" s="151">
        <f t="shared" si="470"/>
        <v>11421702.305100977</v>
      </c>
      <c r="AE775" s="151">
        <f t="shared" si="470"/>
        <v>8566276.7288257219</v>
      </c>
      <c r="AF775" s="151">
        <f t="shared" si="470"/>
        <v>5710851.1525504664</v>
      </c>
      <c r="AG775" s="151">
        <f t="shared" si="470"/>
        <v>3426510.6915302617</v>
      </c>
      <c r="AH775" s="151">
        <f t="shared" si="470"/>
        <v>1713255.3457651082</v>
      </c>
      <c r="AI775" s="151">
        <f t="shared" si="470"/>
        <v>571085.11525500589</v>
      </c>
      <c r="AJ775" s="151">
        <f t="shared" si="470"/>
        <v>-4.5285560190677643E-8</v>
      </c>
      <c r="AK775" s="151"/>
      <c r="AL775" s="151"/>
      <c r="AM775" s="151"/>
      <c r="AN775" s="151"/>
      <c r="AO775" s="151"/>
      <c r="AP775" s="151"/>
      <c r="AQ775" s="151"/>
      <c r="AR775" s="151"/>
      <c r="AS775" s="151"/>
      <c r="AT775" s="151"/>
      <c r="AU775" s="151"/>
      <c r="AV775" s="151"/>
      <c r="AW775" s="151"/>
      <c r="AX775" s="151"/>
      <c r="AY775" s="151"/>
      <c r="AZ775" s="151"/>
      <c r="BA775" s="151"/>
      <c r="BB775" s="151"/>
      <c r="BC775" s="151"/>
      <c r="BD775" s="151"/>
      <c r="BE775" s="151"/>
      <c r="BF775" s="151"/>
      <c r="BG775" s="151"/>
      <c r="BH775" s="151"/>
      <c r="BI775" s="151"/>
      <c r="BJ775" s="152"/>
      <c r="BK775" s="151"/>
      <c r="BL775" s="151"/>
    </row>
    <row r="776" spans="1:64" s="153" customFormat="1" ht="12.75">
      <c r="A776" s="138" t="s">
        <v>129</v>
      </c>
      <c r="B776" s="144"/>
      <c r="C776" s="154">
        <f>$B766-C771</f>
        <v>8699486.0659253914</v>
      </c>
      <c r="D776" s="151">
        <f>C776-D771</f>
        <v>8406244.9625795912</v>
      </c>
      <c r="E776" s="151">
        <f>D776-E771</f>
        <v>8113003.859233791</v>
      </c>
      <c r="F776" s="151">
        <f t="shared" si="470"/>
        <v>7819762.7558879908</v>
      </c>
      <c r="G776" s="151">
        <f t="shared" si="470"/>
        <v>7526521.6525421906</v>
      </c>
      <c r="H776" s="151">
        <f t="shared" si="470"/>
        <v>7233280.5491963904</v>
      </c>
      <c r="I776" s="151">
        <f t="shared" si="470"/>
        <v>6940039.4458505902</v>
      </c>
      <c r="J776" s="151">
        <f t="shared" si="470"/>
        <v>6646798.3425047901</v>
      </c>
      <c r="K776" s="151">
        <f t="shared" si="470"/>
        <v>6353557.2391589899</v>
      </c>
      <c r="L776" s="151">
        <f t="shared" si="470"/>
        <v>6060316.1358131897</v>
      </c>
      <c r="M776" s="151">
        <f t="shared" si="470"/>
        <v>5767075.0324673895</v>
      </c>
      <c r="N776" s="151">
        <f t="shared" si="470"/>
        <v>5473833.9291215893</v>
      </c>
      <c r="O776" s="151">
        <f t="shared" si="470"/>
        <v>5180592.8257757891</v>
      </c>
      <c r="P776" s="151">
        <f t="shared" si="470"/>
        <v>4887351.7224299889</v>
      </c>
      <c r="Q776" s="151">
        <f t="shared" si="470"/>
        <v>4594110.6190841887</v>
      </c>
      <c r="R776" s="151">
        <f t="shared" si="470"/>
        <v>4300869.5157383885</v>
      </c>
      <c r="S776" s="151">
        <f t="shared" si="470"/>
        <v>4007628.4123925888</v>
      </c>
      <c r="T776" s="151">
        <f t="shared" si="470"/>
        <v>3714387.3090467891</v>
      </c>
      <c r="U776" s="151">
        <f t="shared" si="470"/>
        <v>3421146.2057009893</v>
      </c>
      <c r="V776" s="151">
        <f t="shared" si="470"/>
        <v>3127905.1023551896</v>
      </c>
      <c r="W776" s="151">
        <f t="shared" si="470"/>
        <v>2834663.9990093899</v>
      </c>
      <c r="X776" s="151">
        <f t="shared" si="470"/>
        <v>2541422.8956635902</v>
      </c>
      <c r="Y776" s="151">
        <f t="shared" si="470"/>
        <v>2248181.7923177904</v>
      </c>
      <c r="Z776" s="151">
        <f t="shared" si="470"/>
        <v>1954940.6889719907</v>
      </c>
      <c r="AA776" s="151">
        <f t="shared" si="470"/>
        <v>1661699.585626191</v>
      </c>
      <c r="AB776" s="151">
        <f t="shared" si="470"/>
        <v>1368458.4822803913</v>
      </c>
      <c r="AC776" s="151">
        <f t="shared" si="470"/>
        <v>1075217.3789345915</v>
      </c>
      <c r="AD776" s="151">
        <f t="shared" si="470"/>
        <v>781976.27558879182</v>
      </c>
      <c r="AE776" s="151">
        <f t="shared" si="470"/>
        <v>488735.17224299209</v>
      </c>
      <c r="AF776" s="151">
        <f t="shared" si="470"/>
        <v>195494.06889719237</v>
      </c>
      <c r="AG776" s="151">
        <f t="shared" si="470"/>
        <v>-7.4505805969238281E-9</v>
      </c>
      <c r="AH776" s="151">
        <f t="shared" si="470"/>
        <v>-7.4505805969238281E-9</v>
      </c>
      <c r="AI776" s="151">
        <f t="shared" si="470"/>
        <v>-7.4505805969238281E-9</v>
      </c>
      <c r="AJ776" s="151">
        <f t="shared" si="470"/>
        <v>-7.4505805969238281E-9</v>
      </c>
      <c r="AK776" s="151"/>
      <c r="AL776" s="151"/>
      <c r="AM776" s="151"/>
      <c r="AN776" s="151"/>
      <c r="AO776" s="151"/>
      <c r="AP776" s="151"/>
      <c r="AQ776" s="151"/>
      <c r="AR776" s="151"/>
      <c r="AS776" s="151"/>
      <c r="AT776" s="151"/>
      <c r="AU776" s="151"/>
      <c r="AV776" s="151"/>
      <c r="AW776" s="151"/>
      <c r="AX776" s="151"/>
      <c r="AY776" s="151"/>
      <c r="AZ776" s="151"/>
      <c r="BA776" s="151"/>
      <c r="BB776" s="151"/>
      <c r="BC776" s="151"/>
      <c r="BD776" s="151"/>
      <c r="BE776" s="151"/>
      <c r="BF776" s="151"/>
      <c r="BG776" s="151"/>
      <c r="BH776" s="151"/>
      <c r="BI776" s="151"/>
      <c r="BJ776" s="152"/>
      <c r="BK776" s="151"/>
      <c r="BL776" s="151"/>
    </row>
    <row r="777" spans="1:64" s="116" customFormat="1">
      <c r="A777" s="111" t="s">
        <v>132</v>
      </c>
      <c r="B777" s="155">
        <f>SUM(B778:B781)</f>
        <v>209682910.83333921</v>
      </c>
      <c r="C777" s="117">
        <f>SUM(C778:C781)</f>
        <v>9446000.0388631672</v>
      </c>
      <c r="D777" s="118">
        <f t="shared" ref="D777:AJ777" si="471">SUM(D778:D781)</f>
        <v>9379116.8238928039</v>
      </c>
      <c r="E777" s="118">
        <f t="shared" si="471"/>
        <v>14932042.46807757</v>
      </c>
      <c r="F777" s="118">
        <f t="shared" si="471"/>
        <v>14668098.747860137</v>
      </c>
      <c r="G777" s="118">
        <f t="shared" si="471"/>
        <v>14283752.440810863</v>
      </c>
      <c r="H777" s="118">
        <f t="shared" si="471"/>
        <v>13779003.546929743</v>
      </c>
      <c r="I777" s="118">
        <f t="shared" si="471"/>
        <v>13274254.653048627</v>
      </c>
      <c r="J777" s="118">
        <f t="shared" si="471"/>
        <v>12769505.759167507</v>
      </c>
      <c r="K777" s="118">
        <f t="shared" si="471"/>
        <v>12264756.865286391</v>
      </c>
      <c r="L777" s="118">
        <f t="shared" si="471"/>
        <v>11760007.971405273</v>
      </c>
      <c r="M777" s="118">
        <f t="shared" si="471"/>
        <v>11255259.077524154</v>
      </c>
      <c r="N777" s="118">
        <f t="shared" si="471"/>
        <v>10750510.183643037</v>
      </c>
      <c r="O777" s="118">
        <f t="shared" si="471"/>
        <v>10245761.289761918</v>
      </c>
      <c r="P777" s="118">
        <f t="shared" si="471"/>
        <v>9741012.3958807997</v>
      </c>
      <c r="Q777" s="118">
        <f t="shared" si="471"/>
        <v>9236263.5019996837</v>
      </c>
      <c r="R777" s="118">
        <f t="shared" si="471"/>
        <v>8731514.6081185639</v>
      </c>
      <c r="S777" s="118">
        <f t="shared" si="471"/>
        <v>8226765.714237446</v>
      </c>
      <c r="T777" s="118">
        <f t="shared" si="471"/>
        <v>7722016.820356329</v>
      </c>
      <c r="U777" s="118">
        <f t="shared" si="471"/>
        <v>7217267.926475211</v>
      </c>
      <c r="V777" s="118">
        <f t="shared" si="471"/>
        <v>0</v>
      </c>
      <c r="W777" s="118">
        <f t="shared" si="471"/>
        <v>0</v>
      </c>
      <c r="X777" s="118">
        <f t="shared" si="471"/>
        <v>0</v>
      </c>
      <c r="Y777" s="118">
        <f t="shared" si="471"/>
        <v>0</v>
      </c>
      <c r="Z777" s="118">
        <f t="shared" si="471"/>
        <v>0</v>
      </c>
      <c r="AA777" s="118">
        <f t="shared" si="471"/>
        <v>0</v>
      </c>
      <c r="AB777" s="118">
        <f t="shared" si="471"/>
        <v>0</v>
      </c>
      <c r="AC777" s="118">
        <f t="shared" si="471"/>
        <v>0</v>
      </c>
      <c r="AD777" s="118">
        <f t="shared" si="471"/>
        <v>0</v>
      </c>
      <c r="AE777" s="118">
        <f t="shared" si="471"/>
        <v>0</v>
      </c>
      <c r="AF777" s="118">
        <f t="shared" si="471"/>
        <v>0</v>
      </c>
      <c r="AG777" s="118">
        <f t="shared" si="471"/>
        <v>0</v>
      </c>
      <c r="AH777" s="118">
        <f t="shared" si="471"/>
        <v>0</v>
      </c>
      <c r="AI777" s="118">
        <f t="shared" si="471"/>
        <v>0</v>
      </c>
      <c r="AJ777" s="118">
        <f t="shared" si="471"/>
        <v>0</v>
      </c>
      <c r="AK777" s="118"/>
      <c r="AL777" s="118"/>
      <c r="AM777" s="118"/>
      <c r="AN777" s="118"/>
      <c r="AO777" s="118"/>
      <c r="AP777" s="118"/>
      <c r="AQ777" s="118"/>
      <c r="AR777" s="118"/>
      <c r="AS777" s="118"/>
      <c r="AT777" s="118"/>
      <c r="AU777" s="118"/>
      <c r="AV777" s="118"/>
      <c r="AW777" s="118"/>
      <c r="AX777" s="118"/>
      <c r="AY777" s="118"/>
      <c r="AZ777" s="118"/>
      <c r="BA777" s="118"/>
      <c r="BB777" s="118"/>
      <c r="BC777" s="118"/>
      <c r="BD777" s="118"/>
      <c r="BE777" s="118"/>
      <c r="BF777" s="118"/>
      <c r="BG777" s="118"/>
      <c r="BH777" s="118"/>
      <c r="BI777" s="118"/>
      <c r="BJ777" s="119"/>
      <c r="BK777" s="118"/>
      <c r="BL777" s="118"/>
    </row>
    <row r="778" spans="1:64" s="143" customFormat="1" ht="12.75">
      <c r="A778" s="138" t="s">
        <v>126</v>
      </c>
      <c r="B778" s="139">
        <f>SUM(C778:BJ778)</f>
        <v>73990774.033108309</v>
      </c>
      <c r="C778" s="140"/>
      <c r="D778" s="141"/>
      <c r="E778" s="226">
        <f>IF(AND(E750&gt;5,E751=0),0,(E773+E768)*$I749)</f>
        <v>5696466.7775703575</v>
      </c>
      <c r="F778" s="141">
        <f>IF(AND(F750&gt;5,F751=0),0,(F773+F768)*$I749)</f>
        <v>5633172.7022640202</v>
      </c>
      <c r="G778" s="141">
        <f t="shared" ref="G778:BJ778" si="472">IF(AND(G750&gt;5,G751=0),0,(G773+G768)*$I749)</f>
        <v>5506584.5516513456</v>
      </c>
      <c r="H778" s="141">
        <f t="shared" si="472"/>
        <v>5316702.3257323336</v>
      </c>
      <c r="I778" s="141">
        <f t="shared" si="472"/>
        <v>5126820.0998133216</v>
      </c>
      <c r="J778" s="141">
        <f t="shared" si="472"/>
        <v>4936937.8738943096</v>
      </c>
      <c r="K778" s="141">
        <f t="shared" si="472"/>
        <v>4747055.6479752976</v>
      </c>
      <c r="L778" s="141">
        <f t="shared" si="472"/>
        <v>4557173.4220562857</v>
      </c>
      <c r="M778" s="141">
        <f t="shared" si="472"/>
        <v>4367291.1961372737</v>
      </c>
      <c r="N778" s="141">
        <f t="shared" si="472"/>
        <v>4177408.9702182617</v>
      </c>
      <c r="O778" s="141">
        <f t="shared" si="472"/>
        <v>3987526.7442992497</v>
      </c>
      <c r="P778" s="141">
        <f t="shared" si="472"/>
        <v>3797644.5183802377</v>
      </c>
      <c r="Q778" s="141">
        <f t="shared" si="472"/>
        <v>3607762.2924612258</v>
      </c>
      <c r="R778" s="141">
        <f t="shared" si="472"/>
        <v>3417880.0665422138</v>
      </c>
      <c r="S778" s="141">
        <f t="shared" si="472"/>
        <v>3227997.8406232018</v>
      </c>
      <c r="T778" s="141">
        <f t="shared" si="472"/>
        <v>3038115.6147041898</v>
      </c>
      <c r="U778" s="141">
        <f t="shared" si="472"/>
        <v>2848233.3887851778</v>
      </c>
      <c r="V778" s="141">
        <f t="shared" si="472"/>
        <v>0</v>
      </c>
      <c r="W778" s="141">
        <f t="shared" si="472"/>
        <v>0</v>
      </c>
      <c r="X778" s="141">
        <f t="shared" si="472"/>
        <v>0</v>
      </c>
      <c r="Y778" s="141">
        <f t="shared" si="472"/>
        <v>0</v>
      </c>
      <c r="Z778" s="141">
        <f t="shared" si="472"/>
        <v>0</v>
      </c>
      <c r="AA778" s="141">
        <f t="shared" si="472"/>
        <v>0</v>
      </c>
      <c r="AB778" s="141">
        <f t="shared" si="472"/>
        <v>0</v>
      </c>
      <c r="AC778" s="141">
        <f t="shared" si="472"/>
        <v>0</v>
      </c>
      <c r="AD778" s="141">
        <f t="shared" si="472"/>
        <v>0</v>
      </c>
      <c r="AE778" s="141">
        <f t="shared" si="472"/>
        <v>0</v>
      </c>
      <c r="AF778" s="141">
        <f t="shared" si="472"/>
        <v>0</v>
      </c>
      <c r="AG778" s="141">
        <f t="shared" si="472"/>
        <v>0</v>
      </c>
      <c r="AH778" s="141">
        <f t="shared" si="472"/>
        <v>0</v>
      </c>
      <c r="AI778" s="141">
        <f t="shared" si="472"/>
        <v>0</v>
      </c>
      <c r="AJ778" s="141">
        <f t="shared" si="472"/>
        <v>0</v>
      </c>
      <c r="AK778" s="141">
        <f t="shared" si="472"/>
        <v>0</v>
      </c>
      <c r="AL778" s="141">
        <f t="shared" si="472"/>
        <v>0</v>
      </c>
      <c r="AM778" s="141">
        <f t="shared" si="472"/>
        <v>0</v>
      </c>
      <c r="AN778" s="141">
        <f t="shared" si="472"/>
        <v>0</v>
      </c>
      <c r="AO778" s="141">
        <f t="shared" si="472"/>
        <v>0</v>
      </c>
      <c r="AP778" s="141">
        <f t="shared" si="472"/>
        <v>0</v>
      </c>
      <c r="AQ778" s="141">
        <f t="shared" si="472"/>
        <v>0</v>
      </c>
      <c r="AR778" s="141">
        <f t="shared" si="472"/>
        <v>0</v>
      </c>
      <c r="AS778" s="141">
        <f t="shared" si="472"/>
        <v>0</v>
      </c>
      <c r="AT778" s="141">
        <f t="shared" si="472"/>
        <v>0</v>
      </c>
      <c r="AU778" s="141">
        <f t="shared" si="472"/>
        <v>0</v>
      </c>
      <c r="AV778" s="141">
        <f t="shared" si="472"/>
        <v>0</v>
      </c>
      <c r="AW778" s="141">
        <f t="shared" si="472"/>
        <v>0</v>
      </c>
      <c r="AX778" s="141">
        <f t="shared" si="472"/>
        <v>0</v>
      </c>
      <c r="AY778" s="141">
        <f t="shared" si="472"/>
        <v>0</v>
      </c>
      <c r="AZ778" s="141">
        <f t="shared" si="472"/>
        <v>0</v>
      </c>
      <c r="BA778" s="141">
        <f t="shared" si="472"/>
        <v>0</v>
      </c>
      <c r="BB778" s="141">
        <f t="shared" si="472"/>
        <v>0</v>
      </c>
      <c r="BC778" s="141">
        <f t="shared" si="472"/>
        <v>0</v>
      </c>
      <c r="BD778" s="141">
        <f t="shared" si="472"/>
        <v>0</v>
      </c>
      <c r="BE778" s="141">
        <f t="shared" si="472"/>
        <v>0</v>
      </c>
      <c r="BF778" s="141">
        <f t="shared" si="472"/>
        <v>0</v>
      </c>
      <c r="BG778" s="141">
        <f t="shared" si="472"/>
        <v>0</v>
      </c>
      <c r="BH778" s="141">
        <f t="shared" si="472"/>
        <v>0</v>
      </c>
      <c r="BI778" s="141">
        <f t="shared" si="472"/>
        <v>0</v>
      </c>
      <c r="BJ778" s="142">
        <f t="shared" si="472"/>
        <v>0</v>
      </c>
      <c r="BK778" s="141"/>
      <c r="BL778" s="141"/>
    </row>
    <row r="779" spans="1:64" s="143" customFormat="1" ht="12.75">
      <c r="A779" s="138" t="s">
        <v>127</v>
      </c>
      <c r="B779" s="139">
        <f>SUM(C779:BJ779)</f>
        <v>0</v>
      </c>
      <c r="C779" s="140"/>
      <c r="D779" s="141"/>
      <c r="E779" s="226">
        <f>IF(AND(E750&gt;5,E751=0),0,(E774+E769)*$I749)</f>
        <v>0</v>
      </c>
      <c r="F779" s="141">
        <f t="shared" ref="F779:BJ779" si="473">IF(AND(F750&gt;5,F751=0),0,(F774+F769)*$I749)</f>
        <v>0</v>
      </c>
      <c r="G779" s="141">
        <f t="shared" si="473"/>
        <v>0</v>
      </c>
      <c r="H779" s="141">
        <f t="shared" si="473"/>
        <v>0</v>
      </c>
      <c r="I779" s="141">
        <f t="shared" si="473"/>
        <v>0</v>
      </c>
      <c r="J779" s="141">
        <f t="shared" si="473"/>
        <v>0</v>
      </c>
      <c r="K779" s="141">
        <f t="shared" si="473"/>
        <v>0</v>
      </c>
      <c r="L779" s="141">
        <f t="shared" si="473"/>
        <v>0</v>
      </c>
      <c r="M779" s="141">
        <f t="shared" si="473"/>
        <v>0</v>
      </c>
      <c r="N779" s="141">
        <f t="shared" si="473"/>
        <v>0</v>
      </c>
      <c r="O779" s="141">
        <f t="shared" si="473"/>
        <v>0</v>
      </c>
      <c r="P779" s="141">
        <f t="shared" si="473"/>
        <v>0</v>
      </c>
      <c r="Q779" s="141">
        <f t="shared" si="473"/>
        <v>0</v>
      </c>
      <c r="R779" s="141">
        <f t="shared" si="473"/>
        <v>0</v>
      </c>
      <c r="S779" s="141">
        <f t="shared" si="473"/>
        <v>0</v>
      </c>
      <c r="T779" s="141">
        <f t="shared" si="473"/>
        <v>0</v>
      </c>
      <c r="U779" s="141">
        <f t="shared" si="473"/>
        <v>0</v>
      </c>
      <c r="V779" s="141">
        <f t="shared" si="473"/>
        <v>0</v>
      </c>
      <c r="W779" s="141">
        <f t="shared" si="473"/>
        <v>0</v>
      </c>
      <c r="X779" s="141">
        <f t="shared" si="473"/>
        <v>0</v>
      </c>
      <c r="Y779" s="141">
        <f t="shared" si="473"/>
        <v>0</v>
      </c>
      <c r="Z779" s="141">
        <f t="shared" si="473"/>
        <v>0</v>
      </c>
      <c r="AA779" s="141">
        <f t="shared" si="473"/>
        <v>0</v>
      </c>
      <c r="AB779" s="141">
        <f t="shared" si="473"/>
        <v>0</v>
      </c>
      <c r="AC779" s="141">
        <f t="shared" si="473"/>
        <v>0</v>
      </c>
      <c r="AD779" s="141">
        <f t="shared" si="473"/>
        <v>0</v>
      </c>
      <c r="AE779" s="141">
        <f t="shared" si="473"/>
        <v>0</v>
      </c>
      <c r="AF779" s="141">
        <f t="shared" si="473"/>
        <v>0</v>
      </c>
      <c r="AG779" s="141">
        <f t="shared" si="473"/>
        <v>0</v>
      </c>
      <c r="AH779" s="141">
        <f t="shared" si="473"/>
        <v>0</v>
      </c>
      <c r="AI779" s="141">
        <f t="shared" si="473"/>
        <v>0</v>
      </c>
      <c r="AJ779" s="141">
        <f t="shared" si="473"/>
        <v>0</v>
      </c>
      <c r="AK779" s="141">
        <f t="shared" si="473"/>
        <v>0</v>
      </c>
      <c r="AL779" s="141">
        <f t="shared" si="473"/>
        <v>0</v>
      </c>
      <c r="AM779" s="141">
        <f t="shared" si="473"/>
        <v>0</v>
      </c>
      <c r="AN779" s="141">
        <f t="shared" si="473"/>
        <v>0</v>
      </c>
      <c r="AO779" s="141">
        <f t="shared" si="473"/>
        <v>0</v>
      </c>
      <c r="AP779" s="141">
        <f t="shared" si="473"/>
        <v>0</v>
      </c>
      <c r="AQ779" s="141">
        <f t="shared" si="473"/>
        <v>0</v>
      </c>
      <c r="AR779" s="141">
        <f t="shared" si="473"/>
        <v>0</v>
      </c>
      <c r="AS779" s="141">
        <f t="shared" si="473"/>
        <v>0</v>
      </c>
      <c r="AT779" s="141">
        <f t="shared" si="473"/>
        <v>0</v>
      </c>
      <c r="AU779" s="141">
        <f t="shared" si="473"/>
        <v>0</v>
      </c>
      <c r="AV779" s="141">
        <f t="shared" si="473"/>
        <v>0</v>
      </c>
      <c r="AW779" s="141">
        <f t="shared" si="473"/>
        <v>0</v>
      </c>
      <c r="AX779" s="141">
        <f t="shared" si="473"/>
        <v>0</v>
      </c>
      <c r="AY779" s="141">
        <f t="shared" si="473"/>
        <v>0</v>
      </c>
      <c r="AZ779" s="141">
        <f t="shared" si="473"/>
        <v>0</v>
      </c>
      <c r="BA779" s="141">
        <f t="shared" si="473"/>
        <v>0</v>
      </c>
      <c r="BB779" s="141">
        <f t="shared" si="473"/>
        <v>0</v>
      </c>
      <c r="BC779" s="141">
        <f t="shared" si="473"/>
        <v>0</v>
      </c>
      <c r="BD779" s="141">
        <f t="shared" si="473"/>
        <v>0</v>
      </c>
      <c r="BE779" s="141">
        <f t="shared" si="473"/>
        <v>0</v>
      </c>
      <c r="BF779" s="141">
        <f t="shared" si="473"/>
        <v>0</v>
      </c>
      <c r="BG779" s="141">
        <f t="shared" si="473"/>
        <v>0</v>
      </c>
      <c r="BH779" s="141">
        <f t="shared" si="473"/>
        <v>0</v>
      </c>
      <c r="BI779" s="141">
        <f t="shared" si="473"/>
        <v>0</v>
      </c>
      <c r="BJ779" s="142">
        <f t="shared" si="473"/>
        <v>0</v>
      </c>
      <c r="BK779" s="141"/>
      <c r="BL779" s="141"/>
    </row>
    <row r="780" spans="1:64" s="143" customFormat="1" ht="12.75">
      <c r="A780" s="138" t="s">
        <v>128</v>
      </c>
      <c r="B780" s="139">
        <f>SUM(C780:BJ780)</f>
        <v>123639927.45271856</v>
      </c>
      <c r="C780" s="227">
        <f>IF(AND(C750&gt;5,C751=0),0,(C775+C770)*$I749)</f>
        <v>8566276.7288257685</v>
      </c>
      <c r="D780" s="141">
        <f>IF(AND(D750&gt;5,D751=0),0,(D775+D770)*$I749)</f>
        <v>8509168.2173002642</v>
      </c>
      <c r="E780" s="141">
        <f t="shared" ref="E780:BJ780" si="474">IF(AND(E750&gt;5,E751=0),0,(E775+E770)*$I749)</f>
        <v>8394951.1942492537</v>
      </c>
      <c r="F780" s="141">
        <f t="shared" si="474"/>
        <v>8223625.6596727371</v>
      </c>
      <c r="G780" s="141">
        <f t="shared" si="474"/>
        <v>7995191.6135707172</v>
      </c>
      <c r="H780" s="141">
        <f t="shared" si="474"/>
        <v>7709649.0559431911</v>
      </c>
      <c r="I780" s="141">
        <f t="shared" si="474"/>
        <v>7424106.4983156659</v>
      </c>
      <c r="J780" s="141">
        <f t="shared" si="474"/>
        <v>7138563.9406881398</v>
      </c>
      <c r="K780" s="141">
        <f t="shared" si="474"/>
        <v>6853021.3830606136</v>
      </c>
      <c r="L780" s="141">
        <f t="shared" si="474"/>
        <v>6567478.8254330875</v>
      </c>
      <c r="M780" s="141">
        <f t="shared" si="474"/>
        <v>6281936.2678055614</v>
      </c>
      <c r="N780" s="141">
        <f t="shared" si="474"/>
        <v>5996393.7101780362</v>
      </c>
      <c r="O780" s="141">
        <f t="shared" si="474"/>
        <v>5710851.1525505101</v>
      </c>
      <c r="P780" s="141">
        <f t="shared" si="474"/>
        <v>5425308.594922984</v>
      </c>
      <c r="Q780" s="141">
        <f t="shared" si="474"/>
        <v>5139766.0372954579</v>
      </c>
      <c r="R780" s="141">
        <f t="shared" si="474"/>
        <v>4854223.4796679318</v>
      </c>
      <c r="S780" s="141">
        <f t="shared" si="474"/>
        <v>4568680.9220404057</v>
      </c>
      <c r="T780" s="141">
        <f t="shared" si="474"/>
        <v>4283138.3644128805</v>
      </c>
      <c r="U780" s="141">
        <f t="shared" si="474"/>
        <v>3997595.8067853544</v>
      </c>
      <c r="V780" s="141">
        <f t="shared" si="474"/>
        <v>0</v>
      </c>
      <c r="W780" s="141">
        <f t="shared" si="474"/>
        <v>0</v>
      </c>
      <c r="X780" s="141">
        <f t="shared" si="474"/>
        <v>0</v>
      </c>
      <c r="Y780" s="141">
        <f t="shared" si="474"/>
        <v>0</v>
      </c>
      <c r="Z780" s="141">
        <f t="shared" si="474"/>
        <v>0</v>
      </c>
      <c r="AA780" s="141">
        <f t="shared" si="474"/>
        <v>0</v>
      </c>
      <c r="AB780" s="141">
        <f t="shared" si="474"/>
        <v>0</v>
      </c>
      <c r="AC780" s="141">
        <f t="shared" si="474"/>
        <v>0</v>
      </c>
      <c r="AD780" s="141">
        <f t="shared" si="474"/>
        <v>0</v>
      </c>
      <c r="AE780" s="141">
        <f t="shared" si="474"/>
        <v>0</v>
      </c>
      <c r="AF780" s="141">
        <f t="shared" si="474"/>
        <v>0</v>
      </c>
      <c r="AG780" s="141">
        <f t="shared" si="474"/>
        <v>0</v>
      </c>
      <c r="AH780" s="141">
        <f t="shared" si="474"/>
        <v>0</v>
      </c>
      <c r="AI780" s="141">
        <f t="shared" si="474"/>
        <v>0</v>
      </c>
      <c r="AJ780" s="141">
        <f t="shared" si="474"/>
        <v>0</v>
      </c>
      <c r="AK780" s="141">
        <f t="shared" si="474"/>
        <v>0</v>
      </c>
      <c r="AL780" s="141">
        <f t="shared" si="474"/>
        <v>0</v>
      </c>
      <c r="AM780" s="141">
        <f t="shared" si="474"/>
        <v>0</v>
      </c>
      <c r="AN780" s="141">
        <f t="shared" si="474"/>
        <v>0</v>
      </c>
      <c r="AO780" s="141">
        <f t="shared" si="474"/>
        <v>0</v>
      </c>
      <c r="AP780" s="141">
        <f t="shared" si="474"/>
        <v>0</v>
      </c>
      <c r="AQ780" s="141">
        <f t="shared" si="474"/>
        <v>0</v>
      </c>
      <c r="AR780" s="141">
        <f t="shared" si="474"/>
        <v>0</v>
      </c>
      <c r="AS780" s="141">
        <f t="shared" si="474"/>
        <v>0</v>
      </c>
      <c r="AT780" s="141">
        <f t="shared" si="474"/>
        <v>0</v>
      </c>
      <c r="AU780" s="141">
        <f t="shared" si="474"/>
        <v>0</v>
      </c>
      <c r="AV780" s="141">
        <f t="shared" si="474"/>
        <v>0</v>
      </c>
      <c r="AW780" s="141">
        <f t="shared" si="474"/>
        <v>0</v>
      </c>
      <c r="AX780" s="141">
        <f t="shared" si="474"/>
        <v>0</v>
      </c>
      <c r="AY780" s="141">
        <f t="shared" si="474"/>
        <v>0</v>
      </c>
      <c r="AZ780" s="141">
        <f t="shared" si="474"/>
        <v>0</v>
      </c>
      <c r="BA780" s="141">
        <f t="shared" si="474"/>
        <v>0</v>
      </c>
      <c r="BB780" s="141">
        <f t="shared" si="474"/>
        <v>0</v>
      </c>
      <c r="BC780" s="141">
        <f t="shared" si="474"/>
        <v>0</v>
      </c>
      <c r="BD780" s="141">
        <f t="shared" si="474"/>
        <v>0</v>
      </c>
      <c r="BE780" s="141">
        <f t="shared" si="474"/>
        <v>0</v>
      </c>
      <c r="BF780" s="141">
        <f t="shared" si="474"/>
        <v>0</v>
      </c>
      <c r="BG780" s="141">
        <f t="shared" si="474"/>
        <v>0</v>
      </c>
      <c r="BH780" s="141">
        <f t="shared" si="474"/>
        <v>0</v>
      </c>
      <c r="BI780" s="141">
        <f t="shared" si="474"/>
        <v>0</v>
      </c>
      <c r="BJ780" s="142">
        <f t="shared" si="474"/>
        <v>0</v>
      </c>
      <c r="BK780" s="141"/>
      <c r="BL780" s="141"/>
    </row>
    <row r="781" spans="1:64" s="143" customFormat="1" ht="12.75">
      <c r="A781" s="138" t="s">
        <v>129</v>
      </c>
      <c r="B781" s="139">
        <f>SUM(C781:BJ781)</f>
        <v>12052209.347512364</v>
      </c>
      <c r="C781" s="227">
        <f>IF(AND(C750&gt;5,C751=0),0,(C776+C771)*$I749)</f>
        <v>879723.31003739918</v>
      </c>
      <c r="D781" s="141">
        <f>IF(AND(D750&gt;5,D751=0),0,(D776+D771)*$I749)</f>
        <v>869948.60659253923</v>
      </c>
      <c r="E781" s="141">
        <f t="shared" ref="E781:BJ781" si="475">IF(AND(E750&gt;5,E751=0),0,(E776+E771)*$I749)</f>
        <v>840624.49625795917</v>
      </c>
      <c r="F781" s="141">
        <f t="shared" si="475"/>
        <v>811300.3859233791</v>
      </c>
      <c r="G781" s="141">
        <f t="shared" si="475"/>
        <v>781976.27558879915</v>
      </c>
      <c r="H781" s="141">
        <f t="shared" si="475"/>
        <v>752652.16525421909</v>
      </c>
      <c r="I781" s="141">
        <f t="shared" si="475"/>
        <v>723328.05491963914</v>
      </c>
      <c r="J781" s="141">
        <f t="shared" si="475"/>
        <v>694003.94458505907</v>
      </c>
      <c r="K781" s="141">
        <f t="shared" si="475"/>
        <v>664679.83425047901</v>
      </c>
      <c r="L781" s="141">
        <f t="shared" si="475"/>
        <v>635355.72391589906</v>
      </c>
      <c r="M781" s="141">
        <f t="shared" si="475"/>
        <v>606031.61358131899</v>
      </c>
      <c r="N781" s="141">
        <f t="shared" si="475"/>
        <v>576707.50324673892</v>
      </c>
      <c r="O781" s="141">
        <f t="shared" si="475"/>
        <v>547383.39291215898</v>
      </c>
      <c r="P781" s="141">
        <f t="shared" si="475"/>
        <v>518059.28257757891</v>
      </c>
      <c r="Q781" s="141">
        <f t="shared" si="475"/>
        <v>488735.1722429989</v>
      </c>
      <c r="R781" s="141">
        <f t="shared" si="475"/>
        <v>459411.06190841889</v>
      </c>
      <c r="S781" s="141">
        <f t="shared" si="475"/>
        <v>430086.95157383889</v>
      </c>
      <c r="T781" s="141">
        <f t="shared" si="475"/>
        <v>400762.84123925888</v>
      </c>
      <c r="U781" s="141">
        <f t="shared" si="475"/>
        <v>371438.73090467893</v>
      </c>
      <c r="V781" s="141">
        <f t="shared" si="475"/>
        <v>0</v>
      </c>
      <c r="W781" s="141">
        <f t="shared" si="475"/>
        <v>0</v>
      </c>
      <c r="X781" s="141">
        <f t="shared" si="475"/>
        <v>0</v>
      </c>
      <c r="Y781" s="141">
        <f t="shared" si="475"/>
        <v>0</v>
      </c>
      <c r="Z781" s="141">
        <f t="shared" si="475"/>
        <v>0</v>
      </c>
      <c r="AA781" s="141">
        <f t="shared" si="475"/>
        <v>0</v>
      </c>
      <c r="AB781" s="141">
        <f t="shared" si="475"/>
        <v>0</v>
      </c>
      <c r="AC781" s="141">
        <f t="shared" si="475"/>
        <v>0</v>
      </c>
      <c r="AD781" s="141">
        <f t="shared" si="475"/>
        <v>0</v>
      </c>
      <c r="AE781" s="141">
        <f t="shared" si="475"/>
        <v>0</v>
      </c>
      <c r="AF781" s="141">
        <f t="shared" si="475"/>
        <v>0</v>
      </c>
      <c r="AG781" s="141">
        <f t="shared" si="475"/>
        <v>0</v>
      </c>
      <c r="AH781" s="141">
        <f t="shared" si="475"/>
        <v>0</v>
      </c>
      <c r="AI781" s="141">
        <f t="shared" si="475"/>
        <v>0</v>
      </c>
      <c r="AJ781" s="141">
        <f t="shared" si="475"/>
        <v>0</v>
      </c>
      <c r="AK781" s="141">
        <f t="shared" si="475"/>
        <v>0</v>
      </c>
      <c r="AL781" s="141">
        <f t="shared" si="475"/>
        <v>0</v>
      </c>
      <c r="AM781" s="141">
        <f t="shared" si="475"/>
        <v>0</v>
      </c>
      <c r="AN781" s="141">
        <f t="shared" si="475"/>
        <v>0</v>
      </c>
      <c r="AO781" s="141">
        <f t="shared" si="475"/>
        <v>0</v>
      </c>
      <c r="AP781" s="141">
        <f t="shared" si="475"/>
        <v>0</v>
      </c>
      <c r="AQ781" s="141">
        <f t="shared" si="475"/>
        <v>0</v>
      </c>
      <c r="AR781" s="141">
        <f t="shared" si="475"/>
        <v>0</v>
      </c>
      <c r="AS781" s="141">
        <f t="shared" si="475"/>
        <v>0</v>
      </c>
      <c r="AT781" s="141">
        <f t="shared" si="475"/>
        <v>0</v>
      </c>
      <c r="AU781" s="141">
        <f t="shared" si="475"/>
        <v>0</v>
      </c>
      <c r="AV781" s="141">
        <f t="shared" si="475"/>
        <v>0</v>
      </c>
      <c r="AW781" s="141">
        <f t="shared" si="475"/>
        <v>0</v>
      </c>
      <c r="AX781" s="141">
        <f t="shared" si="475"/>
        <v>0</v>
      </c>
      <c r="AY781" s="141">
        <f t="shared" si="475"/>
        <v>0</v>
      </c>
      <c r="AZ781" s="141">
        <f t="shared" si="475"/>
        <v>0</v>
      </c>
      <c r="BA781" s="141">
        <f t="shared" si="475"/>
        <v>0</v>
      </c>
      <c r="BB781" s="141">
        <f t="shared" si="475"/>
        <v>0</v>
      </c>
      <c r="BC781" s="141">
        <f t="shared" si="475"/>
        <v>0</v>
      </c>
      <c r="BD781" s="141">
        <f t="shared" si="475"/>
        <v>0</v>
      </c>
      <c r="BE781" s="141">
        <f t="shared" si="475"/>
        <v>0</v>
      </c>
      <c r="BF781" s="141">
        <f t="shared" si="475"/>
        <v>0</v>
      </c>
      <c r="BG781" s="141">
        <f t="shared" si="475"/>
        <v>0</v>
      </c>
      <c r="BH781" s="141">
        <f t="shared" si="475"/>
        <v>0</v>
      </c>
      <c r="BI781" s="141">
        <f t="shared" si="475"/>
        <v>0</v>
      </c>
      <c r="BJ781" s="142">
        <f t="shared" si="475"/>
        <v>0</v>
      </c>
      <c r="BK781" s="141"/>
      <c r="BL781" s="141"/>
    </row>
    <row r="782" spans="1:64" s="116" customFormat="1">
      <c r="A782" s="111" t="s">
        <v>133</v>
      </c>
      <c r="B782" s="155">
        <f>SUM(B783:B786)</f>
        <v>84299477.838394284</v>
      </c>
      <c r="C782" s="117">
        <f>SUM(C783:C786)</f>
        <v>668832.14970365108</v>
      </c>
      <c r="D782" s="118">
        <f>SUM(D783:D786)</f>
        <v>1435411.3338559021</v>
      </c>
      <c r="E782" s="118">
        <f>SUM(E783:E786)</f>
        <v>2639437.2021743259</v>
      </c>
      <c r="F782" s="118">
        <f t="shared" ref="F782:AJ782" si="476">SUM(F783:F786)</f>
        <v>3843463.0704927505</v>
      </c>
      <c r="G782" s="118">
        <f t="shared" si="476"/>
        <v>5047488.9388111755</v>
      </c>
      <c r="H782" s="118">
        <f t="shared" si="476"/>
        <v>5047488.9388111755</v>
      </c>
      <c r="I782" s="118">
        <f t="shared" si="476"/>
        <v>5047488.9388111755</v>
      </c>
      <c r="J782" s="118">
        <f t="shared" si="476"/>
        <v>5047488.9388111755</v>
      </c>
      <c r="K782" s="118">
        <f t="shared" si="476"/>
        <v>5047488.9388111755</v>
      </c>
      <c r="L782" s="118">
        <f t="shared" si="476"/>
        <v>5047488.9388111755</v>
      </c>
      <c r="M782" s="118">
        <f t="shared" si="476"/>
        <v>5047488.9388111755</v>
      </c>
      <c r="N782" s="118">
        <f t="shared" si="476"/>
        <v>5047488.9388111755</v>
      </c>
      <c r="O782" s="118">
        <f t="shared" si="476"/>
        <v>5047488.9388111755</v>
      </c>
      <c r="P782" s="118">
        <f t="shared" si="476"/>
        <v>5047488.9388111755</v>
      </c>
      <c r="Q782" s="118">
        <f t="shared" si="476"/>
        <v>5047488.9388111755</v>
      </c>
      <c r="R782" s="118">
        <f t="shared" si="476"/>
        <v>5047488.9388111755</v>
      </c>
      <c r="S782" s="118">
        <f t="shared" si="476"/>
        <v>5047488.9388111755</v>
      </c>
      <c r="T782" s="118">
        <f t="shared" si="476"/>
        <v>5047488.9388111755</v>
      </c>
      <c r="U782" s="118">
        <f t="shared" si="476"/>
        <v>5047488.9388111755</v>
      </c>
      <c r="V782" s="118">
        <f t="shared" si="476"/>
        <v>0</v>
      </c>
      <c r="W782" s="118">
        <f t="shared" si="476"/>
        <v>0</v>
      </c>
      <c r="X782" s="118">
        <f t="shared" si="476"/>
        <v>0</v>
      </c>
      <c r="Y782" s="118">
        <f t="shared" si="476"/>
        <v>0</v>
      </c>
      <c r="Z782" s="118">
        <f t="shared" si="476"/>
        <v>0</v>
      </c>
      <c r="AA782" s="118">
        <f t="shared" si="476"/>
        <v>0</v>
      </c>
      <c r="AB782" s="118">
        <f t="shared" si="476"/>
        <v>0</v>
      </c>
      <c r="AC782" s="118">
        <f t="shared" si="476"/>
        <v>0</v>
      </c>
      <c r="AD782" s="118">
        <f t="shared" si="476"/>
        <v>0</v>
      </c>
      <c r="AE782" s="118">
        <f t="shared" si="476"/>
        <v>0</v>
      </c>
      <c r="AF782" s="118">
        <f t="shared" si="476"/>
        <v>0</v>
      </c>
      <c r="AG782" s="118">
        <f t="shared" si="476"/>
        <v>0</v>
      </c>
      <c r="AH782" s="118">
        <f t="shared" si="476"/>
        <v>0</v>
      </c>
      <c r="AI782" s="118">
        <f t="shared" si="476"/>
        <v>0</v>
      </c>
      <c r="AJ782" s="118">
        <f t="shared" si="476"/>
        <v>0</v>
      </c>
      <c r="AK782" s="118"/>
      <c r="AL782" s="118"/>
      <c r="AM782" s="118"/>
      <c r="AN782" s="118"/>
      <c r="AO782" s="118"/>
      <c r="AP782" s="118"/>
      <c r="AQ782" s="118"/>
      <c r="AR782" s="118"/>
      <c r="AS782" s="118"/>
      <c r="AT782" s="118"/>
      <c r="AU782" s="118"/>
      <c r="AV782" s="118"/>
      <c r="AW782" s="118"/>
      <c r="AX782" s="118"/>
      <c r="AY782" s="118"/>
      <c r="AZ782" s="118"/>
      <c r="BA782" s="118"/>
      <c r="BB782" s="118"/>
      <c r="BC782" s="118"/>
      <c r="BD782" s="118"/>
      <c r="BE782" s="118"/>
      <c r="BF782" s="118"/>
      <c r="BG782" s="118"/>
      <c r="BH782" s="118"/>
      <c r="BI782" s="118"/>
      <c r="BJ782" s="119"/>
      <c r="BK782" s="118"/>
      <c r="BL782" s="118"/>
    </row>
    <row r="783" spans="1:64" s="143" customFormat="1" ht="12.75">
      <c r="A783" s="138" t="s">
        <v>126</v>
      </c>
      <c r="B783" s="139">
        <f t="shared" ref="B783:B789" si="477">SUM(C783:BJ783)</f>
        <v>30381156.147041913</v>
      </c>
      <c r="C783" s="227">
        <f>IF(AND(C750&gt;5,C751=0),0,C768)</f>
        <v>0</v>
      </c>
      <c r="D783" s="141">
        <f>IF(AND(D750&gt;5,D751=0),0,D768)</f>
        <v>0</v>
      </c>
      <c r="E783" s="141">
        <f t="shared" ref="E783:BJ783" si="478">IF(AND(E750&gt;5,E751=0),0,E768)</f>
        <v>632940.75306337303</v>
      </c>
      <c r="F783" s="141">
        <f t="shared" si="478"/>
        <v>1265881.5061267461</v>
      </c>
      <c r="G783" s="141">
        <f t="shared" si="478"/>
        <v>1898822.2591901191</v>
      </c>
      <c r="H783" s="141">
        <f t="shared" si="478"/>
        <v>1898822.2591901191</v>
      </c>
      <c r="I783" s="141">
        <f t="shared" si="478"/>
        <v>1898822.2591901191</v>
      </c>
      <c r="J783" s="141">
        <f t="shared" si="478"/>
        <v>1898822.2591901191</v>
      </c>
      <c r="K783" s="141">
        <f t="shared" si="478"/>
        <v>1898822.2591901191</v>
      </c>
      <c r="L783" s="141">
        <f t="shared" si="478"/>
        <v>1898822.2591901191</v>
      </c>
      <c r="M783" s="141">
        <f t="shared" si="478"/>
        <v>1898822.2591901191</v>
      </c>
      <c r="N783" s="141">
        <f t="shared" si="478"/>
        <v>1898822.2591901191</v>
      </c>
      <c r="O783" s="141">
        <f t="shared" si="478"/>
        <v>1898822.2591901191</v>
      </c>
      <c r="P783" s="141">
        <f t="shared" si="478"/>
        <v>1898822.2591901191</v>
      </c>
      <c r="Q783" s="141">
        <f t="shared" si="478"/>
        <v>1898822.2591901191</v>
      </c>
      <c r="R783" s="141">
        <f t="shared" si="478"/>
        <v>1898822.2591901191</v>
      </c>
      <c r="S783" s="141">
        <f t="shared" si="478"/>
        <v>1898822.2591901191</v>
      </c>
      <c r="T783" s="141">
        <f t="shared" si="478"/>
        <v>1898822.2591901191</v>
      </c>
      <c r="U783" s="141">
        <f t="shared" si="478"/>
        <v>1898822.2591901191</v>
      </c>
      <c r="V783" s="141">
        <f t="shared" si="478"/>
        <v>0</v>
      </c>
      <c r="W783" s="141">
        <f t="shared" si="478"/>
        <v>0</v>
      </c>
      <c r="X783" s="141">
        <f t="shared" si="478"/>
        <v>0</v>
      </c>
      <c r="Y783" s="141">
        <f t="shared" si="478"/>
        <v>0</v>
      </c>
      <c r="Z783" s="141">
        <f t="shared" si="478"/>
        <v>0</v>
      </c>
      <c r="AA783" s="141">
        <f t="shared" si="478"/>
        <v>0</v>
      </c>
      <c r="AB783" s="141">
        <f t="shared" si="478"/>
        <v>0</v>
      </c>
      <c r="AC783" s="141">
        <f t="shared" si="478"/>
        <v>0</v>
      </c>
      <c r="AD783" s="141">
        <f t="shared" si="478"/>
        <v>0</v>
      </c>
      <c r="AE783" s="141">
        <f t="shared" si="478"/>
        <v>0</v>
      </c>
      <c r="AF783" s="141">
        <f t="shared" si="478"/>
        <v>0</v>
      </c>
      <c r="AG783" s="141">
        <f t="shared" si="478"/>
        <v>0</v>
      </c>
      <c r="AH783" s="141">
        <f t="shared" si="478"/>
        <v>0</v>
      </c>
      <c r="AI783" s="141">
        <f t="shared" si="478"/>
        <v>0</v>
      </c>
      <c r="AJ783" s="141">
        <f t="shared" si="478"/>
        <v>0</v>
      </c>
      <c r="AK783" s="141">
        <f t="shared" si="478"/>
        <v>0</v>
      </c>
      <c r="AL783" s="141">
        <f t="shared" si="478"/>
        <v>0</v>
      </c>
      <c r="AM783" s="141">
        <f t="shared" si="478"/>
        <v>0</v>
      </c>
      <c r="AN783" s="141">
        <f t="shared" si="478"/>
        <v>0</v>
      </c>
      <c r="AO783" s="141">
        <f t="shared" si="478"/>
        <v>0</v>
      </c>
      <c r="AP783" s="141">
        <f t="shared" si="478"/>
        <v>0</v>
      </c>
      <c r="AQ783" s="141">
        <f t="shared" si="478"/>
        <v>0</v>
      </c>
      <c r="AR783" s="141">
        <f t="shared" si="478"/>
        <v>0</v>
      </c>
      <c r="AS783" s="141">
        <f t="shared" si="478"/>
        <v>0</v>
      </c>
      <c r="AT783" s="141">
        <f t="shared" si="478"/>
        <v>0</v>
      </c>
      <c r="AU783" s="141">
        <f t="shared" si="478"/>
        <v>0</v>
      </c>
      <c r="AV783" s="141">
        <f t="shared" si="478"/>
        <v>0</v>
      </c>
      <c r="AW783" s="141">
        <f t="shared" si="478"/>
        <v>0</v>
      </c>
      <c r="AX783" s="141">
        <f t="shared" si="478"/>
        <v>0</v>
      </c>
      <c r="AY783" s="141">
        <f t="shared" si="478"/>
        <v>0</v>
      </c>
      <c r="AZ783" s="141">
        <f t="shared" si="478"/>
        <v>0</v>
      </c>
      <c r="BA783" s="141">
        <f t="shared" si="478"/>
        <v>0</v>
      </c>
      <c r="BB783" s="141">
        <f t="shared" si="478"/>
        <v>0</v>
      </c>
      <c r="BC783" s="141">
        <f t="shared" si="478"/>
        <v>0</v>
      </c>
      <c r="BD783" s="141">
        <f t="shared" si="478"/>
        <v>0</v>
      </c>
      <c r="BE783" s="141">
        <f t="shared" si="478"/>
        <v>0</v>
      </c>
      <c r="BF783" s="141">
        <f t="shared" si="478"/>
        <v>0</v>
      </c>
      <c r="BG783" s="141">
        <f t="shared" si="478"/>
        <v>0</v>
      </c>
      <c r="BH783" s="141">
        <f t="shared" si="478"/>
        <v>0</v>
      </c>
      <c r="BI783" s="141">
        <f t="shared" si="478"/>
        <v>0</v>
      </c>
      <c r="BJ783" s="142">
        <f t="shared" si="478"/>
        <v>0</v>
      </c>
      <c r="BK783" s="141"/>
      <c r="BL783" s="141"/>
    </row>
    <row r="784" spans="1:64" s="143" customFormat="1" ht="12.75">
      <c r="A784" s="138" t="s">
        <v>127</v>
      </c>
      <c r="B784" s="139">
        <f t="shared" si="477"/>
        <v>0</v>
      </c>
      <c r="C784" s="227">
        <f>IF(AND(C750&gt;5,C751=0),0,C769)</f>
        <v>0</v>
      </c>
      <c r="D784" s="141">
        <f>IF(AND(D750&gt;5,D751=0),0,D769)</f>
        <v>0</v>
      </c>
      <c r="E784" s="141">
        <f t="shared" ref="E784:BJ784" si="479">IF(AND(E750&gt;5,E751=0),0,E769)</f>
        <v>0</v>
      </c>
      <c r="F784" s="141">
        <f t="shared" si="479"/>
        <v>0</v>
      </c>
      <c r="G784" s="141">
        <f t="shared" si="479"/>
        <v>0</v>
      </c>
      <c r="H784" s="141">
        <f t="shared" si="479"/>
        <v>0</v>
      </c>
      <c r="I784" s="141">
        <f t="shared" si="479"/>
        <v>0</v>
      </c>
      <c r="J784" s="141">
        <f t="shared" si="479"/>
        <v>0</v>
      </c>
      <c r="K784" s="141">
        <f t="shared" si="479"/>
        <v>0</v>
      </c>
      <c r="L784" s="141">
        <f t="shared" si="479"/>
        <v>0</v>
      </c>
      <c r="M784" s="141">
        <f t="shared" si="479"/>
        <v>0</v>
      </c>
      <c r="N784" s="141">
        <f t="shared" si="479"/>
        <v>0</v>
      </c>
      <c r="O784" s="141">
        <f t="shared" si="479"/>
        <v>0</v>
      </c>
      <c r="P784" s="141">
        <f t="shared" si="479"/>
        <v>0</v>
      </c>
      <c r="Q784" s="141">
        <f t="shared" si="479"/>
        <v>0</v>
      </c>
      <c r="R784" s="141">
        <f t="shared" si="479"/>
        <v>0</v>
      </c>
      <c r="S784" s="141">
        <f t="shared" si="479"/>
        <v>0</v>
      </c>
      <c r="T784" s="141">
        <f t="shared" si="479"/>
        <v>0</v>
      </c>
      <c r="U784" s="141">
        <f t="shared" si="479"/>
        <v>0</v>
      </c>
      <c r="V784" s="141">
        <f t="shared" si="479"/>
        <v>0</v>
      </c>
      <c r="W784" s="141">
        <f t="shared" si="479"/>
        <v>0</v>
      </c>
      <c r="X784" s="141">
        <f t="shared" si="479"/>
        <v>0</v>
      </c>
      <c r="Y784" s="141">
        <f t="shared" si="479"/>
        <v>0</v>
      </c>
      <c r="Z784" s="141">
        <f t="shared" si="479"/>
        <v>0</v>
      </c>
      <c r="AA784" s="141">
        <f t="shared" si="479"/>
        <v>0</v>
      </c>
      <c r="AB784" s="141">
        <f t="shared" si="479"/>
        <v>0</v>
      </c>
      <c r="AC784" s="141">
        <f t="shared" si="479"/>
        <v>0</v>
      </c>
      <c r="AD784" s="141">
        <f t="shared" si="479"/>
        <v>0</v>
      </c>
      <c r="AE784" s="141">
        <f t="shared" si="479"/>
        <v>0</v>
      </c>
      <c r="AF784" s="141">
        <f t="shared" si="479"/>
        <v>0</v>
      </c>
      <c r="AG784" s="141">
        <f t="shared" si="479"/>
        <v>0</v>
      </c>
      <c r="AH784" s="141">
        <f t="shared" si="479"/>
        <v>0</v>
      </c>
      <c r="AI784" s="141">
        <f t="shared" si="479"/>
        <v>0</v>
      </c>
      <c r="AJ784" s="141">
        <f t="shared" si="479"/>
        <v>0</v>
      </c>
      <c r="AK784" s="141">
        <f t="shared" si="479"/>
        <v>0</v>
      </c>
      <c r="AL784" s="141">
        <f t="shared" si="479"/>
        <v>0</v>
      </c>
      <c r="AM784" s="141">
        <f t="shared" si="479"/>
        <v>0</v>
      </c>
      <c r="AN784" s="141">
        <f t="shared" si="479"/>
        <v>0</v>
      </c>
      <c r="AO784" s="141">
        <f t="shared" si="479"/>
        <v>0</v>
      </c>
      <c r="AP784" s="141">
        <f t="shared" si="479"/>
        <v>0</v>
      </c>
      <c r="AQ784" s="141">
        <f t="shared" si="479"/>
        <v>0</v>
      </c>
      <c r="AR784" s="141">
        <f t="shared" si="479"/>
        <v>0</v>
      </c>
      <c r="AS784" s="141">
        <f t="shared" si="479"/>
        <v>0</v>
      </c>
      <c r="AT784" s="141">
        <f t="shared" si="479"/>
        <v>0</v>
      </c>
      <c r="AU784" s="141">
        <f t="shared" si="479"/>
        <v>0</v>
      </c>
      <c r="AV784" s="141">
        <f t="shared" si="479"/>
        <v>0</v>
      </c>
      <c r="AW784" s="141">
        <f t="shared" si="479"/>
        <v>0</v>
      </c>
      <c r="AX784" s="141">
        <f t="shared" si="479"/>
        <v>0</v>
      </c>
      <c r="AY784" s="141">
        <f t="shared" si="479"/>
        <v>0</v>
      </c>
      <c r="AZ784" s="141">
        <f t="shared" si="479"/>
        <v>0</v>
      </c>
      <c r="BA784" s="141">
        <f t="shared" si="479"/>
        <v>0</v>
      </c>
      <c r="BB784" s="141">
        <f t="shared" si="479"/>
        <v>0</v>
      </c>
      <c r="BC784" s="141">
        <f t="shared" si="479"/>
        <v>0</v>
      </c>
      <c r="BD784" s="141">
        <f t="shared" si="479"/>
        <v>0</v>
      </c>
      <c r="BE784" s="141">
        <f t="shared" si="479"/>
        <v>0</v>
      </c>
      <c r="BF784" s="141">
        <f t="shared" si="479"/>
        <v>0</v>
      </c>
      <c r="BG784" s="141">
        <f t="shared" si="479"/>
        <v>0</v>
      </c>
      <c r="BH784" s="141">
        <f t="shared" si="479"/>
        <v>0</v>
      </c>
      <c r="BI784" s="141">
        <f t="shared" si="479"/>
        <v>0</v>
      </c>
      <c r="BJ784" s="142">
        <f t="shared" si="479"/>
        <v>0</v>
      </c>
      <c r="BK784" s="141"/>
      <c r="BL784" s="141"/>
    </row>
    <row r="785" spans="1:64" s="143" customFormat="1" ht="12.75">
      <c r="A785" s="138" t="s">
        <v>128</v>
      </c>
      <c r="B785" s="139">
        <f t="shared" si="477"/>
        <v>48542234.796679363</v>
      </c>
      <c r="C785" s="227">
        <f>IF(AND(C750&gt;5,C751=0),0,C770)</f>
        <v>571085.11525505118</v>
      </c>
      <c r="D785" s="141">
        <f>IF(AND(D750&gt;5,D751=0),0,D770)</f>
        <v>1142170.2305101024</v>
      </c>
      <c r="E785" s="141">
        <f t="shared" ref="E785:BJ785" si="480">IF(AND(E750&gt;5,E751=0),0,E770)</f>
        <v>1713255.3457651534</v>
      </c>
      <c r="F785" s="141">
        <f t="shared" si="480"/>
        <v>2284340.4610202047</v>
      </c>
      <c r="G785" s="141">
        <f t="shared" si="480"/>
        <v>2855425.576275256</v>
      </c>
      <c r="H785" s="141">
        <f t="shared" si="480"/>
        <v>2855425.576275256</v>
      </c>
      <c r="I785" s="141">
        <f t="shared" si="480"/>
        <v>2855425.576275256</v>
      </c>
      <c r="J785" s="141">
        <f t="shared" si="480"/>
        <v>2855425.576275256</v>
      </c>
      <c r="K785" s="141">
        <f t="shared" si="480"/>
        <v>2855425.576275256</v>
      </c>
      <c r="L785" s="141">
        <f t="shared" si="480"/>
        <v>2855425.576275256</v>
      </c>
      <c r="M785" s="141">
        <f t="shared" si="480"/>
        <v>2855425.576275256</v>
      </c>
      <c r="N785" s="141">
        <f t="shared" si="480"/>
        <v>2855425.576275256</v>
      </c>
      <c r="O785" s="141">
        <f t="shared" si="480"/>
        <v>2855425.576275256</v>
      </c>
      <c r="P785" s="141">
        <f t="shared" si="480"/>
        <v>2855425.576275256</v>
      </c>
      <c r="Q785" s="141">
        <f t="shared" si="480"/>
        <v>2855425.576275256</v>
      </c>
      <c r="R785" s="141">
        <f t="shared" si="480"/>
        <v>2855425.576275256</v>
      </c>
      <c r="S785" s="141">
        <f t="shared" si="480"/>
        <v>2855425.576275256</v>
      </c>
      <c r="T785" s="141">
        <f t="shared" si="480"/>
        <v>2855425.576275256</v>
      </c>
      <c r="U785" s="141">
        <f t="shared" si="480"/>
        <v>2855425.576275256</v>
      </c>
      <c r="V785" s="141">
        <f t="shared" si="480"/>
        <v>0</v>
      </c>
      <c r="W785" s="141">
        <f t="shared" si="480"/>
        <v>0</v>
      </c>
      <c r="X785" s="141">
        <f t="shared" si="480"/>
        <v>0</v>
      </c>
      <c r="Y785" s="141">
        <f t="shared" si="480"/>
        <v>0</v>
      </c>
      <c r="Z785" s="141">
        <f t="shared" si="480"/>
        <v>0</v>
      </c>
      <c r="AA785" s="141">
        <f t="shared" si="480"/>
        <v>0</v>
      </c>
      <c r="AB785" s="141">
        <f t="shared" si="480"/>
        <v>0</v>
      </c>
      <c r="AC785" s="141">
        <f t="shared" si="480"/>
        <v>0</v>
      </c>
      <c r="AD785" s="141">
        <f t="shared" si="480"/>
        <v>0</v>
      </c>
      <c r="AE785" s="141">
        <f t="shared" si="480"/>
        <v>0</v>
      </c>
      <c r="AF785" s="141">
        <f t="shared" si="480"/>
        <v>0</v>
      </c>
      <c r="AG785" s="141">
        <f t="shared" si="480"/>
        <v>0</v>
      </c>
      <c r="AH785" s="141">
        <f t="shared" si="480"/>
        <v>0</v>
      </c>
      <c r="AI785" s="141">
        <f t="shared" si="480"/>
        <v>0</v>
      </c>
      <c r="AJ785" s="141">
        <f t="shared" si="480"/>
        <v>0</v>
      </c>
      <c r="AK785" s="141">
        <f t="shared" si="480"/>
        <v>0</v>
      </c>
      <c r="AL785" s="141">
        <f t="shared" si="480"/>
        <v>0</v>
      </c>
      <c r="AM785" s="141">
        <f t="shared" si="480"/>
        <v>0</v>
      </c>
      <c r="AN785" s="141">
        <f t="shared" si="480"/>
        <v>0</v>
      </c>
      <c r="AO785" s="141">
        <f t="shared" si="480"/>
        <v>0</v>
      </c>
      <c r="AP785" s="141">
        <f t="shared" si="480"/>
        <v>0</v>
      </c>
      <c r="AQ785" s="141">
        <f t="shared" si="480"/>
        <v>0</v>
      </c>
      <c r="AR785" s="141">
        <f t="shared" si="480"/>
        <v>0</v>
      </c>
      <c r="AS785" s="141">
        <f t="shared" si="480"/>
        <v>0</v>
      </c>
      <c r="AT785" s="141">
        <f t="shared" si="480"/>
        <v>0</v>
      </c>
      <c r="AU785" s="141">
        <f t="shared" si="480"/>
        <v>0</v>
      </c>
      <c r="AV785" s="141">
        <f t="shared" si="480"/>
        <v>0</v>
      </c>
      <c r="AW785" s="141">
        <f t="shared" si="480"/>
        <v>0</v>
      </c>
      <c r="AX785" s="141">
        <f t="shared" si="480"/>
        <v>0</v>
      </c>
      <c r="AY785" s="141">
        <f t="shared" si="480"/>
        <v>0</v>
      </c>
      <c r="AZ785" s="141">
        <f t="shared" si="480"/>
        <v>0</v>
      </c>
      <c r="BA785" s="141">
        <f t="shared" si="480"/>
        <v>0</v>
      </c>
      <c r="BB785" s="141">
        <f t="shared" si="480"/>
        <v>0</v>
      </c>
      <c r="BC785" s="141">
        <f t="shared" si="480"/>
        <v>0</v>
      </c>
      <c r="BD785" s="141">
        <f t="shared" si="480"/>
        <v>0</v>
      </c>
      <c r="BE785" s="141">
        <f t="shared" si="480"/>
        <v>0</v>
      </c>
      <c r="BF785" s="141">
        <f t="shared" si="480"/>
        <v>0</v>
      </c>
      <c r="BG785" s="141">
        <f t="shared" si="480"/>
        <v>0</v>
      </c>
      <c r="BH785" s="141">
        <f t="shared" si="480"/>
        <v>0</v>
      </c>
      <c r="BI785" s="141">
        <f t="shared" si="480"/>
        <v>0</v>
      </c>
      <c r="BJ785" s="142">
        <f t="shared" si="480"/>
        <v>0</v>
      </c>
      <c r="BK785" s="141"/>
      <c r="BL785" s="141"/>
    </row>
    <row r="786" spans="1:64" s="143" customFormat="1" ht="12.75">
      <c r="A786" s="228" t="s">
        <v>129</v>
      </c>
      <c r="B786" s="229">
        <f t="shared" si="477"/>
        <v>5376086.8946729973</v>
      </c>
      <c r="C786" s="230">
        <f>IF(AND(C750&gt;5,C751=0),0,C771)</f>
        <v>97747.034448599909</v>
      </c>
      <c r="D786" s="214">
        <f>IF(AND(D750&gt;5,D751=0),0,D771)</f>
        <v>293241.10334579973</v>
      </c>
      <c r="E786" s="214">
        <f t="shared" ref="E786:BJ786" si="481">IF(AND(E750&gt;5,E751=0),0,E771)</f>
        <v>293241.10334579973</v>
      </c>
      <c r="F786" s="214">
        <f t="shared" si="481"/>
        <v>293241.10334579973</v>
      </c>
      <c r="G786" s="214">
        <f t="shared" si="481"/>
        <v>293241.10334579973</v>
      </c>
      <c r="H786" s="214">
        <f t="shared" si="481"/>
        <v>293241.10334579973</v>
      </c>
      <c r="I786" s="214">
        <f t="shared" si="481"/>
        <v>293241.10334579973</v>
      </c>
      <c r="J786" s="214">
        <f t="shared" si="481"/>
        <v>293241.10334579973</v>
      </c>
      <c r="K786" s="214">
        <f t="shared" si="481"/>
        <v>293241.10334579973</v>
      </c>
      <c r="L786" s="214">
        <f t="shared" si="481"/>
        <v>293241.10334579973</v>
      </c>
      <c r="M786" s="214">
        <f t="shared" si="481"/>
        <v>293241.10334579973</v>
      </c>
      <c r="N786" s="214">
        <f t="shared" si="481"/>
        <v>293241.10334579973</v>
      </c>
      <c r="O786" s="214">
        <f t="shared" si="481"/>
        <v>293241.10334579973</v>
      </c>
      <c r="P786" s="214">
        <f t="shared" si="481"/>
        <v>293241.10334579973</v>
      </c>
      <c r="Q786" s="214">
        <f t="shared" si="481"/>
        <v>293241.10334579973</v>
      </c>
      <c r="R786" s="214">
        <f t="shared" si="481"/>
        <v>293241.10334579973</v>
      </c>
      <c r="S786" s="214">
        <f t="shared" si="481"/>
        <v>293241.10334579973</v>
      </c>
      <c r="T786" s="214">
        <f t="shared" si="481"/>
        <v>293241.10334579973</v>
      </c>
      <c r="U786" s="214">
        <f t="shared" si="481"/>
        <v>293241.10334579973</v>
      </c>
      <c r="V786" s="214">
        <f t="shared" si="481"/>
        <v>0</v>
      </c>
      <c r="W786" s="214">
        <f t="shared" si="481"/>
        <v>0</v>
      </c>
      <c r="X786" s="214">
        <f t="shared" si="481"/>
        <v>0</v>
      </c>
      <c r="Y786" s="214">
        <f t="shared" si="481"/>
        <v>0</v>
      </c>
      <c r="Z786" s="214">
        <f t="shared" si="481"/>
        <v>0</v>
      </c>
      <c r="AA786" s="214">
        <f t="shared" si="481"/>
        <v>0</v>
      </c>
      <c r="AB786" s="214">
        <f t="shared" si="481"/>
        <v>0</v>
      </c>
      <c r="AC786" s="214">
        <f t="shared" si="481"/>
        <v>0</v>
      </c>
      <c r="AD786" s="214">
        <f t="shared" si="481"/>
        <v>0</v>
      </c>
      <c r="AE786" s="214">
        <f t="shared" si="481"/>
        <v>0</v>
      </c>
      <c r="AF786" s="214">
        <f t="shared" si="481"/>
        <v>0</v>
      </c>
      <c r="AG786" s="214">
        <f t="shared" si="481"/>
        <v>0</v>
      </c>
      <c r="AH786" s="214">
        <f t="shared" si="481"/>
        <v>0</v>
      </c>
      <c r="AI786" s="214">
        <f t="shared" si="481"/>
        <v>0</v>
      </c>
      <c r="AJ786" s="214">
        <f t="shared" si="481"/>
        <v>0</v>
      </c>
      <c r="AK786" s="214">
        <f t="shared" si="481"/>
        <v>0</v>
      </c>
      <c r="AL786" s="214">
        <f t="shared" si="481"/>
        <v>0</v>
      </c>
      <c r="AM786" s="214">
        <f t="shared" si="481"/>
        <v>0</v>
      </c>
      <c r="AN786" s="214">
        <f t="shared" si="481"/>
        <v>0</v>
      </c>
      <c r="AO786" s="214">
        <f t="shared" si="481"/>
        <v>0</v>
      </c>
      <c r="AP786" s="214">
        <f t="shared" si="481"/>
        <v>0</v>
      </c>
      <c r="AQ786" s="214">
        <f t="shared" si="481"/>
        <v>0</v>
      </c>
      <c r="AR786" s="214">
        <f t="shared" si="481"/>
        <v>0</v>
      </c>
      <c r="AS786" s="214">
        <f t="shared" si="481"/>
        <v>0</v>
      </c>
      <c r="AT786" s="214">
        <f t="shared" si="481"/>
        <v>0</v>
      </c>
      <c r="AU786" s="214">
        <f t="shared" si="481"/>
        <v>0</v>
      </c>
      <c r="AV786" s="214">
        <f t="shared" si="481"/>
        <v>0</v>
      </c>
      <c r="AW786" s="214">
        <f t="shared" si="481"/>
        <v>0</v>
      </c>
      <c r="AX786" s="214">
        <f t="shared" si="481"/>
        <v>0</v>
      </c>
      <c r="AY786" s="214">
        <f t="shared" si="481"/>
        <v>0</v>
      </c>
      <c r="AZ786" s="214">
        <f t="shared" si="481"/>
        <v>0</v>
      </c>
      <c r="BA786" s="214">
        <f t="shared" si="481"/>
        <v>0</v>
      </c>
      <c r="BB786" s="214">
        <f t="shared" si="481"/>
        <v>0</v>
      </c>
      <c r="BC786" s="214">
        <f t="shared" si="481"/>
        <v>0</v>
      </c>
      <c r="BD786" s="214">
        <f t="shared" si="481"/>
        <v>0</v>
      </c>
      <c r="BE786" s="214">
        <f t="shared" si="481"/>
        <v>0</v>
      </c>
      <c r="BF786" s="214">
        <f t="shared" si="481"/>
        <v>0</v>
      </c>
      <c r="BG786" s="214">
        <f t="shared" si="481"/>
        <v>0</v>
      </c>
      <c r="BH786" s="214">
        <f t="shared" si="481"/>
        <v>0</v>
      </c>
      <c r="BI786" s="214">
        <f t="shared" si="481"/>
        <v>0</v>
      </c>
      <c r="BJ786" s="215">
        <f t="shared" si="481"/>
        <v>0</v>
      </c>
      <c r="BK786" s="141"/>
      <c r="BL786" s="141"/>
    </row>
    <row r="787" spans="1:64" s="160" customFormat="1">
      <c r="A787" s="131" t="s">
        <v>134</v>
      </c>
      <c r="B787" s="156">
        <f t="shared" si="477"/>
        <v>1532444445.9082458</v>
      </c>
      <c r="C787" s="156">
        <f>C761-C762-C782</f>
        <v>-17770465.813995525</v>
      </c>
      <c r="D787" s="157">
        <f t="shared" ref="D787:BJ787" si="482">D761-D762-D782</f>
        <v>-21469456.031605769</v>
      </c>
      <c r="E787" s="157">
        <f t="shared" si="482"/>
        <v>-35796882.424909391</v>
      </c>
      <c r="F787" s="157">
        <f t="shared" si="482"/>
        <v>-37000908.293227814</v>
      </c>
      <c r="G787" s="157">
        <f t="shared" si="482"/>
        <v>-38204934.161546238</v>
      </c>
      <c r="H787" s="157">
        <f t="shared" si="482"/>
        <v>27915527.491394289</v>
      </c>
      <c r="I787" s="157">
        <f t="shared" si="482"/>
        <v>60878543.921599753</v>
      </c>
      <c r="J787" s="157">
        <f t="shared" si="482"/>
        <v>93841560.35180521</v>
      </c>
      <c r="K787" s="157">
        <f t="shared" si="482"/>
        <v>126804576.78201067</v>
      </c>
      <c r="L787" s="157">
        <f t="shared" si="482"/>
        <v>177301112.58998507</v>
      </c>
      <c r="M787" s="157">
        <f t="shared" si="482"/>
        <v>177301112.58998507</v>
      </c>
      <c r="N787" s="157">
        <f t="shared" si="482"/>
        <v>177301112.58998507</v>
      </c>
      <c r="O787" s="157">
        <f t="shared" si="482"/>
        <v>177301112.58998507</v>
      </c>
      <c r="P787" s="157">
        <f t="shared" si="482"/>
        <v>177301112.58998507</v>
      </c>
      <c r="Q787" s="157">
        <f t="shared" si="482"/>
        <v>177301112.58998507</v>
      </c>
      <c r="R787" s="157">
        <f t="shared" si="482"/>
        <v>126804576.78201067</v>
      </c>
      <c r="S787" s="157">
        <f t="shared" si="482"/>
        <v>93841560.35180521</v>
      </c>
      <c r="T787" s="157">
        <f t="shared" si="482"/>
        <v>60878543.921599753</v>
      </c>
      <c r="U787" s="157">
        <f t="shared" si="482"/>
        <v>27915527.491394289</v>
      </c>
      <c r="V787" s="157">
        <f t="shared" si="482"/>
        <v>0</v>
      </c>
      <c r="W787" s="157">
        <f t="shared" si="482"/>
        <v>0</v>
      </c>
      <c r="X787" s="157">
        <f t="shared" si="482"/>
        <v>0</v>
      </c>
      <c r="Y787" s="157">
        <f t="shared" si="482"/>
        <v>0</v>
      </c>
      <c r="Z787" s="157">
        <f t="shared" si="482"/>
        <v>0</v>
      </c>
      <c r="AA787" s="157">
        <f t="shared" si="482"/>
        <v>0</v>
      </c>
      <c r="AB787" s="157">
        <f t="shared" si="482"/>
        <v>0</v>
      </c>
      <c r="AC787" s="157">
        <f t="shared" si="482"/>
        <v>0</v>
      </c>
      <c r="AD787" s="157">
        <f t="shared" si="482"/>
        <v>0</v>
      </c>
      <c r="AE787" s="157">
        <f t="shared" si="482"/>
        <v>0</v>
      </c>
      <c r="AF787" s="157">
        <f t="shared" si="482"/>
        <v>0</v>
      </c>
      <c r="AG787" s="157">
        <f t="shared" si="482"/>
        <v>0</v>
      </c>
      <c r="AH787" s="157">
        <f t="shared" si="482"/>
        <v>0</v>
      </c>
      <c r="AI787" s="157">
        <f t="shared" si="482"/>
        <v>0</v>
      </c>
      <c r="AJ787" s="157">
        <f t="shared" si="482"/>
        <v>0</v>
      </c>
      <c r="AK787" s="157">
        <f t="shared" si="482"/>
        <v>0</v>
      </c>
      <c r="AL787" s="157">
        <f t="shared" si="482"/>
        <v>0</v>
      </c>
      <c r="AM787" s="157">
        <f t="shared" si="482"/>
        <v>0</v>
      </c>
      <c r="AN787" s="157">
        <f t="shared" si="482"/>
        <v>0</v>
      </c>
      <c r="AO787" s="157">
        <f t="shared" si="482"/>
        <v>0</v>
      </c>
      <c r="AP787" s="157">
        <f t="shared" si="482"/>
        <v>0</v>
      </c>
      <c r="AQ787" s="157">
        <f t="shared" si="482"/>
        <v>0</v>
      </c>
      <c r="AR787" s="157">
        <f t="shared" si="482"/>
        <v>0</v>
      </c>
      <c r="AS787" s="157">
        <f t="shared" si="482"/>
        <v>0</v>
      </c>
      <c r="AT787" s="157">
        <f t="shared" si="482"/>
        <v>0</v>
      </c>
      <c r="AU787" s="157">
        <f t="shared" si="482"/>
        <v>0</v>
      </c>
      <c r="AV787" s="157">
        <f t="shared" si="482"/>
        <v>0</v>
      </c>
      <c r="AW787" s="157">
        <f t="shared" si="482"/>
        <v>0</v>
      </c>
      <c r="AX787" s="157">
        <f t="shared" si="482"/>
        <v>0</v>
      </c>
      <c r="AY787" s="157">
        <f t="shared" si="482"/>
        <v>0</v>
      </c>
      <c r="AZ787" s="157">
        <f t="shared" si="482"/>
        <v>0</v>
      </c>
      <c r="BA787" s="157">
        <f t="shared" si="482"/>
        <v>0</v>
      </c>
      <c r="BB787" s="157">
        <f t="shared" si="482"/>
        <v>0</v>
      </c>
      <c r="BC787" s="157">
        <f t="shared" si="482"/>
        <v>0</v>
      </c>
      <c r="BD787" s="157">
        <f t="shared" si="482"/>
        <v>0</v>
      </c>
      <c r="BE787" s="157">
        <f t="shared" si="482"/>
        <v>0</v>
      </c>
      <c r="BF787" s="157">
        <f t="shared" si="482"/>
        <v>0</v>
      </c>
      <c r="BG787" s="157">
        <f t="shared" si="482"/>
        <v>0</v>
      </c>
      <c r="BH787" s="157">
        <f t="shared" si="482"/>
        <v>0</v>
      </c>
      <c r="BI787" s="157">
        <f t="shared" si="482"/>
        <v>0</v>
      </c>
      <c r="BJ787" s="158">
        <f t="shared" si="482"/>
        <v>0</v>
      </c>
      <c r="BK787" s="159"/>
      <c r="BL787" s="159"/>
    </row>
    <row r="788" spans="1:64" s="160" customFormat="1">
      <c r="A788" s="131" t="s">
        <v>135</v>
      </c>
      <c r="B788" s="156">
        <f t="shared" si="477"/>
        <v>336537418.5267061</v>
      </c>
      <c r="C788" s="231">
        <f>IF(C787&lt;=0,0,C787*$K749)</f>
        <v>0</v>
      </c>
      <c r="D788" s="157">
        <f>IF(D787&lt;=0,0,D787*$K749)</f>
        <v>0</v>
      </c>
      <c r="E788" s="157">
        <f t="shared" ref="E788:BJ788" si="483">IF(E787&lt;=0,0,E787*$K749)</f>
        <v>0</v>
      </c>
      <c r="F788" s="157">
        <f t="shared" si="483"/>
        <v>0</v>
      </c>
      <c r="G788" s="157">
        <f t="shared" si="483"/>
        <v>0</v>
      </c>
      <c r="H788" s="157">
        <f t="shared" si="483"/>
        <v>5583105.4982788581</v>
      </c>
      <c r="I788" s="157">
        <f t="shared" si="483"/>
        <v>12175708.784319952</v>
      </c>
      <c r="J788" s="157">
        <f t="shared" si="483"/>
        <v>18768312.070361044</v>
      </c>
      <c r="K788" s="157">
        <f t="shared" si="483"/>
        <v>25360915.356402136</v>
      </c>
      <c r="L788" s="157">
        <f t="shared" si="483"/>
        <v>35460222.517997019</v>
      </c>
      <c r="M788" s="157">
        <f t="shared" si="483"/>
        <v>35460222.517997019</v>
      </c>
      <c r="N788" s="157">
        <f t="shared" si="483"/>
        <v>35460222.517997019</v>
      </c>
      <c r="O788" s="157">
        <f t="shared" si="483"/>
        <v>35460222.517997019</v>
      </c>
      <c r="P788" s="157">
        <f t="shared" si="483"/>
        <v>35460222.517997019</v>
      </c>
      <c r="Q788" s="157">
        <f t="shared" si="483"/>
        <v>35460222.517997019</v>
      </c>
      <c r="R788" s="157">
        <f t="shared" si="483"/>
        <v>25360915.356402136</v>
      </c>
      <c r="S788" s="157">
        <f t="shared" si="483"/>
        <v>18768312.070361044</v>
      </c>
      <c r="T788" s="157">
        <f t="shared" si="483"/>
        <v>12175708.784319952</v>
      </c>
      <c r="U788" s="157">
        <f t="shared" si="483"/>
        <v>5583105.4982788581</v>
      </c>
      <c r="V788" s="157">
        <f t="shared" si="483"/>
        <v>0</v>
      </c>
      <c r="W788" s="157">
        <f t="shared" si="483"/>
        <v>0</v>
      </c>
      <c r="X788" s="157">
        <f t="shared" si="483"/>
        <v>0</v>
      </c>
      <c r="Y788" s="157">
        <f t="shared" si="483"/>
        <v>0</v>
      </c>
      <c r="Z788" s="157">
        <f t="shared" si="483"/>
        <v>0</v>
      </c>
      <c r="AA788" s="157">
        <f t="shared" si="483"/>
        <v>0</v>
      </c>
      <c r="AB788" s="157">
        <f t="shared" si="483"/>
        <v>0</v>
      </c>
      <c r="AC788" s="157">
        <f t="shared" si="483"/>
        <v>0</v>
      </c>
      <c r="AD788" s="157">
        <f t="shared" si="483"/>
        <v>0</v>
      </c>
      <c r="AE788" s="157">
        <f t="shared" si="483"/>
        <v>0</v>
      </c>
      <c r="AF788" s="157">
        <f t="shared" si="483"/>
        <v>0</v>
      </c>
      <c r="AG788" s="157">
        <f t="shared" si="483"/>
        <v>0</v>
      </c>
      <c r="AH788" s="157">
        <f t="shared" si="483"/>
        <v>0</v>
      </c>
      <c r="AI788" s="157">
        <f t="shared" si="483"/>
        <v>0</v>
      </c>
      <c r="AJ788" s="157">
        <f t="shared" si="483"/>
        <v>0</v>
      </c>
      <c r="AK788" s="157">
        <f t="shared" si="483"/>
        <v>0</v>
      </c>
      <c r="AL788" s="157">
        <f t="shared" si="483"/>
        <v>0</v>
      </c>
      <c r="AM788" s="157">
        <f t="shared" si="483"/>
        <v>0</v>
      </c>
      <c r="AN788" s="157">
        <f t="shared" si="483"/>
        <v>0</v>
      </c>
      <c r="AO788" s="157">
        <f t="shared" si="483"/>
        <v>0</v>
      </c>
      <c r="AP788" s="157">
        <f t="shared" si="483"/>
        <v>0</v>
      </c>
      <c r="AQ788" s="157">
        <f t="shared" si="483"/>
        <v>0</v>
      </c>
      <c r="AR788" s="157">
        <f t="shared" si="483"/>
        <v>0</v>
      </c>
      <c r="AS788" s="157">
        <f t="shared" si="483"/>
        <v>0</v>
      </c>
      <c r="AT788" s="157">
        <f t="shared" si="483"/>
        <v>0</v>
      </c>
      <c r="AU788" s="157">
        <f t="shared" si="483"/>
        <v>0</v>
      </c>
      <c r="AV788" s="157">
        <f t="shared" si="483"/>
        <v>0</v>
      </c>
      <c r="AW788" s="157">
        <f t="shared" si="483"/>
        <v>0</v>
      </c>
      <c r="AX788" s="157">
        <f t="shared" si="483"/>
        <v>0</v>
      </c>
      <c r="AY788" s="157">
        <f t="shared" si="483"/>
        <v>0</v>
      </c>
      <c r="AZ788" s="157">
        <f t="shared" si="483"/>
        <v>0</v>
      </c>
      <c r="BA788" s="157">
        <f t="shared" si="483"/>
        <v>0</v>
      </c>
      <c r="BB788" s="157">
        <f t="shared" si="483"/>
        <v>0</v>
      </c>
      <c r="BC788" s="157">
        <f t="shared" si="483"/>
        <v>0</v>
      </c>
      <c r="BD788" s="157">
        <f t="shared" si="483"/>
        <v>0</v>
      </c>
      <c r="BE788" s="157">
        <f t="shared" si="483"/>
        <v>0</v>
      </c>
      <c r="BF788" s="157">
        <f t="shared" si="483"/>
        <v>0</v>
      </c>
      <c r="BG788" s="157">
        <f t="shared" si="483"/>
        <v>0</v>
      </c>
      <c r="BH788" s="157">
        <f t="shared" si="483"/>
        <v>0</v>
      </c>
      <c r="BI788" s="157">
        <f t="shared" si="483"/>
        <v>0</v>
      </c>
      <c r="BJ788" s="158">
        <f t="shared" si="483"/>
        <v>0</v>
      </c>
      <c r="BK788" s="159"/>
      <c r="BL788" s="159"/>
    </row>
    <row r="789" spans="1:64" s="105" customFormat="1">
      <c r="A789" s="164" t="s">
        <v>136</v>
      </c>
      <c r="B789" s="161">
        <f t="shared" si="477"/>
        <v>1195907027.3815393</v>
      </c>
      <c r="C789" s="133">
        <f>C787-C788</f>
        <v>-17770465.813995525</v>
      </c>
      <c r="D789" s="134">
        <f>D787-D788</f>
        <v>-21469456.031605769</v>
      </c>
      <c r="E789" s="134">
        <f>E787-E788</f>
        <v>-35796882.424909391</v>
      </c>
      <c r="F789" s="134">
        <f>F787-F788</f>
        <v>-37000908.293227814</v>
      </c>
      <c r="G789" s="134">
        <f t="shared" ref="G789:BJ789" si="484">G787-G788</f>
        <v>-38204934.161546238</v>
      </c>
      <c r="H789" s="134">
        <f t="shared" si="484"/>
        <v>22332421.993115433</v>
      </c>
      <c r="I789" s="134">
        <f t="shared" si="484"/>
        <v>48702835.137279801</v>
      </c>
      <c r="J789" s="134">
        <f t="shared" si="484"/>
        <v>75073248.281444162</v>
      </c>
      <c r="K789" s="134">
        <f t="shared" si="484"/>
        <v>101443661.42560855</v>
      </c>
      <c r="L789" s="134">
        <f t="shared" si="484"/>
        <v>141840890.07198805</v>
      </c>
      <c r="M789" s="134">
        <f t="shared" si="484"/>
        <v>141840890.07198805</v>
      </c>
      <c r="N789" s="134">
        <f t="shared" si="484"/>
        <v>141840890.07198805</v>
      </c>
      <c r="O789" s="134">
        <f t="shared" si="484"/>
        <v>141840890.07198805</v>
      </c>
      <c r="P789" s="134">
        <f t="shared" si="484"/>
        <v>141840890.07198805</v>
      </c>
      <c r="Q789" s="134">
        <f t="shared" si="484"/>
        <v>141840890.07198805</v>
      </c>
      <c r="R789" s="134">
        <f t="shared" si="484"/>
        <v>101443661.42560855</v>
      </c>
      <c r="S789" s="134">
        <f t="shared" si="484"/>
        <v>75073248.281444162</v>
      </c>
      <c r="T789" s="134">
        <f t="shared" si="484"/>
        <v>48702835.137279801</v>
      </c>
      <c r="U789" s="134">
        <f t="shared" si="484"/>
        <v>22332421.993115433</v>
      </c>
      <c r="V789" s="134">
        <f t="shared" si="484"/>
        <v>0</v>
      </c>
      <c r="W789" s="134">
        <f t="shared" si="484"/>
        <v>0</v>
      </c>
      <c r="X789" s="134">
        <f t="shared" si="484"/>
        <v>0</v>
      </c>
      <c r="Y789" s="134">
        <f t="shared" si="484"/>
        <v>0</v>
      </c>
      <c r="Z789" s="134">
        <f t="shared" si="484"/>
        <v>0</v>
      </c>
      <c r="AA789" s="134">
        <f t="shared" si="484"/>
        <v>0</v>
      </c>
      <c r="AB789" s="134">
        <f t="shared" si="484"/>
        <v>0</v>
      </c>
      <c r="AC789" s="134">
        <f t="shared" si="484"/>
        <v>0</v>
      </c>
      <c r="AD789" s="134">
        <f t="shared" si="484"/>
        <v>0</v>
      </c>
      <c r="AE789" s="134">
        <f t="shared" si="484"/>
        <v>0</v>
      </c>
      <c r="AF789" s="134">
        <f t="shared" si="484"/>
        <v>0</v>
      </c>
      <c r="AG789" s="134">
        <f t="shared" si="484"/>
        <v>0</v>
      </c>
      <c r="AH789" s="134">
        <f t="shared" si="484"/>
        <v>0</v>
      </c>
      <c r="AI789" s="134">
        <f t="shared" si="484"/>
        <v>0</v>
      </c>
      <c r="AJ789" s="134">
        <f t="shared" si="484"/>
        <v>0</v>
      </c>
      <c r="AK789" s="134">
        <f t="shared" si="484"/>
        <v>0</v>
      </c>
      <c r="AL789" s="134">
        <f t="shared" si="484"/>
        <v>0</v>
      </c>
      <c r="AM789" s="134">
        <f t="shared" si="484"/>
        <v>0</v>
      </c>
      <c r="AN789" s="134">
        <f t="shared" si="484"/>
        <v>0</v>
      </c>
      <c r="AO789" s="134">
        <f t="shared" si="484"/>
        <v>0</v>
      </c>
      <c r="AP789" s="134">
        <f t="shared" si="484"/>
        <v>0</v>
      </c>
      <c r="AQ789" s="134">
        <f t="shared" si="484"/>
        <v>0</v>
      </c>
      <c r="AR789" s="134">
        <f t="shared" si="484"/>
        <v>0</v>
      </c>
      <c r="AS789" s="134">
        <f t="shared" si="484"/>
        <v>0</v>
      </c>
      <c r="AT789" s="134">
        <f t="shared" si="484"/>
        <v>0</v>
      </c>
      <c r="AU789" s="134">
        <f t="shared" si="484"/>
        <v>0</v>
      </c>
      <c r="AV789" s="134">
        <f t="shared" si="484"/>
        <v>0</v>
      </c>
      <c r="AW789" s="134">
        <f t="shared" si="484"/>
        <v>0</v>
      </c>
      <c r="AX789" s="134">
        <f t="shared" si="484"/>
        <v>0</v>
      </c>
      <c r="AY789" s="134">
        <f t="shared" si="484"/>
        <v>0</v>
      </c>
      <c r="AZ789" s="134">
        <f t="shared" si="484"/>
        <v>0</v>
      </c>
      <c r="BA789" s="134">
        <f t="shared" si="484"/>
        <v>0</v>
      </c>
      <c r="BB789" s="134">
        <f t="shared" si="484"/>
        <v>0</v>
      </c>
      <c r="BC789" s="134">
        <f t="shared" si="484"/>
        <v>0</v>
      </c>
      <c r="BD789" s="134">
        <f t="shared" si="484"/>
        <v>0</v>
      </c>
      <c r="BE789" s="134">
        <f t="shared" si="484"/>
        <v>0</v>
      </c>
      <c r="BF789" s="134">
        <f t="shared" si="484"/>
        <v>0</v>
      </c>
      <c r="BG789" s="134">
        <f t="shared" si="484"/>
        <v>0</v>
      </c>
      <c r="BH789" s="134">
        <f t="shared" si="484"/>
        <v>0</v>
      </c>
      <c r="BI789" s="134">
        <f t="shared" si="484"/>
        <v>0</v>
      </c>
      <c r="BJ789" s="135">
        <f t="shared" si="484"/>
        <v>0</v>
      </c>
      <c r="BK789" s="109"/>
      <c r="BL789" s="109"/>
    </row>
    <row r="790" spans="1:64">
      <c r="A790" s="165" t="s">
        <v>137</v>
      </c>
      <c r="B790" s="161" t="e">
        <f>SUM(B791:B793)</f>
        <v>#REF!</v>
      </c>
      <c r="C790" s="166"/>
      <c r="D790" s="167"/>
      <c r="E790" s="168"/>
      <c r="F790" s="168"/>
      <c r="G790" s="168"/>
      <c r="H790" s="168"/>
      <c r="I790" s="168"/>
      <c r="J790" s="168"/>
      <c r="K790" s="168"/>
      <c r="L790" s="168"/>
      <c r="M790" s="168"/>
      <c r="N790" s="168"/>
      <c r="O790" s="168"/>
      <c r="P790" s="168"/>
      <c r="Q790" s="168"/>
      <c r="R790" s="168"/>
      <c r="S790" s="168"/>
      <c r="T790" s="168"/>
      <c r="U790" s="168"/>
      <c r="V790" s="168"/>
      <c r="W790" s="168"/>
      <c r="X790" s="168"/>
      <c r="Y790" s="168"/>
      <c r="Z790" s="168"/>
      <c r="AA790" s="168"/>
      <c r="AB790" s="168"/>
      <c r="AC790" s="168"/>
      <c r="AD790" s="168"/>
      <c r="AE790" s="168"/>
      <c r="AF790" s="168"/>
      <c r="AG790" s="168"/>
      <c r="AH790" s="168"/>
      <c r="AI790" s="168"/>
      <c r="AJ790" s="168"/>
      <c r="AK790" s="168"/>
      <c r="AL790" s="168"/>
      <c r="AM790" s="168"/>
      <c r="AN790" s="168"/>
      <c r="AO790" s="168"/>
      <c r="AP790" s="168"/>
      <c r="AQ790" s="168"/>
      <c r="AR790" s="168"/>
      <c r="AS790" s="168"/>
      <c r="AT790" s="168"/>
      <c r="AU790" s="168"/>
      <c r="AV790" s="168"/>
      <c r="AW790" s="168"/>
      <c r="AX790" s="168"/>
      <c r="AY790" s="168"/>
      <c r="AZ790" s="168"/>
      <c r="BA790" s="168"/>
      <c r="BB790" s="168"/>
      <c r="BC790" s="168"/>
      <c r="BD790" s="168"/>
      <c r="BE790" s="168"/>
      <c r="BF790" s="168"/>
      <c r="BG790" s="168"/>
      <c r="BH790" s="168"/>
      <c r="BI790" s="168"/>
      <c r="BJ790" s="169"/>
    </row>
    <row r="791" spans="1:64" s="174" customFormat="1" ht="12.75">
      <c r="A791" s="120" t="s">
        <v>138</v>
      </c>
      <c r="B791" s="170">
        <f>SUM(C791:BJ791)</f>
        <v>67125190.325940877</v>
      </c>
      <c r="C791" s="171">
        <f>C762-C767</f>
        <v>19396132.341405883</v>
      </c>
      <c r="D791" s="172">
        <f>IF(AND(D750&gt;5,D751=0),0,D762-D767)</f>
        <v>21561964.190711629</v>
      </c>
      <c r="E791" s="172">
        <f t="shared" ref="E791:BJ791" si="485">IF(AND(E750&gt;5,E751=0),0,E762-E767)</f>
        <v>33481338.847378399</v>
      </c>
      <c r="F791" s="172">
        <f t="shared" si="485"/>
        <v>32277312.979059972</v>
      </c>
      <c r="G791" s="172">
        <f t="shared" si="485"/>
        <v>31073287.110741548</v>
      </c>
      <c r="H791" s="172">
        <f t="shared" si="485"/>
        <v>-5047488.9388111755</v>
      </c>
      <c r="I791" s="172">
        <f t="shared" si="485"/>
        <v>-5047488.9388111755</v>
      </c>
      <c r="J791" s="172">
        <f t="shared" si="485"/>
        <v>-5047488.9388111755</v>
      </c>
      <c r="K791" s="172">
        <f t="shared" si="485"/>
        <v>-5047488.9388111755</v>
      </c>
      <c r="L791" s="172">
        <f t="shared" si="485"/>
        <v>-5047488.9388111755</v>
      </c>
      <c r="M791" s="172">
        <f t="shared" si="485"/>
        <v>-5047488.9388111755</v>
      </c>
      <c r="N791" s="172">
        <f t="shared" si="485"/>
        <v>-5047488.9388111755</v>
      </c>
      <c r="O791" s="172">
        <f t="shared" si="485"/>
        <v>-5047488.9388111755</v>
      </c>
      <c r="P791" s="172">
        <f t="shared" si="485"/>
        <v>-5047488.9388111755</v>
      </c>
      <c r="Q791" s="172">
        <f t="shared" si="485"/>
        <v>-5047488.9388111755</v>
      </c>
      <c r="R791" s="172">
        <f t="shared" si="485"/>
        <v>-5047488.9388111755</v>
      </c>
      <c r="S791" s="172">
        <f t="shared" si="485"/>
        <v>-5047488.9388111755</v>
      </c>
      <c r="T791" s="172">
        <f t="shared" si="485"/>
        <v>-5047488.9388111755</v>
      </c>
      <c r="U791" s="172">
        <f t="shared" si="485"/>
        <v>-5047488.9388111755</v>
      </c>
      <c r="V791" s="172">
        <f t="shared" si="485"/>
        <v>0</v>
      </c>
      <c r="W791" s="172">
        <f t="shared" si="485"/>
        <v>0</v>
      </c>
      <c r="X791" s="172">
        <f t="shared" si="485"/>
        <v>0</v>
      </c>
      <c r="Y791" s="172">
        <f t="shared" si="485"/>
        <v>0</v>
      </c>
      <c r="Z791" s="172">
        <f t="shared" si="485"/>
        <v>0</v>
      </c>
      <c r="AA791" s="172">
        <f t="shared" si="485"/>
        <v>0</v>
      </c>
      <c r="AB791" s="172">
        <f t="shared" si="485"/>
        <v>0</v>
      </c>
      <c r="AC791" s="172">
        <f t="shared" si="485"/>
        <v>0</v>
      </c>
      <c r="AD791" s="172">
        <f t="shared" si="485"/>
        <v>0</v>
      </c>
      <c r="AE791" s="172">
        <f t="shared" si="485"/>
        <v>0</v>
      </c>
      <c r="AF791" s="172">
        <f t="shared" si="485"/>
        <v>0</v>
      </c>
      <c r="AG791" s="172">
        <f t="shared" si="485"/>
        <v>0</v>
      </c>
      <c r="AH791" s="172">
        <f t="shared" si="485"/>
        <v>0</v>
      </c>
      <c r="AI791" s="172">
        <f t="shared" si="485"/>
        <v>0</v>
      </c>
      <c r="AJ791" s="172">
        <f t="shared" si="485"/>
        <v>0</v>
      </c>
      <c r="AK791" s="172">
        <f t="shared" si="485"/>
        <v>0</v>
      </c>
      <c r="AL791" s="172">
        <f t="shared" si="485"/>
        <v>0</v>
      </c>
      <c r="AM791" s="172">
        <f t="shared" si="485"/>
        <v>0</v>
      </c>
      <c r="AN791" s="172">
        <f t="shared" si="485"/>
        <v>0</v>
      </c>
      <c r="AO791" s="172">
        <f t="shared" si="485"/>
        <v>0</v>
      </c>
      <c r="AP791" s="172">
        <f t="shared" si="485"/>
        <v>0</v>
      </c>
      <c r="AQ791" s="172">
        <f t="shared" si="485"/>
        <v>0</v>
      </c>
      <c r="AR791" s="172">
        <f t="shared" si="485"/>
        <v>0</v>
      </c>
      <c r="AS791" s="172">
        <f t="shared" si="485"/>
        <v>0</v>
      </c>
      <c r="AT791" s="172">
        <f t="shared" si="485"/>
        <v>0</v>
      </c>
      <c r="AU791" s="172">
        <f t="shared" si="485"/>
        <v>0</v>
      </c>
      <c r="AV791" s="172">
        <f t="shared" si="485"/>
        <v>0</v>
      </c>
      <c r="AW791" s="172">
        <f t="shared" si="485"/>
        <v>0</v>
      </c>
      <c r="AX791" s="172">
        <f t="shared" si="485"/>
        <v>0</v>
      </c>
      <c r="AY791" s="172">
        <f t="shared" si="485"/>
        <v>0</v>
      </c>
      <c r="AZ791" s="172">
        <f t="shared" si="485"/>
        <v>0</v>
      </c>
      <c r="BA791" s="172">
        <f t="shared" si="485"/>
        <v>0</v>
      </c>
      <c r="BB791" s="172">
        <f t="shared" si="485"/>
        <v>0</v>
      </c>
      <c r="BC791" s="172">
        <f t="shared" si="485"/>
        <v>0</v>
      </c>
      <c r="BD791" s="172">
        <f t="shared" si="485"/>
        <v>0</v>
      </c>
      <c r="BE791" s="172">
        <f t="shared" si="485"/>
        <v>0</v>
      </c>
      <c r="BF791" s="172">
        <f t="shared" si="485"/>
        <v>0</v>
      </c>
      <c r="BG791" s="172">
        <f t="shared" si="485"/>
        <v>0</v>
      </c>
      <c r="BH791" s="172">
        <f t="shared" si="485"/>
        <v>0</v>
      </c>
      <c r="BI791" s="172">
        <f t="shared" si="485"/>
        <v>0</v>
      </c>
      <c r="BJ791" s="173">
        <f t="shared" si="485"/>
        <v>0</v>
      </c>
      <c r="BK791" s="172"/>
      <c r="BL791" s="172"/>
    </row>
    <row r="792" spans="1:64" s="174" customFormat="1" ht="12.75">
      <c r="A792" s="120" t="s">
        <v>139</v>
      </c>
      <c r="B792" s="170">
        <f>SUM(C792:BJ792)</f>
        <v>84299477.838394284</v>
      </c>
      <c r="C792" s="171">
        <f>C782</f>
        <v>668832.14970365108</v>
      </c>
      <c r="D792" s="172">
        <f>D782</f>
        <v>1435411.3338559021</v>
      </c>
      <c r="E792" s="172">
        <f t="shared" ref="E792:BJ792" si="486">E782</f>
        <v>2639437.2021743259</v>
      </c>
      <c r="F792" s="172">
        <f t="shared" si="486"/>
        <v>3843463.0704927505</v>
      </c>
      <c r="G792" s="172">
        <f t="shared" si="486"/>
        <v>5047488.9388111755</v>
      </c>
      <c r="H792" s="172">
        <f t="shared" si="486"/>
        <v>5047488.9388111755</v>
      </c>
      <c r="I792" s="172">
        <f t="shared" si="486"/>
        <v>5047488.9388111755</v>
      </c>
      <c r="J792" s="172">
        <f t="shared" si="486"/>
        <v>5047488.9388111755</v>
      </c>
      <c r="K792" s="172">
        <f t="shared" si="486"/>
        <v>5047488.9388111755</v>
      </c>
      <c r="L792" s="172">
        <f t="shared" si="486"/>
        <v>5047488.9388111755</v>
      </c>
      <c r="M792" s="172">
        <f t="shared" si="486"/>
        <v>5047488.9388111755</v>
      </c>
      <c r="N792" s="172">
        <f t="shared" si="486"/>
        <v>5047488.9388111755</v>
      </c>
      <c r="O792" s="172">
        <f t="shared" si="486"/>
        <v>5047488.9388111755</v>
      </c>
      <c r="P792" s="172">
        <f t="shared" si="486"/>
        <v>5047488.9388111755</v>
      </c>
      <c r="Q792" s="172">
        <f t="shared" si="486"/>
        <v>5047488.9388111755</v>
      </c>
      <c r="R792" s="172">
        <f t="shared" si="486"/>
        <v>5047488.9388111755</v>
      </c>
      <c r="S792" s="172">
        <f t="shared" si="486"/>
        <v>5047488.9388111755</v>
      </c>
      <c r="T792" s="172">
        <f t="shared" si="486"/>
        <v>5047488.9388111755</v>
      </c>
      <c r="U792" s="172">
        <f t="shared" si="486"/>
        <v>5047488.9388111755</v>
      </c>
      <c r="V792" s="172">
        <f t="shared" si="486"/>
        <v>0</v>
      </c>
      <c r="W792" s="172">
        <f t="shared" si="486"/>
        <v>0</v>
      </c>
      <c r="X792" s="172">
        <f t="shared" si="486"/>
        <v>0</v>
      </c>
      <c r="Y792" s="172">
        <f t="shared" si="486"/>
        <v>0</v>
      </c>
      <c r="Z792" s="172">
        <f t="shared" si="486"/>
        <v>0</v>
      </c>
      <c r="AA792" s="172">
        <f t="shared" si="486"/>
        <v>0</v>
      </c>
      <c r="AB792" s="172">
        <f t="shared" si="486"/>
        <v>0</v>
      </c>
      <c r="AC792" s="172">
        <f t="shared" si="486"/>
        <v>0</v>
      </c>
      <c r="AD792" s="172">
        <f t="shared" si="486"/>
        <v>0</v>
      </c>
      <c r="AE792" s="172">
        <f t="shared" si="486"/>
        <v>0</v>
      </c>
      <c r="AF792" s="172">
        <f t="shared" si="486"/>
        <v>0</v>
      </c>
      <c r="AG792" s="172">
        <f t="shared" si="486"/>
        <v>0</v>
      </c>
      <c r="AH792" s="172">
        <f t="shared" si="486"/>
        <v>0</v>
      </c>
      <c r="AI792" s="172">
        <f t="shared" si="486"/>
        <v>0</v>
      </c>
      <c r="AJ792" s="172">
        <f t="shared" si="486"/>
        <v>0</v>
      </c>
      <c r="AK792" s="172">
        <f t="shared" si="486"/>
        <v>0</v>
      </c>
      <c r="AL792" s="172">
        <f t="shared" si="486"/>
        <v>0</v>
      </c>
      <c r="AM792" s="172">
        <f t="shared" si="486"/>
        <v>0</v>
      </c>
      <c r="AN792" s="172">
        <f t="shared" si="486"/>
        <v>0</v>
      </c>
      <c r="AO792" s="172">
        <f t="shared" si="486"/>
        <v>0</v>
      </c>
      <c r="AP792" s="172">
        <f t="shared" si="486"/>
        <v>0</v>
      </c>
      <c r="AQ792" s="172">
        <f t="shared" si="486"/>
        <v>0</v>
      </c>
      <c r="AR792" s="172">
        <f t="shared" si="486"/>
        <v>0</v>
      </c>
      <c r="AS792" s="172">
        <f t="shared" si="486"/>
        <v>0</v>
      </c>
      <c r="AT792" s="172">
        <f t="shared" si="486"/>
        <v>0</v>
      </c>
      <c r="AU792" s="172">
        <f t="shared" si="486"/>
        <v>0</v>
      </c>
      <c r="AV792" s="172">
        <f t="shared" si="486"/>
        <v>0</v>
      </c>
      <c r="AW792" s="172">
        <f t="shared" si="486"/>
        <v>0</v>
      </c>
      <c r="AX792" s="172">
        <f t="shared" si="486"/>
        <v>0</v>
      </c>
      <c r="AY792" s="172">
        <f t="shared" si="486"/>
        <v>0</v>
      </c>
      <c r="AZ792" s="172">
        <f t="shared" si="486"/>
        <v>0</v>
      </c>
      <c r="BA792" s="172">
        <f t="shared" si="486"/>
        <v>0</v>
      </c>
      <c r="BB792" s="172">
        <f t="shared" si="486"/>
        <v>0</v>
      </c>
      <c r="BC792" s="172">
        <f t="shared" si="486"/>
        <v>0</v>
      </c>
      <c r="BD792" s="172">
        <f t="shared" si="486"/>
        <v>0</v>
      </c>
      <c r="BE792" s="172">
        <f t="shared" si="486"/>
        <v>0</v>
      </c>
      <c r="BF792" s="172">
        <f t="shared" si="486"/>
        <v>0</v>
      </c>
      <c r="BG792" s="172">
        <f t="shared" si="486"/>
        <v>0</v>
      </c>
      <c r="BH792" s="172">
        <f t="shared" si="486"/>
        <v>0</v>
      </c>
      <c r="BI792" s="172">
        <f t="shared" si="486"/>
        <v>0</v>
      </c>
      <c r="BJ792" s="173">
        <f t="shared" si="486"/>
        <v>0</v>
      </c>
      <c r="BK792" s="172"/>
      <c r="BL792" s="172"/>
    </row>
    <row r="793" spans="1:64" s="174" customFormat="1" ht="12.75">
      <c r="A793" s="120" t="s">
        <v>140</v>
      </c>
      <c r="B793" s="170" t="e">
        <f>SUM(C793:BJ793)</f>
        <v>#REF!</v>
      </c>
      <c r="C793" s="171">
        <f>-C762</f>
        <v>-20064964.491109535</v>
      </c>
      <c r="D793" s="172">
        <f>IF(AND(D750&gt;5,E751=0,D751&lt;&gt;0),SUM(D$71:$BJ767)-D762,-D762)</f>
        <v>-22997375.52456753</v>
      </c>
      <c r="E793" s="172">
        <f>IF(AND(E750&gt;5,F751=0,E751&lt;&gt;0),SUM(E$71:$BJ767)-E762,-E762)</f>
        <v>-36120776.049552724</v>
      </c>
      <c r="F793" s="172">
        <f>IF(AND(F750&gt;5,G751=0,F751&lt;&gt;0),SUM(F$71:$BJ767)-F762,-F762)</f>
        <v>-36120776.049552724</v>
      </c>
      <c r="G793" s="172">
        <f>IF(AND(G750&gt;5,H751=0,G751&lt;&gt;0),SUM(G$71:$BJ767)-G762,-G762)</f>
        <v>-36120776.049552724</v>
      </c>
      <c r="H793" s="172">
        <f>IF(AND(H750&gt;5,I751=0,H751&lt;&gt;0),SUM(H$71:$BJ767)-H762,-H762)</f>
        <v>0</v>
      </c>
      <c r="I793" s="172">
        <f>IF(AND(I750&gt;5,J751=0,I751&lt;&gt;0),SUM(I$71:$BJ767)-I762,-I762)</f>
        <v>0</v>
      </c>
      <c r="J793" s="172">
        <f>IF(AND(J750&gt;5,K751=0,J751&lt;&gt;0),SUM(J$71:$BJ767)-J762,-J762)</f>
        <v>0</v>
      </c>
      <c r="K793" s="172">
        <f>IF(AND(K750&gt;5,L751=0,K751&lt;&gt;0),SUM(K$71:$BJ767)-K762,-K762)</f>
        <v>0</v>
      </c>
      <c r="L793" s="172">
        <f>IF(AND(L750&gt;5,M751=0,L751&lt;&gt;0),SUM(L$71:$BJ767)-L762,-L762)</f>
        <v>0</v>
      </c>
      <c r="M793" s="172">
        <f>IF(AND(M750&gt;5,N751=0,M751&lt;&gt;0),SUM(M$71:$BJ767)-M762,-M762)</f>
        <v>0</v>
      </c>
      <c r="N793" s="172">
        <f>IF(AND(N750&gt;5,O751=0,N751&lt;&gt;0),SUM(N$71:$BJ767)-N762,-N762)</f>
        <v>0</v>
      </c>
      <c r="O793" s="172">
        <f>IF(AND(O750&gt;5,P751=0,O751&lt;&gt;0),SUM(O$71:$BJ767)-O762,-O762)</f>
        <v>0</v>
      </c>
      <c r="P793" s="172">
        <f>IF(AND(P750&gt;5,Q751=0,P751&lt;&gt;0),SUM(P$71:$BJ767)-P762,-P762)</f>
        <v>0</v>
      </c>
      <c r="Q793" s="172">
        <f>IF(AND(Q750&gt;5,R751=0,Q751&lt;&gt;0),SUM(Q$71:$BJ767)-Q762,-Q762)</f>
        <v>0</v>
      </c>
      <c r="R793" s="172">
        <f>IF(AND(R750&gt;5,S751=0,R751&lt;&gt;0),SUM(R$71:$BJ767)-R762,-R762)</f>
        <v>0</v>
      </c>
      <c r="S793" s="172">
        <f>IF(AND(S750&gt;5,T751=0,S751&lt;&gt;0),SUM(S$71:$BJ767)-S762,-S762)</f>
        <v>0</v>
      </c>
      <c r="T793" s="172">
        <f>IF(AND(T750&gt;5,U751=0,T751&lt;&gt;0),SUM(T$71:$BJ767)-T762,-T762)</f>
        <v>0</v>
      </c>
      <c r="U793" s="172" t="e">
        <f>IF(AND(U750&gt;5,V751=0,U751&lt;&gt;0),SUM(U$71:$BJ767)-U762,-U762)</f>
        <v>#REF!</v>
      </c>
      <c r="V793" s="172">
        <f>IF(AND(V750&gt;5,W751=0,V751&lt;&gt;0),SUM(V$71:$BJ767)-V762,-V762)</f>
        <v>0</v>
      </c>
      <c r="W793" s="172">
        <f>IF(AND(W750&gt;5,X751=0,W751&lt;&gt;0),SUM(W$71:$BJ767)-W762,-W762)</f>
        <v>0</v>
      </c>
      <c r="X793" s="172">
        <f>IF(AND(X750&gt;5,Y751=0,X751&lt;&gt;0),SUM(X$71:$BJ767)-X762,-X762)</f>
        <v>0</v>
      </c>
      <c r="Y793" s="172">
        <f>IF(AND(Y750&gt;5,Z751=0,Y751&lt;&gt;0),SUM(Y$71:$BJ767)-Y762,-Y762)</f>
        <v>0</v>
      </c>
      <c r="Z793" s="175">
        <f>IF(AND(Z750&gt;5,AA751=0,Z751&lt;&gt;0),SUM(Z$71:$BJ767)-Z762,-Z762)</f>
        <v>0</v>
      </c>
      <c r="AA793" s="172">
        <f>IF(AND(AA750&gt;5,AB751=0,AA751&lt;&gt;0),SUM(AA$71:$BJ767)-AA762,-AA762)</f>
        <v>0</v>
      </c>
      <c r="AB793" s="172">
        <f>IF(AND(AB750&gt;5,AC751=0,AB751&lt;&gt;0),SUM(AB$71:$BJ767)-AB762,-AB762)</f>
        <v>0</v>
      </c>
      <c r="AC793" s="172">
        <f>IF(AND(AC750&gt;5,AD751=0,AC751&lt;&gt;0),SUM(AC$71:$BJ767)-AC762,-AC762)</f>
        <v>0</v>
      </c>
      <c r="AD793" s="172">
        <f>IF(AND(AD750&gt;5,AE751=0,AD751&lt;&gt;0),SUM(AD$71:$BJ767)-AD762,-AD762)</f>
        <v>0</v>
      </c>
      <c r="AE793" s="172">
        <f>IF(AND(AE750&gt;5,AF751=0,AE751&lt;&gt;0),SUM(AE$71:$BJ767)-AE762,-AE762)</f>
        <v>0</v>
      </c>
      <c r="AF793" s="172">
        <f>IF(AND(AF750&gt;5,AG751=0,AF751&lt;&gt;0),SUM(AF$71:$BJ767)-AF762,-AF762)</f>
        <v>0</v>
      </c>
      <c r="AG793" s="172">
        <f>IF(AND(AG750&gt;5,AH751=0,AG751&lt;&gt;0),SUM(AG$71:$BJ767)-AG762,-AG762)</f>
        <v>0</v>
      </c>
      <c r="AH793" s="172">
        <f>IF(AND(AH750&gt;5,AI751=0,AH751&lt;&gt;0),SUM(AH$71:$BJ767)-AH762,-AH762)</f>
        <v>0</v>
      </c>
      <c r="AI793" s="172">
        <f>IF(AND(AI750&gt;5,AJ751=0,AI751&lt;&gt;0),SUM(AI$71:$BJ767)-AI762,-AI762)</f>
        <v>0</v>
      </c>
      <c r="AJ793" s="172">
        <f>IF(AND(AJ750&gt;5,AK751=0,AJ751&lt;&gt;0),SUM(AJ$71:$BJ767)-AJ762,-AJ762)</f>
        <v>0</v>
      </c>
      <c r="AK793" s="172">
        <f>IF(AND(AK750&gt;5,AL751=0,AK751&lt;&gt;0),SUM(AK$71:$BJ767)-AK762,-AK762)</f>
        <v>0</v>
      </c>
      <c r="AL793" s="172">
        <f>IF(AND(AL750&gt;5,AM751=0,AL751&lt;&gt;0),SUM(AL$71:$BJ767)-AL762,-AL762)</f>
        <v>0</v>
      </c>
      <c r="AM793" s="172">
        <f>IF(AND(AM750&gt;5,AN751=0,AM751&lt;&gt;0),SUM(AM$71:$BJ767)-AM762,-AM762)</f>
        <v>0</v>
      </c>
      <c r="AN793" s="172">
        <f>IF(AND(AN750&gt;5,AO751=0,AN751&lt;&gt;0),SUM(AN$71:$BJ767)-AN762,-AN762)</f>
        <v>0</v>
      </c>
      <c r="AO793" s="172">
        <f>IF(AND(AO750&gt;5,AP751=0,AO751&lt;&gt;0),SUM(AO$71:$BJ767)-AO762,-AO762)</f>
        <v>0</v>
      </c>
      <c r="AP793" s="172">
        <f>IF(AND(AP750&gt;5,AQ751=0,AP751&lt;&gt;0),SUM(AP$71:$BJ767)-AP762,-AP762)</f>
        <v>0</v>
      </c>
      <c r="AQ793" s="172">
        <f>IF(AND(AQ750&gt;5,AR751=0,AQ751&lt;&gt;0),SUM(AQ$71:$BJ767)-AQ762,-AQ762)</f>
        <v>0</v>
      </c>
      <c r="AR793" s="172">
        <f>IF(AND(AR750&gt;5,AS751=0,AR751&lt;&gt;0),SUM(AR$71:$BJ767)-AR762,-AR762)</f>
        <v>0</v>
      </c>
      <c r="AS793" s="172">
        <f>IF(AND(AS750&gt;5,AT751=0,AS751&lt;&gt;0),SUM(AS$71:$BJ767)-AS762,-AS762)</f>
        <v>0</v>
      </c>
      <c r="AT793" s="172">
        <f>IF(AND(AT750&gt;5,AU751=0,AT751&lt;&gt;0),SUM(AT$71:$BJ767)-AT762,-AT762)</f>
        <v>0</v>
      </c>
      <c r="AU793" s="172">
        <f>IF(AND(AU750&gt;5,AV751=0,AU751&lt;&gt;0),SUM(AU$71:$BJ767)-AU762,-AU762)</f>
        <v>0</v>
      </c>
      <c r="AV793" s="172">
        <f>IF(AND(AV750&gt;5,AW751=0,AV751&lt;&gt;0),SUM(AV$71:$BJ767)-AV762,-AV762)</f>
        <v>0</v>
      </c>
      <c r="AW793" s="172">
        <f>IF(AND(AW750&gt;5,AX751=0,AW751&lt;&gt;0),SUM(AW$71:$BJ767)-AW762,-AW762)</f>
        <v>0</v>
      </c>
      <c r="AX793" s="172">
        <f>IF(AND(AX750&gt;5,AY751=0,AX751&lt;&gt;0),SUM(AX$71:$BJ767)-AX762,-AX762)</f>
        <v>0</v>
      </c>
      <c r="AY793" s="172">
        <f>IF(AND(AY750&gt;5,AZ751=0,AY751&lt;&gt;0),SUM(AY$71:$BJ767)-AY762,-AY762)</f>
        <v>0</v>
      </c>
      <c r="AZ793" s="172">
        <f>IF(AND(AZ750&gt;5,BA751=0,AZ751&lt;&gt;0),SUM(AZ$71:$BJ767)-AZ762,-AZ762)</f>
        <v>0</v>
      </c>
      <c r="BA793" s="172">
        <f>IF(AND(BA750&gt;5,BB751=0,BA751&lt;&gt;0),SUM(BA$71:$BJ767)-BA762,-BA762)</f>
        <v>0</v>
      </c>
      <c r="BB793" s="172">
        <f>IF(AND(BB750&gt;5,BC751=0,BB751&lt;&gt;0),SUM(BB$71:$BJ767)-BB762,-BB762)</f>
        <v>0</v>
      </c>
      <c r="BC793" s="172">
        <f>IF(AND(BC750&gt;5,BD751=0,BC751&lt;&gt;0),SUM(BC$71:$BJ767)-BC762,-BC762)</f>
        <v>0</v>
      </c>
      <c r="BD793" s="172">
        <f>IF(AND(BD750&gt;5,BE751=0,BD751&lt;&gt;0),SUM(BD$71:$BJ767)-BD762,-BD762)</f>
        <v>0</v>
      </c>
      <c r="BE793" s="172">
        <f>IF(AND(BE750&gt;5,BF751=0,BE751&lt;&gt;0),SUM(BE$71:$BJ767)-BE762,-BE762)</f>
        <v>0</v>
      </c>
      <c r="BF793" s="172">
        <f>IF(AND(BF750&gt;5,BG751=0,BF751&lt;&gt;0),SUM(BF$71:$BJ767)-BF762,-BF762)</f>
        <v>0</v>
      </c>
      <c r="BG793" s="172">
        <f>IF(AND(BG750&gt;5,BH751=0,BG751&lt;&gt;0),SUM(BG$71:$BJ767)-BG762,-BG762)</f>
        <v>0</v>
      </c>
      <c r="BH793" s="172">
        <f>IF(AND(BH750&gt;5,BI751=0,BH751&lt;&gt;0),SUM(BH$71:$BJ767)-BH762,-BH762)</f>
        <v>0</v>
      </c>
      <c r="BI793" s="172">
        <f>IF(AND(BI750&gt;5,BJ751=0,BI751&lt;&gt;0),SUM(BI$71:$BJ767)-BI762,-BI762)</f>
        <v>0</v>
      </c>
      <c r="BJ793" s="173">
        <f>IF(AND(BJ750&gt;5,BK751=0,BJ751&lt;&gt;0),SUM(BJ$71:$BJ767)-BJ762,-BJ762)</f>
        <v>0</v>
      </c>
      <c r="BK793" s="172"/>
      <c r="BL793" s="172"/>
    </row>
    <row r="794" spans="1:64" s="160" customFormat="1">
      <c r="A794" s="176" t="s">
        <v>141</v>
      </c>
      <c r="B794" s="177">
        <f>SUM(C794:BJ794)</f>
        <v>1280206505.2199335</v>
      </c>
      <c r="C794" s="178">
        <f>C789+C792</f>
        <v>-17101633.664291874</v>
      </c>
      <c r="D794" s="179">
        <f t="shared" ref="D794:BJ794" si="487">D789+D792</f>
        <v>-20034044.697749868</v>
      </c>
      <c r="E794" s="179">
        <f t="shared" si="487"/>
        <v>-33157445.222735066</v>
      </c>
      <c r="F794" s="179">
        <f t="shared" si="487"/>
        <v>-33157445.222735062</v>
      </c>
      <c r="G794" s="179">
        <f t="shared" si="487"/>
        <v>-33157445.222735062</v>
      </c>
      <c r="H794" s="179">
        <f t="shared" si="487"/>
        <v>27379910.931926608</v>
      </c>
      <c r="I794" s="179">
        <f t="shared" si="487"/>
        <v>53750324.076090977</v>
      </c>
      <c r="J794" s="179">
        <f t="shared" si="487"/>
        <v>80120737.220255345</v>
      </c>
      <c r="K794" s="179">
        <f t="shared" si="487"/>
        <v>106491150.36441973</v>
      </c>
      <c r="L794" s="179">
        <f t="shared" si="487"/>
        <v>146888379.01079923</v>
      </c>
      <c r="M794" s="179">
        <f t="shared" si="487"/>
        <v>146888379.01079923</v>
      </c>
      <c r="N794" s="179">
        <f t="shared" si="487"/>
        <v>146888379.01079923</v>
      </c>
      <c r="O794" s="179">
        <f t="shared" si="487"/>
        <v>146888379.01079923</v>
      </c>
      <c r="P794" s="179">
        <f t="shared" si="487"/>
        <v>146888379.01079923</v>
      </c>
      <c r="Q794" s="179">
        <f t="shared" si="487"/>
        <v>146888379.01079923</v>
      </c>
      <c r="R794" s="179">
        <f t="shared" si="487"/>
        <v>106491150.36441973</v>
      </c>
      <c r="S794" s="179">
        <f t="shared" si="487"/>
        <v>80120737.220255345</v>
      </c>
      <c r="T794" s="179">
        <f t="shared" si="487"/>
        <v>53750324.076090977</v>
      </c>
      <c r="U794" s="179">
        <f t="shared" si="487"/>
        <v>27379910.931926608</v>
      </c>
      <c r="V794" s="179">
        <f t="shared" si="487"/>
        <v>0</v>
      </c>
      <c r="W794" s="179">
        <f t="shared" si="487"/>
        <v>0</v>
      </c>
      <c r="X794" s="179">
        <f t="shared" si="487"/>
        <v>0</v>
      </c>
      <c r="Y794" s="179">
        <f t="shared" si="487"/>
        <v>0</v>
      </c>
      <c r="Z794" s="179">
        <f t="shared" si="487"/>
        <v>0</v>
      </c>
      <c r="AA794" s="179">
        <f t="shared" si="487"/>
        <v>0</v>
      </c>
      <c r="AB794" s="179">
        <f t="shared" si="487"/>
        <v>0</v>
      </c>
      <c r="AC794" s="179">
        <f t="shared" si="487"/>
        <v>0</v>
      </c>
      <c r="AD794" s="179">
        <f t="shared" si="487"/>
        <v>0</v>
      </c>
      <c r="AE794" s="179">
        <f t="shared" si="487"/>
        <v>0</v>
      </c>
      <c r="AF794" s="179">
        <f t="shared" si="487"/>
        <v>0</v>
      </c>
      <c r="AG794" s="179">
        <f t="shared" si="487"/>
        <v>0</v>
      </c>
      <c r="AH794" s="179">
        <f t="shared" si="487"/>
        <v>0</v>
      </c>
      <c r="AI794" s="179">
        <f t="shared" si="487"/>
        <v>0</v>
      </c>
      <c r="AJ794" s="179">
        <f t="shared" si="487"/>
        <v>0</v>
      </c>
      <c r="AK794" s="179">
        <f t="shared" si="487"/>
        <v>0</v>
      </c>
      <c r="AL794" s="179">
        <f t="shared" si="487"/>
        <v>0</v>
      </c>
      <c r="AM794" s="179">
        <f t="shared" si="487"/>
        <v>0</v>
      </c>
      <c r="AN794" s="179">
        <f t="shared" si="487"/>
        <v>0</v>
      </c>
      <c r="AO794" s="179">
        <f t="shared" si="487"/>
        <v>0</v>
      </c>
      <c r="AP794" s="179">
        <f t="shared" si="487"/>
        <v>0</v>
      </c>
      <c r="AQ794" s="179">
        <f t="shared" si="487"/>
        <v>0</v>
      </c>
      <c r="AR794" s="179">
        <f t="shared" si="487"/>
        <v>0</v>
      </c>
      <c r="AS794" s="179">
        <f t="shared" si="487"/>
        <v>0</v>
      </c>
      <c r="AT794" s="179">
        <f t="shared" si="487"/>
        <v>0</v>
      </c>
      <c r="AU794" s="179">
        <f t="shared" si="487"/>
        <v>0</v>
      </c>
      <c r="AV794" s="179">
        <f t="shared" si="487"/>
        <v>0</v>
      </c>
      <c r="AW794" s="179">
        <f t="shared" si="487"/>
        <v>0</v>
      </c>
      <c r="AX794" s="179">
        <f t="shared" si="487"/>
        <v>0</v>
      </c>
      <c r="AY794" s="179">
        <f t="shared" si="487"/>
        <v>0</v>
      </c>
      <c r="AZ794" s="179">
        <f t="shared" si="487"/>
        <v>0</v>
      </c>
      <c r="BA794" s="179">
        <f t="shared" si="487"/>
        <v>0</v>
      </c>
      <c r="BB794" s="179">
        <f t="shared" si="487"/>
        <v>0</v>
      </c>
      <c r="BC794" s="179">
        <f t="shared" si="487"/>
        <v>0</v>
      </c>
      <c r="BD794" s="179">
        <f t="shared" si="487"/>
        <v>0</v>
      </c>
      <c r="BE794" s="179">
        <f t="shared" si="487"/>
        <v>0</v>
      </c>
      <c r="BF794" s="179">
        <f t="shared" si="487"/>
        <v>0</v>
      </c>
      <c r="BG794" s="179">
        <f t="shared" si="487"/>
        <v>0</v>
      </c>
      <c r="BH794" s="179">
        <f t="shared" si="487"/>
        <v>0</v>
      </c>
      <c r="BI794" s="179">
        <f t="shared" si="487"/>
        <v>0</v>
      </c>
      <c r="BJ794" s="180">
        <f t="shared" si="487"/>
        <v>0</v>
      </c>
    </row>
    <row r="795" spans="1:64" s="80" customFormat="1">
      <c r="A795" s="176" t="s">
        <v>142</v>
      </c>
      <c r="B795" s="177">
        <f>SUM(C795:BJ795)</f>
        <v>303751369.28791928</v>
      </c>
      <c r="C795" s="232">
        <f>C794*(1+$C749)^-(C750-1)</f>
        <v>-17101633.664291874</v>
      </c>
      <c r="D795" s="182">
        <f>D794*(1+$C749)^-(D750-1)</f>
        <v>-17887539.908705238</v>
      </c>
      <c r="E795" s="182">
        <f t="shared" ref="E795:BJ795" si="488">E794*(1+$C749)^-(E750-1)</f>
        <v>-26432912.326797724</v>
      </c>
      <c r="F795" s="182">
        <f t="shared" si="488"/>
        <v>-23600814.577497959</v>
      </c>
      <c r="G795" s="182">
        <f t="shared" si="488"/>
        <v>-21072155.872766037</v>
      </c>
      <c r="H795" s="182">
        <f t="shared" si="488"/>
        <v>15536096.769958416</v>
      </c>
      <c r="I795" s="182">
        <f t="shared" si="488"/>
        <v>27231586.950314306</v>
      </c>
      <c r="J795" s="182">
        <f t="shared" si="488"/>
        <v>36242552.613795936</v>
      </c>
      <c r="K795" s="182">
        <f t="shared" si="488"/>
        <v>43009989.560418211</v>
      </c>
      <c r="L795" s="182">
        <f t="shared" si="488"/>
        <v>52969422.024588041</v>
      </c>
      <c r="M795" s="182">
        <f t="shared" si="488"/>
        <v>47294126.807667881</v>
      </c>
      <c r="N795" s="182">
        <f t="shared" si="488"/>
        <v>42226898.935417749</v>
      </c>
      <c r="O795" s="182">
        <f t="shared" si="488"/>
        <v>37702588.335194424</v>
      </c>
      <c r="P795" s="182">
        <f t="shared" si="488"/>
        <v>33663025.299280725</v>
      </c>
      <c r="Q795" s="182">
        <f t="shared" si="488"/>
        <v>30056272.588643502</v>
      </c>
      <c r="R795" s="182">
        <f t="shared" si="488"/>
        <v>19455535.029303156</v>
      </c>
      <c r="S795" s="182">
        <f t="shared" si="488"/>
        <v>13069427.803457163</v>
      </c>
      <c r="T795" s="182">
        <f t="shared" si="488"/>
        <v>7828430.5249050511</v>
      </c>
      <c r="U795" s="182">
        <f t="shared" si="488"/>
        <v>3560472.3950336017</v>
      </c>
      <c r="V795" s="182">
        <f t="shared" si="488"/>
        <v>0</v>
      </c>
      <c r="W795" s="182">
        <f t="shared" si="488"/>
        <v>0</v>
      </c>
      <c r="X795" s="182">
        <f t="shared" si="488"/>
        <v>0</v>
      </c>
      <c r="Y795" s="182">
        <f t="shared" si="488"/>
        <v>0</v>
      </c>
      <c r="Z795" s="182">
        <f t="shared" si="488"/>
        <v>0</v>
      </c>
      <c r="AA795" s="182">
        <f t="shared" si="488"/>
        <v>0</v>
      </c>
      <c r="AB795" s="182">
        <f t="shared" si="488"/>
        <v>0</v>
      </c>
      <c r="AC795" s="182">
        <f t="shared" si="488"/>
        <v>0</v>
      </c>
      <c r="AD795" s="182">
        <f t="shared" si="488"/>
        <v>0</v>
      </c>
      <c r="AE795" s="182">
        <f t="shared" si="488"/>
        <v>0</v>
      </c>
      <c r="AF795" s="182">
        <f t="shared" si="488"/>
        <v>0</v>
      </c>
      <c r="AG795" s="182">
        <f t="shared" si="488"/>
        <v>0</v>
      </c>
      <c r="AH795" s="182">
        <f t="shared" si="488"/>
        <v>0</v>
      </c>
      <c r="AI795" s="182">
        <f t="shared" si="488"/>
        <v>0</v>
      </c>
      <c r="AJ795" s="182">
        <f t="shared" si="488"/>
        <v>0</v>
      </c>
      <c r="AK795" s="182">
        <f t="shared" si="488"/>
        <v>0</v>
      </c>
      <c r="AL795" s="182">
        <f t="shared" si="488"/>
        <v>0</v>
      </c>
      <c r="AM795" s="182">
        <f t="shared" si="488"/>
        <v>0</v>
      </c>
      <c r="AN795" s="182">
        <f t="shared" si="488"/>
        <v>0</v>
      </c>
      <c r="AO795" s="182">
        <f t="shared" si="488"/>
        <v>0</v>
      </c>
      <c r="AP795" s="182">
        <f t="shared" si="488"/>
        <v>0</v>
      </c>
      <c r="AQ795" s="182">
        <f t="shared" si="488"/>
        <v>0</v>
      </c>
      <c r="AR795" s="182">
        <f t="shared" si="488"/>
        <v>0</v>
      </c>
      <c r="AS795" s="182">
        <f t="shared" si="488"/>
        <v>0</v>
      </c>
      <c r="AT795" s="182">
        <f t="shared" si="488"/>
        <v>0</v>
      </c>
      <c r="AU795" s="182">
        <f t="shared" si="488"/>
        <v>0</v>
      </c>
      <c r="AV795" s="182">
        <f t="shared" si="488"/>
        <v>0</v>
      </c>
      <c r="AW795" s="182">
        <f t="shared" si="488"/>
        <v>0</v>
      </c>
      <c r="AX795" s="182">
        <f t="shared" si="488"/>
        <v>0</v>
      </c>
      <c r="AY795" s="182">
        <f t="shared" si="488"/>
        <v>0</v>
      </c>
      <c r="AZ795" s="182">
        <f t="shared" si="488"/>
        <v>0</v>
      </c>
      <c r="BA795" s="182">
        <f t="shared" si="488"/>
        <v>0</v>
      </c>
      <c r="BB795" s="182">
        <f t="shared" si="488"/>
        <v>0</v>
      </c>
      <c r="BC795" s="182">
        <f t="shared" si="488"/>
        <v>0</v>
      </c>
      <c r="BD795" s="182">
        <f t="shared" si="488"/>
        <v>0</v>
      </c>
      <c r="BE795" s="182">
        <f t="shared" si="488"/>
        <v>0</v>
      </c>
      <c r="BF795" s="182">
        <f t="shared" si="488"/>
        <v>0</v>
      </c>
      <c r="BG795" s="182">
        <f t="shared" si="488"/>
        <v>0</v>
      </c>
      <c r="BH795" s="182">
        <f t="shared" si="488"/>
        <v>0</v>
      </c>
      <c r="BI795" s="182">
        <f t="shared" si="488"/>
        <v>0</v>
      </c>
      <c r="BJ795" s="183">
        <f t="shared" si="488"/>
        <v>0</v>
      </c>
    </row>
    <row r="796" spans="1:64" s="80" customFormat="1">
      <c r="A796" s="184" t="s">
        <v>143</v>
      </c>
      <c r="B796" s="177"/>
      <c r="C796" s="181">
        <f>C795</f>
        <v>-17101633.664291874</v>
      </c>
      <c r="D796" s="182">
        <f t="shared" ref="D796:BJ796" si="489">IF(D795=0, 0, C796+D795)</f>
        <v>-34989173.572997108</v>
      </c>
      <c r="E796" s="182">
        <f t="shared" si="489"/>
        <v>-61422085.899794832</v>
      </c>
      <c r="F796" s="182">
        <f t="shared" si="489"/>
        <v>-85022900.477292791</v>
      </c>
      <c r="G796" s="182">
        <f t="shared" si="489"/>
        <v>-106095056.35005882</v>
      </c>
      <c r="H796" s="182">
        <f t="shared" si="489"/>
        <v>-90558959.580100402</v>
      </c>
      <c r="I796" s="182">
        <f t="shared" si="489"/>
        <v>-63327372.629786097</v>
      </c>
      <c r="J796" s="182">
        <f t="shared" si="489"/>
        <v>-27084820.01599016</v>
      </c>
      <c r="K796" s="182">
        <f t="shared" si="489"/>
        <v>15925169.544428051</v>
      </c>
      <c r="L796" s="182">
        <f t="shared" si="489"/>
        <v>68894591.569016099</v>
      </c>
      <c r="M796" s="182">
        <f t="shared" si="489"/>
        <v>116188718.37668398</v>
      </c>
      <c r="N796" s="182">
        <f t="shared" si="489"/>
        <v>158415617.31210172</v>
      </c>
      <c r="O796" s="182">
        <f t="shared" si="489"/>
        <v>196118205.64729613</v>
      </c>
      <c r="P796" s="182">
        <f t="shared" si="489"/>
        <v>229781230.94657686</v>
      </c>
      <c r="Q796" s="182">
        <f t="shared" si="489"/>
        <v>259837503.53522035</v>
      </c>
      <c r="R796" s="182">
        <f t="shared" si="489"/>
        <v>279293038.56452352</v>
      </c>
      <c r="S796" s="182">
        <f t="shared" si="489"/>
        <v>292362466.36798066</v>
      </c>
      <c r="T796" s="182">
        <f t="shared" si="489"/>
        <v>300190896.89288568</v>
      </c>
      <c r="U796" s="182">
        <f t="shared" si="489"/>
        <v>303751369.28791928</v>
      </c>
      <c r="V796" s="182">
        <f t="shared" si="489"/>
        <v>0</v>
      </c>
      <c r="W796" s="182">
        <f t="shared" si="489"/>
        <v>0</v>
      </c>
      <c r="X796" s="182">
        <f t="shared" si="489"/>
        <v>0</v>
      </c>
      <c r="Y796" s="182">
        <f t="shared" si="489"/>
        <v>0</v>
      </c>
      <c r="Z796" s="182">
        <f t="shared" si="489"/>
        <v>0</v>
      </c>
      <c r="AA796" s="182">
        <f t="shared" si="489"/>
        <v>0</v>
      </c>
      <c r="AB796" s="182">
        <f t="shared" si="489"/>
        <v>0</v>
      </c>
      <c r="AC796" s="182">
        <f t="shared" si="489"/>
        <v>0</v>
      </c>
      <c r="AD796" s="182">
        <f t="shared" si="489"/>
        <v>0</v>
      </c>
      <c r="AE796" s="182">
        <f t="shared" si="489"/>
        <v>0</v>
      </c>
      <c r="AF796" s="182">
        <f t="shared" si="489"/>
        <v>0</v>
      </c>
      <c r="AG796" s="182">
        <f t="shared" si="489"/>
        <v>0</v>
      </c>
      <c r="AH796" s="182">
        <f t="shared" si="489"/>
        <v>0</v>
      </c>
      <c r="AI796" s="182">
        <f t="shared" si="489"/>
        <v>0</v>
      </c>
      <c r="AJ796" s="182">
        <f t="shared" si="489"/>
        <v>0</v>
      </c>
      <c r="AK796" s="182">
        <f t="shared" si="489"/>
        <v>0</v>
      </c>
      <c r="AL796" s="182">
        <f t="shared" si="489"/>
        <v>0</v>
      </c>
      <c r="AM796" s="182">
        <f t="shared" si="489"/>
        <v>0</v>
      </c>
      <c r="AN796" s="182">
        <f t="shared" si="489"/>
        <v>0</v>
      </c>
      <c r="AO796" s="182">
        <f t="shared" si="489"/>
        <v>0</v>
      </c>
      <c r="AP796" s="182">
        <f t="shared" si="489"/>
        <v>0</v>
      </c>
      <c r="AQ796" s="182">
        <f t="shared" si="489"/>
        <v>0</v>
      </c>
      <c r="AR796" s="182">
        <f t="shared" si="489"/>
        <v>0</v>
      </c>
      <c r="AS796" s="182">
        <f t="shared" si="489"/>
        <v>0</v>
      </c>
      <c r="AT796" s="182">
        <f t="shared" si="489"/>
        <v>0</v>
      </c>
      <c r="AU796" s="182">
        <f t="shared" si="489"/>
        <v>0</v>
      </c>
      <c r="AV796" s="182">
        <f t="shared" si="489"/>
        <v>0</v>
      </c>
      <c r="AW796" s="182">
        <f t="shared" si="489"/>
        <v>0</v>
      </c>
      <c r="AX796" s="182">
        <f t="shared" si="489"/>
        <v>0</v>
      </c>
      <c r="AY796" s="182">
        <f t="shared" si="489"/>
        <v>0</v>
      </c>
      <c r="AZ796" s="182">
        <f t="shared" si="489"/>
        <v>0</v>
      </c>
      <c r="BA796" s="182">
        <f t="shared" si="489"/>
        <v>0</v>
      </c>
      <c r="BB796" s="182">
        <f t="shared" si="489"/>
        <v>0</v>
      </c>
      <c r="BC796" s="182">
        <f t="shared" si="489"/>
        <v>0</v>
      </c>
      <c r="BD796" s="182">
        <f t="shared" si="489"/>
        <v>0</v>
      </c>
      <c r="BE796" s="182">
        <f t="shared" si="489"/>
        <v>0</v>
      </c>
      <c r="BF796" s="182">
        <f t="shared" si="489"/>
        <v>0</v>
      </c>
      <c r="BG796" s="182">
        <f t="shared" si="489"/>
        <v>0</v>
      </c>
      <c r="BH796" s="182">
        <f t="shared" si="489"/>
        <v>0</v>
      </c>
      <c r="BI796" s="182">
        <f t="shared" si="489"/>
        <v>0</v>
      </c>
      <c r="BJ796" s="183">
        <f t="shared" si="489"/>
        <v>0</v>
      </c>
    </row>
    <row r="797" spans="1:64" s="83" customFormat="1">
      <c r="A797" s="78"/>
      <c r="B797" s="81"/>
      <c r="C797" s="82"/>
      <c r="D797" s="82"/>
      <c r="E797" s="82"/>
      <c r="F797" s="82"/>
      <c r="G797" s="82"/>
      <c r="H797" s="82"/>
      <c r="I797" s="82"/>
      <c r="J797" s="82"/>
      <c r="K797" s="82"/>
      <c r="L797" s="82"/>
      <c r="M797" s="82"/>
      <c r="N797" s="82"/>
      <c r="O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2"/>
      <c r="AD797" s="82"/>
      <c r="AE797" s="82"/>
      <c r="AF797" s="82"/>
      <c r="AG797" s="82"/>
      <c r="AH797" s="82"/>
      <c r="AI797" s="82"/>
      <c r="AJ797" s="82"/>
      <c r="AK797" s="82"/>
      <c r="AL797" s="82"/>
      <c r="AM797" s="82"/>
      <c r="AN797" s="82"/>
      <c r="AO797" s="82"/>
      <c r="AP797" s="82"/>
      <c r="AQ797" s="82"/>
      <c r="AR797" s="82"/>
      <c r="AS797" s="82"/>
      <c r="AT797" s="82"/>
      <c r="AU797" s="82"/>
      <c r="AV797" s="82"/>
      <c r="AW797" s="82"/>
      <c r="AX797" s="82"/>
      <c r="AY797" s="82"/>
      <c r="AZ797" s="82"/>
      <c r="BA797" s="82"/>
      <c r="BB797" s="82"/>
      <c r="BC797" s="82"/>
      <c r="BD797" s="82"/>
      <c r="BE797" s="82"/>
      <c r="BF797" s="82"/>
      <c r="BG797" s="82"/>
      <c r="BH797" s="82"/>
      <c r="BI797" s="82"/>
      <c r="BJ797" s="82"/>
    </row>
    <row r="798" spans="1:64" ht="21">
      <c r="A798" s="185" t="s">
        <v>157</v>
      </c>
      <c r="B798" s="93"/>
      <c r="C798" s="186"/>
      <c r="D798" s="186"/>
      <c r="E798" s="186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86"/>
      <c r="AD798" s="186"/>
      <c r="AE798" s="186"/>
      <c r="AF798" s="186"/>
      <c r="AG798" s="186"/>
      <c r="AH798" s="186"/>
      <c r="AI798" s="186"/>
      <c r="AJ798" s="186"/>
      <c r="AK798" s="186"/>
      <c r="AL798" s="186"/>
      <c r="AM798" s="186"/>
      <c r="AN798" s="186"/>
      <c r="AO798" s="186"/>
      <c r="AP798" s="186"/>
      <c r="AQ798" s="186"/>
      <c r="AR798" s="186"/>
      <c r="AS798" s="186"/>
      <c r="AT798" s="186"/>
      <c r="AU798" s="186"/>
      <c r="AV798" s="186"/>
      <c r="AW798" s="186"/>
      <c r="AX798" s="186"/>
      <c r="AY798" s="186"/>
      <c r="AZ798" s="186"/>
      <c r="BA798" s="186"/>
      <c r="BB798" s="186"/>
      <c r="BC798" s="186"/>
      <c r="BD798" s="186"/>
      <c r="BE798" s="186"/>
      <c r="BF798" s="186"/>
      <c r="BG798" s="186"/>
      <c r="BH798" s="186"/>
      <c r="BI798" s="186"/>
      <c r="BJ798" s="186"/>
    </row>
    <row r="799" spans="1:64">
      <c r="A799" s="187" t="s">
        <v>158</v>
      </c>
      <c r="B799" s="188">
        <f>SUM(C799:BJ799)</f>
        <v>925.29990912874052</v>
      </c>
      <c r="C799" s="233">
        <f>(C751*(1-$K749))/(1+$C749)^(C750-1)</f>
        <v>0</v>
      </c>
      <c r="D799" s="190">
        <f>(D751*(1-$K749))/(1+$C749)^(D750-1)</f>
        <v>0</v>
      </c>
      <c r="E799" s="190">
        <f t="shared" ref="E799:BJ799" si="490">(E751*(1-$K749))/(1+$C749)^(E750-1)</f>
        <v>0</v>
      </c>
      <c r="F799" s="190">
        <f t="shared" si="490"/>
        <v>0</v>
      </c>
      <c r="G799" s="190">
        <f t="shared" si="490"/>
        <v>0</v>
      </c>
      <c r="H799" s="190">
        <f t="shared" si="490"/>
        <v>34.13639964003093</v>
      </c>
      <c r="I799" s="190">
        <f t="shared" si="490"/>
        <v>60.957856500055222</v>
      </c>
      <c r="J799" s="190">
        <f t="shared" si="490"/>
        <v>81.639986384002526</v>
      </c>
      <c r="K799" s="190">
        <f t="shared" si="490"/>
        <v>97.190459980955382</v>
      </c>
      <c r="L799" s="190">
        <f t="shared" si="490"/>
        <v>120.01101631386967</v>
      </c>
      <c r="M799" s="190">
        <f t="shared" si="490"/>
        <v>107.15269313738364</v>
      </c>
      <c r="N799" s="190">
        <f t="shared" si="490"/>
        <v>95.672047444092513</v>
      </c>
      <c r="O799" s="190">
        <f t="shared" si="490"/>
        <v>85.421470932225461</v>
      </c>
      <c r="P799" s="190">
        <f t="shared" si="490"/>
        <v>76.269170475201292</v>
      </c>
      <c r="Q799" s="190">
        <f t="shared" si="490"/>
        <v>68.097473638572581</v>
      </c>
      <c r="R799" s="190">
        <f t="shared" si="490"/>
        <v>43.964028310616911</v>
      </c>
      <c r="S799" s="190">
        <f t="shared" si="490"/>
        <v>29.440197529430964</v>
      </c>
      <c r="T799" s="190">
        <f t="shared" si="490"/>
        <v>17.523927100851761</v>
      </c>
      <c r="U799" s="190">
        <f t="shared" si="490"/>
        <v>7.8231817414516787</v>
      </c>
      <c r="V799" s="190">
        <f t="shared" si="490"/>
        <v>0</v>
      </c>
      <c r="W799" s="190">
        <f t="shared" si="490"/>
        <v>0</v>
      </c>
      <c r="X799" s="190">
        <f t="shared" si="490"/>
        <v>0</v>
      </c>
      <c r="Y799" s="190">
        <f t="shared" si="490"/>
        <v>0</v>
      </c>
      <c r="Z799" s="190">
        <f t="shared" si="490"/>
        <v>0</v>
      </c>
      <c r="AA799" s="190">
        <f t="shared" si="490"/>
        <v>0</v>
      </c>
      <c r="AB799" s="190">
        <f t="shared" si="490"/>
        <v>0</v>
      </c>
      <c r="AC799" s="190">
        <f t="shared" si="490"/>
        <v>0</v>
      </c>
      <c r="AD799" s="190">
        <f t="shared" si="490"/>
        <v>0</v>
      </c>
      <c r="AE799" s="190">
        <f t="shared" si="490"/>
        <v>0</v>
      </c>
      <c r="AF799" s="190">
        <f t="shared" si="490"/>
        <v>0</v>
      </c>
      <c r="AG799" s="190">
        <f t="shared" si="490"/>
        <v>0</v>
      </c>
      <c r="AH799" s="190">
        <f t="shared" si="490"/>
        <v>0</v>
      </c>
      <c r="AI799" s="190">
        <f t="shared" si="490"/>
        <v>0</v>
      </c>
      <c r="AJ799" s="190">
        <f t="shared" si="490"/>
        <v>0</v>
      </c>
      <c r="AK799" s="190">
        <f t="shared" si="490"/>
        <v>0</v>
      </c>
      <c r="AL799" s="190">
        <f t="shared" si="490"/>
        <v>0</v>
      </c>
      <c r="AM799" s="190">
        <f t="shared" si="490"/>
        <v>0</v>
      </c>
      <c r="AN799" s="190">
        <f t="shared" si="490"/>
        <v>0</v>
      </c>
      <c r="AO799" s="190">
        <f t="shared" si="490"/>
        <v>0</v>
      </c>
      <c r="AP799" s="190">
        <f t="shared" si="490"/>
        <v>0</v>
      </c>
      <c r="AQ799" s="190">
        <f t="shared" si="490"/>
        <v>0</v>
      </c>
      <c r="AR799" s="190">
        <f t="shared" si="490"/>
        <v>0</v>
      </c>
      <c r="AS799" s="190">
        <f t="shared" si="490"/>
        <v>0</v>
      </c>
      <c r="AT799" s="190">
        <f t="shared" si="490"/>
        <v>0</v>
      </c>
      <c r="AU799" s="190">
        <f t="shared" si="490"/>
        <v>0</v>
      </c>
      <c r="AV799" s="190">
        <f t="shared" si="490"/>
        <v>0</v>
      </c>
      <c r="AW799" s="190">
        <f t="shared" si="490"/>
        <v>0</v>
      </c>
      <c r="AX799" s="190">
        <f t="shared" si="490"/>
        <v>0</v>
      </c>
      <c r="AY799" s="190">
        <f t="shared" si="490"/>
        <v>0</v>
      </c>
      <c r="AZ799" s="190">
        <f t="shared" si="490"/>
        <v>0</v>
      </c>
      <c r="BA799" s="190">
        <f t="shared" si="490"/>
        <v>0</v>
      </c>
      <c r="BB799" s="190">
        <f t="shared" si="490"/>
        <v>0</v>
      </c>
      <c r="BC799" s="190">
        <f t="shared" si="490"/>
        <v>0</v>
      </c>
      <c r="BD799" s="190">
        <f t="shared" si="490"/>
        <v>0</v>
      </c>
      <c r="BE799" s="190">
        <f t="shared" si="490"/>
        <v>0</v>
      </c>
      <c r="BF799" s="190">
        <f t="shared" si="490"/>
        <v>0</v>
      </c>
      <c r="BG799" s="190">
        <f t="shared" si="490"/>
        <v>0</v>
      </c>
      <c r="BH799" s="190">
        <f t="shared" si="490"/>
        <v>0</v>
      </c>
      <c r="BI799" s="190">
        <f t="shared" si="490"/>
        <v>0</v>
      </c>
      <c r="BJ799" s="191">
        <f t="shared" si="490"/>
        <v>0</v>
      </c>
    </row>
    <row r="800" spans="1:64">
      <c r="A800" s="192" t="s">
        <v>159</v>
      </c>
      <c r="B800" s="193">
        <f>SUM(C800:BJ800)</f>
        <v>373261340.13434434</v>
      </c>
      <c r="C800" s="234">
        <f>(((C753+C782)*(1-$K749))-(C792-C762))/(1+$C749)^(C750-1)</f>
        <v>29413856.706985325</v>
      </c>
      <c r="D800" s="186">
        <f>(((D753+D782)*(1-$K749))-(D792-D762))/(1+$C749)^(D750-1)</f>
        <v>28743707.056797203</v>
      </c>
      <c r="E800" s="186">
        <f>(((E753+E782)*(1-$K749))-(E792-E762))/(1+$C749)^(E750-1)</f>
        <v>35933950.298895389</v>
      </c>
      <c r="F800" s="186">
        <f t="shared" ref="F800:BJ800" si="491">(((F753+F782)*(1-$K749))-(F792-F762))/(1+$C749)^(F750-1)</f>
        <v>31912483.829257216</v>
      </c>
      <c r="G800" s="186">
        <f t="shared" si="491"/>
        <v>28340253.092028689</v>
      </c>
      <c r="H800" s="186">
        <f t="shared" si="491"/>
        <v>7660406.7724401616</v>
      </c>
      <c r="I800" s="186">
        <f t="shared" si="491"/>
        <v>14190740.803968864</v>
      </c>
      <c r="J800" s="186">
        <f t="shared" si="491"/>
        <v>19233779.199976154</v>
      </c>
      <c r="K800" s="186">
        <f t="shared" si="491"/>
        <v>23033262.598834287</v>
      </c>
      <c r="L800" s="186">
        <f t="shared" si="491"/>
        <v>28580946.333151564</v>
      </c>
      <c r="M800" s="186">
        <f t="shared" si="491"/>
        <v>25518702.083171036</v>
      </c>
      <c r="N800" s="186">
        <f t="shared" si="491"/>
        <v>22784555.431402709</v>
      </c>
      <c r="O800" s="186">
        <f t="shared" si="491"/>
        <v>20343353.06375242</v>
      </c>
      <c r="P800" s="186">
        <f t="shared" si="491"/>
        <v>18163708.092636086</v>
      </c>
      <c r="Q800" s="186">
        <f t="shared" si="491"/>
        <v>16217596.511282219</v>
      </c>
      <c r="R800" s="186">
        <f t="shared" si="491"/>
        <v>10419078.263231305</v>
      </c>
      <c r="S800" s="186">
        <f t="shared" si="491"/>
        <v>6935893.5977935856</v>
      </c>
      <c r="T800" s="186">
        <f t="shared" si="491"/>
        <v>4079498.8806013479</v>
      </c>
      <c r="U800" s="186">
        <f t="shared" si="491"/>
        <v>1755567.5181388976</v>
      </c>
      <c r="V800" s="186">
        <f t="shared" si="491"/>
        <v>0</v>
      </c>
      <c r="W800" s="186">
        <f t="shared" si="491"/>
        <v>0</v>
      </c>
      <c r="X800" s="186">
        <f t="shared" si="491"/>
        <v>0</v>
      </c>
      <c r="Y800" s="186">
        <f t="shared" si="491"/>
        <v>0</v>
      </c>
      <c r="Z800" s="186">
        <f t="shared" si="491"/>
        <v>0</v>
      </c>
      <c r="AA800" s="186">
        <f t="shared" si="491"/>
        <v>0</v>
      </c>
      <c r="AB800" s="186">
        <f t="shared" si="491"/>
        <v>0</v>
      </c>
      <c r="AC800" s="186">
        <f t="shared" si="491"/>
        <v>0</v>
      </c>
      <c r="AD800" s="186">
        <f t="shared" si="491"/>
        <v>0</v>
      </c>
      <c r="AE800" s="186">
        <f t="shared" si="491"/>
        <v>0</v>
      </c>
      <c r="AF800" s="186">
        <f t="shared" si="491"/>
        <v>0</v>
      </c>
      <c r="AG800" s="186">
        <f t="shared" si="491"/>
        <v>0</v>
      </c>
      <c r="AH800" s="186">
        <f t="shared" si="491"/>
        <v>0</v>
      </c>
      <c r="AI800" s="186">
        <f t="shared" si="491"/>
        <v>0</v>
      </c>
      <c r="AJ800" s="186">
        <f t="shared" si="491"/>
        <v>0</v>
      </c>
      <c r="AK800" s="186">
        <f t="shared" si="491"/>
        <v>0</v>
      </c>
      <c r="AL800" s="186">
        <f t="shared" si="491"/>
        <v>0</v>
      </c>
      <c r="AM800" s="186">
        <f t="shared" si="491"/>
        <v>0</v>
      </c>
      <c r="AN800" s="186">
        <f t="shared" si="491"/>
        <v>0</v>
      </c>
      <c r="AO800" s="186">
        <f t="shared" si="491"/>
        <v>0</v>
      </c>
      <c r="AP800" s="186">
        <f t="shared" si="491"/>
        <v>0</v>
      </c>
      <c r="AQ800" s="186">
        <f t="shared" si="491"/>
        <v>0</v>
      </c>
      <c r="AR800" s="186">
        <f t="shared" si="491"/>
        <v>0</v>
      </c>
      <c r="AS800" s="186">
        <f t="shared" si="491"/>
        <v>0</v>
      </c>
      <c r="AT800" s="186">
        <f t="shared" si="491"/>
        <v>0</v>
      </c>
      <c r="AU800" s="186">
        <f t="shared" si="491"/>
        <v>0</v>
      </c>
      <c r="AV800" s="186">
        <f t="shared" si="491"/>
        <v>0</v>
      </c>
      <c r="AW800" s="186">
        <f t="shared" si="491"/>
        <v>0</v>
      </c>
      <c r="AX800" s="186">
        <f t="shared" si="491"/>
        <v>0</v>
      </c>
      <c r="AY800" s="186">
        <f t="shared" si="491"/>
        <v>0</v>
      </c>
      <c r="AZ800" s="186">
        <f t="shared" si="491"/>
        <v>0</v>
      </c>
      <c r="BA800" s="186">
        <f t="shared" si="491"/>
        <v>0</v>
      </c>
      <c r="BB800" s="186">
        <f t="shared" si="491"/>
        <v>0</v>
      </c>
      <c r="BC800" s="186">
        <f t="shared" si="491"/>
        <v>0</v>
      </c>
      <c r="BD800" s="186">
        <f t="shared" si="491"/>
        <v>0</v>
      </c>
      <c r="BE800" s="186">
        <f t="shared" si="491"/>
        <v>0</v>
      </c>
      <c r="BF800" s="186">
        <f t="shared" si="491"/>
        <v>0</v>
      </c>
      <c r="BG800" s="186">
        <f t="shared" si="491"/>
        <v>0</v>
      </c>
      <c r="BH800" s="186">
        <f t="shared" si="491"/>
        <v>0</v>
      </c>
      <c r="BI800" s="186">
        <f t="shared" si="491"/>
        <v>0</v>
      </c>
      <c r="BJ800" s="195">
        <f t="shared" si="491"/>
        <v>0</v>
      </c>
    </row>
    <row r="801" spans="1:63">
      <c r="A801" s="196" t="s">
        <v>160</v>
      </c>
      <c r="B801" s="197">
        <f>B800/B799</f>
        <v>403394.98194245587</v>
      </c>
      <c r="C801" s="166"/>
      <c r="D801" s="167"/>
      <c r="E801" s="167"/>
      <c r="F801" s="167"/>
      <c r="G801" s="167"/>
      <c r="H801" s="167"/>
      <c r="I801" s="167"/>
      <c r="J801" s="167"/>
      <c r="K801" s="167"/>
      <c r="L801" s="167"/>
      <c r="M801" s="167"/>
      <c r="N801" s="167"/>
      <c r="O801" s="167"/>
      <c r="P801" s="167"/>
      <c r="Q801" s="167"/>
      <c r="R801" s="167"/>
      <c r="S801" s="167"/>
      <c r="T801" s="167"/>
      <c r="U801" s="167"/>
      <c r="V801" s="167"/>
      <c r="W801" s="167"/>
      <c r="X801" s="167"/>
      <c r="Y801" s="167"/>
      <c r="Z801" s="167"/>
      <c r="AA801" s="167"/>
      <c r="AB801" s="167"/>
      <c r="AC801" s="167"/>
      <c r="AD801" s="167"/>
      <c r="AE801" s="167"/>
      <c r="AF801" s="167"/>
      <c r="AG801" s="167"/>
      <c r="AH801" s="167"/>
      <c r="AI801" s="167"/>
      <c r="AJ801" s="167"/>
      <c r="AK801" s="167"/>
      <c r="AL801" s="167"/>
      <c r="AM801" s="167"/>
      <c r="AN801" s="167"/>
      <c r="AO801" s="167"/>
      <c r="AP801" s="167"/>
      <c r="AQ801" s="167"/>
      <c r="AR801" s="167"/>
      <c r="AS801" s="167"/>
      <c r="AT801" s="167"/>
      <c r="AU801" s="167"/>
      <c r="AV801" s="167"/>
      <c r="AW801" s="167"/>
      <c r="AX801" s="167"/>
      <c r="AY801" s="167"/>
      <c r="AZ801" s="167"/>
      <c r="BA801" s="167"/>
      <c r="BB801" s="167"/>
      <c r="BC801" s="167"/>
      <c r="BD801" s="167"/>
      <c r="BE801" s="167"/>
      <c r="BF801" s="167"/>
      <c r="BG801" s="167"/>
      <c r="BH801" s="167"/>
      <c r="BI801" s="167"/>
      <c r="BJ801" s="198"/>
    </row>
    <row r="802" spans="1:63">
      <c r="A802" s="187" t="s">
        <v>158</v>
      </c>
      <c r="B802" s="188">
        <f>SUM(C802:BJ802)</f>
        <v>3200</v>
      </c>
      <c r="C802" s="234">
        <f>(C751*(1-$K749))/(1)^(C750-1)</f>
        <v>0</v>
      </c>
      <c r="D802" s="186">
        <f>(D751*(1-$K749))/(1)^(D750-1)</f>
        <v>0</v>
      </c>
      <c r="E802" s="186">
        <f t="shared" ref="E802:BJ802" si="492">(E751*(1-$K749))/(1)^(E750-1)</f>
        <v>0</v>
      </c>
      <c r="F802" s="186">
        <f t="shared" si="492"/>
        <v>0</v>
      </c>
      <c r="G802" s="186">
        <f t="shared" si="492"/>
        <v>0</v>
      </c>
      <c r="H802" s="186">
        <f t="shared" si="492"/>
        <v>60.16</v>
      </c>
      <c r="I802" s="186">
        <f t="shared" si="492"/>
        <v>120.32</v>
      </c>
      <c r="J802" s="186">
        <f t="shared" si="492"/>
        <v>180.48</v>
      </c>
      <c r="K802" s="186">
        <f t="shared" si="492"/>
        <v>240.64</v>
      </c>
      <c r="L802" s="186">
        <f t="shared" si="492"/>
        <v>332.8</v>
      </c>
      <c r="M802" s="186">
        <f t="shared" si="492"/>
        <v>332.8</v>
      </c>
      <c r="N802" s="186">
        <f t="shared" si="492"/>
        <v>332.8</v>
      </c>
      <c r="O802" s="186">
        <f t="shared" si="492"/>
        <v>332.8</v>
      </c>
      <c r="P802" s="186">
        <f t="shared" si="492"/>
        <v>332.8</v>
      </c>
      <c r="Q802" s="186">
        <f t="shared" si="492"/>
        <v>332.8</v>
      </c>
      <c r="R802" s="186">
        <f t="shared" si="492"/>
        <v>240.64</v>
      </c>
      <c r="S802" s="186">
        <f t="shared" si="492"/>
        <v>180.48</v>
      </c>
      <c r="T802" s="186">
        <f t="shared" si="492"/>
        <v>120.32</v>
      </c>
      <c r="U802" s="186">
        <f t="shared" si="492"/>
        <v>60.16</v>
      </c>
      <c r="V802" s="186">
        <f t="shared" si="492"/>
        <v>0</v>
      </c>
      <c r="W802" s="186">
        <f t="shared" si="492"/>
        <v>0</v>
      </c>
      <c r="X802" s="186">
        <f t="shared" si="492"/>
        <v>0</v>
      </c>
      <c r="Y802" s="186">
        <f t="shared" si="492"/>
        <v>0</v>
      </c>
      <c r="Z802" s="186">
        <f t="shared" si="492"/>
        <v>0</v>
      </c>
      <c r="AA802" s="186">
        <f t="shared" si="492"/>
        <v>0</v>
      </c>
      <c r="AB802" s="186">
        <f t="shared" si="492"/>
        <v>0</v>
      </c>
      <c r="AC802" s="186">
        <f t="shared" si="492"/>
        <v>0</v>
      </c>
      <c r="AD802" s="186">
        <f t="shared" si="492"/>
        <v>0</v>
      </c>
      <c r="AE802" s="186">
        <f t="shared" si="492"/>
        <v>0</v>
      </c>
      <c r="AF802" s="186">
        <f t="shared" si="492"/>
        <v>0</v>
      </c>
      <c r="AG802" s="186">
        <f t="shared" si="492"/>
        <v>0</v>
      </c>
      <c r="AH802" s="186">
        <f t="shared" si="492"/>
        <v>0</v>
      </c>
      <c r="AI802" s="186">
        <f t="shared" si="492"/>
        <v>0</v>
      </c>
      <c r="AJ802" s="186">
        <f t="shared" si="492"/>
        <v>0</v>
      </c>
      <c r="AK802" s="186">
        <f t="shared" si="492"/>
        <v>0</v>
      </c>
      <c r="AL802" s="186">
        <f t="shared" si="492"/>
        <v>0</v>
      </c>
      <c r="AM802" s="186">
        <f t="shared" si="492"/>
        <v>0</v>
      </c>
      <c r="AN802" s="186">
        <f t="shared" si="492"/>
        <v>0</v>
      </c>
      <c r="AO802" s="186">
        <f t="shared" si="492"/>
        <v>0</v>
      </c>
      <c r="AP802" s="186">
        <f t="shared" si="492"/>
        <v>0</v>
      </c>
      <c r="AQ802" s="186">
        <f t="shared" si="492"/>
        <v>0</v>
      </c>
      <c r="AR802" s="186">
        <f t="shared" si="492"/>
        <v>0</v>
      </c>
      <c r="AS802" s="186">
        <f t="shared" si="492"/>
        <v>0</v>
      </c>
      <c r="AT802" s="186">
        <f t="shared" si="492"/>
        <v>0</v>
      </c>
      <c r="AU802" s="186">
        <f t="shared" si="492"/>
        <v>0</v>
      </c>
      <c r="AV802" s="186">
        <f t="shared" si="492"/>
        <v>0</v>
      </c>
      <c r="AW802" s="186">
        <f t="shared" si="492"/>
        <v>0</v>
      </c>
      <c r="AX802" s="186">
        <f t="shared" si="492"/>
        <v>0</v>
      </c>
      <c r="AY802" s="186">
        <f t="shared" si="492"/>
        <v>0</v>
      </c>
      <c r="AZ802" s="186">
        <f t="shared" si="492"/>
        <v>0</v>
      </c>
      <c r="BA802" s="186">
        <f t="shared" si="492"/>
        <v>0</v>
      </c>
      <c r="BB802" s="186">
        <f t="shared" si="492"/>
        <v>0</v>
      </c>
      <c r="BC802" s="186">
        <f t="shared" si="492"/>
        <v>0</v>
      </c>
      <c r="BD802" s="186">
        <f t="shared" si="492"/>
        <v>0</v>
      </c>
      <c r="BE802" s="186">
        <f t="shared" si="492"/>
        <v>0</v>
      </c>
      <c r="BF802" s="186">
        <f t="shared" si="492"/>
        <v>0</v>
      </c>
      <c r="BG802" s="186">
        <f t="shared" si="492"/>
        <v>0</v>
      </c>
      <c r="BH802" s="186">
        <f t="shared" si="492"/>
        <v>0</v>
      </c>
      <c r="BI802" s="186">
        <f t="shared" si="492"/>
        <v>0</v>
      </c>
      <c r="BJ802" s="195">
        <f t="shared" si="492"/>
        <v>0</v>
      </c>
    </row>
    <row r="803" spans="1:63">
      <c r="A803" s="192" t="s">
        <v>159</v>
      </c>
      <c r="B803" s="193">
        <f>SUM(C803:BJ803)</f>
        <v>953773382.48005319</v>
      </c>
      <c r="C803" s="234">
        <f>(((C753+C782)*(1-$K749))-(C792-C762))/(1)^(C750-1)</f>
        <v>29413856.706985325</v>
      </c>
      <c r="D803" s="186">
        <f>(((D753+D782)*(1-$K749))-(D792-D762))/(1)^(D750-1)</f>
        <v>32192951.903612871</v>
      </c>
      <c r="E803" s="186">
        <f t="shared" ref="E803:BJ803" si="493">(((E753+E782)*(1-$K749))-(E792-E762))/(1)^(E750-1)</f>
        <v>45075547.254934385</v>
      </c>
      <c r="F803" s="186">
        <f t="shared" si="493"/>
        <v>44834742.081270695</v>
      </c>
      <c r="G803" s="186">
        <f t="shared" si="493"/>
        <v>44593936.907607011</v>
      </c>
      <c r="H803" s="186">
        <f t="shared" si="493"/>
        <v>13500254.165338878</v>
      </c>
      <c r="I803" s="186">
        <f t="shared" si="493"/>
        <v>28010006.118439987</v>
      </c>
      <c r="J803" s="186">
        <f t="shared" si="493"/>
        <v>42519758.071541093</v>
      </c>
      <c r="K803" s="186">
        <f t="shared" si="493"/>
        <v>57029510.024642214</v>
      </c>
      <c r="L803" s="186">
        <f t="shared" si="493"/>
        <v>79257215.144286454</v>
      </c>
      <c r="M803" s="186">
        <f t="shared" si="493"/>
        <v>79257215.144286454</v>
      </c>
      <c r="N803" s="186">
        <f t="shared" si="493"/>
        <v>79257215.144286454</v>
      </c>
      <c r="O803" s="186">
        <f t="shared" si="493"/>
        <v>79257215.144286454</v>
      </c>
      <c r="P803" s="186">
        <f t="shared" si="493"/>
        <v>79257215.144286454</v>
      </c>
      <c r="Q803" s="186">
        <f t="shared" si="493"/>
        <v>79257215.144286454</v>
      </c>
      <c r="R803" s="186">
        <f t="shared" si="493"/>
        <v>57029510.024642214</v>
      </c>
      <c r="S803" s="186">
        <f t="shared" si="493"/>
        <v>42519758.071541093</v>
      </c>
      <c r="T803" s="186">
        <f t="shared" si="493"/>
        <v>28010006.118439987</v>
      </c>
      <c r="U803" s="186">
        <f t="shared" si="493"/>
        <v>13500254.165338878</v>
      </c>
      <c r="V803" s="186">
        <f t="shared" si="493"/>
        <v>0</v>
      </c>
      <c r="W803" s="186">
        <f t="shared" si="493"/>
        <v>0</v>
      </c>
      <c r="X803" s="186">
        <f t="shared" si="493"/>
        <v>0</v>
      </c>
      <c r="Y803" s="186">
        <f t="shared" si="493"/>
        <v>0</v>
      </c>
      <c r="Z803" s="186">
        <f t="shared" si="493"/>
        <v>0</v>
      </c>
      <c r="AA803" s="186">
        <f t="shared" si="493"/>
        <v>0</v>
      </c>
      <c r="AB803" s="186">
        <f t="shared" si="493"/>
        <v>0</v>
      </c>
      <c r="AC803" s="186">
        <f t="shared" si="493"/>
        <v>0</v>
      </c>
      <c r="AD803" s="186">
        <f t="shared" si="493"/>
        <v>0</v>
      </c>
      <c r="AE803" s="186">
        <f t="shared" si="493"/>
        <v>0</v>
      </c>
      <c r="AF803" s="186">
        <f t="shared" si="493"/>
        <v>0</v>
      </c>
      <c r="AG803" s="186">
        <f t="shared" si="493"/>
        <v>0</v>
      </c>
      <c r="AH803" s="186">
        <f t="shared" si="493"/>
        <v>0</v>
      </c>
      <c r="AI803" s="186">
        <f t="shared" si="493"/>
        <v>0</v>
      </c>
      <c r="AJ803" s="186">
        <f t="shared" si="493"/>
        <v>0</v>
      </c>
      <c r="AK803" s="186">
        <f t="shared" si="493"/>
        <v>0</v>
      </c>
      <c r="AL803" s="186">
        <f t="shared" si="493"/>
        <v>0</v>
      </c>
      <c r="AM803" s="186">
        <f t="shared" si="493"/>
        <v>0</v>
      </c>
      <c r="AN803" s="186">
        <f t="shared" si="493"/>
        <v>0</v>
      </c>
      <c r="AO803" s="186">
        <f t="shared" si="493"/>
        <v>0</v>
      </c>
      <c r="AP803" s="186">
        <f t="shared" si="493"/>
        <v>0</v>
      </c>
      <c r="AQ803" s="186">
        <f t="shared" si="493"/>
        <v>0</v>
      </c>
      <c r="AR803" s="186">
        <f t="shared" si="493"/>
        <v>0</v>
      </c>
      <c r="AS803" s="186">
        <f t="shared" si="493"/>
        <v>0</v>
      </c>
      <c r="AT803" s="186">
        <f t="shared" si="493"/>
        <v>0</v>
      </c>
      <c r="AU803" s="186">
        <f t="shared" si="493"/>
        <v>0</v>
      </c>
      <c r="AV803" s="186">
        <f t="shared" si="493"/>
        <v>0</v>
      </c>
      <c r="AW803" s="186">
        <f t="shared" si="493"/>
        <v>0</v>
      </c>
      <c r="AX803" s="186">
        <f t="shared" si="493"/>
        <v>0</v>
      </c>
      <c r="AY803" s="186">
        <f t="shared" si="493"/>
        <v>0</v>
      </c>
      <c r="AZ803" s="186">
        <f t="shared" si="493"/>
        <v>0</v>
      </c>
      <c r="BA803" s="186">
        <f t="shared" si="493"/>
        <v>0</v>
      </c>
      <c r="BB803" s="186">
        <f t="shared" si="493"/>
        <v>0</v>
      </c>
      <c r="BC803" s="186">
        <f t="shared" si="493"/>
        <v>0</v>
      </c>
      <c r="BD803" s="186">
        <f t="shared" si="493"/>
        <v>0</v>
      </c>
      <c r="BE803" s="186">
        <f t="shared" si="493"/>
        <v>0</v>
      </c>
      <c r="BF803" s="186">
        <f t="shared" si="493"/>
        <v>0</v>
      </c>
      <c r="BG803" s="186">
        <f t="shared" si="493"/>
        <v>0</v>
      </c>
      <c r="BH803" s="186">
        <f t="shared" si="493"/>
        <v>0</v>
      </c>
      <c r="BI803" s="186">
        <f t="shared" si="493"/>
        <v>0</v>
      </c>
      <c r="BJ803" s="195">
        <f t="shared" si="493"/>
        <v>0</v>
      </c>
      <c r="BK803" s="186"/>
    </row>
    <row r="804" spans="1:63">
      <c r="A804" s="196" t="s">
        <v>161</v>
      </c>
      <c r="B804" s="197">
        <f>B803/B802</f>
        <v>298054.18202501663</v>
      </c>
      <c r="C804" s="166"/>
      <c r="D804" s="167"/>
      <c r="E804" s="167"/>
      <c r="F804" s="167"/>
      <c r="G804" s="167"/>
      <c r="H804" s="167"/>
      <c r="I804" s="167"/>
      <c r="J804" s="167"/>
      <c r="K804" s="167"/>
      <c r="L804" s="167"/>
      <c r="M804" s="167"/>
      <c r="N804" s="167"/>
      <c r="O804" s="167"/>
      <c r="P804" s="167"/>
      <c r="Q804" s="167"/>
      <c r="R804" s="167"/>
      <c r="S804" s="167"/>
      <c r="T804" s="167"/>
      <c r="U804" s="167"/>
      <c r="V804" s="167"/>
      <c r="W804" s="167"/>
      <c r="X804" s="167"/>
      <c r="Y804" s="167"/>
      <c r="Z804" s="167"/>
      <c r="AA804" s="167"/>
      <c r="AB804" s="167"/>
      <c r="AC804" s="167"/>
      <c r="AD804" s="167"/>
      <c r="AE804" s="167"/>
      <c r="AF804" s="167"/>
      <c r="AG804" s="167"/>
      <c r="AH804" s="167"/>
      <c r="AI804" s="167"/>
      <c r="AJ804" s="167"/>
      <c r="AK804" s="167"/>
      <c r="AL804" s="167"/>
      <c r="AM804" s="167"/>
      <c r="AN804" s="167"/>
      <c r="AO804" s="167"/>
      <c r="AP804" s="167"/>
      <c r="AQ804" s="167"/>
      <c r="AR804" s="167"/>
      <c r="AS804" s="167"/>
      <c r="AT804" s="167"/>
      <c r="AU804" s="167"/>
      <c r="AV804" s="167"/>
      <c r="AW804" s="167"/>
      <c r="AX804" s="167"/>
      <c r="AY804" s="167"/>
      <c r="AZ804" s="167"/>
      <c r="BA804" s="167"/>
      <c r="BB804" s="167"/>
      <c r="BC804" s="167"/>
      <c r="BD804" s="167"/>
      <c r="BE804" s="167"/>
      <c r="BF804" s="167"/>
      <c r="BG804" s="167"/>
      <c r="BH804" s="167"/>
      <c r="BI804" s="167"/>
      <c r="BJ804" s="198"/>
    </row>
    <row r="805" spans="1:63">
      <c r="A805" s="199"/>
      <c r="B805" s="200"/>
      <c r="C805" s="201"/>
      <c r="D805" s="201"/>
      <c r="E805" s="201"/>
      <c r="F805" s="201"/>
      <c r="G805" s="201"/>
      <c r="H805" s="201"/>
      <c r="I805" s="202"/>
      <c r="J805" s="201"/>
      <c r="K805" s="201"/>
      <c r="L805" s="201"/>
      <c r="M805" s="201"/>
      <c r="N805" s="201"/>
      <c r="O805" s="201"/>
      <c r="P805" s="201"/>
      <c r="Q805" s="201"/>
      <c r="R805" s="201"/>
      <c r="S805" s="201"/>
      <c r="T805" s="201"/>
      <c r="U805" s="201"/>
      <c r="V805" s="201"/>
      <c r="W805" s="201"/>
      <c r="X805" s="201"/>
      <c r="Y805" s="201"/>
      <c r="Z805" s="201"/>
      <c r="AA805" s="201"/>
      <c r="AB805" s="201"/>
      <c r="AC805" s="201"/>
      <c r="AD805" s="201"/>
      <c r="AE805" s="201"/>
      <c r="AF805" s="201"/>
      <c r="AG805" s="201"/>
      <c r="AH805" s="201"/>
      <c r="AI805" s="201"/>
      <c r="AJ805" s="201"/>
      <c r="AK805" s="201"/>
      <c r="AL805" s="201"/>
      <c r="AM805" s="201"/>
      <c r="AN805" s="201"/>
      <c r="AO805" s="201"/>
      <c r="AP805" s="201"/>
      <c r="AQ805" s="201"/>
      <c r="AR805" s="201"/>
      <c r="AS805" s="201"/>
      <c r="AT805" s="201"/>
      <c r="AU805" s="201"/>
      <c r="AV805" s="201"/>
      <c r="AW805" s="201"/>
      <c r="AX805" s="201"/>
      <c r="AY805" s="201"/>
      <c r="AZ805" s="201"/>
      <c r="BA805" s="201"/>
      <c r="BB805" s="201"/>
      <c r="BC805" s="201"/>
      <c r="BD805" s="201"/>
      <c r="BE805" s="201"/>
      <c r="BF805" s="201"/>
      <c r="BG805" s="201"/>
      <c r="BH805" s="201"/>
      <c r="BI805" s="201"/>
      <c r="BJ805" s="201"/>
    </row>
    <row r="806" spans="1:63" ht="21">
      <c r="A806" s="203" t="s">
        <v>162</v>
      </c>
      <c r="B806" s="89"/>
      <c r="D806" s="204"/>
      <c r="E806" s="204"/>
    </row>
    <row r="807" spans="1:63" s="94" customFormat="1">
      <c r="A807" s="90" t="s">
        <v>154</v>
      </c>
      <c r="B807" s="91" t="s">
        <v>155</v>
      </c>
      <c r="C807" s="91">
        <v>1</v>
      </c>
      <c r="D807" s="92">
        <v>2</v>
      </c>
      <c r="E807" s="92">
        <v>3</v>
      </c>
      <c r="F807" s="92">
        <v>4</v>
      </c>
      <c r="G807" s="92">
        <v>5</v>
      </c>
      <c r="H807" s="92">
        <v>6</v>
      </c>
      <c r="I807" s="92">
        <v>7</v>
      </c>
      <c r="J807" s="92">
        <v>8</v>
      </c>
      <c r="K807" s="92">
        <v>9</v>
      </c>
      <c r="L807" s="92">
        <v>10</v>
      </c>
      <c r="M807" s="92">
        <v>11</v>
      </c>
      <c r="N807" s="92">
        <v>12</v>
      </c>
      <c r="O807" s="92">
        <v>13</v>
      </c>
      <c r="P807" s="92">
        <v>14</v>
      </c>
      <c r="Q807" s="92">
        <v>15</v>
      </c>
      <c r="R807" s="92">
        <v>16</v>
      </c>
      <c r="S807" s="92">
        <v>17</v>
      </c>
      <c r="T807" s="92">
        <v>18</v>
      </c>
      <c r="U807" s="92">
        <v>19</v>
      </c>
      <c r="V807" s="92">
        <v>20</v>
      </c>
      <c r="W807" s="92">
        <v>21</v>
      </c>
      <c r="X807" s="92">
        <v>22</v>
      </c>
      <c r="Y807" s="92">
        <v>23</v>
      </c>
      <c r="Z807" s="92">
        <v>24</v>
      </c>
      <c r="AA807" s="92">
        <v>25</v>
      </c>
      <c r="AB807" s="92">
        <v>26</v>
      </c>
      <c r="AC807" s="92">
        <v>27</v>
      </c>
      <c r="AD807" s="92">
        <v>28</v>
      </c>
      <c r="AE807" s="92">
        <v>29</v>
      </c>
      <c r="AF807" s="92">
        <v>30</v>
      </c>
      <c r="AG807" s="92">
        <v>31</v>
      </c>
      <c r="AH807" s="92">
        <v>32</v>
      </c>
      <c r="AI807" s="92">
        <v>33</v>
      </c>
      <c r="AJ807" s="92">
        <v>34</v>
      </c>
      <c r="AK807" s="92">
        <v>35</v>
      </c>
      <c r="AL807" s="92">
        <v>36</v>
      </c>
      <c r="AM807" s="92">
        <v>37</v>
      </c>
      <c r="AN807" s="92">
        <v>38</v>
      </c>
      <c r="AO807" s="92">
        <v>39</v>
      </c>
      <c r="AP807" s="92">
        <v>40</v>
      </c>
      <c r="AQ807" s="92">
        <v>41</v>
      </c>
      <c r="AR807" s="92">
        <v>42</v>
      </c>
      <c r="AS807" s="92">
        <v>43</v>
      </c>
      <c r="AT807" s="92">
        <v>44</v>
      </c>
      <c r="AU807" s="92">
        <v>45</v>
      </c>
      <c r="AV807" s="92">
        <v>46</v>
      </c>
      <c r="AW807" s="92">
        <v>47</v>
      </c>
      <c r="AX807" s="92">
        <v>48</v>
      </c>
      <c r="AY807" s="92">
        <v>49</v>
      </c>
      <c r="AZ807" s="92">
        <v>50</v>
      </c>
      <c r="BA807" s="92">
        <v>51</v>
      </c>
      <c r="BB807" s="92">
        <v>52</v>
      </c>
      <c r="BC807" s="92">
        <v>53</v>
      </c>
      <c r="BD807" s="92">
        <v>54</v>
      </c>
      <c r="BE807" s="92">
        <v>55</v>
      </c>
      <c r="BF807" s="92">
        <v>56</v>
      </c>
      <c r="BG807" s="92">
        <v>57</v>
      </c>
      <c r="BH807" s="92">
        <v>58</v>
      </c>
      <c r="BI807" s="92">
        <v>59</v>
      </c>
      <c r="BJ807" s="93">
        <v>60</v>
      </c>
    </row>
    <row r="808" spans="1:63" s="100" customFormat="1">
      <c r="A808" s="95" t="s">
        <v>156</v>
      </c>
      <c r="B808" s="96">
        <f>SUM(C808:BJ808)</f>
        <v>4000</v>
      </c>
      <c r="C808" s="96">
        <f t="shared" ref="C808:BJ808" si="494">C751</f>
        <v>0</v>
      </c>
      <c r="D808" s="205">
        <f t="shared" si="494"/>
        <v>0</v>
      </c>
      <c r="E808" s="205">
        <f t="shared" si="494"/>
        <v>0</v>
      </c>
      <c r="F808" s="205">
        <f t="shared" si="494"/>
        <v>0</v>
      </c>
      <c r="G808" s="205">
        <f t="shared" si="494"/>
        <v>0</v>
      </c>
      <c r="H808" s="205">
        <f t="shared" si="494"/>
        <v>75.199999999999989</v>
      </c>
      <c r="I808" s="205">
        <f t="shared" si="494"/>
        <v>150.39999999999998</v>
      </c>
      <c r="J808" s="205">
        <f t="shared" si="494"/>
        <v>225.59999999999997</v>
      </c>
      <c r="K808" s="205">
        <f t="shared" si="494"/>
        <v>300.79999999999995</v>
      </c>
      <c r="L808" s="205">
        <f t="shared" si="494"/>
        <v>416</v>
      </c>
      <c r="M808" s="205">
        <f t="shared" si="494"/>
        <v>416</v>
      </c>
      <c r="N808" s="205">
        <f t="shared" si="494"/>
        <v>416</v>
      </c>
      <c r="O808" s="205">
        <f t="shared" si="494"/>
        <v>416</v>
      </c>
      <c r="P808" s="205">
        <f t="shared" si="494"/>
        <v>416</v>
      </c>
      <c r="Q808" s="205">
        <f t="shared" si="494"/>
        <v>416</v>
      </c>
      <c r="R808" s="205">
        <f t="shared" si="494"/>
        <v>300.79999999999995</v>
      </c>
      <c r="S808" s="205">
        <f t="shared" si="494"/>
        <v>225.59999999999997</v>
      </c>
      <c r="T808" s="205">
        <f t="shared" si="494"/>
        <v>150.39999999999998</v>
      </c>
      <c r="U808" s="205">
        <f t="shared" si="494"/>
        <v>75.199999999999989</v>
      </c>
      <c r="V808" s="205">
        <f t="shared" si="494"/>
        <v>0</v>
      </c>
      <c r="W808" s="205">
        <f t="shared" si="494"/>
        <v>0</v>
      </c>
      <c r="X808" s="205">
        <f t="shared" si="494"/>
        <v>0</v>
      </c>
      <c r="Y808" s="205">
        <f t="shared" si="494"/>
        <v>0</v>
      </c>
      <c r="Z808" s="205">
        <f t="shared" si="494"/>
        <v>0</v>
      </c>
      <c r="AA808" s="205">
        <f t="shared" si="494"/>
        <v>0</v>
      </c>
      <c r="AB808" s="205">
        <f t="shared" si="494"/>
        <v>0</v>
      </c>
      <c r="AC808" s="205">
        <f t="shared" si="494"/>
        <v>0</v>
      </c>
      <c r="AD808" s="205">
        <f t="shared" si="494"/>
        <v>0</v>
      </c>
      <c r="AE808" s="205">
        <f t="shared" si="494"/>
        <v>0</v>
      </c>
      <c r="AF808" s="205">
        <f t="shared" si="494"/>
        <v>0</v>
      </c>
      <c r="AG808" s="205">
        <f t="shared" si="494"/>
        <v>0</v>
      </c>
      <c r="AH808" s="205">
        <f t="shared" si="494"/>
        <v>0</v>
      </c>
      <c r="AI808" s="205">
        <f t="shared" si="494"/>
        <v>0</v>
      </c>
      <c r="AJ808" s="205">
        <f t="shared" si="494"/>
        <v>0</v>
      </c>
      <c r="AK808" s="205">
        <f t="shared" si="494"/>
        <v>0</v>
      </c>
      <c r="AL808" s="205">
        <f t="shared" si="494"/>
        <v>0</v>
      </c>
      <c r="AM808" s="205">
        <f t="shared" si="494"/>
        <v>0</v>
      </c>
      <c r="AN808" s="205">
        <f t="shared" si="494"/>
        <v>0</v>
      </c>
      <c r="AO808" s="205">
        <f t="shared" si="494"/>
        <v>0</v>
      </c>
      <c r="AP808" s="205">
        <f t="shared" si="494"/>
        <v>0</v>
      </c>
      <c r="AQ808" s="205">
        <f t="shared" si="494"/>
        <v>0</v>
      </c>
      <c r="AR808" s="205">
        <f t="shared" si="494"/>
        <v>0</v>
      </c>
      <c r="AS808" s="205">
        <f t="shared" si="494"/>
        <v>0</v>
      </c>
      <c r="AT808" s="205">
        <f t="shared" si="494"/>
        <v>0</v>
      </c>
      <c r="AU808" s="205">
        <f t="shared" si="494"/>
        <v>0</v>
      </c>
      <c r="AV808" s="205">
        <f t="shared" si="494"/>
        <v>0</v>
      </c>
      <c r="AW808" s="205">
        <f t="shared" si="494"/>
        <v>0</v>
      </c>
      <c r="AX808" s="205">
        <f t="shared" si="494"/>
        <v>0</v>
      </c>
      <c r="AY808" s="205">
        <f t="shared" si="494"/>
        <v>0</v>
      </c>
      <c r="AZ808" s="205">
        <f t="shared" si="494"/>
        <v>0</v>
      </c>
      <c r="BA808" s="205">
        <f t="shared" si="494"/>
        <v>0</v>
      </c>
      <c r="BB808" s="205">
        <f t="shared" si="494"/>
        <v>0</v>
      </c>
      <c r="BC808" s="205">
        <f t="shared" si="494"/>
        <v>0</v>
      </c>
      <c r="BD808" s="205">
        <f t="shared" si="494"/>
        <v>0</v>
      </c>
      <c r="BE808" s="205">
        <f t="shared" si="494"/>
        <v>0</v>
      </c>
      <c r="BF808" s="205">
        <f t="shared" si="494"/>
        <v>0</v>
      </c>
      <c r="BG808" s="205">
        <f t="shared" si="494"/>
        <v>0</v>
      </c>
      <c r="BH808" s="205">
        <f t="shared" si="494"/>
        <v>0</v>
      </c>
      <c r="BI808" s="205">
        <f t="shared" si="494"/>
        <v>0</v>
      </c>
      <c r="BJ808" s="206">
        <f t="shared" si="494"/>
        <v>0</v>
      </c>
    </row>
    <row r="809" spans="1:63" s="105" customFormat="1">
      <c r="A809" s="101" t="s">
        <v>115</v>
      </c>
      <c r="B809" s="102">
        <f>SUM(C809:BJ809)</f>
        <v>4379220435.2011471</v>
      </c>
      <c r="C809" s="207">
        <f>C752*(1+$G749)^(C635-1)</f>
        <v>14246782.82123876</v>
      </c>
      <c r="D809" s="208">
        <f>D752*(1+$G749)^(D750-1)</f>
        <v>15409320.299451845</v>
      </c>
      <c r="E809" s="208">
        <f t="shared" ref="E809:BJ809" si="495">E752*(1+$G749)^(E750-1)</f>
        <v>16025693.111429919</v>
      </c>
      <c r="F809" s="208">
        <f t="shared" si="495"/>
        <v>16666720.835887115</v>
      </c>
      <c r="G809" s="208">
        <f t="shared" si="495"/>
        <v>17333389.669322602</v>
      </c>
      <c r="H809" s="208">
        <f t="shared" si="495"/>
        <v>62171214.39522405</v>
      </c>
      <c r="I809" s="208">
        <f t="shared" si="495"/>
        <v>129316125.94206603</v>
      </c>
      <c r="J809" s="208">
        <f t="shared" si="495"/>
        <v>201733156.46962297</v>
      </c>
      <c r="K809" s="208">
        <f t="shared" si="495"/>
        <v>279736643.63787723</v>
      </c>
      <c r="L809" s="208">
        <f t="shared" si="495"/>
        <v>402344619.3600108</v>
      </c>
      <c r="M809" s="208">
        <f t="shared" si="495"/>
        <v>418438404.13441128</v>
      </c>
      <c r="N809" s="208">
        <f t="shared" si="495"/>
        <v>435175940.2997877</v>
      </c>
      <c r="O809" s="208">
        <f t="shared" si="495"/>
        <v>452582977.91177928</v>
      </c>
      <c r="P809" s="208">
        <f t="shared" si="495"/>
        <v>470686297.02825046</v>
      </c>
      <c r="Q809" s="208">
        <f t="shared" si="495"/>
        <v>489513748.9093805</v>
      </c>
      <c r="R809" s="208">
        <f t="shared" si="495"/>
        <v>368114339.17985404</v>
      </c>
      <c r="S809" s="208">
        <f t="shared" si="495"/>
        <v>287129184.56028616</v>
      </c>
      <c r="T809" s="208">
        <f t="shared" si="495"/>
        <v>199076234.62846509</v>
      </c>
      <c r="U809" s="208">
        <f t="shared" si="495"/>
        <v>103519642.00680186</v>
      </c>
      <c r="V809" s="208">
        <f t="shared" si="495"/>
        <v>0</v>
      </c>
      <c r="W809" s="208">
        <f t="shared" si="495"/>
        <v>0</v>
      </c>
      <c r="X809" s="208">
        <f t="shared" si="495"/>
        <v>0</v>
      </c>
      <c r="Y809" s="208">
        <f t="shared" si="495"/>
        <v>0</v>
      </c>
      <c r="Z809" s="208">
        <f t="shared" si="495"/>
        <v>0</v>
      </c>
      <c r="AA809" s="208">
        <f t="shared" si="495"/>
        <v>0</v>
      </c>
      <c r="AB809" s="208">
        <f t="shared" si="495"/>
        <v>0</v>
      </c>
      <c r="AC809" s="208">
        <f t="shared" si="495"/>
        <v>0</v>
      </c>
      <c r="AD809" s="208">
        <f t="shared" si="495"/>
        <v>0</v>
      </c>
      <c r="AE809" s="208">
        <f t="shared" si="495"/>
        <v>0</v>
      </c>
      <c r="AF809" s="208">
        <f t="shared" si="495"/>
        <v>0</v>
      </c>
      <c r="AG809" s="208">
        <f t="shared" si="495"/>
        <v>0</v>
      </c>
      <c r="AH809" s="208">
        <f t="shared" si="495"/>
        <v>0</v>
      </c>
      <c r="AI809" s="208">
        <f t="shared" si="495"/>
        <v>0</v>
      </c>
      <c r="AJ809" s="208">
        <f t="shared" si="495"/>
        <v>0</v>
      </c>
      <c r="AK809" s="208">
        <f t="shared" si="495"/>
        <v>0</v>
      </c>
      <c r="AL809" s="208">
        <f t="shared" si="495"/>
        <v>0</v>
      </c>
      <c r="AM809" s="208">
        <f t="shared" si="495"/>
        <v>0</v>
      </c>
      <c r="AN809" s="208">
        <f t="shared" si="495"/>
        <v>0</v>
      </c>
      <c r="AO809" s="208">
        <f t="shared" si="495"/>
        <v>0</v>
      </c>
      <c r="AP809" s="208">
        <f t="shared" si="495"/>
        <v>0</v>
      </c>
      <c r="AQ809" s="208">
        <f t="shared" si="495"/>
        <v>0</v>
      </c>
      <c r="AR809" s="208">
        <f t="shared" si="495"/>
        <v>0</v>
      </c>
      <c r="AS809" s="208">
        <f t="shared" si="495"/>
        <v>0</v>
      </c>
      <c r="AT809" s="208">
        <f t="shared" si="495"/>
        <v>0</v>
      </c>
      <c r="AU809" s="208">
        <f t="shared" si="495"/>
        <v>0</v>
      </c>
      <c r="AV809" s="208">
        <f t="shared" si="495"/>
        <v>0</v>
      </c>
      <c r="AW809" s="208">
        <f t="shared" si="495"/>
        <v>0</v>
      </c>
      <c r="AX809" s="208">
        <f t="shared" si="495"/>
        <v>0</v>
      </c>
      <c r="AY809" s="208">
        <f t="shared" si="495"/>
        <v>0</v>
      </c>
      <c r="AZ809" s="208">
        <f t="shared" si="495"/>
        <v>0</v>
      </c>
      <c r="BA809" s="208">
        <f t="shared" si="495"/>
        <v>0</v>
      </c>
      <c r="BB809" s="208">
        <f t="shared" si="495"/>
        <v>0</v>
      </c>
      <c r="BC809" s="208">
        <f t="shared" si="495"/>
        <v>0</v>
      </c>
      <c r="BD809" s="208">
        <f t="shared" si="495"/>
        <v>0</v>
      </c>
      <c r="BE809" s="208">
        <f t="shared" si="495"/>
        <v>0</v>
      </c>
      <c r="BF809" s="208">
        <f t="shared" si="495"/>
        <v>0</v>
      </c>
      <c r="BG809" s="208">
        <f t="shared" si="495"/>
        <v>0</v>
      </c>
      <c r="BH809" s="208">
        <f t="shared" si="495"/>
        <v>0</v>
      </c>
      <c r="BI809" s="208">
        <f t="shared" si="495"/>
        <v>0</v>
      </c>
      <c r="BJ809" s="209">
        <f t="shared" si="495"/>
        <v>0</v>
      </c>
    </row>
    <row r="810" spans="1:63" s="105" customFormat="1">
      <c r="A810" s="106" t="s">
        <v>116</v>
      </c>
      <c r="B810" s="210">
        <f>SUM(B817,B811:B812)</f>
        <v>1590252929.6290019</v>
      </c>
      <c r="C810" s="102">
        <f>SUM(C811:C812,C817)</f>
        <v>11853323.30727065</v>
      </c>
      <c r="D810" s="103">
        <f t="shared" ref="D810:BJ810" si="496">SUM(D811:D812,D817)</f>
        <v>12327456.239561476</v>
      </c>
      <c r="E810" s="103">
        <f t="shared" si="496"/>
        <v>12820554.489143936</v>
      </c>
      <c r="F810" s="103">
        <f t="shared" si="496"/>
        <v>13333376.668709693</v>
      </c>
      <c r="G810" s="103">
        <f t="shared" si="496"/>
        <v>13866711.735458082</v>
      </c>
      <c r="H810" s="103">
        <f t="shared" si="496"/>
        <v>22066664.783555672</v>
      </c>
      <c r="I810" s="103">
        <f t="shared" si="496"/>
        <v>45898662.749795802</v>
      </c>
      <c r="J810" s="103">
        <f t="shared" si="496"/>
        <v>71601913.889681444</v>
      </c>
      <c r="K810" s="103">
        <f t="shared" si="496"/>
        <v>99287987.260358289</v>
      </c>
      <c r="L810" s="103">
        <f t="shared" si="496"/>
        <v>142805700.82553661</v>
      </c>
      <c r="M810" s="103">
        <f t="shared" si="496"/>
        <v>148517928.85855809</v>
      </c>
      <c r="N810" s="103">
        <f t="shared" si="496"/>
        <v>154458646.01290041</v>
      </c>
      <c r="O810" s="103">
        <f t="shared" si="496"/>
        <v>160636991.85341644</v>
      </c>
      <c r="P810" s="103">
        <f t="shared" si="496"/>
        <v>167062471.52755311</v>
      </c>
      <c r="Q810" s="103">
        <f t="shared" si="496"/>
        <v>173744970.38865522</v>
      </c>
      <c r="R810" s="103">
        <f t="shared" si="496"/>
        <v>130656217.73226871</v>
      </c>
      <c r="S810" s="103">
        <f t="shared" si="496"/>
        <v>101911849.83116962</v>
      </c>
      <c r="T810" s="103">
        <f t="shared" si="496"/>
        <v>70658882.549610943</v>
      </c>
      <c r="U810" s="103">
        <f t="shared" si="496"/>
        <v>36742618.925797686</v>
      </c>
      <c r="V810" s="103">
        <f t="shared" si="496"/>
        <v>0</v>
      </c>
      <c r="W810" s="103">
        <f t="shared" si="496"/>
        <v>0</v>
      </c>
      <c r="X810" s="103">
        <f t="shared" si="496"/>
        <v>0</v>
      </c>
      <c r="Y810" s="103">
        <f t="shared" si="496"/>
        <v>0</v>
      </c>
      <c r="Z810" s="103">
        <f t="shared" si="496"/>
        <v>0</v>
      </c>
      <c r="AA810" s="103">
        <f t="shared" si="496"/>
        <v>0</v>
      </c>
      <c r="AB810" s="103">
        <f t="shared" si="496"/>
        <v>0</v>
      </c>
      <c r="AC810" s="103">
        <f t="shared" si="496"/>
        <v>0</v>
      </c>
      <c r="AD810" s="103">
        <f t="shared" si="496"/>
        <v>0</v>
      </c>
      <c r="AE810" s="103">
        <f t="shared" si="496"/>
        <v>0</v>
      </c>
      <c r="AF810" s="103">
        <f t="shared" si="496"/>
        <v>0</v>
      </c>
      <c r="AG810" s="103">
        <f t="shared" si="496"/>
        <v>0</v>
      </c>
      <c r="AH810" s="103">
        <f t="shared" si="496"/>
        <v>0</v>
      </c>
      <c r="AI810" s="103">
        <f t="shared" si="496"/>
        <v>0</v>
      </c>
      <c r="AJ810" s="103">
        <f t="shared" si="496"/>
        <v>0</v>
      </c>
      <c r="AK810" s="103">
        <f t="shared" si="496"/>
        <v>0</v>
      </c>
      <c r="AL810" s="103">
        <f t="shared" si="496"/>
        <v>0</v>
      </c>
      <c r="AM810" s="103">
        <f t="shared" si="496"/>
        <v>0</v>
      </c>
      <c r="AN810" s="103">
        <f t="shared" si="496"/>
        <v>0</v>
      </c>
      <c r="AO810" s="103">
        <f t="shared" si="496"/>
        <v>0</v>
      </c>
      <c r="AP810" s="103">
        <f t="shared" si="496"/>
        <v>0</v>
      </c>
      <c r="AQ810" s="103">
        <f t="shared" si="496"/>
        <v>0</v>
      </c>
      <c r="AR810" s="103">
        <f t="shared" si="496"/>
        <v>0</v>
      </c>
      <c r="AS810" s="103">
        <f t="shared" si="496"/>
        <v>0</v>
      </c>
      <c r="AT810" s="103">
        <f t="shared" si="496"/>
        <v>0</v>
      </c>
      <c r="AU810" s="103">
        <f t="shared" si="496"/>
        <v>0</v>
      </c>
      <c r="AV810" s="103">
        <f t="shared" si="496"/>
        <v>0</v>
      </c>
      <c r="AW810" s="103">
        <f t="shared" si="496"/>
        <v>0</v>
      </c>
      <c r="AX810" s="103">
        <f t="shared" si="496"/>
        <v>0</v>
      </c>
      <c r="AY810" s="103">
        <f t="shared" si="496"/>
        <v>0</v>
      </c>
      <c r="AZ810" s="103">
        <f t="shared" si="496"/>
        <v>0</v>
      </c>
      <c r="BA810" s="103">
        <f t="shared" si="496"/>
        <v>0</v>
      </c>
      <c r="BB810" s="103">
        <f t="shared" si="496"/>
        <v>0</v>
      </c>
      <c r="BC810" s="103">
        <f t="shared" si="496"/>
        <v>0</v>
      </c>
      <c r="BD810" s="103">
        <f t="shared" si="496"/>
        <v>0</v>
      </c>
      <c r="BE810" s="103">
        <f t="shared" si="496"/>
        <v>0</v>
      </c>
      <c r="BF810" s="103">
        <f t="shared" si="496"/>
        <v>0</v>
      </c>
      <c r="BG810" s="103">
        <f t="shared" si="496"/>
        <v>0</v>
      </c>
      <c r="BH810" s="103">
        <f t="shared" si="496"/>
        <v>0</v>
      </c>
      <c r="BI810" s="103">
        <f t="shared" si="496"/>
        <v>0</v>
      </c>
      <c r="BJ810" s="104">
        <f t="shared" si="496"/>
        <v>0</v>
      </c>
    </row>
    <row r="811" spans="1:63" s="116" customFormat="1">
      <c r="A811" s="111" t="s">
        <v>117</v>
      </c>
      <c r="B811" s="155">
        <f>SUM(C811:BJ811)</f>
        <v>1408580725.1904728</v>
      </c>
      <c r="C811" s="108">
        <f>C754*(1+$G749)^(C635-1)</f>
        <v>0</v>
      </c>
      <c r="D811" s="109">
        <f>D754*(1+$G749)^(D750-1)</f>
        <v>0</v>
      </c>
      <c r="E811" s="109">
        <f t="shared" ref="E811:BJ811" si="497">E754*(1+$G749)^(E750-1)</f>
        <v>0</v>
      </c>
      <c r="F811" s="109">
        <f t="shared" si="497"/>
        <v>0</v>
      </c>
      <c r="G811" s="109">
        <f t="shared" si="497"/>
        <v>0</v>
      </c>
      <c r="H811" s="109">
        <f t="shared" si="497"/>
        <v>20368040.35573699</v>
      </c>
      <c r="I811" s="109">
        <f t="shared" si="497"/>
        <v>42365523.939932942</v>
      </c>
      <c r="J811" s="109">
        <f t="shared" si="497"/>
        <v>66090217.346295379</v>
      </c>
      <c r="K811" s="109">
        <f t="shared" si="497"/>
        <v>91645101.386862949</v>
      </c>
      <c r="L811" s="109">
        <f t="shared" si="497"/>
        <v>131812954.33514757</v>
      </c>
      <c r="M811" s="109">
        <f t="shared" si="497"/>
        <v>137085472.50855348</v>
      </c>
      <c r="N811" s="109">
        <f t="shared" si="497"/>
        <v>142568891.40889561</v>
      </c>
      <c r="O811" s="109">
        <f t="shared" si="497"/>
        <v>148271647.06525147</v>
      </c>
      <c r="P811" s="109">
        <f t="shared" si="497"/>
        <v>154202512.94786152</v>
      </c>
      <c r="Q811" s="109">
        <f t="shared" si="497"/>
        <v>160370613.46577597</v>
      </c>
      <c r="R811" s="109">
        <f t="shared" si="497"/>
        <v>120598701.32626352</v>
      </c>
      <c r="S811" s="109">
        <f t="shared" si="497"/>
        <v>94066987.034485564</v>
      </c>
      <c r="T811" s="109">
        <f t="shared" si="497"/>
        <v>65219777.67724333</v>
      </c>
      <c r="U811" s="109">
        <f t="shared" si="497"/>
        <v>33914284.392166533</v>
      </c>
      <c r="V811" s="109">
        <f t="shared" si="497"/>
        <v>0</v>
      </c>
      <c r="W811" s="109">
        <f t="shared" si="497"/>
        <v>0</v>
      </c>
      <c r="X811" s="109">
        <f t="shared" si="497"/>
        <v>0</v>
      </c>
      <c r="Y811" s="109">
        <f t="shared" si="497"/>
        <v>0</v>
      </c>
      <c r="Z811" s="109">
        <f t="shared" si="497"/>
        <v>0</v>
      </c>
      <c r="AA811" s="109">
        <f t="shared" si="497"/>
        <v>0</v>
      </c>
      <c r="AB811" s="109">
        <f t="shared" si="497"/>
        <v>0</v>
      </c>
      <c r="AC811" s="109">
        <f t="shared" si="497"/>
        <v>0</v>
      </c>
      <c r="AD811" s="109">
        <f t="shared" si="497"/>
        <v>0</v>
      </c>
      <c r="AE811" s="109">
        <f t="shared" si="497"/>
        <v>0</v>
      </c>
      <c r="AF811" s="109">
        <f t="shared" si="497"/>
        <v>0</v>
      </c>
      <c r="AG811" s="109">
        <f t="shared" si="497"/>
        <v>0</v>
      </c>
      <c r="AH811" s="109">
        <f t="shared" si="497"/>
        <v>0</v>
      </c>
      <c r="AI811" s="109">
        <f t="shared" si="497"/>
        <v>0</v>
      </c>
      <c r="AJ811" s="109">
        <f t="shared" si="497"/>
        <v>0</v>
      </c>
      <c r="AK811" s="109">
        <f t="shared" si="497"/>
        <v>0</v>
      </c>
      <c r="AL811" s="109">
        <f t="shared" si="497"/>
        <v>0</v>
      </c>
      <c r="AM811" s="109">
        <f t="shared" si="497"/>
        <v>0</v>
      </c>
      <c r="AN811" s="109">
        <f t="shared" si="497"/>
        <v>0</v>
      </c>
      <c r="AO811" s="109">
        <f t="shared" si="497"/>
        <v>0</v>
      </c>
      <c r="AP811" s="109">
        <f t="shared" si="497"/>
        <v>0</v>
      </c>
      <c r="AQ811" s="109">
        <f t="shared" si="497"/>
        <v>0</v>
      </c>
      <c r="AR811" s="109">
        <f t="shared" si="497"/>
        <v>0</v>
      </c>
      <c r="AS811" s="109">
        <f t="shared" si="497"/>
        <v>0</v>
      </c>
      <c r="AT811" s="109">
        <f t="shared" si="497"/>
        <v>0</v>
      </c>
      <c r="AU811" s="109">
        <f t="shared" si="497"/>
        <v>0</v>
      </c>
      <c r="AV811" s="109">
        <f t="shared" si="497"/>
        <v>0</v>
      </c>
      <c r="AW811" s="109">
        <f t="shared" si="497"/>
        <v>0</v>
      </c>
      <c r="AX811" s="109">
        <f t="shared" si="497"/>
        <v>0</v>
      </c>
      <c r="AY811" s="109">
        <f t="shared" si="497"/>
        <v>0</v>
      </c>
      <c r="AZ811" s="109">
        <f t="shared" si="497"/>
        <v>0</v>
      </c>
      <c r="BA811" s="109">
        <f t="shared" si="497"/>
        <v>0</v>
      </c>
      <c r="BB811" s="109">
        <f t="shared" si="497"/>
        <v>0</v>
      </c>
      <c r="BC811" s="109">
        <f t="shared" si="497"/>
        <v>0</v>
      </c>
      <c r="BD811" s="109">
        <f t="shared" si="497"/>
        <v>0</v>
      </c>
      <c r="BE811" s="109">
        <f t="shared" si="497"/>
        <v>0</v>
      </c>
      <c r="BF811" s="109">
        <f t="shared" si="497"/>
        <v>0</v>
      </c>
      <c r="BG811" s="109">
        <f t="shared" si="497"/>
        <v>0</v>
      </c>
      <c r="BH811" s="109">
        <f t="shared" si="497"/>
        <v>0</v>
      </c>
      <c r="BI811" s="109">
        <f t="shared" si="497"/>
        <v>0</v>
      </c>
      <c r="BJ811" s="110">
        <f t="shared" si="497"/>
        <v>0</v>
      </c>
    </row>
    <row r="812" spans="1:63" s="116" customFormat="1">
      <c r="A812" s="111" t="s">
        <v>118</v>
      </c>
      <c r="B812" s="155">
        <f>SUM(B813:B816)</f>
        <v>117470781.99838519</v>
      </c>
      <c r="C812" s="108">
        <f>C755*(1+$G749)^(C750-1)</f>
        <v>0</v>
      </c>
      <c r="D812" s="109">
        <f>D755*(1+$G749)^(D750-1)</f>
        <v>0</v>
      </c>
      <c r="E812" s="109">
        <f t="shared" ref="E812:BJ812" si="498">E755*(1+$G749)^(E750-1)</f>
        <v>0</v>
      </c>
      <c r="F812" s="109">
        <f t="shared" si="498"/>
        <v>0</v>
      </c>
      <c r="G812" s="109">
        <f t="shared" si="498"/>
        <v>0</v>
      </c>
      <c r="H812" s="109">
        <f t="shared" si="498"/>
        <v>1698624.4278186827</v>
      </c>
      <c r="I812" s="109">
        <f t="shared" si="498"/>
        <v>3533138.80986286</v>
      </c>
      <c r="J812" s="109">
        <f t="shared" si="498"/>
        <v>5511696.5433860607</v>
      </c>
      <c r="K812" s="109">
        <f t="shared" si="498"/>
        <v>7642885.8734953394</v>
      </c>
      <c r="L812" s="109">
        <f t="shared" si="498"/>
        <v>10992746.490389042</v>
      </c>
      <c r="M812" s="109">
        <f t="shared" si="498"/>
        <v>11432456.350004604</v>
      </c>
      <c r="N812" s="109">
        <f t="shared" si="498"/>
        <v>11889754.604004787</v>
      </c>
      <c r="O812" s="109">
        <f t="shared" si="498"/>
        <v>12365344.788164983</v>
      </c>
      <c r="P812" s="109">
        <f t="shared" si="498"/>
        <v>12859958.579691581</v>
      </c>
      <c r="Q812" s="109">
        <f t="shared" si="498"/>
        <v>13374356.922879245</v>
      </c>
      <c r="R812" s="109">
        <f t="shared" si="498"/>
        <v>10057516.406005193</v>
      </c>
      <c r="S812" s="109">
        <f t="shared" si="498"/>
        <v>7844862.79668405</v>
      </c>
      <c r="T812" s="109">
        <f t="shared" si="498"/>
        <v>5439104.8723676093</v>
      </c>
      <c r="U812" s="109">
        <f t="shared" si="498"/>
        <v>2828334.5336311571</v>
      </c>
      <c r="V812" s="109">
        <f t="shared" si="498"/>
        <v>0</v>
      </c>
      <c r="W812" s="109">
        <f t="shared" si="498"/>
        <v>0</v>
      </c>
      <c r="X812" s="109">
        <f t="shared" si="498"/>
        <v>0</v>
      </c>
      <c r="Y812" s="109">
        <f t="shared" si="498"/>
        <v>0</v>
      </c>
      <c r="Z812" s="109">
        <f t="shared" si="498"/>
        <v>0</v>
      </c>
      <c r="AA812" s="109">
        <f t="shared" si="498"/>
        <v>0</v>
      </c>
      <c r="AB812" s="109">
        <f t="shared" si="498"/>
        <v>0</v>
      </c>
      <c r="AC812" s="109">
        <f t="shared" si="498"/>
        <v>0</v>
      </c>
      <c r="AD812" s="109">
        <f t="shared" si="498"/>
        <v>0</v>
      </c>
      <c r="AE812" s="109">
        <f t="shared" si="498"/>
        <v>0</v>
      </c>
      <c r="AF812" s="109">
        <f t="shared" si="498"/>
        <v>0</v>
      </c>
      <c r="AG812" s="109">
        <f t="shared" si="498"/>
        <v>0</v>
      </c>
      <c r="AH812" s="109">
        <f t="shared" si="498"/>
        <v>0</v>
      </c>
      <c r="AI812" s="109">
        <f t="shared" si="498"/>
        <v>0</v>
      </c>
      <c r="AJ812" s="109">
        <f t="shared" si="498"/>
        <v>0</v>
      </c>
      <c r="AK812" s="109">
        <f t="shared" si="498"/>
        <v>0</v>
      </c>
      <c r="AL812" s="109">
        <f t="shared" si="498"/>
        <v>0</v>
      </c>
      <c r="AM812" s="109">
        <f t="shared" si="498"/>
        <v>0</v>
      </c>
      <c r="AN812" s="109">
        <f t="shared" si="498"/>
        <v>0</v>
      </c>
      <c r="AO812" s="109">
        <f t="shared" si="498"/>
        <v>0</v>
      </c>
      <c r="AP812" s="109">
        <f t="shared" si="498"/>
        <v>0</v>
      </c>
      <c r="AQ812" s="109">
        <f t="shared" si="498"/>
        <v>0</v>
      </c>
      <c r="AR812" s="109">
        <f t="shared" si="498"/>
        <v>0</v>
      </c>
      <c r="AS812" s="109">
        <f t="shared" si="498"/>
        <v>0</v>
      </c>
      <c r="AT812" s="109">
        <f t="shared" si="498"/>
        <v>0</v>
      </c>
      <c r="AU812" s="109">
        <f t="shared" si="498"/>
        <v>0</v>
      </c>
      <c r="AV812" s="109">
        <f t="shared" si="498"/>
        <v>0</v>
      </c>
      <c r="AW812" s="109">
        <f t="shared" si="498"/>
        <v>0</v>
      </c>
      <c r="AX812" s="109">
        <f t="shared" si="498"/>
        <v>0</v>
      </c>
      <c r="AY812" s="109">
        <f t="shared" si="498"/>
        <v>0</v>
      </c>
      <c r="AZ812" s="109">
        <f t="shared" si="498"/>
        <v>0</v>
      </c>
      <c r="BA812" s="109">
        <f t="shared" si="498"/>
        <v>0</v>
      </c>
      <c r="BB812" s="109">
        <f t="shared" si="498"/>
        <v>0</v>
      </c>
      <c r="BC812" s="109">
        <f t="shared" si="498"/>
        <v>0</v>
      </c>
      <c r="BD812" s="109">
        <f t="shared" si="498"/>
        <v>0</v>
      </c>
      <c r="BE812" s="109">
        <f t="shared" si="498"/>
        <v>0</v>
      </c>
      <c r="BF812" s="109">
        <f t="shared" si="498"/>
        <v>0</v>
      </c>
      <c r="BG812" s="109">
        <f t="shared" si="498"/>
        <v>0</v>
      </c>
      <c r="BH812" s="109">
        <f t="shared" si="498"/>
        <v>0</v>
      </c>
      <c r="BI812" s="109">
        <f t="shared" si="498"/>
        <v>0</v>
      </c>
      <c r="BJ812" s="110">
        <f t="shared" si="498"/>
        <v>0</v>
      </c>
    </row>
    <row r="813" spans="1:63" s="125" customFormat="1" ht="12.75">
      <c r="A813" s="120" t="s">
        <v>119</v>
      </c>
      <c r="B813" s="211">
        <f t="shared" ref="B813:B818" si="499">SUM(C813:BJ813)</f>
        <v>50425444.832640894</v>
      </c>
      <c r="C813" s="122">
        <f>C756*(1+$G749)^(C750-1)</f>
        <v>0</v>
      </c>
      <c r="D813" s="123">
        <f>D756*(1+$G749)^(D750-1)</f>
        <v>0</v>
      </c>
      <c r="E813" s="123">
        <f t="shared" ref="E813:BJ813" si="500">E756*(1+$G749)^(E750-1)</f>
        <v>0</v>
      </c>
      <c r="F813" s="123">
        <f t="shared" si="500"/>
        <v>0</v>
      </c>
      <c r="G813" s="123">
        <f t="shared" si="500"/>
        <v>0</v>
      </c>
      <c r="H813" s="123">
        <f t="shared" si="500"/>
        <v>729150.61021322408</v>
      </c>
      <c r="I813" s="123">
        <f t="shared" si="500"/>
        <v>1516633.2692435062</v>
      </c>
      <c r="J813" s="123">
        <f t="shared" si="500"/>
        <v>2365947.9000198692</v>
      </c>
      <c r="K813" s="123">
        <f t="shared" si="500"/>
        <v>3280781.0880275527</v>
      </c>
      <c r="L813" s="123">
        <f t="shared" si="500"/>
        <v>4718740.4585247366</v>
      </c>
      <c r="M813" s="123">
        <f t="shared" si="500"/>
        <v>4907490.0768657252</v>
      </c>
      <c r="N813" s="123">
        <f t="shared" si="500"/>
        <v>5103789.6799403541</v>
      </c>
      <c r="O813" s="123">
        <f t="shared" si="500"/>
        <v>5307941.2671379698</v>
      </c>
      <c r="P813" s="123">
        <f t="shared" si="500"/>
        <v>5520258.9178234888</v>
      </c>
      <c r="Q813" s="123">
        <f t="shared" si="500"/>
        <v>5741069.274536428</v>
      </c>
      <c r="R813" s="123">
        <f t="shared" si="500"/>
        <v>4317284.094451393</v>
      </c>
      <c r="S813" s="123">
        <f t="shared" si="500"/>
        <v>3367481.5936720874</v>
      </c>
      <c r="T813" s="123">
        <f t="shared" si="500"/>
        <v>2334787.2382793142</v>
      </c>
      <c r="U813" s="123">
        <f t="shared" si="500"/>
        <v>1214089.3639052433</v>
      </c>
      <c r="V813" s="123">
        <f t="shared" si="500"/>
        <v>0</v>
      </c>
      <c r="W813" s="123">
        <f t="shared" si="500"/>
        <v>0</v>
      </c>
      <c r="X813" s="123">
        <f t="shared" si="500"/>
        <v>0</v>
      </c>
      <c r="Y813" s="123">
        <f t="shared" si="500"/>
        <v>0</v>
      </c>
      <c r="Z813" s="123">
        <f t="shared" si="500"/>
        <v>0</v>
      </c>
      <c r="AA813" s="123">
        <f t="shared" si="500"/>
        <v>0</v>
      </c>
      <c r="AB813" s="123">
        <f t="shared" si="500"/>
        <v>0</v>
      </c>
      <c r="AC813" s="123">
        <f t="shared" si="500"/>
        <v>0</v>
      </c>
      <c r="AD813" s="123">
        <f t="shared" si="500"/>
        <v>0</v>
      </c>
      <c r="AE813" s="123">
        <f t="shared" si="500"/>
        <v>0</v>
      </c>
      <c r="AF813" s="123">
        <f t="shared" si="500"/>
        <v>0</v>
      </c>
      <c r="AG813" s="123">
        <f t="shared" si="500"/>
        <v>0</v>
      </c>
      <c r="AH813" s="123">
        <f t="shared" si="500"/>
        <v>0</v>
      </c>
      <c r="AI813" s="123">
        <f t="shared" si="500"/>
        <v>0</v>
      </c>
      <c r="AJ813" s="123">
        <f t="shared" si="500"/>
        <v>0</v>
      </c>
      <c r="AK813" s="123">
        <f t="shared" si="500"/>
        <v>0</v>
      </c>
      <c r="AL813" s="123">
        <f t="shared" si="500"/>
        <v>0</v>
      </c>
      <c r="AM813" s="123">
        <f t="shared" si="500"/>
        <v>0</v>
      </c>
      <c r="AN813" s="123">
        <f t="shared" si="500"/>
        <v>0</v>
      </c>
      <c r="AO813" s="123">
        <f t="shared" si="500"/>
        <v>0</v>
      </c>
      <c r="AP813" s="123">
        <f t="shared" si="500"/>
        <v>0</v>
      </c>
      <c r="AQ813" s="123">
        <f t="shared" si="500"/>
        <v>0</v>
      </c>
      <c r="AR813" s="123">
        <f t="shared" si="500"/>
        <v>0</v>
      </c>
      <c r="AS813" s="123">
        <f t="shared" si="500"/>
        <v>0</v>
      </c>
      <c r="AT813" s="123">
        <f t="shared" si="500"/>
        <v>0</v>
      </c>
      <c r="AU813" s="123">
        <f t="shared" si="500"/>
        <v>0</v>
      </c>
      <c r="AV813" s="123">
        <f t="shared" si="500"/>
        <v>0</v>
      </c>
      <c r="AW813" s="123">
        <f t="shared" si="500"/>
        <v>0</v>
      </c>
      <c r="AX813" s="123">
        <f t="shared" si="500"/>
        <v>0</v>
      </c>
      <c r="AY813" s="123">
        <f t="shared" si="500"/>
        <v>0</v>
      </c>
      <c r="AZ813" s="123">
        <f t="shared" si="500"/>
        <v>0</v>
      </c>
      <c r="BA813" s="123">
        <f t="shared" si="500"/>
        <v>0</v>
      </c>
      <c r="BB813" s="123">
        <f t="shared" si="500"/>
        <v>0</v>
      </c>
      <c r="BC813" s="123">
        <f t="shared" si="500"/>
        <v>0</v>
      </c>
      <c r="BD813" s="123">
        <f t="shared" si="500"/>
        <v>0</v>
      </c>
      <c r="BE813" s="123">
        <f t="shared" si="500"/>
        <v>0</v>
      </c>
      <c r="BF813" s="123">
        <f t="shared" si="500"/>
        <v>0</v>
      </c>
      <c r="BG813" s="123">
        <f t="shared" si="500"/>
        <v>0</v>
      </c>
      <c r="BH813" s="123">
        <f t="shared" si="500"/>
        <v>0</v>
      </c>
      <c r="BI813" s="123">
        <f t="shared" si="500"/>
        <v>0</v>
      </c>
      <c r="BJ813" s="124">
        <f t="shared" si="500"/>
        <v>0</v>
      </c>
    </row>
    <row r="814" spans="1:63" s="125" customFormat="1" ht="12.75">
      <c r="A814" s="120" t="s">
        <v>120</v>
      </c>
      <c r="B814" s="211">
        <f t="shared" si="499"/>
        <v>53766174.907241344</v>
      </c>
      <c r="C814" s="122">
        <f>C757*(1+$G749)^(C750-1)</f>
        <v>0</v>
      </c>
      <c r="D814" s="123">
        <f>D757*(1+$G749)^(D750-1)</f>
        <v>0</v>
      </c>
      <c r="E814" s="123">
        <f t="shared" ref="E814:BJ814" si="501">E757*(1+$G749)^(E750-1)</f>
        <v>0</v>
      </c>
      <c r="F814" s="123">
        <f t="shared" si="501"/>
        <v>0</v>
      </c>
      <c r="G814" s="123">
        <f t="shared" si="501"/>
        <v>0</v>
      </c>
      <c r="H814" s="123">
        <f t="shared" si="501"/>
        <v>777457.4795038607</v>
      </c>
      <c r="I814" s="123">
        <f t="shared" si="501"/>
        <v>1617111.5573680303</v>
      </c>
      <c r="J814" s="123">
        <f t="shared" si="501"/>
        <v>2522694.0294941268</v>
      </c>
      <c r="K814" s="123">
        <f t="shared" si="501"/>
        <v>3498135.7208985235</v>
      </c>
      <c r="L814" s="123">
        <f t="shared" si="501"/>
        <v>5031361.164526388</v>
      </c>
      <c r="M814" s="123">
        <f t="shared" si="501"/>
        <v>5232615.6111074435</v>
      </c>
      <c r="N814" s="123">
        <f t="shared" si="501"/>
        <v>5441920.23555174</v>
      </c>
      <c r="O814" s="123">
        <f t="shared" si="501"/>
        <v>5659597.0449738111</v>
      </c>
      <c r="P814" s="123">
        <f t="shared" si="501"/>
        <v>5885980.926772764</v>
      </c>
      <c r="Q814" s="123">
        <f t="shared" si="501"/>
        <v>6121420.1638436746</v>
      </c>
      <c r="R814" s="123">
        <f t="shared" si="501"/>
        <v>4603307.9632104421</v>
      </c>
      <c r="S814" s="123">
        <f t="shared" si="501"/>
        <v>3590580.2113041454</v>
      </c>
      <c r="T814" s="123">
        <f t="shared" si="501"/>
        <v>2489468.9465042078</v>
      </c>
      <c r="U814" s="123">
        <f t="shared" si="501"/>
        <v>1294523.8521821883</v>
      </c>
      <c r="V814" s="123">
        <f t="shared" si="501"/>
        <v>0</v>
      </c>
      <c r="W814" s="123">
        <f t="shared" si="501"/>
        <v>0</v>
      </c>
      <c r="X814" s="123">
        <f t="shared" si="501"/>
        <v>0</v>
      </c>
      <c r="Y814" s="123">
        <f t="shared" si="501"/>
        <v>0</v>
      </c>
      <c r="Z814" s="123">
        <f t="shared" si="501"/>
        <v>0</v>
      </c>
      <c r="AA814" s="123">
        <f t="shared" si="501"/>
        <v>0</v>
      </c>
      <c r="AB814" s="123">
        <f t="shared" si="501"/>
        <v>0</v>
      </c>
      <c r="AC814" s="123">
        <f t="shared" si="501"/>
        <v>0</v>
      </c>
      <c r="AD814" s="123">
        <f t="shared" si="501"/>
        <v>0</v>
      </c>
      <c r="AE814" s="123">
        <f t="shared" si="501"/>
        <v>0</v>
      </c>
      <c r="AF814" s="123">
        <f t="shared" si="501"/>
        <v>0</v>
      </c>
      <c r="AG814" s="123">
        <f t="shared" si="501"/>
        <v>0</v>
      </c>
      <c r="AH814" s="123">
        <f t="shared" si="501"/>
        <v>0</v>
      </c>
      <c r="AI814" s="123">
        <f t="shared" si="501"/>
        <v>0</v>
      </c>
      <c r="AJ814" s="123">
        <f t="shared" si="501"/>
        <v>0</v>
      </c>
      <c r="AK814" s="123">
        <f t="shared" si="501"/>
        <v>0</v>
      </c>
      <c r="AL814" s="123">
        <f t="shared" si="501"/>
        <v>0</v>
      </c>
      <c r="AM814" s="123">
        <f t="shared" si="501"/>
        <v>0</v>
      </c>
      <c r="AN814" s="123">
        <f t="shared" si="501"/>
        <v>0</v>
      </c>
      <c r="AO814" s="123">
        <f t="shared" si="501"/>
        <v>0</v>
      </c>
      <c r="AP814" s="123">
        <f t="shared" si="501"/>
        <v>0</v>
      </c>
      <c r="AQ814" s="123">
        <f t="shared" si="501"/>
        <v>0</v>
      </c>
      <c r="AR814" s="123">
        <f t="shared" si="501"/>
        <v>0</v>
      </c>
      <c r="AS814" s="123">
        <f t="shared" si="501"/>
        <v>0</v>
      </c>
      <c r="AT814" s="123">
        <f t="shared" si="501"/>
        <v>0</v>
      </c>
      <c r="AU814" s="123">
        <f t="shared" si="501"/>
        <v>0</v>
      </c>
      <c r="AV814" s="123">
        <f t="shared" si="501"/>
        <v>0</v>
      </c>
      <c r="AW814" s="123">
        <f t="shared" si="501"/>
        <v>0</v>
      </c>
      <c r="AX814" s="123">
        <f t="shared" si="501"/>
        <v>0</v>
      </c>
      <c r="AY814" s="123">
        <f t="shared" si="501"/>
        <v>0</v>
      </c>
      <c r="AZ814" s="123">
        <f t="shared" si="501"/>
        <v>0</v>
      </c>
      <c r="BA814" s="123">
        <f t="shared" si="501"/>
        <v>0</v>
      </c>
      <c r="BB814" s="123">
        <f t="shared" si="501"/>
        <v>0</v>
      </c>
      <c r="BC814" s="123">
        <f t="shared" si="501"/>
        <v>0</v>
      </c>
      <c r="BD814" s="123">
        <f t="shared" si="501"/>
        <v>0</v>
      </c>
      <c r="BE814" s="123">
        <f t="shared" si="501"/>
        <v>0</v>
      </c>
      <c r="BF814" s="123">
        <f t="shared" si="501"/>
        <v>0</v>
      </c>
      <c r="BG814" s="123">
        <f t="shared" si="501"/>
        <v>0</v>
      </c>
      <c r="BH814" s="123">
        <f t="shared" si="501"/>
        <v>0</v>
      </c>
      <c r="BI814" s="123">
        <f t="shared" si="501"/>
        <v>0</v>
      </c>
      <c r="BJ814" s="124">
        <f t="shared" si="501"/>
        <v>0</v>
      </c>
    </row>
    <row r="815" spans="1:63" s="125" customFormat="1" ht="12.75">
      <c r="A815" s="120" t="s">
        <v>121</v>
      </c>
      <c r="B815" s="211">
        <f t="shared" si="499"/>
        <v>11089990.756681077</v>
      </c>
      <c r="C815" s="122">
        <f>C758*(1+$G749)^(C750-1)</f>
        <v>0</v>
      </c>
      <c r="D815" s="123">
        <f>D758*(1+$G749)^(D750-1)</f>
        <v>0</v>
      </c>
      <c r="E815" s="123">
        <f t="shared" ref="E815:BJ815" si="502">E758*(1+$G749)^(E750-1)</f>
        <v>0</v>
      </c>
      <c r="F815" s="123">
        <f t="shared" si="502"/>
        <v>0</v>
      </c>
      <c r="G815" s="123">
        <f t="shared" si="502"/>
        <v>0</v>
      </c>
      <c r="H815" s="123">
        <f t="shared" si="502"/>
        <v>160360.97558149244</v>
      </c>
      <c r="I815" s="123">
        <f t="shared" si="502"/>
        <v>333550.8292095043</v>
      </c>
      <c r="J815" s="123">
        <f t="shared" si="502"/>
        <v>520339.29356682661</v>
      </c>
      <c r="K815" s="123">
        <f t="shared" si="502"/>
        <v>721537.15374599968</v>
      </c>
      <c r="L815" s="123">
        <f t="shared" si="502"/>
        <v>1037785.3530474381</v>
      </c>
      <c r="M815" s="123">
        <f t="shared" si="502"/>
        <v>1079296.7671693356</v>
      </c>
      <c r="N815" s="123">
        <f t="shared" si="502"/>
        <v>1122468.6378561091</v>
      </c>
      <c r="O815" s="123">
        <f t="shared" si="502"/>
        <v>1167367.3833703536</v>
      </c>
      <c r="P815" s="123">
        <f t="shared" si="502"/>
        <v>1214062.0787051676</v>
      </c>
      <c r="Q815" s="123">
        <f t="shared" si="502"/>
        <v>1262624.5618533744</v>
      </c>
      <c r="R815" s="123">
        <f t="shared" si="502"/>
        <v>949493.67051373736</v>
      </c>
      <c r="S815" s="123">
        <f t="shared" si="502"/>
        <v>740605.06300071534</v>
      </c>
      <c r="T815" s="123">
        <f t="shared" si="502"/>
        <v>513486.17701382929</v>
      </c>
      <c r="U815" s="123">
        <f t="shared" si="502"/>
        <v>267012.81204719126</v>
      </c>
      <c r="V815" s="123">
        <f t="shared" si="502"/>
        <v>0</v>
      </c>
      <c r="W815" s="123">
        <f t="shared" si="502"/>
        <v>0</v>
      </c>
      <c r="X815" s="123">
        <f t="shared" si="502"/>
        <v>0</v>
      </c>
      <c r="Y815" s="123">
        <f t="shared" si="502"/>
        <v>0</v>
      </c>
      <c r="Z815" s="123">
        <f t="shared" si="502"/>
        <v>0</v>
      </c>
      <c r="AA815" s="123">
        <f t="shared" si="502"/>
        <v>0</v>
      </c>
      <c r="AB815" s="123">
        <f t="shared" si="502"/>
        <v>0</v>
      </c>
      <c r="AC815" s="123">
        <f t="shared" si="502"/>
        <v>0</v>
      </c>
      <c r="AD815" s="123">
        <f t="shared" si="502"/>
        <v>0</v>
      </c>
      <c r="AE815" s="123">
        <f t="shared" si="502"/>
        <v>0</v>
      </c>
      <c r="AF815" s="123">
        <f t="shared" si="502"/>
        <v>0</v>
      </c>
      <c r="AG815" s="123">
        <f t="shared" si="502"/>
        <v>0</v>
      </c>
      <c r="AH815" s="123">
        <f t="shared" si="502"/>
        <v>0</v>
      </c>
      <c r="AI815" s="123">
        <f t="shared" si="502"/>
        <v>0</v>
      </c>
      <c r="AJ815" s="123">
        <f t="shared" si="502"/>
        <v>0</v>
      </c>
      <c r="AK815" s="123">
        <f t="shared" si="502"/>
        <v>0</v>
      </c>
      <c r="AL815" s="123">
        <f t="shared" si="502"/>
        <v>0</v>
      </c>
      <c r="AM815" s="123">
        <f t="shared" si="502"/>
        <v>0</v>
      </c>
      <c r="AN815" s="123">
        <f t="shared" si="502"/>
        <v>0</v>
      </c>
      <c r="AO815" s="123">
        <f t="shared" si="502"/>
        <v>0</v>
      </c>
      <c r="AP815" s="123">
        <f t="shared" si="502"/>
        <v>0</v>
      </c>
      <c r="AQ815" s="123">
        <f t="shared" si="502"/>
        <v>0</v>
      </c>
      <c r="AR815" s="123">
        <f t="shared" si="502"/>
        <v>0</v>
      </c>
      <c r="AS815" s="123">
        <f t="shared" si="502"/>
        <v>0</v>
      </c>
      <c r="AT815" s="123">
        <f t="shared" si="502"/>
        <v>0</v>
      </c>
      <c r="AU815" s="123">
        <f t="shared" si="502"/>
        <v>0</v>
      </c>
      <c r="AV815" s="123">
        <f t="shared" si="502"/>
        <v>0</v>
      </c>
      <c r="AW815" s="123">
        <f t="shared" si="502"/>
        <v>0</v>
      </c>
      <c r="AX815" s="123">
        <f t="shared" si="502"/>
        <v>0</v>
      </c>
      <c r="AY815" s="123">
        <f t="shared" si="502"/>
        <v>0</v>
      </c>
      <c r="AZ815" s="123">
        <f t="shared" si="502"/>
        <v>0</v>
      </c>
      <c r="BA815" s="123">
        <f t="shared" si="502"/>
        <v>0</v>
      </c>
      <c r="BB815" s="123">
        <f t="shared" si="502"/>
        <v>0</v>
      </c>
      <c r="BC815" s="123">
        <f t="shared" si="502"/>
        <v>0</v>
      </c>
      <c r="BD815" s="123">
        <f t="shared" si="502"/>
        <v>0</v>
      </c>
      <c r="BE815" s="123">
        <f t="shared" si="502"/>
        <v>0</v>
      </c>
      <c r="BF815" s="123">
        <f t="shared" si="502"/>
        <v>0</v>
      </c>
      <c r="BG815" s="123">
        <f t="shared" si="502"/>
        <v>0</v>
      </c>
      <c r="BH815" s="123">
        <f t="shared" si="502"/>
        <v>0</v>
      </c>
      <c r="BI815" s="123">
        <f t="shared" si="502"/>
        <v>0</v>
      </c>
      <c r="BJ815" s="124">
        <f t="shared" si="502"/>
        <v>0</v>
      </c>
    </row>
    <row r="816" spans="1:63" s="125" customFormat="1" ht="12.75">
      <c r="A816" s="120" t="s">
        <v>122</v>
      </c>
      <c r="B816" s="211">
        <f t="shared" si="499"/>
        <v>2189171.501821883</v>
      </c>
      <c r="C816" s="122">
        <f>C759*(1+$G749)^(C750-1)</f>
        <v>0</v>
      </c>
      <c r="D816" s="123">
        <f>D759*(1+$G749)^(D750-1)</f>
        <v>0</v>
      </c>
      <c r="E816" s="123">
        <f t="shared" ref="E816:BJ816" si="503">E759*(1+$G749)^(E750-1)</f>
        <v>0</v>
      </c>
      <c r="F816" s="123">
        <f t="shared" si="503"/>
        <v>0</v>
      </c>
      <c r="G816" s="123">
        <f t="shared" si="503"/>
        <v>0</v>
      </c>
      <c r="H816" s="123">
        <f t="shared" si="503"/>
        <v>31655.36252010546</v>
      </c>
      <c r="I816" s="123">
        <f t="shared" si="503"/>
        <v>65843.154041819347</v>
      </c>
      <c r="J816" s="123">
        <f t="shared" si="503"/>
        <v>102715.32030523819</v>
      </c>
      <c r="K816" s="123">
        <f t="shared" si="503"/>
        <v>142431.91082326364</v>
      </c>
      <c r="L816" s="123">
        <f t="shared" si="503"/>
        <v>204859.51429048137</v>
      </c>
      <c r="M816" s="123">
        <f t="shared" si="503"/>
        <v>213053.89486210063</v>
      </c>
      <c r="N816" s="123">
        <f t="shared" si="503"/>
        <v>221576.05065658462</v>
      </c>
      <c r="O816" s="123">
        <f t="shared" si="503"/>
        <v>230439.09268284807</v>
      </c>
      <c r="P816" s="123">
        <f t="shared" si="503"/>
        <v>239656.65639016198</v>
      </c>
      <c r="Q816" s="123">
        <f t="shared" si="503"/>
        <v>249242.92264576847</v>
      </c>
      <c r="R816" s="123">
        <f t="shared" si="503"/>
        <v>187430.67782961787</v>
      </c>
      <c r="S816" s="123">
        <f t="shared" si="503"/>
        <v>146195.92870710196</v>
      </c>
      <c r="T816" s="123">
        <f t="shared" si="503"/>
        <v>101362.51057025736</v>
      </c>
      <c r="U816" s="123">
        <f t="shared" si="503"/>
        <v>52708.505496533835</v>
      </c>
      <c r="V816" s="123">
        <f t="shared" si="503"/>
        <v>0</v>
      </c>
      <c r="W816" s="123">
        <f t="shared" si="503"/>
        <v>0</v>
      </c>
      <c r="X816" s="123">
        <f t="shared" si="503"/>
        <v>0</v>
      </c>
      <c r="Y816" s="123">
        <f t="shared" si="503"/>
        <v>0</v>
      </c>
      <c r="Z816" s="123">
        <f t="shared" si="503"/>
        <v>0</v>
      </c>
      <c r="AA816" s="123">
        <f t="shared" si="503"/>
        <v>0</v>
      </c>
      <c r="AB816" s="123">
        <f t="shared" si="503"/>
        <v>0</v>
      </c>
      <c r="AC816" s="123">
        <f t="shared" si="503"/>
        <v>0</v>
      </c>
      <c r="AD816" s="123">
        <f t="shared" si="503"/>
        <v>0</v>
      </c>
      <c r="AE816" s="123">
        <f t="shared" si="503"/>
        <v>0</v>
      </c>
      <c r="AF816" s="123">
        <f t="shared" si="503"/>
        <v>0</v>
      </c>
      <c r="AG816" s="123">
        <f t="shared" si="503"/>
        <v>0</v>
      </c>
      <c r="AH816" s="123">
        <f t="shared" si="503"/>
        <v>0</v>
      </c>
      <c r="AI816" s="123">
        <f t="shared" si="503"/>
        <v>0</v>
      </c>
      <c r="AJ816" s="123">
        <f t="shared" si="503"/>
        <v>0</v>
      </c>
      <c r="AK816" s="123">
        <f t="shared" si="503"/>
        <v>0</v>
      </c>
      <c r="AL816" s="123">
        <f t="shared" si="503"/>
        <v>0</v>
      </c>
      <c r="AM816" s="123">
        <f t="shared" si="503"/>
        <v>0</v>
      </c>
      <c r="AN816" s="123">
        <f t="shared" si="503"/>
        <v>0</v>
      </c>
      <c r="AO816" s="123">
        <f t="shared" si="503"/>
        <v>0</v>
      </c>
      <c r="AP816" s="123">
        <f t="shared" si="503"/>
        <v>0</v>
      </c>
      <c r="AQ816" s="123">
        <f t="shared" si="503"/>
        <v>0</v>
      </c>
      <c r="AR816" s="123">
        <f t="shared" si="503"/>
        <v>0</v>
      </c>
      <c r="AS816" s="123">
        <f t="shared" si="503"/>
        <v>0</v>
      </c>
      <c r="AT816" s="123">
        <f t="shared" si="503"/>
        <v>0</v>
      </c>
      <c r="AU816" s="123">
        <f t="shared" si="503"/>
        <v>0</v>
      </c>
      <c r="AV816" s="123">
        <f t="shared" si="503"/>
        <v>0</v>
      </c>
      <c r="AW816" s="123">
        <f t="shared" si="503"/>
        <v>0</v>
      </c>
      <c r="AX816" s="123">
        <f t="shared" si="503"/>
        <v>0</v>
      </c>
      <c r="AY816" s="123">
        <f t="shared" si="503"/>
        <v>0</v>
      </c>
      <c r="AZ816" s="123">
        <f t="shared" si="503"/>
        <v>0</v>
      </c>
      <c r="BA816" s="123">
        <f t="shared" si="503"/>
        <v>0</v>
      </c>
      <c r="BB816" s="123">
        <f t="shared" si="503"/>
        <v>0</v>
      </c>
      <c r="BC816" s="123">
        <f t="shared" si="503"/>
        <v>0</v>
      </c>
      <c r="BD816" s="123">
        <f t="shared" si="503"/>
        <v>0</v>
      </c>
      <c r="BE816" s="123">
        <f t="shared" si="503"/>
        <v>0</v>
      </c>
      <c r="BF816" s="123">
        <f t="shared" si="503"/>
        <v>0</v>
      </c>
      <c r="BG816" s="123">
        <f t="shared" si="503"/>
        <v>0</v>
      </c>
      <c r="BH816" s="123">
        <f t="shared" si="503"/>
        <v>0</v>
      </c>
      <c r="BI816" s="123">
        <f t="shared" si="503"/>
        <v>0</v>
      </c>
      <c r="BJ816" s="124">
        <f t="shared" si="503"/>
        <v>0</v>
      </c>
    </row>
    <row r="817" spans="1:64" s="116" customFormat="1">
      <c r="A817" s="212" t="s">
        <v>123</v>
      </c>
      <c r="B817" s="197">
        <f t="shared" si="499"/>
        <v>64201422.440143839</v>
      </c>
      <c r="C817" s="133">
        <f>C760*(1+$G749)^(C750-1)</f>
        <v>11853323.30727065</v>
      </c>
      <c r="D817" s="134">
        <f>D760*(1+$G749)^(D750-1)</f>
        <v>12327456.239561476</v>
      </c>
      <c r="E817" s="134">
        <f t="shared" ref="E817:BJ817" si="504">E760*(1+$G749)^(E750-1)</f>
        <v>12820554.489143936</v>
      </c>
      <c r="F817" s="134">
        <f t="shared" si="504"/>
        <v>13333376.668709693</v>
      </c>
      <c r="G817" s="134">
        <f t="shared" si="504"/>
        <v>13866711.735458082</v>
      </c>
      <c r="H817" s="134">
        <f t="shared" si="504"/>
        <v>0</v>
      </c>
      <c r="I817" s="134">
        <f t="shared" si="504"/>
        <v>0</v>
      </c>
      <c r="J817" s="134">
        <f t="shared" si="504"/>
        <v>0</v>
      </c>
      <c r="K817" s="134">
        <f t="shared" si="504"/>
        <v>0</v>
      </c>
      <c r="L817" s="134">
        <f t="shared" si="504"/>
        <v>0</v>
      </c>
      <c r="M817" s="134">
        <f t="shared" si="504"/>
        <v>0</v>
      </c>
      <c r="N817" s="134">
        <f t="shared" si="504"/>
        <v>0</v>
      </c>
      <c r="O817" s="134">
        <f t="shared" si="504"/>
        <v>0</v>
      </c>
      <c r="P817" s="134">
        <f t="shared" si="504"/>
        <v>0</v>
      </c>
      <c r="Q817" s="134">
        <f t="shared" si="504"/>
        <v>0</v>
      </c>
      <c r="R817" s="134">
        <f t="shared" si="504"/>
        <v>0</v>
      </c>
      <c r="S817" s="134">
        <f t="shared" si="504"/>
        <v>0</v>
      </c>
      <c r="T817" s="134">
        <f t="shared" si="504"/>
        <v>0</v>
      </c>
      <c r="U817" s="134">
        <f t="shared" si="504"/>
        <v>0</v>
      </c>
      <c r="V817" s="134">
        <f t="shared" si="504"/>
        <v>0</v>
      </c>
      <c r="W817" s="134">
        <f t="shared" si="504"/>
        <v>0</v>
      </c>
      <c r="X817" s="134">
        <f t="shared" si="504"/>
        <v>0</v>
      </c>
      <c r="Y817" s="134">
        <f t="shared" si="504"/>
        <v>0</v>
      </c>
      <c r="Z817" s="134">
        <f t="shared" si="504"/>
        <v>0</v>
      </c>
      <c r="AA817" s="134">
        <f t="shared" si="504"/>
        <v>0</v>
      </c>
      <c r="AB817" s="134">
        <f t="shared" si="504"/>
        <v>0</v>
      </c>
      <c r="AC817" s="134">
        <f t="shared" si="504"/>
        <v>0</v>
      </c>
      <c r="AD817" s="134">
        <f t="shared" si="504"/>
        <v>0</v>
      </c>
      <c r="AE817" s="134">
        <f t="shared" si="504"/>
        <v>0</v>
      </c>
      <c r="AF817" s="134">
        <f t="shared" si="504"/>
        <v>0</v>
      </c>
      <c r="AG817" s="134">
        <f t="shared" si="504"/>
        <v>0</v>
      </c>
      <c r="AH817" s="134">
        <f t="shared" si="504"/>
        <v>0</v>
      </c>
      <c r="AI817" s="134">
        <f t="shared" si="504"/>
        <v>0</v>
      </c>
      <c r="AJ817" s="134">
        <f t="shared" si="504"/>
        <v>0</v>
      </c>
      <c r="AK817" s="134">
        <f t="shared" si="504"/>
        <v>0</v>
      </c>
      <c r="AL817" s="134">
        <f t="shared" si="504"/>
        <v>0</v>
      </c>
      <c r="AM817" s="134">
        <f t="shared" si="504"/>
        <v>0</v>
      </c>
      <c r="AN817" s="134">
        <f t="shared" si="504"/>
        <v>0</v>
      </c>
      <c r="AO817" s="134">
        <f t="shared" si="504"/>
        <v>0</v>
      </c>
      <c r="AP817" s="134">
        <f t="shared" si="504"/>
        <v>0</v>
      </c>
      <c r="AQ817" s="134">
        <f t="shared" si="504"/>
        <v>0</v>
      </c>
      <c r="AR817" s="134">
        <f t="shared" si="504"/>
        <v>0</v>
      </c>
      <c r="AS817" s="134">
        <f t="shared" si="504"/>
        <v>0</v>
      </c>
      <c r="AT817" s="134">
        <f t="shared" si="504"/>
        <v>0</v>
      </c>
      <c r="AU817" s="134">
        <f t="shared" si="504"/>
        <v>0</v>
      </c>
      <c r="AV817" s="134">
        <f t="shared" si="504"/>
        <v>0</v>
      </c>
      <c r="AW817" s="134">
        <f t="shared" si="504"/>
        <v>0</v>
      </c>
      <c r="AX817" s="134">
        <f t="shared" si="504"/>
        <v>0</v>
      </c>
      <c r="AY817" s="134">
        <f t="shared" si="504"/>
        <v>0</v>
      </c>
      <c r="AZ817" s="134">
        <f t="shared" si="504"/>
        <v>0</v>
      </c>
      <c r="BA817" s="134">
        <f t="shared" si="504"/>
        <v>0</v>
      </c>
      <c r="BB817" s="134">
        <f t="shared" si="504"/>
        <v>0</v>
      </c>
      <c r="BC817" s="134">
        <f t="shared" si="504"/>
        <v>0</v>
      </c>
      <c r="BD817" s="134">
        <f t="shared" si="504"/>
        <v>0</v>
      </c>
      <c r="BE817" s="134">
        <f t="shared" si="504"/>
        <v>0</v>
      </c>
      <c r="BF817" s="134">
        <f t="shared" si="504"/>
        <v>0</v>
      </c>
      <c r="BG817" s="134">
        <f t="shared" si="504"/>
        <v>0</v>
      </c>
      <c r="BH817" s="134">
        <f t="shared" si="504"/>
        <v>0</v>
      </c>
      <c r="BI817" s="134">
        <f t="shared" si="504"/>
        <v>0</v>
      </c>
      <c r="BJ817" s="135">
        <f t="shared" si="504"/>
        <v>0</v>
      </c>
    </row>
    <row r="818" spans="1:64" s="105" customFormat="1" ht="22.5" customHeight="1">
      <c r="A818" s="131" t="s">
        <v>124</v>
      </c>
      <c r="B818" s="132">
        <f t="shared" si="499"/>
        <v>2788967505.5721459</v>
      </c>
      <c r="C818" s="133">
        <f>C809-C811-C812-C817</f>
        <v>2393459.5139681101</v>
      </c>
      <c r="D818" s="134">
        <f>D809-D811-D812-D817</f>
        <v>3081864.059890369</v>
      </c>
      <c r="E818" s="134">
        <f t="shared" ref="E818:BJ818" si="505">E809-E811-E812-E817</f>
        <v>3205138.6222859826</v>
      </c>
      <c r="F818" s="134">
        <f t="shared" si="505"/>
        <v>3333344.167177422</v>
      </c>
      <c r="G818" s="134">
        <f t="shared" si="505"/>
        <v>3466677.9338645209</v>
      </c>
      <c r="H818" s="134">
        <f t="shared" si="505"/>
        <v>40104549.611668378</v>
      </c>
      <c r="I818" s="134">
        <f t="shared" si="505"/>
        <v>83417463.192270219</v>
      </c>
      <c r="J818" s="134">
        <f t="shared" si="505"/>
        <v>130131242.57994153</v>
      </c>
      <c r="K818" s="134">
        <f t="shared" si="505"/>
        <v>180448656.37751895</v>
      </c>
      <c r="L818" s="134">
        <f t="shared" si="505"/>
        <v>259538918.53447419</v>
      </c>
      <c r="M818" s="134">
        <f t="shared" si="505"/>
        <v>269920475.27585322</v>
      </c>
      <c r="N818" s="134">
        <f t="shared" si="505"/>
        <v>280717294.28688729</v>
      </c>
      <c r="O818" s="134">
        <f t="shared" si="505"/>
        <v>291945986.05836284</v>
      </c>
      <c r="P818" s="134">
        <f t="shared" si="505"/>
        <v>303623825.50069731</v>
      </c>
      <c r="Q818" s="134">
        <f t="shared" si="505"/>
        <v>315768778.52072531</v>
      </c>
      <c r="R818" s="134">
        <f t="shared" si="505"/>
        <v>237458121.44758531</v>
      </c>
      <c r="S818" s="134">
        <f t="shared" si="505"/>
        <v>185217334.72911653</v>
      </c>
      <c r="T818" s="134">
        <f t="shared" si="505"/>
        <v>128417352.07885416</v>
      </c>
      <c r="U818" s="134">
        <f t="shared" si="505"/>
        <v>66777023.081004158</v>
      </c>
      <c r="V818" s="134">
        <f t="shared" si="505"/>
        <v>0</v>
      </c>
      <c r="W818" s="134">
        <f t="shared" si="505"/>
        <v>0</v>
      </c>
      <c r="X818" s="134">
        <f t="shared" si="505"/>
        <v>0</v>
      </c>
      <c r="Y818" s="134">
        <f t="shared" si="505"/>
        <v>0</v>
      </c>
      <c r="Z818" s="134">
        <f t="shared" si="505"/>
        <v>0</v>
      </c>
      <c r="AA818" s="134">
        <f t="shared" si="505"/>
        <v>0</v>
      </c>
      <c r="AB818" s="134">
        <f t="shared" si="505"/>
        <v>0</v>
      </c>
      <c r="AC818" s="134">
        <f t="shared" si="505"/>
        <v>0</v>
      </c>
      <c r="AD818" s="134">
        <f t="shared" si="505"/>
        <v>0</v>
      </c>
      <c r="AE818" s="134">
        <f t="shared" si="505"/>
        <v>0</v>
      </c>
      <c r="AF818" s="134">
        <f t="shared" si="505"/>
        <v>0</v>
      </c>
      <c r="AG818" s="134">
        <f t="shared" si="505"/>
        <v>0</v>
      </c>
      <c r="AH818" s="134">
        <f t="shared" si="505"/>
        <v>0</v>
      </c>
      <c r="AI818" s="134">
        <f t="shared" si="505"/>
        <v>0</v>
      </c>
      <c r="AJ818" s="134">
        <f t="shared" si="505"/>
        <v>0</v>
      </c>
      <c r="AK818" s="134">
        <f t="shared" si="505"/>
        <v>0</v>
      </c>
      <c r="AL818" s="134">
        <f t="shared" si="505"/>
        <v>0</v>
      </c>
      <c r="AM818" s="134">
        <f t="shared" si="505"/>
        <v>0</v>
      </c>
      <c r="AN818" s="134">
        <f t="shared" si="505"/>
        <v>0</v>
      </c>
      <c r="AO818" s="134">
        <f t="shared" si="505"/>
        <v>0</v>
      </c>
      <c r="AP818" s="134">
        <f t="shared" si="505"/>
        <v>0</v>
      </c>
      <c r="AQ818" s="134">
        <f t="shared" si="505"/>
        <v>0</v>
      </c>
      <c r="AR818" s="134">
        <f t="shared" si="505"/>
        <v>0</v>
      </c>
      <c r="AS818" s="134">
        <f t="shared" si="505"/>
        <v>0</v>
      </c>
      <c r="AT818" s="134">
        <f t="shared" si="505"/>
        <v>0</v>
      </c>
      <c r="AU818" s="134">
        <f t="shared" si="505"/>
        <v>0</v>
      </c>
      <c r="AV818" s="134">
        <f t="shared" si="505"/>
        <v>0</v>
      </c>
      <c r="AW818" s="134">
        <f t="shared" si="505"/>
        <v>0</v>
      </c>
      <c r="AX818" s="134">
        <f t="shared" si="505"/>
        <v>0</v>
      </c>
      <c r="AY818" s="134">
        <f t="shared" si="505"/>
        <v>0</v>
      </c>
      <c r="AZ818" s="134">
        <f t="shared" si="505"/>
        <v>0</v>
      </c>
      <c r="BA818" s="134">
        <f t="shared" si="505"/>
        <v>0</v>
      </c>
      <c r="BB818" s="134">
        <f t="shared" si="505"/>
        <v>0</v>
      </c>
      <c r="BC818" s="134">
        <f t="shared" si="505"/>
        <v>0</v>
      </c>
      <c r="BD818" s="134">
        <f t="shared" si="505"/>
        <v>0</v>
      </c>
      <c r="BE818" s="134">
        <f t="shared" si="505"/>
        <v>0</v>
      </c>
      <c r="BF818" s="134">
        <f t="shared" si="505"/>
        <v>0</v>
      </c>
      <c r="BG818" s="134">
        <f t="shared" si="505"/>
        <v>0</v>
      </c>
      <c r="BH818" s="134">
        <f t="shared" si="505"/>
        <v>0</v>
      </c>
      <c r="BI818" s="134">
        <f t="shared" si="505"/>
        <v>0</v>
      </c>
      <c r="BJ818" s="135">
        <f t="shared" si="505"/>
        <v>0</v>
      </c>
      <c r="BK818" s="109"/>
      <c r="BL818" s="109"/>
    </row>
    <row r="819" spans="1:64" s="116" customFormat="1">
      <c r="A819" s="136" t="s">
        <v>125</v>
      </c>
      <c r="B819" s="137">
        <f t="shared" ref="B819:G819" si="506">SUM(B820:B823)</f>
        <v>165937626.09747234</v>
      </c>
      <c r="C819" s="113">
        <f t="shared" si="506"/>
        <v>20064964.491109535</v>
      </c>
      <c r="D819" s="114">
        <f t="shared" si="506"/>
        <v>23917270.545550235</v>
      </c>
      <c r="E819" s="114">
        <f t="shared" si="506"/>
        <v>39068231.375196233</v>
      </c>
      <c r="F819" s="114">
        <f t="shared" si="506"/>
        <v>40630960.630204082</v>
      </c>
      <c r="G819" s="114">
        <f t="shared" si="506"/>
        <v>42256199.055412248</v>
      </c>
      <c r="H819" s="114"/>
      <c r="I819" s="114"/>
      <c r="J819" s="114"/>
      <c r="K819" s="114"/>
      <c r="L819" s="114"/>
      <c r="M819" s="114"/>
      <c r="N819" s="114"/>
      <c r="O819" s="114"/>
      <c r="P819" s="114"/>
      <c r="Q819" s="114"/>
      <c r="R819" s="114"/>
      <c r="S819" s="114"/>
      <c r="T819" s="114"/>
      <c r="U819" s="114"/>
      <c r="V819" s="114"/>
      <c r="W819" s="114"/>
      <c r="X819" s="114"/>
      <c r="Y819" s="114"/>
      <c r="Z819" s="114"/>
      <c r="AA819" s="114"/>
      <c r="AB819" s="114"/>
      <c r="AC819" s="114"/>
      <c r="AD819" s="114"/>
      <c r="AE819" s="114"/>
      <c r="AF819" s="114"/>
      <c r="AG819" s="114"/>
      <c r="AH819" s="114"/>
      <c r="AI819" s="114"/>
      <c r="AJ819" s="114"/>
      <c r="AK819" s="114"/>
      <c r="AL819" s="114"/>
      <c r="AM819" s="114"/>
      <c r="AN819" s="114"/>
      <c r="AO819" s="114"/>
      <c r="AP819" s="114"/>
      <c r="AQ819" s="114"/>
      <c r="AR819" s="114"/>
      <c r="AS819" s="114"/>
      <c r="AT819" s="114"/>
      <c r="AU819" s="114"/>
      <c r="AV819" s="114"/>
      <c r="AW819" s="114"/>
      <c r="AX819" s="114"/>
      <c r="AY819" s="114"/>
      <c r="AZ819" s="114"/>
      <c r="BA819" s="114"/>
      <c r="BB819" s="114"/>
      <c r="BC819" s="114"/>
      <c r="BD819" s="114"/>
      <c r="BE819" s="114"/>
      <c r="BF819" s="114"/>
      <c r="BG819" s="114"/>
      <c r="BH819" s="114"/>
      <c r="BI819" s="114"/>
      <c r="BJ819" s="115"/>
    </row>
    <row r="820" spans="1:64" s="143" customFormat="1" ht="12.75">
      <c r="A820" s="138" t="s">
        <v>126</v>
      </c>
      <c r="B820" s="139">
        <f>SUM(C820:BJ820)</f>
        <v>64110364.311337672</v>
      </c>
      <c r="C820" s="140">
        <f>C763*(1+$G749)^(C750-1)</f>
        <v>0</v>
      </c>
      <c r="D820" s="141">
        <f>D763*(1+$G749)^(D750-1)</f>
        <v>0</v>
      </c>
      <c r="E820" s="141">
        <f>E763*(1+$G749)^(E750-1)</f>
        <v>20537661.555400331</v>
      </c>
      <c r="F820" s="141">
        <f>F763*(1+$G749)^(F750-1)</f>
        <v>21359168.017616343</v>
      </c>
      <c r="G820" s="141">
        <f>G763*(1+$G749)^(G750-1)</f>
        <v>22213534.738320999</v>
      </c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  <c r="AH820" s="141"/>
      <c r="AI820" s="141"/>
      <c r="AJ820" s="141"/>
      <c r="AK820" s="141"/>
      <c r="AL820" s="141"/>
      <c r="AM820" s="141"/>
      <c r="AN820" s="141"/>
      <c r="AO820" s="141"/>
      <c r="AP820" s="141"/>
      <c r="AQ820" s="141"/>
      <c r="AR820" s="141"/>
      <c r="AS820" s="141"/>
      <c r="AT820" s="141"/>
      <c r="AU820" s="141"/>
      <c r="AV820" s="141"/>
      <c r="AW820" s="141"/>
      <c r="AX820" s="141"/>
      <c r="AY820" s="141"/>
      <c r="AZ820" s="141"/>
      <c r="BA820" s="141"/>
      <c r="BB820" s="141"/>
      <c r="BC820" s="141"/>
      <c r="BD820" s="141"/>
      <c r="BE820" s="141"/>
      <c r="BF820" s="141"/>
      <c r="BG820" s="141"/>
      <c r="BH820" s="141"/>
      <c r="BI820" s="141"/>
      <c r="BJ820" s="142"/>
      <c r="BK820" s="141"/>
      <c r="BL820" s="141"/>
    </row>
    <row r="821" spans="1:64" s="143" customFormat="1" ht="12.75">
      <c r="A821" s="138" t="s">
        <v>127</v>
      </c>
      <c r="B821" s="139">
        <f>SUM(C821:BJ821)</f>
        <v>0</v>
      </c>
      <c r="C821" s="140">
        <f>C764*(1+$G749)^(C750-1)</f>
        <v>0</v>
      </c>
      <c r="D821" s="141">
        <f>D764*(1+$G749)^(D750-1)</f>
        <v>0</v>
      </c>
      <c r="E821" s="141">
        <f>E764*(1+$G749)^(E750-1)</f>
        <v>0</v>
      </c>
      <c r="F821" s="141">
        <f>F764*(1+$G749)^(F750-1)</f>
        <v>0</v>
      </c>
      <c r="G821" s="141">
        <f>G764*(1+$G749)^(G750-1)</f>
        <v>0</v>
      </c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  <c r="AH821" s="141"/>
      <c r="AI821" s="141"/>
      <c r="AJ821" s="141"/>
      <c r="AK821" s="141"/>
      <c r="AL821" s="141"/>
      <c r="AM821" s="141"/>
      <c r="AN821" s="141"/>
      <c r="AO821" s="141"/>
      <c r="AP821" s="141"/>
      <c r="AQ821" s="141"/>
      <c r="AR821" s="141"/>
      <c r="AS821" s="141"/>
      <c r="AT821" s="141"/>
      <c r="AU821" s="141"/>
      <c r="AV821" s="141"/>
      <c r="AW821" s="141"/>
      <c r="AX821" s="141"/>
      <c r="AY821" s="141"/>
      <c r="AZ821" s="141"/>
      <c r="BA821" s="141"/>
      <c r="BB821" s="141"/>
      <c r="BC821" s="141"/>
      <c r="BD821" s="141"/>
      <c r="BE821" s="141"/>
      <c r="BF821" s="141"/>
      <c r="BG821" s="141"/>
      <c r="BH821" s="141"/>
      <c r="BI821" s="141"/>
      <c r="BJ821" s="142"/>
      <c r="BK821" s="141"/>
      <c r="BL821" s="141"/>
    </row>
    <row r="822" spans="1:64" s="143" customFormat="1" ht="12.75">
      <c r="A822" s="138" t="s">
        <v>128</v>
      </c>
      <c r="B822" s="139">
        <f>SUM(C822:BJ822)</f>
        <v>92795435.803084031</v>
      </c>
      <c r="C822" s="140">
        <f>C765*(1+$G749)^(C750-1)</f>
        <v>17132553.457651537</v>
      </c>
      <c r="D822" s="141">
        <f>D765*(1+$G749)^(D750-1)</f>
        <v>17817855.5959576</v>
      </c>
      <c r="E822" s="141">
        <f>E765*(1+$G749)^(E750-1)</f>
        <v>18530569.819795903</v>
      </c>
      <c r="F822" s="141">
        <f>F765*(1+$G749)^(F750-1)</f>
        <v>19271792.612587739</v>
      </c>
      <c r="G822" s="141">
        <f>G765*(1+$G749)^(G750-1)</f>
        <v>20042664.317091253</v>
      </c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  <c r="AH822" s="141"/>
      <c r="AI822" s="141"/>
      <c r="AJ822" s="141"/>
      <c r="AK822" s="141"/>
      <c r="AL822" s="141"/>
      <c r="AM822" s="141"/>
      <c r="AN822" s="141"/>
      <c r="AO822" s="141"/>
      <c r="AP822" s="141"/>
      <c r="AQ822" s="141"/>
      <c r="AR822" s="141"/>
      <c r="AS822" s="141"/>
      <c r="AT822" s="141"/>
      <c r="AU822" s="141"/>
      <c r="AV822" s="141"/>
      <c r="AW822" s="141"/>
      <c r="AX822" s="141"/>
      <c r="AY822" s="141"/>
      <c r="AZ822" s="141"/>
      <c r="BA822" s="141"/>
      <c r="BB822" s="141"/>
      <c r="BC822" s="141"/>
      <c r="BD822" s="141"/>
      <c r="BE822" s="141"/>
      <c r="BF822" s="141"/>
      <c r="BG822" s="141"/>
      <c r="BH822" s="141"/>
      <c r="BI822" s="141"/>
      <c r="BJ822" s="142"/>
      <c r="BK822" s="141"/>
      <c r="BL822" s="141"/>
    </row>
    <row r="823" spans="1:64" s="143" customFormat="1" ht="12.75">
      <c r="A823" s="138" t="s">
        <v>129</v>
      </c>
      <c r="B823" s="139">
        <f>SUM(C823:BJ823)</f>
        <v>9031825.9830506314</v>
      </c>
      <c r="C823" s="140">
        <f>C766*(1+$G749)^(C750-1)</f>
        <v>2932411.0334579973</v>
      </c>
      <c r="D823" s="141">
        <f>D766*(1+$G749)^(D750-1)</f>
        <v>6099414.9495926341</v>
      </c>
      <c r="E823" s="141">
        <f>E766*(1+$G749)^(E750-1)</f>
        <v>0</v>
      </c>
      <c r="F823" s="141">
        <f>F766*(1+$G749)^(F750-1)</f>
        <v>0</v>
      </c>
      <c r="G823" s="141">
        <f>G766*(1+$G749)^(G750-1)</f>
        <v>0</v>
      </c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  <c r="AH823" s="141"/>
      <c r="AI823" s="141"/>
      <c r="AJ823" s="141"/>
      <c r="AK823" s="141"/>
      <c r="AL823" s="141"/>
      <c r="AM823" s="141"/>
      <c r="AN823" s="141"/>
      <c r="AO823" s="141"/>
      <c r="AP823" s="141"/>
      <c r="AQ823" s="141"/>
      <c r="AR823" s="141"/>
      <c r="AS823" s="141"/>
      <c r="AT823" s="141"/>
      <c r="AU823" s="141"/>
      <c r="AV823" s="141"/>
      <c r="AW823" s="141"/>
      <c r="AX823" s="141"/>
      <c r="AY823" s="141"/>
      <c r="AZ823" s="141"/>
      <c r="BA823" s="141"/>
      <c r="BB823" s="141"/>
      <c r="BC823" s="141"/>
      <c r="BD823" s="141"/>
      <c r="BE823" s="141"/>
      <c r="BF823" s="141"/>
      <c r="BG823" s="141"/>
      <c r="BH823" s="141"/>
      <c r="BI823" s="141"/>
      <c r="BJ823" s="142"/>
      <c r="BK823" s="141"/>
      <c r="BL823" s="141"/>
    </row>
    <row r="824" spans="1:64" s="116" customFormat="1">
      <c r="A824" s="111" t="s">
        <v>130</v>
      </c>
      <c r="B824" s="137">
        <f>SUM(B825:B828)</f>
        <v>310220047.67245865</v>
      </c>
      <c r="C824" s="117">
        <f>SUM(C825:C828)</f>
        <v>668832.14970365108</v>
      </c>
      <c r="D824" s="118">
        <f>SUM(D825:D828)</f>
        <v>1492827.7872101383</v>
      </c>
      <c r="E824" s="118">
        <f t="shared" ref="E824:BJ824" si="507">SUM(E825:E828)</f>
        <v>2854815.2778717512</v>
      </c>
      <c r="F824" s="118">
        <f t="shared" si="507"/>
        <v>4323373.243326758</v>
      </c>
      <c r="G824" s="118">
        <f t="shared" si="507"/>
        <v>5904848.1415735697</v>
      </c>
      <c r="H824" s="118">
        <f t="shared" si="507"/>
        <v>6141042.0672365138</v>
      </c>
      <c r="I824" s="118">
        <f t="shared" si="507"/>
        <v>6386683.7499259738</v>
      </c>
      <c r="J824" s="118">
        <f t="shared" si="507"/>
        <v>6642151.0999230128</v>
      </c>
      <c r="K824" s="118">
        <f t="shared" si="507"/>
        <v>6907837.1439199345</v>
      </c>
      <c r="L824" s="118">
        <f t="shared" si="507"/>
        <v>7184150.6296767322</v>
      </c>
      <c r="M824" s="118">
        <f t="shared" si="507"/>
        <v>7471516.6548638018</v>
      </c>
      <c r="N824" s="118">
        <f t="shared" si="507"/>
        <v>7770377.3210583534</v>
      </c>
      <c r="O824" s="118">
        <f t="shared" si="507"/>
        <v>8081192.4139006892</v>
      </c>
      <c r="P824" s="118">
        <f t="shared" si="507"/>
        <v>8404440.1104567163</v>
      </c>
      <c r="Q824" s="118">
        <f t="shared" si="507"/>
        <v>8740617.7148749847</v>
      </c>
      <c r="R824" s="118">
        <f t="shared" si="507"/>
        <v>9090242.423469983</v>
      </c>
      <c r="S824" s="118">
        <f t="shared" si="507"/>
        <v>9453852.1204087846</v>
      </c>
      <c r="T824" s="118">
        <f t="shared" si="507"/>
        <v>9832006.205225138</v>
      </c>
      <c r="U824" s="118">
        <f t="shared" si="507"/>
        <v>10225286.453434145</v>
      </c>
      <c r="V824" s="118">
        <f t="shared" si="507"/>
        <v>10634297.911571508</v>
      </c>
      <c r="W824" s="118">
        <f t="shared" si="507"/>
        <v>11059669.828034369</v>
      </c>
      <c r="X824" s="118">
        <f t="shared" si="507"/>
        <v>11502056.621155746</v>
      </c>
      <c r="Y824" s="118">
        <f t="shared" si="507"/>
        <v>11962138.886001978</v>
      </c>
      <c r="Z824" s="118">
        <f t="shared" si="507"/>
        <v>12440624.441442054</v>
      </c>
      <c r="AA824" s="118">
        <f t="shared" si="507"/>
        <v>12938249.419099737</v>
      </c>
      <c r="AB824" s="118">
        <f t="shared" si="507"/>
        <v>13455779.39586373</v>
      </c>
      <c r="AC824" s="118">
        <f t="shared" si="507"/>
        <v>13994010.571698276</v>
      </c>
      <c r="AD824" s="118">
        <f t="shared" si="507"/>
        <v>14553770.994566211</v>
      </c>
      <c r="AE824" s="118">
        <f t="shared" si="507"/>
        <v>15135921.834348861</v>
      </c>
      <c r="AF824" s="118">
        <f t="shared" si="507"/>
        <v>15741358.707722817</v>
      </c>
      <c r="AG824" s="118">
        <f t="shared" si="507"/>
        <v>14201724.527056536</v>
      </c>
      <c r="AH824" s="118">
        <f t="shared" si="507"/>
        <v>12184019.650335707</v>
      </c>
      <c r="AI824" s="118">
        <f t="shared" si="507"/>
        <v>8447586.9575660918</v>
      </c>
      <c r="AJ824" s="118">
        <f t="shared" si="507"/>
        <v>4392745.2179343672</v>
      </c>
      <c r="AK824" s="118">
        <f t="shared" si="507"/>
        <v>0</v>
      </c>
      <c r="AL824" s="118">
        <f t="shared" si="507"/>
        <v>0</v>
      </c>
      <c r="AM824" s="118">
        <f t="shared" si="507"/>
        <v>0</v>
      </c>
      <c r="AN824" s="118">
        <f t="shared" si="507"/>
        <v>0</v>
      </c>
      <c r="AO824" s="118">
        <f t="shared" si="507"/>
        <v>0</v>
      </c>
      <c r="AP824" s="118">
        <f t="shared" si="507"/>
        <v>0</v>
      </c>
      <c r="AQ824" s="118">
        <f t="shared" si="507"/>
        <v>0</v>
      </c>
      <c r="AR824" s="118">
        <f t="shared" si="507"/>
        <v>0</v>
      </c>
      <c r="AS824" s="118">
        <f t="shared" si="507"/>
        <v>0</v>
      </c>
      <c r="AT824" s="118">
        <f t="shared" si="507"/>
        <v>0</v>
      </c>
      <c r="AU824" s="118">
        <f t="shared" si="507"/>
        <v>0</v>
      </c>
      <c r="AV824" s="118">
        <f t="shared" si="507"/>
        <v>0</v>
      </c>
      <c r="AW824" s="118">
        <f t="shared" si="507"/>
        <v>0</v>
      </c>
      <c r="AX824" s="118">
        <f t="shared" si="507"/>
        <v>0</v>
      </c>
      <c r="AY824" s="118">
        <f t="shared" si="507"/>
        <v>0</v>
      </c>
      <c r="AZ824" s="118">
        <f t="shared" si="507"/>
        <v>0</v>
      </c>
      <c r="BA824" s="118">
        <f t="shared" si="507"/>
        <v>0</v>
      </c>
      <c r="BB824" s="118">
        <f t="shared" si="507"/>
        <v>0</v>
      </c>
      <c r="BC824" s="118">
        <f t="shared" si="507"/>
        <v>0</v>
      </c>
      <c r="BD824" s="118">
        <f t="shared" si="507"/>
        <v>0</v>
      </c>
      <c r="BE824" s="118">
        <f t="shared" si="507"/>
        <v>0</v>
      </c>
      <c r="BF824" s="118">
        <f t="shared" si="507"/>
        <v>0</v>
      </c>
      <c r="BG824" s="118">
        <f t="shared" si="507"/>
        <v>0</v>
      </c>
      <c r="BH824" s="118">
        <f t="shared" si="507"/>
        <v>0</v>
      </c>
      <c r="BI824" s="118">
        <f t="shared" si="507"/>
        <v>0</v>
      </c>
      <c r="BJ824" s="119">
        <f t="shared" si="507"/>
        <v>0</v>
      </c>
      <c r="BK824" s="118"/>
      <c r="BL824" s="118"/>
    </row>
    <row r="825" spans="1:64" s="143" customFormat="1" ht="12.75">
      <c r="A825" s="138" t="s">
        <v>126</v>
      </c>
      <c r="B825" s="139">
        <f>SUM(C825:BJ825)</f>
        <v>119854193.05251114</v>
      </c>
      <c r="C825" s="140">
        <f>C768*(1+$G749)^(C750-1)</f>
        <v>0</v>
      </c>
      <c r="D825" s="141">
        <f t="shared" ref="D825:AJ825" si="508">D768*(1+$G749)^(D750-1)</f>
        <v>0</v>
      </c>
      <c r="E825" s="141">
        <f t="shared" si="508"/>
        <v>684588.7185133443</v>
      </c>
      <c r="F825" s="141">
        <f t="shared" si="508"/>
        <v>1423944.5345077561</v>
      </c>
      <c r="G825" s="141">
        <f t="shared" si="508"/>
        <v>2221353.4738320997</v>
      </c>
      <c r="H825" s="141">
        <f t="shared" si="508"/>
        <v>2310207.6127853841</v>
      </c>
      <c r="I825" s="141">
        <f t="shared" si="508"/>
        <v>2402615.9172967994</v>
      </c>
      <c r="J825" s="141">
        <f t="shared" si="508"/>
        <v>2498720.5539886714</v>
      </c>
      <c r="K825" s="141">
        <f t="shared" si="508"/>
        <v>2598669.3761482188</v>
      </c>
      <c r="L825" s="141">
        <f t="shared" si="508"/>
        <v>2702616.1511941478</v>
      </c>
      <c r="M825" s="141">
        <f t="shared" si="508"/>
        <v>2810720.7972419136</v>
      </c>
      <c r="N825" s="141">
        <f t="shared" si="508"/>
        <v>2923149.6291315896</v>
      </c>
      <c r="O825" s="141">
        <f t="shared" si="508"/>
        <v>3040075.614296854</v>
      </c>
      <c r="P825" s="141">
        <f t="shared" si="508"/>
        <v>3161678.6388687282</v>
      </c>
      <c r="Q825" s="141">
        <f t="shared" si="508"/>
        <v>3288145.7844234775</v>
      </c>
      <c r="R825" s="141">
        <f t="shared" si="508"/>
        <v>3419671.6158004166</v>
      </c>
      <c r="S825" s="141">
        <f t="shared" si="508"/>
        <v>3556458.4804324335</v>
      </c>
      <c r="T825" s="141">
        <f t="shared" si="508"/>
        <v>3698716.8196497313</v>
      </c>
      <c r="U825" s="141">
        <f t="shared" si="508"/>
        <v>3846665.4924357207</v>
      </c>
      <c r="V825" s="141">
        <f t="shared" si="508"/>
        <v>4000532.1121331495</v>
      </c>
      <c r="W825" s="141">
        <f t="shared" si="508"/>
        <v>4160553.3966184757</v>
      </c>
      <c r="X825" s="141">
        <f t="shared" si="508"/>
        <v>4326975.5324832154</v>
      </c>
      <c r="Y825" s="141">
        <f t="shared" si="508"/>
        <v>4500054.5537825441</v>
      </c>
      <c r="Z825" s="141">
        <f t="shared" si="508"/>
        <v>4680056.7359338449</v>
      </c>
      <c r="AA825" s="141">
        <f t="shared" si="508"/>
        <v>4867259.0053711999</v>
      </c>
      <c r="AB825" s="141">
        <f t="shared" si="508"/>
        <v>5061949.3655860489</v>
      </c>
      <c r="AC825" s="141">
        <f t="shared" si="508"/>
        <v>5264427.3402094897</v>
      </c>
      <c r="AD825" s="141">
        <f t="shared" si="508"/>
        <v>5475004.43381787</v>
      </c>
      <c r="AE825" s="141">
        <f t="shared" si="508"/>
        <v>5694004.6111705853</v>
      </c>
      <c r="AF825" s="141">
        <f t="shared" si="508"/>
        <v>5921764.7956174091</v>
      </c>
      <c r="AG825" s="141">
        <f t="shared" si="508"/>
        <v>6158635.3874421045</v>
      </c>
      <c r="AH825" s="141">
        <f t="shared" si="508"/>
        <v>6404980.8029397894</v>
      </c>
      <c r="AI825" s="141">
        <f t="shared" si="508"/>
        <v>4440786.6900382545</v>
      </c>
      <c r="AJ825" s="141">
        <f t="shared" si="508"/>
        <v>2309209.0788198924</v>
      </c>
      <c r="AK825" s="141"/>
      <c r="AL825" s="141"/>
      <c r="AM825" s="141"/>
      <c r="AN825" s="141"/>
      <c r="AO825" s="141"/>
      <c r="AP825" s="141"/>
      <c r="AQ825" s="141"/>
      <c r="AR825" s="141"/>
      <c r="AS825" s="141"/>
      <c r="AT825" s="141"/>
      <c r="AU825" s="141"/>
      <c r="AV825" s="141"/>
      <c r="AW825" s="141"/>
      <c r="AX825" s="141"/>
      <c r="AY825" s="141"/>
      <c r="AZ825" s="141"/>
      <c r="BA825" s="141"/>
      <c r="BB825" s="141"/>
      <c r="BC825" s="141"/>
      <c r="BD825" s="141"/>
      <c r="BE825" s="141"/>
      <c r="BF825" s="141"/>
      <c r="BG825" s="141"/>
      <c r="BH825" s="141"/>
      <c r="BI825" s="141"/>
      <c r="BJ825" s="142"/>
      <c r="BK825" s="141"/>
      <c r="BL825" s="141"/>
    </row>
    <row r="826" spans="1:64" s="143" customFormat="1" ht="12.75">
      <c r="A826" s="138" t="s">
        <v>127</v>
      </c>
      <c r="B826" s="139">
        <f>SUM(C826:BJ826)</f>
        <v>0</v>
      </c>
      <c r="C826" s="140">
        <f>C769*(1+$G749)^(C750-1)</f>
        <v>0</v>
      </c>
      <c r="D826" s="141">
        <f t="shared" ref="D826:AJ826" si="509">D769*(1+$G749)^(D750-1)</f>
        <v>0</v>
      </c>
      <c r="E826" s="141">
        <f t="shared" si="509"/>
        <v>0</v>
      </c>
      <c r="F826" s="141">
        <f t="shared" si="509"/>
        <v>0</v>
      </c>
      <c r="G826" s="141">
        <f t="shared" si="509"/>
        <v>0</v>
      </c>
      <c r="H826" s="141">
        <f t="shared" si="509"/>
        <v>0</v>
      </c>
      <c r="I826" s="141">
        <f t="shared" si="509"/>
        <v>0</v>
      </c>
      <c r="J826" s="141">
        <f t="shared" si="509"/>
        <v>0</v>
      </c>
      <c r="K826" s="141">
        <f t="shared" si="509"/>
        <v>0</v>
      </c>
      <c r="L826" s="141">
        <f t="shared" si="509"/>
        <v>0</v>
      </c>
      <c r="M826" s="141">
        <f t="shared" si="509"/>
        <v>0</v>
      </c>
      <c r="N826" s="141">
        <f t="shared" si="509"/>
        <v>0</v>
      </c>
      <c r="O826" s="141">
        <f t="shared" si="509"/>
        <v>0</v>
      </c>
      <c r="P826" s="141">
        <f t="shared" si="509"/>
        <v>0</v>
      </c>
      <c r="Q826" s="141">
        <f t="shared" si="509"/>
        <v>0</v>
      </c>
      <c r="R826" s="141">
        <f t="shared" si="509"/>
        <v>0</v>
      </c>
      <c r="S826" s="141">
        <f t="shared" si="509"/>
        <v>0</v>
      </c>
      <c r="T826" s="141">
        <f t="shared" si="509"/>
        <v>0</v>
      </c>
      <c r="U826" s="141">
        <f t="shared" si="509"/>
        <v>0</v>
      </c>
      <c r="V826" s="141">
        <f t="shared" si="509"/>
        <v>0</v>
      </c>
      <c r="W826" s="141">
        <f t="shared" si="509"/>
        <v>0</v>
      </c>
      <c r="X826" s="141">
        <f t="shared" si="509"/>
        <v>0</v>
      </c>
      <c r="Y826" s="141">
        <f t="shared" si="509"/>
        <v>0</v>
      </c>
      <c r="Z826" s="141">
        <f t="shared" si="509"/>
        <v>0</v>
      </c>
      <c r="AA826" s="141">
        <f t="shared" si="509"/>
        <v>0</v>
      </c>
      <c r="AB826" s="141">
        <f t="shared" si="509"/>
        <v>0</v>
      </c>
      <c r="AC826" s="141">
        <f t="shared" si="509"/>
        <v>0</v>
      </c>
      <c r="AD826" s="141">
        <f t="shared" si="509"/>
        <v>0</v>
      </c>
      <c r="AE826" s="141">
        <f t="shared" si="509"/>
        <v>0</v>
      </c>
      <c r="AF826" s="141">
        <f t="shared" si="509"/>
        <v>0</v>
      </c>
      <c r="AG826" s="141">
        <f t="shared" si="509"/>
        <v>0</v>
      </c>
      <c r="AH826" s="141">
        <f t="shared" si="509"/>
        <v>0</v>
      </c>
      <c r="AI826" s="141">
        <f t="shared" si="509"/>
        <v>0</v>
      </c>
      <c r="AJ826" s="141">
        <f t="shared" si="509"/>
        <v>0</v>
      </c>
      <c r="AK826" s="141"/>
      <c r="AL826" s="141"/>
      <c r="AM826" s="141"/>
      <c r="AN826" s="141"/>
      <c r="AO826" s="141"/>
      <c r="AP826" s="141"/>
      <c r="AQ826" s="141"/>
      <c r="AR826" s="141"/>
      <c r="AS826" s="141"/>
      <c r="AT826" s="141"/>
      <c r="AU826" s="141"/>
      <c r="AV826" s="141"/>
      <c r="AW826" s="141"/>
      <c r="AX826" s="141"/>
      <c r="AY826" s="141"/>
      <c r="AZ826" s="141"/>
      <c r="BA826" s="141"/>
      <c r="BB826" s="141"/>
      <c r="BC826" s="141"/>
      <c r="BD826" s="141"/>
      <c r="BE826" s="141"/>
      <c r="BF826" s="141"/>
      <c r="BG826" s="141"/>
      <c r="BH826" s="141"/>
      <c r="BI826" s="141"/>
      <c r="BJ826" s="142"/>
      <c r="BK826" s="141"/>
      <c r="BL826" s="141"/>
    </row>
    <row r="827" spans="1:64" s="143" customFormat="1" ht="12.75">
      <c r="A827" s="138" t="s">
        <v>128</v>
      </c>
      <c r="B827" s="139">
        <f>SUM(C827:BJ827)</f>
        <v>173480874.68546599</v>
      </c>
      <c r="C827" s="140">
        <f>C770*(1+$G749)^(C750-1)</f>
        <v>571085.11525505118</v>
      </c>
      <c r="D827" s="141">
        <f t="shared" ref="D827:AJ827" si="510">D770*(1+$G749)^(D750-1)</f>
        <v>1187857.0397305065</v>
      </c>
      <c r="E827" s="141">
        <f t="shared" si="510"/>
        <v>1853056.9819795901</v>
      </c>
      <c r="F827" s="141">
        <f t="shared" si="510"/>
        <v>2569572.348345032</v>
      </c>
      <c r="G827" s="141">
        <f t="shared" si="510"/>
        <v>3340444.0528485416</v>
      </c>
      <c r="H827" s="141">
        <f t="shared" si="510"/>
        <v>3474061.8149624839</v>
      </c>
      <c r="I827" s="141">
        <f t="shared" si="510"/>
        <v>3613024.2875609831</v>
      </c>
      <c r="J827" s="141">
        <f t="shared" si="510"/>
        <v>3757545.2590634222</v>
      </c>
      <c r="K827" s="141">
        <f t="shared" si="510"/>
        <v>3907847.0694259596</v>
      </c>
      <c r="L827" s="141">
        <f t="shared" si="510"/>
        <v>4064160.9522029986</v>
      </c>
      <c r="M827" s="141">
        <f t="shared" si="510"/>
        <v>4226727.3902911181</v>
      </c>
      <c r="N827" s="141">
        <f t="shared" si="510"/>
        <v>4395796.485902763</v>
      </c>
      <c r="O827" s="141">
        <f t="shared" si="510"/>
        <v>4571628.3453388745</v>
      </c>
      <c r="P827" s="141">
        <f t="shared" si="510"/>
        <v>4754493.4791524289</v>
      </c>
      <c r="Q827" s="141">
        <f t="shared" si="510"/>
        <v>4944673.2183185266</v>
      </c>
      <c r="R827" s="141">
        <f t="shared" si="510"/>
        <v>5142460.1470512673</v>
      </c>
      <c r="S827" s="141">
        <f t="shared" si="510"/>
        <v>5348158.5529333185</v>
      </c>
      <c r="T827" s="141">
        <f t="shared" si="510"/>
        <v>5562084.8950506523</v>
      </c>
      <c r="U827" s="141">
        <f t="shared" si="510"/>
        <v>5784568.2908526789</v>
      </c>
      <c r="V827" s="141">
        <f t="shared" si="510"/>
        <v>6015951.0224867854</v>
      </c>
      <c r="W827" s="141">
        <f t="shared" si="510"/>
        <v>6256589.0633862568</v>
      </c>
      <c r="X827" s="141">
        <f t="shared" si="510"/>
        <v>6506852.6259217085</v>
      </c>
      <c r="Y827" s="141">
        <f t="shared" si="510"/>
        <v>6767126.7309585772</v>
      </c>
      <c r="Z827" s="141">
        <f t="shared" si="510"/>
        <v>7037811.8001969196</v>
      </c>
      <c r="AA827" s="141">
        <f t="shared" si="510"/>
        <v>7319324.2722047968</v>
      </c>
      <c r="AB827" s="141">
        <f t="shared" si="510"/>
        <v>7612097.2430929905</v>
      </c>
      <c r="AC827" s="141">
        <f t="shared" si="510"/>
        <v>7916581.1328167086</v>
      </c>
      <c r="AD827" s="141">
        <f t="shared" si="510"/>
        <v>8233244.378129378</v>
      </c>
      <c r="AE827" s="141">
        <f t="shared" si="510"/>
        <v>8562574.1532545537</v>
      </c>
      <c r="AF827" s="141">
        <f t="shared" si="510"/>
        <v>8905077.1193847377</v>
      </c>
      <c r="AG827" s="141">
        <f t="shared" si="510"/>
        <v>7409024.1633281</v>
      </c>
      <c r="AH827" s="141">
        <f t="shared" si="510"/>
        <v>5779038.8473959174</v>
      </c>
      <c r="AI827" s="141">
        <f t="shared" si="510"/>
        <v>4006800.2675278368</v>
      </c>
      <c r="AJ827" s="141">
        <f t="shared" si="510"/>
        <v>2083536.1391144751</v>
      </c>
      <c r="AK827" s="141"/>
      <c r="AL827" s="141"/>
      <c r="AM827" s="141"/>
      <c r="AN827" s="141"/>
      <c r="AO827" s="141"/>
      <c r="AP827" s="141"/>
      <c r="AQ827" s="141"/>
      <c r="AR827" s="141"/>
      <c r="AS827" s="141"/>
      <c r="AT827" s="141"/>
      <c r="AU827" s="141"/>
      <c r="AV827" s="141"/>
      <c r="AW827" s="141"/>
      <c r="AX827" s="141"/>
      <c r="AY827" s="141"/>
      <c r="AZ827" s="141"/>
      <c r="BA827" s="141"/>
      <c r="BB827" s="141"/>
      <c r="BC827" s="141"/>
      <c r="BD827" s="141"/>
      <c r="BE827" s="141"/>
      <c r="BF827" s="141"/>
      <c r="BG827" s="141"/>
      <c r="BH827" s="141"/>
      <c r="BI827" s="141"/>
      <c r="BJ827" s="142"/>
      <c r="BK827" s="141"/>
      <c r="BL827" s="141"/>
    </row>
    <row r="828" spans="1:64" s="143" customFormat="1" ht="12.75">
      <c r="A828" s="138" t="s">
        <v>129</v>
      </c>
      <c r="B828" s="139">
        <f>SUM(C828:BJ828)</f>
        <v>16884979.934481524</v>
      </c>
      <c r="C828" s="140">
        <f>C771*(1+$G749)^(C750-1)</f>
        <v>97747.034448599909</v>
      </c>
      <c r="D828" s="141">
        <f t="shared" ref="D828:AJ828" si="511">D771*(1+$G749)^(D750-1)</f>
        <v>304970.74747963174</v>
      </c>
      <c r="E828" s="141">
        <f t="shared" si="511"/>
        <v>317169.57737881702</v>
      </c>
      <c r="F828" s="141">
        <f t="shared" si="511"/>
        <v>329856.36047396966</v>
      </c>
      <c r="G828" s="141">
        <f t="shared" si="511"/>
        <v>343050.61489292851</v>
      </c>
      <c r="H828" s="141">
        <f t="shared" si="511"/>
        <v>356772.63948864571</v>
      </c>
      <c r="I828" s="141">
        <f t="shared" si="511"/>
        <v>371043.54506819154</v>
      </c>
      <c r="J828" s="141">
        <f t="shared" si="511"/>
        <v>385885.28687091917</v>
      </c>
      <c r="K828" s="141">
        <f t="shared" si="511"/>
        <v>401320.69834575598</v>
      </c>
      <c r="L828" s="141">
        <f t="shared" si="511"/>
        <v>417373.52627958625</v>
      </c>
      <c r="M828" s="141">
        <f t="shared" si="511"/>
        <v>434068.46733076969</v>
      </c>
      <c r="N828" s="141">
        <f t="shared" si="511"/>
        <v>451431.20602400048</v>
      </c>
      <c r="O828" s="141">
        <f t="shared" si="511"/>
        <v>469488.4542649606</v>
      </c>
      <c r="P828" s="141">
        <f t="shared" si="511"/>
        <v>488267.99243555899</v>
      </c>
      <c r="Q828" s="141">
        <f t="shared" si="511"/>
        <v>507798.71213298134</v>
      </c>
      <c r="R828" s="141">
        <f t="shared" si="511"/>
        <v>528110.66061830055</v>
      </c>
      <c r="S828" s="141">
        <f t="shared" si="511"/>
        <v>549235.08704303275</v>
      </c>
      <c r="T828" s="141">
        <f t="shared" si="511"/>
        <v>571204.49052475404</v>
      </c>
      <c r="U828" s="141">
        <f t="shared" si="511"/>
        <v>594052.67014574423</v>
      </c>
      <c r="V828" s="141">
        <f t="shared" si="511"/>
        <v>617814.77695157402</v>
      </c>
      <c r="W828" s="141">
        <f t="shared" si="511"/>
        <v>642527.36802963703</v>
      </c>
      <c r="X828" s="141">
        <f t="shared" si="511"/>
        <v>668228.46275082265</v>
      </c>
      <c r="Y828" s="141">
        <f t="shared" si="511"/>
        <v>694957.60126085556</v>
      </c>
      <c r="Z828" s="141">
        <f t="shared" si="511"/>
        <v>722755.90531128971</v>
      </c>
      <c r="AA828" s="141">
        <f t="shared" si="511"/>
        <v>751666.1415237413</v>
      </c>
      <c r="AB828" s="141">
        <f t="shared" si="511"/>
        <v>781732.78718469117</v>
      </c>
      <c r="AC828" s="141">
        <f t="shared" si="511"/>
        <v>813002.09867207869</v>
      </c>
      <c r="AD828" s="141">
        <f t="shared" si="511"/>
        <v>845522.1826189619</v>
      </c>
      <c r="AE828" s="141">
        <f t="shared" si="511"/>
        <v>879343.06992372056</v>
      </c>
      <c r="AF828" s="141">
        <f t="shared" si="511"/>
        <v>914516.79272066941</v>
      </c>
      <c r="AG828" s="141">
        <f t="shared" si="511"/>
        <v>634064.97628633073</v>
      </c>
      <c r="AH828" s="141">
        <f t="shared" si="511"/>
        <v>0</v>
      </c>
      <c r="AI828" s="141">
        <f t="shared" si="511"/>
        <v>0</v>
      </c>
      <c r="AJ828" s="141">
        <f t="shared" si="511"/>
        <v>0</v>
      </c>
      <c r="AK828" s="141"/>
      <c r="AL828" s="141"/>
      <c r="AM828" s="141"/>
      <c r="AN828" s="141"/>
      <c r="AO828" s="141"/>
      <c r="AP828" s="141"/>
      <c r="AQ828" s="141"/>
      <c r="AR828" s="141"/>
      <c r="AS828" s="141"/>
      <c r="AT828" s="141"/>
      <c r="AU828" s="141"/>
      <c r="AV828" s="141"/>
      <c r="AW828" s="141"/>
      <c r="AX828" s="141"/>
      <c r="AY828" s="141"/>
      <c r="AZ828" s="141"/>
      <c r="BA828" s="141"/>
      <c r="BB828" s="141"/>
      <c r="BC828" s="141"/>
      <c r="BD828" s="141"/>
      <c r="BE828" s="141"/>
      <c r="BF828" s="141"/>
      <c r="BG828" s="141"/>
      <c r="BH828" s="141"/>
      <c r="BI828" s="141"/>
      <c r="BJ828" s="142"/>
      <c r="BK828" s="141"/>
      <c r="BL828" s="141"/>
    </row>
    <row r="829" spans="1:64" s="148" customFormat="1">
      <c r="A829" s="111" t="s">
        <v>131</v>
      </c>
      <c r="B829" s="144"/>
      <c r="C829" s="140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  <c r="AF829" s="146"/>
      <c r="AG829" s="146"/>
      <c r="AH829" s="146"/>
      <c r="AI829" s="146"/>
      <c r="AJ829" s="146"/>
      <c r="AK829" s="146"/>
      <c r="AL829" s="146"/>
      <c r="AM829" s="146"/>
      <c r="AN829" s="146"/>
      <c r="AO829" s="146"/>
      <c r="AP829" s="146"/>
      <c r="AQ829" s="146"/>
      <c r="AR829" s="146"/>
      <c r="AS829" s="146"/>
      <c r="AT829" s="146"/>
      <c r="AU829" s="146"/>
      <c r="AV829" s="146"/>
      <c r="AW829" s="146"/>
      <c r="AX829" s="146"/>
      <c r="AY829" s="146"/>
      <c r="AZ829" s="146"/>
      <c r="BA829" s="146"/>
      <c r="BB829" s="146"/>
      <c r="BC829" s="146"/>
      <c r="BD829" s="146"/>
      <c r="BE829" s="146"/>
      <c r="BF829" s="146"/>
      <c r="BG829" s="146"/>
      <c r="BH829" s="146"/>
      <c r="BI829" s="146"/>
      <c r="BJ829" s="147"/>
      <c r="BK829" s="146"/>
      <c r="BL829" s="146"/>
    </row>
    <row r="830" spans="1:64" s="153" customFormat="1" ht="12.75">
      <c r="A830" s="138" t="s">
        <v>126</v>
      </c>
      <c r="B830" s="144"/>
      <c r="C830" s="140">
        <f>C773*(1+$G749)^(C750-1)</f>
        <v>0</v>
      </c>
      <c r="D830" s="141">
        <f t="shared" ref="D830:AJ830" si="512">D773*(1+$G749)^(D750-1)</f>
        <v>0</v>
      </c>
      <c r="E830" s="141">
        <f t="shared" si="512"/>
        <v>60928395.947687648</v>
      </c>
      <c r="F830" s="141">
        <f t="shared" si="512"/>
        <v>61941587.25108739</v>
      </c>
      <c r="G830" s="141">
        <f t="shared" si="512"/>
        <v>62197897.267298795</v>
      </c>
      <c r="H830" s="141">
        <f t="shared" si="512"/>
        <v>62375605.54520537</v>
      </c>
      <c r="I830" s="141">
        <f t="shared" si="512"/>
        <v>62468013.849716783</v>
      </c>
      <c r="J830" s="141">
        <f t="shared" si="512"/>
        <v>62468013.849716775</v>
      </c>
      <c r="K830" s="141">
        <f t="shared" si="512"/>
        <v>62368065.027557239</v>
      </c>
      <c r="L830" s="141">
        <f t="shared" si="512"/>
        <v>62160171.477465384</v>
      </c>
      <c r="M830" s="141">
        <f t="shared" si="512"/>
        <v>61835857.539322086</v>
      </c>
      <c r="N830" s="141">
        <f t="shared" si="512"/>
        <v>61386142.211763375</v>
      </c>
      <c r="O830" s="141">
        <f t="shared" si="512"/>
        <v>60801512.285937063</v>
      </c>
      <c r="P830" s="141">
        <f t="shared" si="512"/>
        <v>60071894.138505824</v>
      </c>
      <c r="Q830" s="141">
        <f t="shared" si="512"/>
        <v>59186624.119622573</v>
      </c>
      <c r="R830" s="141">
        <f t="shared" si="512"/>
        <v>58134417.468607061</v>
      </c>
      <c r="S830" s="141">
        <f t="shared" si="512"/>
        <v>56903335.686918914</v>
      </c>
      <c r="T830" s="141">
        <f t="shared" si="512"/>
        <v>55480752.294745944</v>
      </c>
      <c r="U830" s="141">
        <f t="shared" si="512"/>
        <v>53853316.894100063</v>
      </c>
      <c r="V830" s="141">
        <f t="shared" si="512"/>
        <v>52006917.457730912</v>
      </c>
      <c r="W830" s="141">
        <f t="shared" si="512"/>
        <v>49926640.759421676</v>
      </c>
      <c r="X830" s="141">
        <f t="shared" si="512"/>
        <v>47596730.857315339</v>
      </c>
      <c r="Y830" s="141">
        <f t="shared" si="512"/>
        <v>45000545.537825406</v>
      </c>
      <c r="Z830" s="141">
        <f t="shared" si="512"/>
        <v>42120510.62340457</v>
      </c>
      <c r="AA830" s="141">
        <f t="shared" si="512"/>
        <v>38938072.042969555</v>
      </c>
      <c r="AB830" s="141">
        <f t="shared" si="512"/>
        <v>35433645.559102289</v>
      </c>
      <c r="AC830" s="141">
        <f t="shared" si="512"/>
        <v>31586564.04125689</v>
      </c>
      <c r="AD830" s="141">
        <f t="shared" si="512"/>
        <v>27375022.169089295</v>
      </c>
      <c r="AE830" s="141">
        <f t="shared" si="512"/>
        <v>22776018.444682285</v>
      </c>
      <c r="AF830" s="141">
        <f t="shared" si="512"/>
        <v>17765294.386852171</v>
      </c>
      <c r="AG830" s="141">
        <f t="shared" si="512"/>
        <v>12317270.774884151</v>
      </c>
      <c r="AH830" s="141">
        <f t="shared" si="512"/>
        <v>6404980.8029397279</v>
      </c>
      <c r="AI830" s="141">
        <f t="shared" si="512"/>
        <v>2220393.3450190634</v>
      </c>
      <c r="AJ830" s="141">
        <f t="shared" si="512"/>
        <v>-6.6257483685419538E-8</v>
      </c>
      <c r="AK830" s="151"/>
      <c r="AL830" s="151"/>
      <c r="AM830" s="151"/>
      <c r="AN830" s="151"/>
      <c r="AO830" s="151"/>
      <c r="AP830" s="151"/>
      <c r="AQ830" s="151"/>
      <c r="AR830" s="151"/>
      <c r="AS830" s="151"/>
      <c r="AT830" s="151"/>
      <c r="AU830" s="151"/>
      <c r="AV830" s="151"/>
      <c r="AW830" s="151"/>
      <c r="AX830" s="151"/>
      <c r="AY830" s="151"/>
      <c r="AZ830" s="151"/>
      <c r="BA830" s="151"/>
      <c r="BB830" s="151"/>
      <c r="BC830" s="151"/>
      <c r="BD830" s="151"/>
      <c r="BE830" s="151"/>
      <c r="BF830" s="151"/>
      <c r="BG830" s="151"/>
      <c r="BH830" s="151"/>
      <c r="BI830" s="151"/>
      <c r="BJ830" s="152"/>
      <c r="BK830" s="151"/>
      <c r="BL830" s="151"/>
    </row>
    <row r="831" spans="1:64" s="153" customFormat="1" ht="12.75">
      <c r="A831" s="138" t="s">
        <v>127</v>
      </c>
      <c r="B831" s="144"/>
      <c r="C831" s="140">
        <f>C774*(1+$G749)^(C750-1)</f>
        <v>0</v>
      </c>
      <c r="D831" s="141">
        <f t="shared" ref="D831:AJ831" si="513">D774*(1+$G749)^(D750-1)</f>
        <v>0</v>
      </c>
      <c r="E831" s="141">
        <f t="shared" si="513"/>
        <v>0</v>
      </c>
      <c r="F831" s="141">
        <f t="shared" si="513"/>
        <v>0</v>
      </c>
      <c r="G831" s="141">
        <f t="shared" si="513"/>
        <v>0</v>
      </c>
      <c r="H831" s="141">
        <f t="shared" si="513"/>
        <v>0</v>
      </c>
      <c r="I831" s="141">
        <f t="shared" si="513"/>
        <v>0</v>
      </c>
      <c r="J831" s="141">
        <f t="shared" si="513"/>
        <v>0</v>
      </c>
      <c r="K831" s="141">
        <f t="shared" si="513"/>
        <v>0</v>
      </c>
      <c r="L831" s="141">
        <f t="shared" si="513"/>
        <v>0</v>
      </c>
      <c r="M831" s="141">
        <f t="shared" si="513"/>
        <v>0</v>
      </c>
      <c r="N831" s="141">
        <f t="shared" si="513"/>
        <v>0</v>
      </c>
      <c r="O831" s="141">
        <f t="shared" si="513"/>
        <v>0</v>
      </c>
      <c r="P831" s="141">
        <f t="shared" si="513"/>
        <v>0</v>
      </c>
      <c r="Q831" s="141">
        <f t="shared" si="513"/>
        <v>0</v>
      </c>
      <c r="R831" s="141">
        <f t="shared" si="513"/>
        <v>0</v>
      </c>
      <c r="S831" s="141">
        <f t="shared" si="513"/>
        <v>0</v>
      </c>
      <c r="T831" s="141">
        <f t="shared" si="513"/>
        <v>0</v>
      </c>
      <c r="U831" s="141">
        <f t="shared" si="513"/>
        <v>0</v>
      </c>
      <c r="V831" s="141">
        <f t="shared" si="513"/>
        <v>0</v>
      </c>
      <c r="W831" s="141">
        <f t="shared" si="513"/>
        <v>0</v>
      </c>
      <c r="X831" s="141">
        <f t="shared" si="513"/>
        <v>0</v>
      </c>
      <c r="Y831" s="141">
        <f t="shared" si="513"/>
        <v>0</v>
      </c>
      <c r="Z831" s="141">
        <f t="shared" si="513"/>
        <v>0</v>
      </c>
      <c r="AA831" s="141">
        <f t="shared" si="513"/>
        <v>0</v>
      </c>
      <c r="AB831" s="141">
        <f t="shared" si="513"/>
        <v>0</v>
      </c>
      <c r="AC831" s="141">
        <f t="shared" si="513"/>
        <v>0</v>
      </c>
      <c r="AD831" s="141">
        <f t="shared" si="513"/>
        <v>0</v>
      </c>
      <c r="AE831" s="141">
        <f t="shared" si="513"/>
        <v>0</v>
      </c>
      <c r="AF831" s="141">
        <f t="shared" si="513"/>
        <v>0</v>
      </c>
      <c r="AG831" s="141">
        <f t="shared" si="513"/>
        <v>0</v>
      </c>
      <c r="AH831" s="141">
        <f t="shared" si="513"/>
        <v>0</v>
      </c>
      <c r="AI831" s="141">
        <f t="shared" si="513"/>
        <v>0</v>
      </c>
      <c r="AJ831" s="141">
        <f t="shared" si="513"/>
        <v>0</v>
      </c>
      <c r="AK831" s="151"/>
      <c r="AL831" s="151"/>
      <c r="AM831" s="151"/>
      <c r="AN831" s="151"/>
      <c r="AO831" s="151"/>
      <c r="AP831" s="151"/>
      <c r="AQ831" s="151"/>
      <c r="AR831" s="151"/>
      <c r="AS831" s="151"/>
      <c r="AT831" s="151"/>
      <c r="AU831" s="151"/>
      <c r="AV831" s="151"/>
      <c r="AW831" s="151"/>
      <c r="AX831" s="151"/>
      <c r="AY831" s="151"/>
      <c r="AZ831" s="151"/>
      <c r="BA831" s="151"/>
      <c r="BB831" s="151"/>
      <c r="BC831" s="151"/>
      <c r="BD831" s="151"/>
      <c r="BE831" s="151"/>
      <c r="BF831" s="151"/>
      <c r="BG831" s="151"/>
      <c r="BH831" s="151"/>
      <c r="BI831" s="151"/>
      <c r="BJ831" s="152"/>
      <c r="BK831" s="151"/>
      <c r="BL831" s="151"/>
    </row>
    <row r="832" spans="1:64" s="153" customFormat="1" ht="12.75">
      <c r="A832" s="138" t="s">
        <v>128</v>
      </c>
      <c r="B832" s="144"/>
      <c r="C832" s="140">
        <f>C775*(1+$G749)^(C750-1)</f>
        <v>85091682.17300263</v>
      </c>
      <c r="D832" s="141">
        <f t="shared" ref="D832:AJ832" si="514">D775*(1+$G749)^(D750-1)</f>
        <v>87307492.420192227</v>
      </c>
      <c r="E832" s="141">
        <f t="shared" si="514"/>
        <v>88946735.135020331</v>
      </c>
      <c r="F832" s="141">
        <f t="shared" si="514"/>
        <v>89935032.192076117</v>
      </c>
      <c r="G832" s="141">
        <f t="shared" si="514"/>
        <v>90191989.426910624</v>
      </c>
      <c r="H832" s="141">
        <f t="shared" si="514"/>
        <v>90325607.189024568</v>
      </c>
      <c r="I832" s="141">
        <f t="shared" si="514"/>
        <v>90325607.189024568</v>
      </c>
      <c r="J832" s="141">
        <f t="shared" si="514"/>
        <v>90181086.217522115</v>
      </c>
      <c r="K832" s="141">
        <f t="shared" si="514"/>
        <v>89880482.596797049</v>
      </c>
      <c r="L832" s="141">
        <f t="shared" si="514"/>
        <v>89411540.948465943</v>
      </c>
      <c r="M832" s="141">
        <f t="shared" si="514"/>
        <v>88761275.196113452</v>
      </c>
      <c r="N832" s="141">
        <f t="shared" si="514"/>
        <v>87915929.718055218</v>
      </c>
      <c r="O832" s="141">
        <f t="shared" si="514"/>
        <v>86860938.56143856</v>
      </c>
      <c r="P832" s="141">
        <f t="shared" si="514"/>
        <v>85580882.62474367</v>
      </c>
      <c r="Q832" s="141">
        <f t="shared" si="514"/>
        <v>84059444.711414889</v>
      </c>
      <c r="R832" s="141">
        <f t="shared" si="514"/>
        <v>82279362.352820218</v>
      </c>
      <c r="S832" s="141">
        <f t="shared" si="514"/>
        <v>80222378.293999702</v>
      </c>
      <c r="T832" s="141">
        <f t="shared" si="514"/>
        <v>77869188.530709043</v>
      </c>
      <c r="U832" s="141">
        <f t="shared" si="514"/>
        <v>75199387.781084731</v>
      </c>
      <c r="V832" s="141">
        <f t="shared" si="514"/>
        <v>72191412.269841328</v>
      </c>
      <c r="W832" s="141">
        <f t="shared" si="514"/>
        <v>68822479.697248712</v>
      </c>
      <c r="X832" s="141">
        <f t="shared" si="514"/>
        <v>65068526.259216979</v>
      </c>
      <c r="Y832" s="141">
        <f t="shared" si="514"/>
        <v>60904140.57862708</v>
      </c>
      <c r="Z832" s="141">
        <f t="shared" si="514"/>
        <v>56302494.401575238</v>
      </c>
      <c r="AA832" s="141">
        <f t="shared" si="514"/>
        <v>51235269.905433454</v>
      </c>
      <c r="AB832" s="141">
        <f t="shared" si="514"/>
        <v>45672583.458557814</v>
      </c>
      <c r="AC832" s="141">
        <f t="shared" si="514"/>
        <v>39582905.664083414</v>
      </c>
      <c r="AD832" s="141">
        <f t="shared" si="514"/>
        <v>32932977.512517378</v>
      </c>
      <c r="AE832" s="141">
        <f t="shared" si="514"/>
        <v>25687722.459763527</v>
      </c>
      <c r="AF832" s="141">
        <f t="shared" si="514"/>
        <v>17810154.23876933</v>
      </c>
      <c r="AG832" s="141">
        <f t="shared" si="514"/>
        <v>11113536.244992003</v>
      </c>
      <c r="AH832" s="141">
        <f t="shared" si="514"/>
        <v>5779038.8473957656</v>
      </c>
      <c r="AI832" s="141">
        <f t="shared" si="514"/>
        <v>2003400.1337637596</v>
      </c>
      <c r="AJ832" s="141">
        <f t="shared" si="514"/>
        <v>-1.6521898175402693E-7</v>
      </c>
      <c r="AK832" s="151"/>
      <c r="AL832" s="151"/>
      <c r="AM832" s="151"/>
      <c r="AN832" s="151"/>
      <c r="AO832" s="151"/>
      <c r="AP832" s="151"/>
      <c r="AQ832" s="151"/>
      <c r="AR832" s="151"/>
      <c r="AS832" s="151"/>
      <c r="AT832" s="151"/>
      <c r="AU832" s="151"/>
      <c r="AV832" s="151"/>
      <c r="AW832" s="151"/>
      <c r="AX832" s="151"/>
      <c r="AY832" s="151"/>
      <c r="AZ832" s="151"/>
      <c r="BA832" s="151"/>
      <c r="BB832" s="151"/>
      <c r="BC832" s="151"/>
      <c r="BD832" s="151"/>
      <c r="BE832" s="151"/>
      <c r="BF832" s="151"/>
      <c r="BG832" s="151"/>
      <c r="BH832" s="151"/>
      <c r="BI832" s="151"/>
      <c r="BJ832" s="152"/>
      <c r="BK832" s="151"/>
      <c r="BL832" s="151"/>
    </row>
    <row r="833" spans="1:64" s="153" customFormat="1" ht="12.75">
      <c r="A833" s="138" t="s">
        <v>129</v>
      </c>
      <c r="B833" s="144"/>
      <c r="C833" s="140">
        <f>C776*(1+$G749)^(C750-1)</f>
        <v>8699486.0659253914</v>
      </c>
      <c r="D833" s="141">
        <f t="shared" ref="D833:AJ833" si="515">D776*(1+$G749)^(D750-1)</f>
        <v>8742494.7610827759</v>
      </c>
      <c r="E833" s="141">
        <f t="shared" si="515"/>
        <v>8775024.9741472695</v>
      </c>
      <c r="F833" s="141">
        <f t="shared" si="515"/>
        <v>8796169.6126391888</v>
      </c>
      <c r="G833" s="141">
        <f t="shared" si="515"/>
        <v>8804965.7822518293</v>
      </c>
      <c r="H833" s="141">
        <f t="shared" si="515"/>
        <v>8800391.774053257</v>
      </c>
      <c r="I833" s="141">
        <f t="shared" si="515"/>
        <v>8781363.8999471944</v>
      </c>
      <c r="J833" s="141">
        <f t="shared" si="515"/>
        <v>8746733.1690741628</v>
      </c>
      <c r="K833" s="141">
        <f t="shared" si="515"/>
        <v>8695281.7974913735</v>
      </c>
      <c r="L833" s="141">
        <f t="shared" si="515"/>
        <v>8625719.5431114417</v>
      </c>
      <c r="M833" s="141">
        <f t="shared" si="515"/>
        <v>8536679.8575051297</v>
      </c>
      <c r="N833" s="141">
        <f t="shared" si="515"/>
        <v>8426715.8457813337</v>
      </c>
      <c r="O833" s="141">
        <f t="shared" si="515"/>
        <v>8294296.0253476268</v>
      </c>
      <c r="P833" s="141">
        <f t="shared" si="515"/>
        <v>8137799.8739259727</v>
      </c>
      <c r="Q833" s="141">
        <f t="shared" si="515"/>
        <v>7955513.156750029</v>
      </c>
      <c r="R833" s="141">
        <f t="shared" si="515"/>
        <v>7745623.0224017287</v>
      </c>
      <c r="S833" s="141">
        <f t="shared" si="515"/>
        <v>7506212.8562547667</v>
      </c>
      <c r="T833" s="141">
        <f t="shared" si="515"/>
        <v>7235256.8799802037</v>
      </c>
      <c r="U833" s="141">
        <f t="shared" si="515"/>
        <v>6930614.4850336686</v>
      </c>
      <c r="V833" s="141">
        <f t="shared" si="515"/>
        <v>6590024.2874834407</v>
      </c>
      <c r="W833" s="141">
        <f t="shared" si="515"/>
        <v>6211097.8909531413</v>
      </c>
      <c r="X833" s="141">
        <f t="shared" si="515"/>
        <v>5791313.3438404463</v>
      </c>
      <c r="Y833" s="141">
        <f t="shared" si="515"/>
        <v>5328008.2763332082</v>
      </c>
      <c r="Z833" s="141">
        <f t="shared" si="515"/>
        <v>4818372.7020752458</v>
      </c>
      <c r="AA833" s="141">
        <f t="shared" si="515"/>
        <v>4259441.4686345151</v>
      </c>
      <c r="AB833" s="141">
        <f t="shared" si="515"/>
        <v>3648086.3401952055</v>
      </c>
      <c r="AC833" s="141">
        <f t="shared" si="515"/>
        <v>2981007.6951309345</v>
      </c>
      <c r="AD833" s="141">
        <f t="shared" si="515"/>
        <v>2254725.8203172102</v>
      </c>
      <c r="AE833" s="141">
        <f t="shared" si="515"/>
        <v>1465571.7832061786</v>
      </c>
      <c r="AF833" s="141">
        <f t="shared" si="515"/>
        <v>609677.8618137564</v>
      </c>
      <c r="AG833" s="141">
        <f t="shared" si="515"/>
        <v>-2.4165194556322264E-8</v>
      </c>
      <c r="AH833" s="141">
        <f t="shared" si="515"/>
        <v>-2.5131802338575155E-8</v>
      </c>
      <c r="AI833" s="141">
        <f t="shared" si="515"/>
        <v>-2.6137074432118164E-8</v>
      </c>
      <c r="AJ833" s="141">
        <f t="shared" si="515"/>
        <v>-2.718255740940289E-8</v>
      </c>
      <c r="AK833" s="151"/>
      <c r="AL833" s="151"/>
      <c r="AM833" s="151"/>
      <c r="AN833" s="151"/>
      <c r="AO833" s="151"/>
      <c r="AP833" s="151"/>
      <c r="AQ833" s="151"/>
      <c r="AR833" s="151"/>
      <c r="AS833" s="151"/>
      <c r="AT833" s="151"/>
      <c r="AU833" s="151"/>
      <c r="AV833" s="151"/>
      <c r="AW833" s="151"/>
      <c r="AX833" s="151"/>
      <c r="AY833" s="151"/>
      <c r="AZ833" s="151"/>
      <c r="BA833" s="151"/>
      <c r="BB833" s="151"/>
      <c r="BC833" s="151"/>
      <c r="BD833" s="151"/>
      <c r="BE833" s="151"/>
      <c r="BF833" s="151"/>
      <c r="BG833" s="151"/>
      <c r="BH833" s="151"/>
      <c r="BI833" s="151"/>
      <c r="BJ833" s="152"/>
      <c r="BK833" s="151"/>
      <c r="BL833" s="151"/>
    </row>
    <row r="834" spans="1:64" s="116" customFormat="1">
      <c r="A834" s="111" t="s">
        <v>132</v>
      </c>
      <c r="B834" s="155">
        <f>SUM(B835:B838)</f>
        <v>295072008.2204439</v>
      </c>
      <c r="C834" s="117">
        <f>SUM(C835:C838)</f>
        <v>9446000.0388631672</v>
      </c>
      <c r="D834" s="118">
        <f t="shared" ref="D834:AJ834" si="516">SUM(D835:D838)</f>
        <v>9754281.4968485143</v>
      </c>
      <c r="E834" s="118">
        <f t="shared" si="516"/>
        <v>16150497.133472703</v>
      </c>
      <c r="F834" s="118">
        <f t="shared" si="516"/>
        <v>16499616.229912946</v>
      </c>
      <c r="G834" s="118">
        <f t="shared" si="516"/>
        <v>16709970.061803482</v>
      </c>
      <c r="H834" s="118">
        <f t="shared" si="516"/>
        <v>16764264.657551972</v>
      </c>
      <c r="I834" s="118">
        <f t="shared" si="516"/>
        <v>16796166.868861455</v>
      </c>
      <c r="J834" s="118">
        <f t="shared" si="516"/>
        <v>16803798.433623608</v>
      </c>
      <c r="K834" s="118">
        <f t="shared" si="516"/>
        <v>16785166.656576563</v>
      </c>
      <c r="L834" s="118">
        <f t="shared" si="516"/>
        <v>16738158.259871952</v>
      </c>
      <c r="M834" s="118">
        <f t="shared" si="516"/>
        <v>16660532.924780447</v>
      </c>
      <c r="N834" s="118">
        <f t="shared" si="516"/>
        <v>16549916.50966583</v>
      </c>
      <c r="O834" s="118">
        <f t="shared" si="516"/>
        <v>16403793.928662397</v>
      </c>
      <c r="P834" s="118">
        <f t="shared" si="516"/>
        <v>16219501.674763221</v>
      </c>
      <c r="Q834" s="118">
        <f t="shared" si="516"/>
        <v>15994219.970266251</v>
      </c>
      <c r="R834" s="118">
        <f t="shared" si="516"/>
        <v>15724964.526729899</v>
      </c>
      <c r="S834" s="118">
        <f t="shared" si="516"/>
        <v>15408577.895758217</v>
      </c>
      <c r="T834" s="118">
        <f t="shared" si="516"/>
        <v>15041720.391066035</v>
      </c>
      <c r="U834" s="118">
        <f t="shared" si="516"/>
        <v>14620860.561365264</v>
      </c>
      <c r="V834" s="118">
        <f t="shared" si="516"/>
        <v>0</v>
      </c>
      <c r="W834" s="118">
        <f t="shared" si="516"/>
        <v>0</v>
      </c>
      <c r="X834" s="118">
        <f t="shared" si="516"/>
        <v>0</v>
      </c>
      <c r="Y834" s="118">
        <f t="shared" si="516"/>
        <v>0</v>
      </c>
      <c r="Z834" s="118">
        <f t="shared" si="516"/>
        <v>0</v>
      </c>
      <c r="AA834" s="118">
        <f t="shared" si="516"/>
        <v>0</v>
      </c>
      <c r="AB834" s="118">
        <f t="shared" si="516"/>
        <v>0</v>
      </c>
      <c r="AC834" s="118">
        <f t="shared" si="516"/>
        <v>0</v>
      </c>
      <c r="AD834" s="118">
        <f t="shared" si="516"/>
        <v>0</v>
      </c>
      <c r="AE834" s="118">
        <f t="shared" si="516"/>
        <v>0</v>
      </c>
      <c r="AF834" s="118">
        <f t="shared" si="516"/>
        <v>0</v>
      </c>
      <c r="AG834" s="118">
        <f t="shared" si="516"/>
        <v>0</v>
      </c>
      <c r="AH834" s="118">
        <f t="shared" si="516"/>
        <v>0</v>
      </c>
      <c r="AI834" s="118">
        <f t="shared" si="516"/>
        <v>0</v>
      </c>
      <c r="AJ834" s="118">
        <f t="shared" si="516"/>
        <v>0</v>
      </c>
      <c r="AK834" s="118"/>
      <c r="AL834" s="118"/>
      <c r="AM834" s="118"/>
      <c r="AN834" s="118"/>
      <c r="AO834" s="118"/>
      <c r="AP834" s="118"/>
      <c r="AQ834" s="118"/>
      <c r="AR834" s="118"/>
      <c r="AS834" s="118"/>
      <c r="AT834" s="118"/>
      <c r="AU834" s="118"/>
      <c r="AV834" s="118"/>
      <c r="AW834" s="118"/>
      <c r="AX834" s="118"/>
      <c r="AY834" s="118"/>
      <c r="AZ834" s="118"/>
      <c r="BA834" s="118"/>
      <c r="BB834" s="118"/>
      <c r="BC834" s="118"/>
      <c r="BD834" s="118"/>
      <c r="BE834" s="118"/>
      <c r="BF834" s="118"/>
      <c r="BG834" s="118"/>
      <c r="BH834" s="118"/>
      <c r="BI834" s="118"/>
      <c r="BJ834" s="119"/>
      <c r="BK834" s="118"/>
      <c r="BL834" s="118"/>
    </row>
    <row r="835" spans="1:64" s="143" customFormat="1" ht="12.75">
      <c r="A835" s="138" t="s">
        <v>126</v>
      </c>
      <c r="B835" s="139">
        <f>SUM(C835:BJ835)</f>
        <v>107114960.20658058</v>
      </c>
      <c r="C835" s="140">
        <f>C778*(1+$G749)^(C750-1)</f>
        <v>0</v>
      </c>
      <c r="D835" s="141">
        <f t="shared" ref="D835:BJ835" si="517">D778*(1+$G749)^(D750-1)</f>
        <v>0</v>
      </c>
      <c r="E835" s="141">
        <f t="shared" si="517"/>
        <v>6161298.4666200997</v>
      </c>
      <c r="F835" s="141">
        <f t="shared" si="517"/>
        <v>6336553.1785595156</v>
      </c>
      <c r="G835" s="141">
        <f t="shared" si="517"/>
        <v>6441925.0741130896</v>
      </c>
      <c r="H835" s="141">
        <f t="shared" si="517"/>
        <v>6468581.3157990761</v>
      </c>
      <c r="I835" s="141">
        <f t="shared" si="517"/>
        <v>6487062.9767013583</v>
      </c>
      <c r="J835" s="141">
        <f t="shared" si="517"/>
        <v>6496673.4403705448</v>
      </c>
      <c r="K835" s="141">
        <f t="shared" si="517"/>
        <v>6496673.4403705467</v>
      </c>
      <c r="L835" s="141">
        <f t="shared" si="517"/>
        <v>6486278.7628659541</v>
      </c>
      <c r="M835" s="141">
        <f t="shared" si="517"/>
        <v>6464657.8336564004</v>
      </c>
      <c r="N835" s="141">
        <f t="shared" si="517"/>
        <v>6430929.1840894967</v>
      </c>
      <c r="O835" s="141">
        <f t="shared" si="517"/>
        <v>6384158.790023393</v>
      </c>
      <c r="P835" s="141">
        <f t="shared" si="517"/>
        <v>6323357.2777374554</v>
      </c>
      <c r="Q835" s="141">
        <f t="shared" si="517"/>
        <v>6247476.9904046059</v>
      </c>
      <c r="R835" s="141">
        <f t="shared" si="517"/>
        <v>6155408.9084407482</v>
      </c>
      <c r="S835" s="141">
        <f t="shared" si="517"/>
        <v>6045979.416735136</v>
      </c>
      <c r="T835" s="141">
        <f t="shared" si="517"/>
        <v>5917946.9114395678</v>
      </c>
      <c r="U835" s="141">
        <f t="shared" si="517"/>
        <v>5769998.2386535797</v>
      </c>
      <c r="V835" s="141">
        <f t="shared" si="517"/>
        <v>0</v>
      </c>
      <c r="W835" s="141">
        <f t="shared" si="517"/>
        <v>0</v>
      </c>
      <c r="X835" s="141">
        <f t="shared" si="517"/>
        <v>0</v>
      </c>
      <c r="Y835" s="141">
        <f t="shared" si="517"/>
        <v>0</v>
      </c>
      <c r="Z835" s="141">
        <f t="shared" si="517"/>
        <v>0</v>
      </c>
      <c r="AA835" s="141">
        <f t="shared" si="517"/>
        <v>0</v>
      </c>
      <c r="AB835" s="141">
        <f t="shared" si="517"/>
        <v>0</v>
      </c>
      <c r="AC835" s="141">
        <f t="shared" si="517"/>
        <v>0</v>
      </c>
      <c r="AD835" s="141">
        <f t="shared" si="517"/>
        <v>0</v>
      </c>
      <c r="AE835" s="141">
        <f t="shared" si="517"/>
        <v>0</v>
      </c>
      <c r="AF835" s="141">
        <f t="shared" si="517"/>
        <v>0</v>
      </c>
      <c r="AG835" s="141">
        <f t="shared" si="517"/>
        <v>0</v>
      </c>
      <c r="AH835" s="141">
        <f t="shared" si="517"/>
        <v>0</v>
      </c>
      <c r="AI835" s="141">
        <f t="shared" si="517"/>
        <v>0</v>
      </c>
      <c r="AJ835" s="141">
        <f t="shared" si="517"/>
        <v>0</v>
      </c>
      <c r="AK835" s="141">
        <f t="shared" si="517"/>
        <v>0</v>
      </c>
      <c r="AL835" s="141">
        <f t="shared" si="517"/>
        <v>0</v>
      </c>
      <c r="AM835" s="141">
        <f t="shared" si="517"/>
        <v>0</v>
      </c>
      <c r="AN835" s="141">
        <f t="shared" si="517"/>
        <v>0</v>
      </c>
      <c r="AO835" s="141">
        <f t="shared" si="517"/>
        <v>0</v>
      </c>
      <c r="AP835" s="141">
        <f t="shared" si="517"/>
        <v>0</v>
      </c>
      <c r="AQ835" s="141">
        <f t="shared" si="517"/>
        <v>0</v>
      </c>
      <c r="AR835" s="141">
        <f t="shared" si="517"/>
        <v>0</v>
      </c>
      <c r="AS835" s="141">
        <f t="shared" si="517"/>
        <v>0</v>
      </c>
      <c r="AT835" s="141">
        <f t="shared" si="517"/>
        <v>0</v>
      </c>
      <c r="AU835" s="141">
        <f t="shared" si="517"/>
        <v>0</v>
      </c>
      <c r="AV835" s="141">
        <f t="shared" si="517"/>
        <v>0</v>
      </c>
      <c r="AW835" s="141">
        <f t="shared" si="517"/>
        <v>0</v>
      </c>
      <c r="AX835" s="141">
        <f t="shared" si="517"/>
        <v>0</v>
      </c>
      <c r="AY835" s="141">
        <f t="shared" si="517"/>
        <v>0</v>
      </c>
      <c r="AZ835" s="141">
        <f t="shared" si="517"/>
        <v>0</v>
      </c>
      <c r="BA835" s="141">
        <f t="shared" si="517"/>
        <v>0</v>
      </c>
      <c r="BB835" s="141">
        <f t="shared" si="517"/>
        <v>0</v>
      </c>
      <c r="BC835" s="141">
        <f t="shared" si="517"/>
        <v>0</v>
      </c>
      <c r="BD835" s="141">
        <f t="shared" si="517"/>
        <v>0</v>
      </c>
      <c r="BE835" s="141">
        <f t="shared" si="517"/>
        <v>0</v>
      </c>
      <c r="BF835" s="141">
        <f t="shared" si="517"/>
        <v>0</v>
      </c>
      <c r="BG835" s="141">
        <f t="shared" si="517"/>
        <v>0</v>
      </c>
      <c r="BH835" s="141">
        <f t="shared" si="517"/>
        <v>0</v>
      </c>
      <c r="BI835" s="141">
        <f t="shared" si="517"/>
        <v>0</v>
      </c>
      <c r="BJ835" s="142">
        <f t="shared" si="517"/>
        <v>0</v>
      </c>
      <c r="BK835" s="141"/>
      <c r="BL835" s="141"/>
    </row>
    <row r="836" spans="1:64" s="143" customFormat="1" ht="12.75">
      <c r="A836" s="138" t="s">
        <v>127</v>
      </c>
      <c r="B836" s="139">
        <f>SUM(C836:BJ836)</f>
        <v>0</v>
      </c>
      <c r="C836" s="140">
        <f>C779*(1+$G749)^(C750-1)</f>
        <v>0</v>
      </c>
      <c r="D836" s="141">
        <f t="shared" ref="D836:BJ836" si="518">D779*(1+$G749)^(D750-1)</f>
        <v>0</v>
      </c>
      <c r="E836" s="141">
        <f t="shared" si="518"/>
        <v>0</v>
      </c>
      <c r="F836" s="141">
        <f t="shared" si="518"/>
        <v>0</v>
      </c>
      <c r="G836" s="141">
        <f t="shared" si="518"/>
        <v>0</v>
      </c>
      <c r="H836" s="141">
        <f t="shared" si="518"/>
        <v>0</v>
      </c>
      <c r="I836" s="141">
        <f t="shared" si="518"/>
        <v>0</v>
      </c>
      <c r="J836" s="141">
        <f t="shared" si="518"/>
        <v>0</v>
      </c>
      <c r="K836" s="141">
        <f t="shared" si="518"/>
        <v>0</v>
      </c>
      <c r="L836" s="141">
        <f t="shared" si="518"/>
        <v>0</v>
      </c>
      <c r="M836" s="141">
        <f t="shared" si="518"/>
        <v>0</v>
      </c>
      <c r="N836" s="141">
        <f t="shared" si="518"/>
        <v>0</v>
      </c>
      <c r="O836" s="141">
        <f t="shared" si="518"/>
        <v>0</v>
      </c>
      <c r="P836" s="141">
        <f t="shared" si="518"/>
        <v>0</v>
      </c>
      <c r="Q836" s="141">
        <f t="shared" si="518"/>
        <v>0</v>
      </c>
      <c r="R836" s="141">
        <f t="shared" si="518"/>
        <v>0</v>
      </c>
      <c r="S836" s="141">
        <f t="shared" si="518"/>
        <v>0</v>
      </c>
      <c r="T836" s="141">
        <f t="shared" si="518"/>
        <v>0</v>
      </c>
      <c r="U836" s="141">
        <f t="shared" si="518"/>
        <v>0</v>
      </c>
      <c r="V836" s="141">
        <f t="shared" si="518"/>
        <v>0</v>
      </c>
      <c r="W836" s="141">
        <f t="shared" si="518"/>
        <v>0</v>
      </c>
      <c r="X836" s="141">
        <f t="shared" si="518"/>
        <v>0</v>
      </c>
      <c r="Y836" s="141">
        <f t="shared" si="518"/>
        <v>0</v>
      </c>
      <c r="Z836" s="141">
        <f t="shared" si="518"/>
        <v>0</v>
      </c>
      <c r="AA836" s="141">
        <f t="shared" si="518"/>
        <v>0</v>
      </c>
      <c r="AB836" s="141">
        <f t="shared" si="518"/>
        <v>0</v>
      </c>
      <c r="AC836" s="141">
        <f t="shared" si="518"/>
        <v>0</v>
      </c>
      <c r="AD836" s="141">
        <f t="shared" si="518"/>
        <v>0</v>
      </c>
      <c r="AE836" s="141">
        <f t="shared" si="518"/>
        <v>0</v>
      </c>
      <c r="AF836" s="141">
        <f t="shared" si="518"/>
        <v>0</v>
      </c>
      <c r="AG836" s="141">
        <f t="shared" si="518"/>
        <v>0</v>
      </c>
      <c r="AH836" s="141">
        <f t="shared" si="518"/>
        <v>0</v>
      </c>
      <c r="AI836" s="141">
        <f t="shared" si="518"/>
        <v>0</v>
      </c>
      <c r="AJ836" s="141">
        <f t="shared" si="518"/>
        <v>0</v>
      </c>
      <c r="AK836" s="141">
        <f t="shared" si="518"/>
        <v>0</v>
      </c>
      <c r="AL836" s="141">
        <f t="shared" si="518"/>
        <v>0</v>
      </c>
      <c r="AM836" s="141">
        <f t="shared" si="518"/>
        <v>0</v>
      </c>
      <c r="AN836" s="141">
        <f t="shared" si="518"/>
        <v>0</v>
      </c>
      <c r="AO836" s="141">
        <f t="shared" si="518"/>
        <v>0</v>
      </c>
      <c r="AP836" s="141">
        <f t="shared" si="518"/>
        <v>0</v>
      </c>
      <c r="AQ836" s="141">
        <f t="shared" si="518"/>
        <v>0</v>
      </c>
      <c r="AR836" s="141">
        <f t="shared" si="518"/>
        <v>0</v>
      </c>
      <c r="AS836" s="141">
        <f t="shared" si="518"/>
        <v>0</v>
      </c>
      <c r="AT836" s="141">
        <f t="shared" si="518"/>
        <v>0</v>
      </c>
      <c r="AU836" s="141">
        <f t="shared" si="518"/>
        <v>0</v>
      </c>
      <c r="AV836" s="141">
        <f t="shared" si="518"/>
        <v>0</v>
      </c>
      <c r="AW836" s="141">
        <f t="shared" si="518"/>
        <v>0</v>
      </c>
      <c r="AX836" s="141">
        <f t="shared" si="518"/>
        <v>0</v>
      </c>
      <c r="AY836" s="141">
        <f t="shared" si="518"/>
        <v>0</v>
      </c>
      <c r="AZ836" s="141">
        <f t="shared" si="518"/>
        <v>0</v>
      </c>
      <c r="BA836" s="141">
        <f t="shared" si="518"/>
        <v>0</v>
      </c>
      <c r="BB836" s="141">
        <f t="shared" si="518"/>
        <v>0</v>
      </c>
      <c r="BC836" s="141">
        <f t="shared" si="518"/>
        <v>0</v>
      </c>
      <c r="BD836" s="141">
        <f t="shared" si="518"/>
        <v>0</v>
      </c>
      <c r="BE836" s="141">
        <f t="shared" si="518"/>
        <v>0</v>
      </c>
      <c r="BF836" s="141">
        <f t="shared" si="518"/>
        <v>0</v>
      </c>
      <c r="BG836" s="141">
        <f t="shared" si="518"/>
        <v>0</v>
      </c>
      <c r="BH836" s="141">
        <f t="shared" si="518"/>
        <v>0</v>
      </c>
      <c r="BI836" s="141">
        <f t="shared" si="518"/>
        <v>0</v>
      </c>
      <c r="BJ836" s="142">
        <f t="shared" si="518"/>
        <v>0</v>
      </c>
      <c r="BK836" s="141"/>
      <c r="BL836" s="141"/>
    </row>
    <row r="837" spans="1:64" s="143" customFormat="1" ht="12.75">
      <c r="A837" s="138" t="s">
        <v>128</v>
      </c>
      <c r="B837" s="139">
        <f>SUM(C837:BJ837)</f>
        <v>171341528.8984682</v>
      </c>
      <c r="C837" s="140">
        <f>C780*(1+$G749)^(C750-1)</f>
        <v>8566276.7288257685</v>
      </c>
      <c r="D837" s="141">
        <f t="shared" ref="D837:BJ837" si="519">D780*(1+$G749)^(D750-1)</f>
        <v>8849534.9459922742</v>
      </c>
      <c r="E837" s="141">
        <f t="shared" si="519"/>
        <v>9079979.2116999943</v>
      </c>
      <c r="F837" s="141">
        <f t="shared" si="519"/>
        <v>9250460.4540421143</v>
      </c>
      <c r="G837" s="141">
        <f t="shared" si="519"/>
        <v>9353243.3479759172</v>
      </c>
      <c r="H837" s="141">
        <f t="shared" si="519"/>
        <v>9379966.9003987052</v>
      </c>
      <c r="I837" s="141">
        <f t="shared" si="519"/>
        <v>9393863.1476585567</v>
      </c>
      <c r="J837" s="141">
        <f t="shared" si="519"/>
        <v>9393863.1476585548</v>
      </c>
      <c r="K837" s="141">
        <f t="shared" si="519"/>
        <v>9378832.9666223023</v>
      </c>
      <c r="L837" s="141">
        <f t="shared" si="519"/>
        <v>9347570.1900668945</v>
      </c>
      <c r="M837" s="141">
        <f t="shared" si="519"/>
        <v>9298800.2586404569</v>
      </c>
      <c r="N837" s="141">
        <f t="shared" si="519"/>
        <v>9231172.6203958001</v>
      </c>
      <c r="O837" s="141">
        <f t="shared" si="519"/>
        <v>9143256.6906777453</v>
      </c>
      <c r="P837" s="141">
        <f t="shared" si="519"/>
        <v>9033537.6103896126</v>
      </c>
      <c r="Q837" s="141">
        <f t="shared" si="519"/>
        <v>8900411.7929733433</v>
      </c>
      <c r="R837" s="141">
        <f t="shared" si="519"/>
        <v>8742182.2499871477</v>
      </c>
      <c r="S837" s="141">
        <f t="shared" si="519"/>
        <v>8557053.684693303</v>
      </c>
      <c r="T837" s="141">
        <f t="shared" si="519"/>
        <v>8343127.342575971</v>
      </c>
      <c r="U837" s="141">
        <f t="shared" si="519"/>
        <v>8098395.6071937419</v>
      </c>
      <c r="V837" s="141">
        <f t="shared" si="519"/>
        <v>0</v>
      </c>
      <c r="W837" s="141">
        <f t="shared" si="519"/>
        <v>0</v>
      </c>
      <c r="X837" s="141">
        <f t="shared" si="519"/>
        <v>0</v>
      </c>
      <c r="Y837" s="141">
        <f t="shared" si="519"/>
        <v>0</v>
      </c>
      <c r="Z837" s="141">
        <f t="shared" si="519"/>
        <v>0</v>
      </c>
      <c r="AA837" s="141">
        <f t="shared" si="519"/>
        <v>0</v>
      </c>
      <c r="AB837" s="141">
        <f t="shared" si="519"/>
        <v>0</v>
      </c>
      <c r="AC837" s="141">
        <f t="shared" si="519"/>
        <v>0</v>
      </c>
      <c r="AD837" s="141">
        <f t="shared" si="519"/>
        <v>0</v>
      </c>
      <c r="AE837" s="141">
        <f t="shared" si="519"/>
        <v>0</v>
      </c>
      <c r="AF837" s="141">
        <f t="shared" si="519"/>
        <v>0</v>
      </c>
      <c r="AG837" s="141">
        <f t="shared" si="519"/>
        <v>0</v>
      </c>
      <c r="AH837" s="141">
        <f t="shared" si="519"/>
        <v>0</v>
      </c>
      <c r="AI837" s="141">
        <f t="shared" si="519"/>
        <v>0</v>
      </c>
      <c r="AJ837" s="141">
        <f t="shared" si="519"/>
        <v>0</v>
      </c>
      <c r="AK837" s="141">
        <f t="shared" si="519"/>
        <v>0</v>
      </c>
      <c r="AL837" s="141">
        <f t="shared" si="519"/>
        <v>0</v>
      </c>
      <c r="AM837" s="141">
        <f t="shared" si="519"/>
        <v>0</v>
      </c>
      <c r="AN837" s="141">
        <f t="shared" si="519"/>
        <v>0</v>
      </c>
      <c r="AO837" s="141">
        <f t="shared" si="519"/>
        <v>0</v>
      </c>
      <c r="AP837" s="141">
        <f t="shared" si="519"/>
        <v>0</v>
      </c>
      <c r="AQ837" s="141">
        <f t="shared" si="519"/>
        <v>0</v>
      </c>
      <c r="AR837" s="141">
        <f t="shared" si="519"/>
        <v>0</v>
      </c>
      <c r="AS837" s="141">
        <f t="shared" si="519"/>
        <v>0</v>
      </c>
      <c r="AT837" s="141">
        <f t="shared" si="519"/>
        <v>0</v>
      </c>
      <c r="AU837" s="141">
        <f t="shared" si="519"/>
        <v>0</v>
      </c>
      <c r="AV837" s="141">
        <f t="shared" si="519"/>
        <v>0</v>
      </c>
      <c r="AW837" s="141">
        <f t="shared" si="519"/>
        <v>0</v>
      </c>
      <c r="AX837" s="141">
        <f t="shared" si="519"/>
        <v>0</v>
      </c>
      <c r="AY837" s="141">
        <f t="shared" si="519"/>
        <v>0</v>
      </c>
      <c r="AZ837" s="141">
        <f t="shared" si="519"/>
        <v>0</v>
      </c>
      <c r="BA837" s="141">
        <f t="shared" si="519"/>
        <v>0</v>
      </c>
      <c r="BB837" s="141">
        <f t="shared" si="519"/>
        <v>0</v>
      </c>
      <c r="BC837" s="141">
        <f t="shared" si="519"/>
        <v>0</v>
      </c>
      <c r="BD837" s="141">
        <f t="shared" si="519"/>
        <v>0</v>
      </c>
      <c r="BE837" s="141">
        <f t="shared" si="519"/>
        <v>0</v>
      </c>
      <c r="BF837" s="141">
        <f t="shared" si="519"/>
        <v>0</v>
      </c>
      <c r="BG837" s="141">
        <f t="shared" si="519"/>
        <v>0</v>
      </c>
      <c r="BH837" s="141">
        <f t="shared" si="519"/>
        <v>0</v>
      </c>
      <c r="BI837" s="141">
        <f t="shared" si="519"/>
        <v>0</v>
      </c>
      <c r="BJ837" s="142">
        <f t="shared" si="519"/>
        <v>0</v>
      </c>
      <c r="BK837" s="141"/>
      <c r="BL837" s="141"/>
    </row>
    <row r="838" spans="1:64" s="143" customFormat="1" ht="12.75">
      <c r="A838" s="138" t="s">
        <v>129</v>
      </c>
      <c r="B838" s="139">
        <f>SUM(C838:BJ838)</f>
        <v>16615519.115395151</v>
      </c>
      <c r="C838" s="140">
        <f>C781*(1+$G749)^(C750-1)</f>
        <v>879723.31003739918</v>
      </c>
      <c r="D838" s="141">
        <f t="shared" ref="D838:BJ838" si="520">D781*(1+$G749)^(D750-1)</f>
        <v>904746.55085624079</v>
      </c>
      <c r="E838" s="141">
        <f t="shared" si="520"/>
        <v>909219.45515260869</v>
      </c>
      <c r="F838" s="141">
        <f t="shared" si="520"/>
        <v>912602.59731131594</v>
      </c>
      <c r="G838" s="141">
        <f t="shared" si="520"/>
        <v>914801.63971447584</v>
      </c>
      <c r="H838" s="141">
        <f t="shared" si="520"/>
        <v>915716.44135419035</v>
      </c>
      <c r="I838" s="141">
        <f t="shared" si="520"/>
        <v>915240.74450153881</v>
      </c>
      <c r="J838" s="141">
        <f t="shared" si="520"/>
        <v>913261.84559450822</v>
      </c>
      <c r="K838" s="141">
        <f t="shared" si="520"/>
        <v>909660.24958371301</v>
      </c>
      <c r="L838" s="141">
        <f t="shared" si="520"/>
        <v>904309.30693910306</v>
      </c>
      <c r="M838" s="141">
        <f t="shared" si="520"/>
        <v>897074.83248359011</v>
      </c>
      <c r="N838" s="141">
        <f t="shared" si="520"/>
        <v>887814.70518053335</v>
      </c>
      <c r="O838" s="141">
        <f t="shared" si="520"/>
        <v>876378.44796125893</v>
      </c>
      <c r="P838" s="141">
        <f t="shared" si="520"/>
        <v>862606.78663615324</v>
      </c>
      <c r="Q838" s="141">
        <f t="shared" si="520"/>
        <v>846331.18688830116</v>
      </c>
      <c r="R838" s="141">
        <f t="shared" si="520"/>
        <v>827373.36830200301</v>
      </c>
      <c r="S838" s="141">
        <f t="shared" si="520"/>
        <v>805544.79432978004</v>
      </c>
      <c r="T838" s="141">
        <f t="shared" si="520"/>
        <v>780646.13705049572</v>
      </c>
      <c r="U838" s="141">
        <f t="shared" si="520"/>
        <v>752466.71551794128</v>
      </c>
      <c r="V838" s="141">
        <f t="shared" si="520"/>
        <v>0</v>
      </c>
      <c r="W838" s="141">
        <f t="shared" si="520"/>
        <v>0</v>
      </c>
      <c r="X838" s="141">
        <f t="shared" si="520"/>
        <v>0</v>
      </c>
      <c r="Y838" s="141">
        <f t="shared" si="520"/>
        <v>0</v>
      </c>
      <c r="Z838" s="141">
        <f t="shared" si="520"/>
        <v>0</v>
      </c>
      <c r="AA838" s="141">
        <f t="shared" si="520"/>
        <v>0</v>
      </c>
      <c r="AB838" s="141">
        <f t="shared" si="520"/>
        <v>0</v>
      </c>
      <c r="AC838" s="141">
        <f t="shared" si="520"/>
        <v>0</v>
      </c>
      <c r="AD838" s="141">
        <f t="shared" si="520"/>
        <v>0</v>
      </c>
      <c r="AE838" s="141">
        <f t="shared" si="520"/>
        <v>0</v>
      </c>
      <c r="AF838" s="141">
        <f t="shared" si="520"/>
        <v>0</v>
      </c>
      <c r="AG838" s="141">
        <f t="shared" si="520"/>
        <v>0</v>
      </c>
      <c r="AH838" s="141">
        <f t="shared" si="520"/>
        <v>0</v>
      </c>
      <c r="AI838" s="141">
        <f t="shared" si="520"/>
        <v>0</v>
      </c>
      <c r="AJ838" s="141">
        <f t="shared" si="520"/>
        <v>0</v>
      </c>
      <c r="AK838" s="141">
        <f t="shared" si="520"/>
        <v>0</v>
      </c>
      <c r="AL838" s="141">
        <f t="shared" si="520"/>
        <v>0</v>
      </c>
      <c r="AM838" s="141">
        <f t="shared" si="520"/>
        <v>0</v>
      </c>
      <c r="AN838" s="141">
        <f t="shared" si="520"/>
        <v>0</v>
      </c>
      <c r="AO838" s="141">
        <f t="shared" si="520"/>
        <v>0</v>
      </c>
      <c r="AP838" s="141">
        <f t="shared" si="520"/>
        <v>0</v>
      </c>
      <c r="AQ838" s="141">
        <f t="shared" si="520"/>
        <v>0</v>
      </c>
      <c r="AR838" s="141">
        <f t="shared" si="520"/>
        <v>0</v>
      </c>
      <c r="AS838" s="141">
        <f t="shared" si="520"/>
        <v>0</v>
      </c>
      <c r="AT838" s="141">
        <f t="shared" si="520"/>
        <v>0</v>
      </c>
      <c r="AU838" s="141">
        <f t="shared" si="520"/>
        <v>0</v>
      </c>
      <c r="AV838" s="141">
        <f t="shared" si="520"/>
        <v>0</v>
      </c>
      <c r="AW838" s="141">
        <f t="shared" si="520"/>
        <v>0</v>
      </c>
      <c r="AX838" s="141">
        <f t="shared" si="520"/>
        <v>0</v>
      </c>
      <c r="AY838" s="141">
        <f t="shared" si="520"/>
        <v>0</v>
      </c>
      <c r="AZ838" s="141">
        <f t="shared" si="520"/>
        <v>0</v>
      </c>
      <c r="BA838" s="141">
        <f t="shared" si="520"/>
        <v>0</v>
      </c>
      <c r="BB838" s="141">
        <f t="shared" si="520"/>
        <v>0</v>
      </c>
      <c r="BC838" s="141">
        <f t="shared" si="520"/>
        <v>0</v>
      </c>
      <c r="BD838" s="141">
        <f t="shared" si="520"/>
        <v>0</v>
      </c>
      <c r="BE838" s="141">
        <f t="shared" si="520"/>
        <v>0</v>
      </c>
      <c r="BF838" s="141">
        <f t="shared" si="520"/>
        <v>0</v>
      </c>
      <c r="BG838" s="141">
        <f t="shared" si="520"/>
        <v>0</v>
      </c>
      <c r="BH838" s="141">
        <f t="shared" si="520"/>
        <v>0</v>
      </c>
      <c r="BI838" s="141">
        <f t="shared" si="520"/>
        <v>0</v>
      </c>
      <c r="BJ838" s="142">
        <f t="shared" si="520"/>
        <v>0</v>
      </c>
      <c r="BK838" s="141"/>
      <c r="BL838" s="141"/>
    </row>
    <row r="839" spans="1:64" s="116" customFormat="1">
      <c r="A839" s="111" t="s">
        <v>133</v>
      </c>
      <c r="B839" s="155">
        <f>SUM(B840:B843)</f>
        <v>127576092.70806062</v>
      </c>
      <c r="C839" s="117">
        <f>SUM(C840:C843)</f>
        <v>668832.14970365108</v>
      </c>
      <c r="D839" s="118">
        <f>SUM(D840:D843)</f>
        <v>1492827.7872101383</v>
      </c>
      <c r="E839" s="118">
        <f>SUM(E840:E843)</f>
        <v>2854815.2778717512</v>
      </c>
      <c r="F839" s="118">
        <f t="shared" ref="F839:AJ839" si="521">SUM(F840:F843)</f>
        <v>4323373.243326758</v>
      </c>
      <c r="G839" s="118">
        <f t="shared" si="521"/>
        <v>5904848.1415735697</v>
      </c>
      <c r="H839" s="118">
        <f t="shared" si="521"/>
        <v>6141042.0672365138</v>
      </c>
      <c r="I839" s="118">
        <f t="shared" si="521"/>
        <v>6386683.7499259738</v>
      </c>
      <c r="J839" s="118">
        <f t="shared" si="521"/>
        <v>6642151.0999230128</v>
      </c>
      <c r="K839" s="118">
        <f t="shared" si="521"/>
        <v>6907837.1439199345</v>
      </c>
      <c r="L839" s="118">
        <f t="shared" si="521"/>
        <v>7184150.6296767322</v>
      </c>
      <c r="M839" s="118">
        <f t="shared" si="521"/>
        <v>7471516.6548638018</v>
      </c>
      <c r="N839" s="118">
        <f t="shared" si="521"/>
        <v>7770377.3210583534</v>
      </c>
      <c r="O839" s="118">
        <f t="shared" si="521"/>
        <v>8081192.4139006892</v>
      </c>
      <c r="P839" s="118">
        <f t="shared" si="521"/>
        <v>8404440.1104567163</v>
      </c>
      <c r="Q839" s="118">
        <f t="shared" si="521"/>
        <v>8740617.7148749847</v>
      </c>
      <c r="R839" s="118">
        <f t="shared" si="521"/>
        <v>9090242.423469983</v>
      </c>
      <c r="S839" s="118">
        <f t="shared" si="521"/>
        <v>9453852.1204087846</v>
      </c>
      <c r="T839" s="118">
        <f t="shared" si="521"/>
        <v>9832006.205225138</v>
      </c>
      <c r="U839" s="118">
        <f t="shared" si="521"/>
        <v>10225286.453434145</v>
      </c>
      <c r="V839" s="118">
        <f t="shared" si="521"/>
        <v>0</v>
      </c>
      <c r="W839" s="118">
        <f t="shared" si="521"/>
        <v>0</v>
      </c>
      <c r="X839" s="118">
        <f t="shared" si="521"/>
        <v>0</v>
      </c>
      <c r="Y839" s="118">
        <f t="shared" si="521"/>
        <v>0</v>
      </c>
      <c r="Z839" s="118">
        <f t="shared" si="521"/>
        <v>0</v>
      </c>
      <c r="AA839" s="118">
        <f t="shared" si="521"/>
        <v>0</v>
      </c>
      <c r="AB839" s="118">
        <f t="shared" si="521"/>
        <v>0</v>
      </c>
      <c r="AC839" s="118">
        <f t="shared" si="521"/>
        <v>0</v>
      </c>
      <c r="AD839" s="118">
        <f t="shared" si="521"/>
        <v>0</v>
      </c>
      <c r="AE839" s="118">
        <f t="shared" si="521"/>
        <v>0</v>
      </c>
      <c r="AF839" s="118">
        <f t="shared" si="521"/>
        <v>0</v>
      </c>
      <c r="AG839" s="118">
        <f t="shared" si="521"/>
        <v>0</v>
      </c>
      <c r="AH839" s="118">
        <f t="shared" si="521"/>
        <v>0</v>
      </c>
      <c r="AI839" s="118">
        <f t="shared" si="521"/>
        <v>0</v>
      </c>
      <c r="AJ839" s="118">
        <f t="shared" si="521"/>
        <v>0</v>
      </c>
      <c r="AK839" s="118"/>
      <c r="AL839" s="118"/>
      <c r="AM839" s="118"/>
      <c r="AN839" s="118"/>
      <c r="AO839" s="118"/>
      <c r="AP839" s="118"/>
      <c r="AQ839" s="118"/>
      <c r="AR839" s="118"/>
      <c r="AS839" s="118"/>
      <c r="AT839" s="118"/>
      <c r="AU839" s="118"/>
      <c r="AV839" s="118"/>
      <c r="AW839" s="118"/>
      <c r="AX839" s="118"/>
      <c r="AY839" s="118"/>
      <c r="AZ839" s="118"/>
      <c r="BA839" s="118"/>
      <c r="BB839" s="118"/>
      <c r="BC839" s="118"/>
      <c r="BD839" s="118"/>
      <c r="BE839" s="118"/>
      <c r="BF839" s="118"/>
      <c r="BG839" s="118"/>
      <c r="BH839" s="118"/>
      <c r="BI839" s="118"/>
      <c r="BJ839" s="119"/>
      <c r="BK839" s="118"/>
      <c r="BL839" s="118"/>
    </row>
    <row r="840" spans="1:64" s="143" customFormat="1" ht="12.75">
      <c r="A840" s="138" t="s">
        <v>126</v>
      </c>
      <c r="B840" s="139">
        <f t="shared" ref="B840:B846" si="522">SUM(C840:BJ840)</f>
        <v>46587999.210547291</v>
      </c>
      <c r="C840" s="140">
        <f>C783*(1+$G749)^(C750-1)</f>
        <v>0</v>
      </c>
      <c r="D840" s="141">
        <f>D783*(1+$G749)^(D750-1)</f>
        <v>0</v>
      </c>
      <c r="E840" s="141">
        <f t="shared" ref="E840:BJ840" si="523">E783*(1+$G749)^(E750-1)</f>
        <v>684588.7185133443</v>
      </c>
      <c r="F840" s="141">
        <f t="shared" si="523"/>
        <v>1423944.5345077561</v>
      </c>
      <c r="G840" s="141">
        <f t="shared" si="523"/>
        <v>2221353.4738320997</v>
      </c>
      <c r="H840" s="141">
        <f t="shared" si="523"/>
        <v>2310207.6127853841</v>
      </c>
      <c r="I840" s="141">
        <f t="shared" si="523"/>
        <v>2402615.9172967994</v>
      </c>
      <c r="J840" s="141">
        <f t="shared" si="523"/>
        <v>2498720.5539886714</v>
      </c>
      <c r="K840" s="141">
        <f t="shared" si="523"/>
        <v>2598669.3761482188</v>
      </c>
      <c r="L840" s="141">
        <f t="shared" si="523"/>
        <v>2702616.1511941478</v>
      </c>
      <c r="M840" s="141">
        <f t="shared" si="523"/>
        <v>2810720.7972419136</v>
      </c>
      <c r="N840" s="141">
        <f t="shared" si="523"/>
        <v>2923149.6291315896</v>
      </c>
      <c r="O840" s="141">
        <f t="shared" si="523"/>
        <v>3040075.614296854</v>
      </c>
      <c r="P840" s="141">
        <f t="shared" si="523"/>
        <v>3161678.6388687282</v>
      </c>
      <c r="Q840" s="141">
        <f t="shared" si="523"/>
        <v>3288145.7844234775</v>
      </c>
      <c r="R840" s="141">
        <f t="shared" si="523"/>
        <v>3419671.6158004166</v>
      </c>
      <c r="S840" s="141">
        <f t="shared" si="523"/>
        <v>3556458.4804324335</v>
      </c>
      <c r="T840" s="141">
        <f t="shared" si="523"/>
        <v>3698716.8196497313</v>
      </c>
      <c r="U840" s="141">
        <f t="shared" si="523"/>
        <v>3846665.4924357207</v>
      </c>
      <c r="V840" s="141">
        <f t="shared" si="523"/>
        <v>0</v>
      </c>
      <c r="W840" s="141">
        <f t="shared" si="523"/>
        <v>0</v>
      </c>
      <c r="X840" s="141">
        <f t="shared" si="523"/>
        <v>0</v>
      </c>
      <c r="Y840" s="141">
        <f t="shared" si="523"/>
        <v>0</v>
      </c>
      <c r="Z840" s="141">
        <f t="shared" si="523"/>
        <v>0</v>
      </c>
      <c r="AA840" s="141">
        <f t="shared" si="523"/>
        <v>0</v>
      </c>
      <c r="AB840" s="141">
        <f t="shared" si="523"/>
        <v>0</v>
      </c>
      <c r="AC840" s="141">
        <f t="shared" si="523"/>
        <v>0</v>
      </c>
      <c r="AD840" s="141">
        <f t="shared" si="523"/>
        <v>0</v>
      </c>
      <c r="AE840" s="141">
        <f t="shared" si="523"/>
        <v>0</v>
      </c>
      <c r="AF840" s="141">
        <f t="shared" si="523"/>
        <v>0</v>
      </c>
      <c r="AG840" s="141">
        <f t="shared" si="523"/>
        <v>0</v>
      </c>
      <c r="AH840" s="141">
        <f t="shared" si="523"/>
        <v>0</v>
      </c>
      <c r="AI840" s="141">
        <f t="shared" si="523"/>
        <v>0</v>
      </c>
      <c r="AJ840" s="141">
        <f t="shared" si="523"/>
        <v>0</v>
      </c>
      <c r="AK840" s="141">
        <f t="shared" si="523"/>
        <v>0</v>
      </c>
      <c r="AL840" s="141">
        <f t="shared" si="523"/>
        <v>0</v>
      </c>
      <c r="AM840" s="141">
        <f t="shared" si="523"/>
        <v>0</v>
      </c>
      <c r="AN840" s="141">
        <f t="shared" si="523"/>
        <v>0</v>
      </c>
      <c r="AO840" s="141">
        <f t="shared" si="523"/>
        <v>0</v>
      </c>
      <c r="AP840" s="141">
        <f t="shared" si="523"/>
        <v>0</v>
      </c>
      <c r="AQ840" s="141">
        <f t="shared" si="523"/>
        <v>0</v>
      </c>
      <c r="AR840" s="141">
        <f t="shared" si="523"/>
        <v>0</v>
      </c>
      <c r="AS840" s="141">
        <f t="shared" si="523"/>
        <v>0</v>
      </c>
      <c r="AT840" s="141">
        <f t="shared" si="523"/>
        <v>0</v>
      </c>
      <c r="AU840" s="141">
        <f t="shared" si="523"/>
        <v>0</v>
      </c>
      <c r="AV840" s="141">
        <f t="shared" si="523"/>
        <v>0</v>
      </c>
      <c r="AW840" s="141">
        <f t="shared" si="523"/>
        <v>0</v>
      </c>
      <c r="AX840" s="141">
        <f t="shared" si="523"/>
        <v>0</v>
      </c>
      <c r="AY840" s="141">
        <f t="shared" si="523"/>
        <v>0</v>
      </c>
      <c r="AZ840" s="141">
        <f t="shared" si="523"/>
        <v>0</v>
      </c>
      <c r="BA840" s="141">
        <f t="shared" si="523"/>
        <v>0</v>
      </c>
      <c r="BB840" s="141">
        <f t="shared" si="523"/>
        <v>0</v>
      </c>
      <c r="BC840" s="141">
        <f t="shared" si="523"/>
        <v>0</v>
      </c>
      <c r="BD840" s="141">
        <f t="shared" si="523"/>
        <v>0</v>
      </c>
      <c r="BE840" s="141">
        <f t="shared" si="523"/>
        <v>0</v>
      </c>
      <c r="BF840" s="141">
        <f t="shared" si="523"/>
        <v>0</v>
      </c>
      <c r="BG840" s="141">
        <f t="shared" si="523"/>
        <v>0</v>
      </c>
      <c r="BH840" s="141">
        <f t="shared" si="523"/>
        <v>0</v>
      </c>
      <c r="BI840" s="141">
        <f t="shared" si="523"/>
        <v>0</v>
      </c>
      <c r="BJ840" s="142">
        <f t="shared" si="523"/>
        <v>0</v>
      </c>
      <c r="BK840" s="141"/>
      <c r="BL840" s="141"/>
    </row>
    <row r="841" spans="1:64" s="143" customFormat="1" ht="12.75">
      <c r="A841" s="138" t="s">
        <v>127</v>
      </c>
      <c r="B841" s="139">
        <f t="shared" si="522"/>
        <v>0</v>
      </c>
      <c r="C841" s="140">
        <f>C784*(1+$G749)^(C750-1)</f>
        <v>0</v>
      </c>
      <c r="D841" s="141">
        <f>D784*(1+$G749)^(D750-1)</f>
        <v>0</v>
      </c>
      <c r="E841" s="141">
        <f t="shared" ref="E841:BJ841" si="524">E784*(1+$G749)^(E750-1)</f>
        <v>0</v>
      </c>
      <c r="F841" s="141">
        <f t="shared" si="524"/>
        <v>0</v>
      </c>
      <c r="G841" s="141">
        <f t="shared" si="524"/>
        <v>0</v>
      </c>
      <c r="H841" s="141">
        <f t="shared" si="524"/>
        <v>0</v>
      </c>
      <c r="I841" s="141">
        <f t="shared" si="524"/>
        <v>0</v>
      </c>
      <c r="J841" s="141">
        <f t="shared" si="524"/>
        <v>0</v>
      </c>
      <c r="K841" s="141">
        <f t="shared" si="524"/>
        <v>0</v>
      </c>
      <c r="L841" s="141">
        <f t="shared" si="524"/>
        <v>0</v>
      </c>
      <c r="M841" s="141">
        <f t="shared" si="524"/>
        <v>0</v>
      </c>
      <c r="N841" s="141">
        <f t="shared" si="524"/>
        <v>0</v>
      </c>
      <c r="O841" s="141">
        <f t="shared" si="524"/>
        <v>0</v>
      </c>
      <c r="P841" s="141">
        <f t="shared" si="524"/>
        <v>0</v>
      </c>
      <c r="Q841" s="141">
        <f t="shared" si="524"/>
        <v>0</v>
      </c>
      <c r="R841" s="141">
        <f t="shared" si="524"/>
        <v>0</v>
      </c>
      <c r="S841" s="141">
        <f t="shared" si="524"/>
        <v>0</v>
      </c>
      <c r="T841" s="141">
        <f t="shared" si="524"/>
        <v>0</v>
      </c>
      <c r="U841" s="141">
        <f t="shared" si="524"/>
        <v>0</v>
      </c>
      <c r="V841" s="141">
        <f t="shared" si="524"/>
        <v>0</v>
      </c>
      <c r="W841" s="141">
        <f t="shared" si="524"/>
        <v>0</v>
      </c>
      <c r="X841" s="141">
        <f t="shared" si="524"/>
        <v>0</v>
      </c>
      <c r="Y841" s="141">
        <f t="shared" si="524"/>
        <v>0</v>
      </c>
      <c r="Z841" s="141">
        <f t="shared" si="524"/>
        <v>0</v>
      </c>
      <c r="AA841" s="141">
        <f t="shared" si="524"/>
        <v>0</v>
      </c>
      <c r="AB841" s="141">
        <f t="shared" si="524"/>
        <v>0</v>
      </c>
      <c r="AC841" s="141">
        <f t="shared" si="524"/>
        <v>0</v>
      </c>
      <c r="AD841" s="141">
        <f t="shared" si="524"/>
        <v>0</v>
      </c>
      <c r="AE841" s="141">
        <f t="shared" si="524"/>
        <v>0</v>
      </c>
      <c r="AF841" s="141">
        <f t="shared" si="524"/>
        <v>0</v>
      </c>
      <c r="AG841" s="141">
        <f t="shared" si="524"/>
        <v>0</v>
      </c>
      <c r="AH841" s="141">
        <f t="shared" si="524"/>
        <v>0</v>
      </c>
      <c r="AI841" s="141">
        <f t="shared" si="524"/>
        <v>0</v>
      </c>
      <c r="AJ841" s="141">
        <f t="shared" si="524"/>
        <v>0</v>
      </c>
      <c r="AK841" s="141">
        <f t="shared" si="524"/>
        <v>0</v>
      </c>
      <c r="AL841" s="141">
        <f t="shared" si="524"/>
        <v>0</v>
      </c>
      <c r="AM841" s="141">
        <f t="shared" si="524"/>
        <v>0</v>
      </c>
      <c r="AN841" s="141">
        <f t="shared" si="524"/>
        <v>0</v>
      </c>
      <c r="AO841" s="141">
        <f t="shared" si="524"/>
        <v>0</v>
      </c>
      <c r="AP841" s="141">
        <f t="shared" si="524"/>
        <v>0</v>
      </c>
      <c r="AQ841" s="141">
        <f t="shared" si="524"/>
        <v>0</v>
      </c>
      <c r="AR841" s="141">
        <f t="shared" si="524"/>
        <v>0</v>
      </c>
      <c r="AS841" s="141">
        <f t="shared" si="524"/>
        <v>0</v>
      </c>
      <c r="AT841" s="141">
        <f t="shared" si="524"/>
        <v>0</v>
      </c>
      <c r="AU841" s="141">
        <f t="shared" si="524"/>
        <v>0</v>
      </c>
      <c r="AV841" s="141">
        <f t="shared" si="524"/>
        <v>0</v>
      </c>
      <c r="AW841" s="141">
        <f t="shared" si="524"/>
        <v>0</v>
      </c>
      <c r="AX841" s="141">
        <f t="shared" si="524"/>
        <v>0</v>
      </c>
      <c r="AY841" s="141">
        <f t="shared" si="524"/>
        <v>0</v>
      </c>
      <c r="AZ841" s="141">
        <f t="shared" si="524"/>
        <v>0</v>
      </c>
      <c r="BA841" s="141">
        <f t="shared" si="524"/>
        <v>0</v>
      </c>
      <c r="BB841" s="141">
        <f t="shared" si="524"/>
        <v>0</v>
      </c>
      <c r="BC841" s="141">
        <f t="shared" si="524"/>
        <v>0</v>
      </c>
      <c r="BD841" s="141">
        <f t="shared" si="524"/>
        <v>0</v>
      </c>
      <c r="BE841" s="141">
        <f t="shared" si="524"/>
        <v>0</v>
      </c>
      <c r="BF841" s="141">
        <f t="shared" si="524"/>
        <v>0</v>
      </c>
      <c r="BG841" s="141">
        <f t="shared" si="524"/>
        <v>0</v>
      </c>
      <c r="BH841" s="141">
        <f t="shared" si="524"/>
        <v>0</v>
      </c>
      <c r="BI841" s="141">
        <f t="shared" si="524"/>
        <v>0</v>
      </c>
      <c r="BJ841" s="142">
        <f t="shared" si="524"/>
        <v>0</v>
      </c>
      <c r="BK841" s="141"/>
      <c r="BL841" s="141"/>
    </row>
    <row r="842" spans="1:64" s="143" customFormat="1" ht="12.75">
      <c r="A842" s="138" t="s">
        <v>128</v>
      </c>
      <c r="B842" s="139">
        <f t="shared" si="522"/>
        <v>73069245.72626619</v>
      </c>
      <c r="C842" s="140">
        <f>C785*(1+$G749)^(C750-1)</f>
        <v>571085.11525505118</v>
      </c>
      <c r="D842" s="141">
        <f>D785*(1+$G749)^(D750-1)</f>
        <v>1187857.0397305065</v>
      </c>
      <c r="E842" s="141">
        <f t="shared" ref="E842:BJ842" si="525">E785*(1+$G749)^(E750-1)</f>
        <v>1853056.9819795901</v>
      </c>
      <c r="F842" s="141">
        <f t="shared" si="525"/>
        <v>2569572.348345032</v>
      </c>
      <c r="G842" s="141">
        <f t="shared" si="525"/>
        <v>3340444.0528485416</v>
      </c>
      <c r="H842" s="141">
        <f t="shared" si="525"/>
        <v>3474061.8149624839</v>
      </c>
      <c r="I842" s="141">
        <f t="shared" si="525"/>
        <v>3613024.2875609831</v>
      </c>
      <c r="J842" s="141">
        <f t="shared" si="525"/>
        <v>3757545.2590634222</v>
      </c>
      <c r="K842" s="141">
        <f t="shared" si="525"/>
        <v>3907847.0694259596</v>
      </c>
      <c r="L842" s="141">
        <f t="shared" si="525"/>
        <v>4064160.9522029986</v>
      </c>
      <c r="M842" s="141">
        <f t="shared" si="525"/>
        <v>4226727.3902911181</v>
      </c>
      <c r="N842" s="141">
        <f t="shared" si="525"/>
        <v>4395796.485902763</v>
      </c>
      <c r="O842" s="141">
        <f t="shared" si="525"/>
        <v>4571628.3453388745</v>
      </c>
      <c r="P842" s="141">
        <f t="shared" si="525"/>
        <v>4754493.4791524289</v>
      </c>
      <c r="Q842" s="141">
        <f t="shared" si="525"/>
        <v>4944673.2183185266</v>
      </c>
      <c r="R842" s="141">
        <f t="shared" si="525"/>
        <v>5142460.1470512673</v>
      </c>
      <c r="S842" s="141">
        <f t="shared" si="525"/>
        <v>5348158.5529333185</v>
      </c>
      <c r="T842" s="141">
        <f t="shared" si="525"/>
        <v>5562084.8950506523</v>
      </c>
      <c r="U842" s="141">
        <f t="shared" si="525"/>
        <v>5784568.2908526789</v>
      </c>
      <c r="V842" s="141">
        <f t="shared" si="525"/>
        <v>0</v>
      </c>
      <c r="W842" s="141">
        <f t="shared" si="525"/>
        <v>0</v>
      </c>
      <c r="X842" s="141">
        <f t="shared" si="525"/>
        <v>0</v>
      </c>
      <c r="Y842" s="141">
        <f t="shared" si="525"/>
        <v>0</v>
      </c>
      <c r="Z842" s="141">
        <f t="shared" si="525"/>
        <v>0</v>
      </c>
      <c r="AA842" s="141">
        <f t="shared" si="525"/>
        <v>0</v>
      </c>
      <c r="AB842" s="141">
        <f t="shared" si="525"/>
        <v>0</v>
      </c>
      <c r="AC842" s="141">
        <f t="shared" si="525"/>
        <v>0</v>
      </c>
      <c r="AD842" s="141">
        <f t="shared" si="525"/>
        <v>0</v>
      </c>
      <c r="AE842" s="141">
        <f t="shared" si="525"/>
        <v>0</v>
      </c>
      <c r="AF842" s="141">
        <f t="shared" si="525"/>
        <v>0</v>
      </c>
      <c r="AG842" s="141">
        <f t="shared" si="525"/>
        <v>0</v>
      </c>
      <c r="AH842" s="141">
        <f t="shared" si="525"/>
        <v>0</v>
      </c>
      <c r="AI842" s="141">
        <f t="shared" si="525"/>
        <v>0</v>
      </c>
      <c r="AJ842" s="141">
        <f t="shared" si="525"/>
        <v>0</v>
      </c>
      <c r="AK842" s="141">
        <f t="shared" si="525"/>
        <v>0</v>
      </c>
      <c r="AL842" s="141">
        <f t="shared" si="525"/>
        <v>0</v>
      </c>
      <c r="AM842" s="141">
        <f t="shared" si="525"/>
        <v>0</v>
      </c>
      <c r="AN842" s="141">
        <f t="shared" si="525"/>
        <v>0</v>
      </c>
      <c r="AO842" s="141">
        <f t="shared" si="525"/>
        <v>0</v>
      </c>
      <c r="AP842" s="141">
        <f t="shared" si="525"/>
        <v>0</v>
      </c>
      <c r="AQ842" s="141">
        <f t="shared" si="525"/>
        <v>0</v>
      </c>
      <c r="AR842" s="141">
        <f t="shared" si="525"/>
        <v>0</v>
      </c>
      <c r="AS842" s="141">
        <f t="shared" si="525"/>
        <v>0</v>
      </c>
      <c r="AT842" s="141">
        <f t="shared" si="525"/>
        <v>0</v>
      </c>
      <c r="AU842" s="141">
        <f t="shared" si="525"/>
        <v>0</v>
      </c>
      <c r="AV842" s="141">
        <f t="shared" si="525"/>
        <v>0</v>
      </c>
      <c r="AW842" s="141">
        <f t="shared" si="525"/>
        <v>0</v>
      </c>
      <c r="AX842" s="141">
        <f t="shared" si="525"/>
        <v>0</v>
      </c>
      <c r="AY842" s="141">
        <f t="shared" si="525"/>
        <v>0</v>
      </c>
      <c r="AZ842" s="141">
        <f t="shared" si="525"/>
        <v>0</v>
      </c>
      <c r="BA842" s="141">
        <f t="shared" si="525"/>
        <v>0</v>
      </c>
      <c r="BB842" s="141">
        <f t="shared" si="525"/>
        <v>0</v>
      </c>
      <c r="BC842" s="141">
        <f t="shared" si="525"/>
        <v>0</v>
      </c>
      <c r="BD842" s="141">
        <f t="shared" si="525"/>
        <v>0</v>
      </c>
      <c r="BE842" s="141">
        <f t="shared" si="525"/>
        <v>0</v>
      </c>
      <c r="BF842" s="141">
        <f t="shared" si="525"/>
        <v>0</v>
      </c>
      <c r="BG842" s="141">
        <f t="shared" si="525"/>
        <v>0</v>
      </c>
      <c r="BH842" s="141">
        <f t="shared" si="525"/>
        <v>0</v>
      </c>
      <c r="BI842" s="141">
        <f t="shared" si="525"/>
        <v>0</v>
      </c>
      <c r="BJ842" s="142">
        <f t="shared" si="525"/>
        <v>0</v>
      </c>
      <c r="BK842" s="141"/>
      <c r="BL842" s="141"/>
    </row>
    <row r="843" spans="1:64" s="143" customFormat="1" ht="12.75">
      <c r="A843" s="138" t="s">
        <v>129</v>
      </c>
      <c r="B843" s="139">
        <f t="shared" si="522"/>
        <v>7918847.7712471476</v>
      </c>
      <c r="C843" s="213">
        <f>C786*(1+$G749)^(C750-1)</f>
        <v>97747.034448599909</v>
      </c>
      <c r="D843" s="214">
        <f>D786*(1+$G749)^(D750-1)</f>
        <v>304970.74747963174</v>
      </c>
      <c r="E843" s="214">
        <f t="shared" ref="E843:BJ843" si="526">E786*(1+$G749)^(E750-1)</f>
        <v>317169.57737881702</v>
      </c>
      <c r="F843" s="214">
        <f t="shared" si="526"/>
        <v>329856.36047396966</v>
      </c>
      <c r="G843" s="214">
        <f t="shared" si="526"/>
        <v>343050.61489292851</v>
      </c>
      <c r="H843" s="214">
        <f t="shared" si="526"/>
        <v>356772.63948864571</v>
      </c>
      <c r="I843" s="214">
        <f t="shared" si="526"/>
        <v>371043.54506819154</v>
      </c>
      <c r="J843" s="214">
        <f t="shared" si="526"/>
        <v>385885.28687091917</v>
      </c>
      <c r="K843" s="214">
        <f t="shared" si="526"/>
        <v>401320.69834575598</v>
      </c>
      <c r="L843" s="214">
        <f t="shared" si="526"/>
        <v>417373.52627958625</v>
      </c>
      <c r="M843" s="214">
        <f t="shared" si="526"/>
        <v>434068.46733076969</v>
      </c>
      <c r="N843" s="214">
        <f t="shared" si="526"/>
        <v>451431.20602400048</v>
      </c>
      <c r="O843" s="214">
        <f t="shared" si="526"/>
        <v>469488.4542649606</v>
      </c>
      <c r="P843" s="214">
        <f t="shared" si="526"/>
        <v>488267.99243555899</v>
      </c>
      <c r="Q843" s="214">
        <f t="shared" si="526"/>
        <v>507798.71213298134</v>
      </c>
      <c r="R843" s="214">
        <f t="shared" si="526"/>
        <v>528110.66061830055</v>
      </c>
      <c r="S843" s="214">
        <f t="shared" si="526"/>
        <v>549235.08704303275</v>
      </c>
      <c r="T843" s="214">
        <f t="shared" si="526"/>
        <v>571204.49052475404</v>
      </c>
      <c r="U843" s="214">
        <f t="shared" si="526"/>
        <v>594052.67014574423</v>
      </c>
      <c r="V843" s="214">
        <f t="shared" si="526"/>
        <v>0</v>
      </c>
      <c r="W843" s="214">
        <f t="shared" si="526"/>
        <v>0</v>
      </c>
      <c r="X843" s="214">
        <f t="shared" si="526"/>
        <v>0</v>
      </c>
      <c r="Y843" s="214">
        <f t="shared" si="526"/>
        <v>0</v>
      </c>
      <c r="Z843" s="214">
        <f t="shared" si="526"/>
        <v>0</v>
      </c>
      <c r="AA843" s="214">
        <f t="shared" si="526"/>
        <v>0</v>
      </c>
      <c r="AB843" s="214">
        <f t="shared" si="526"/>
        <v>0</v>
      </c>
      <c r="AC843" s="214">
        <f t="shared" si="526"/>
        <v>0</v>
      </c>
      <c r="AD843" s="214">
        <f t="shared" si="526"/>
        <v>0</v>
      </c>
      <c r="AE843" s="214">
        <f t="shared" si="526"/>
        <v>0</v>
      </c>
      <c r="AF843" s="214">
        <f t="shared" si="526"/>
        <v>0</v>
      </c>
      <c r="AG843" s="214">
        <f t="shared" si="526"/>
        <v>0</v>
      </c>
      <c r="AH843" s="214">
        <f t="shared" si="526"/>
        <v>0</v>
      </c>
      <c r="AI843" s="214">
        <f t="shared" si="526"/>
        <v>0</v>
      </c>
      <c r="AJ843" s="214">
        <f t="shared" si="526"/>
        <v>0</v>
      </c>
      <c r="AK843" s="214">
        <f t="shared" si="526"/>
        <v>0</v>
      </c>
      <c r="AL843" s="214">
        <f t="shared" si="526"/>
        <v>0</v>
      </c>
      <c r="AM843" s="214">
        <f t="shared" si="526"/>
        <v>0</v>
      </c>
      <c r="AN843" s="214">
        <f t="shared" si="526"/>
        <v>0</v>
      </c>
      <c r="AO843" s="214">
        <f t="shared" si="526"/>
        <v>0</v>
      </c>
      <c r="AP843" s="214">
        <f t="shared" si="526"/>
        <v>0</v>
      </c>
      <c r="AQ843" s="214">
        <f t="shared" si="526"/>
        <v>0</v>
      </c>
      <c r="AR843" s="214">
        <f t="shared" si="526"/>
        <v>0</v>
      </c>
      <c r="AS843" s="214">
        <f t="shared" si="526"/>
        <v>0</v>
      </c>
      <c r="AT843" s="214">
        <f t="shared" si="526"/>
        <v>0</v>
      </c>
      <c r="AU843" s="214">
        <f t="shared" si="526"/>
        <v>0</v>
      </c>
      <c r="AV843" s="214">
        <f t="shared" si="526"/>
        <v>0</v>
      </c>
      <c r="AW843" s="214">
        <f t="shared" si="526"/>
        <v>0</v>
      </c>
      <c r="AX843" s="214">
        <f t="shared" si="526"/>
        <v>0</v>
      </c>
      <c r="AY843" s="214">
        <f t="shared" si="526"/>
        <v>0</v>
      </c>
      <c r="AZ843" s="214">
        <f t="shared" si="526"/>
        <v>0</v>
      </c>
      <c r="BA843" s="214">
        <f t="shared" si="526"/>
        <v>0</v>
      </c>
      <c r="BB843" s="214">
        <f t="shared" si="526"/>
        <v>0</v>
      </c>
      <c r="BC843" s="214">
        <f t="shared" si="526"/>
        <v>0</v>
      </c>
      <c r="BD843" s="214">
        <f t="shared" si="526"/>
        <v>0</v>
      </c>
      <c r="BE843" s="214">
        <f t="shared" si="526"/>
        <v>0</v>
      </c>
      <c r="BF843" s="214">
        <f t="shared" si="526"/>
        <v>0</v>
      </c>
      <c r="BG843" s="214">
        <f t="shared" si="526"/>
        <v>0</v>
      </c>
      <c r="BH843" s="214">
        <f t="shared" si="526"/>
        <v>0</v>
      </c>
      <c r="BI843" s="214">
        <f t="shared" si="526"/>
        <v>0</v>
      </c>
      <c r="BJ843" s="215">
        <f t="shared" si="526"/>
        <v>0</v>
      </c>
      <c r="BK843" s="141"/>
      <c r="BL843" s="141"/>
    </row>
    <row r="844" spans="1:64" s="160" customFormat="1">
      <c r="A844" s="131" t="s">
        <v>134</v>
      </c>
      <c r="B844" s="156">
        <f t="shared" si="522"/>
        <v>2495453786.766613</v>
      </c>
      <c r="C844" s="161">
        <f>C818-C819-C839</f>
        <v>-18340337.126845077</v>
      </c>
      <c r="D844" s="162">
        <f>D818-D819-D839</f>
        <v>-22328234.272870004</v>
      </c>
      <c r="E844" s="162">
        <f>E818-E819-E839</f>
        <v>-38717908.030781999</v>
      </c>
      <c r="F844" s="162">
        <f>F818-F819-F839</f>
        <v>-41620989.706353419</v>
      </c>
      <c r="G844" s="162">
        <f t="shared" ref="G844:BJ844" si="527">G818-G819-G839</f>
        <v>-44694369.263121299</v>
      </c>
      <c r="H844" s="162">
        <f t="shared" si="527"/>
        <v>33963507.544431865</v>
      </c>
      <c r="I844" s="162">
        <f t="shared" si="527"/>
        <v>77030779.442344248</v>
      </c>
      <c r="J844" s="162">
        <f t="shared" si="527"/>
        <v>123489091.48001851</v>
      </c>
      <c r="K844" s="162">
        <f t="shared" si="527"/>
        <v>173540819.23359901</v>
      </c>
      <c r="L844" s="162">
        <f t="shared" si="527"/>
        <v>252354767.90479746</v>
      </c>
      <c r="M844" s="162">
        <f t="shared" si="527"/>
        <v>262448958.62098941</v>
      </c>
      <c r="N844" s="162">
        <f t="shared" si="527"/>
        <v>272946916.96582896</v>
      </c>
      <c r="O844" s="162">
        <f t="shared" si="527"/>
        <v>283864793.64446217</v>
      </c>
      <c r="P844" s="162">
        <f t="shared" si="527"/>
        <v>295219385.39024061</v>
      </c>
      <c r="Q844" s="162">
        <f t="shared" si="527"/>
        <v>307028160.80585033</v>
      </c>
      <c r="R844" s="162">
        <f t="shared" si="527"/>
        <v>228367879.02411532</v>
      </c>
      <c r="S844" s="162">
        <f t="shared" si="527"/>
        <v>175763482.60870776</v>
      </c>
      <c r="T844" s="162">
        <f t="shared" si="527"/>
        <v>118585345.87362902</v>
      </c>
      <c r="U844" s="162">
        <f t="shared" si="527"/>
        <v>56551736.627570011</v>
      </c>
      <c r="V844" s="162">
        <f t="shared" si="527"/>
        <v>0</v>
      </c>
      <c r="W844" s="162">
        <f t="shared" si="527"/>
        <v>0</v>
      </c>
      <c r="X844" s="162">
        <f t="shared" si="527"/>
        <v>0</v>
      </c>
      <c r="Y844" s="162">
        <f t="shared" si="527"/>
        <v>0</v>
      </c>
      <c r="Z844" s="162">
        <f t="shared" si="527"/>
        <v>0</v>
      </c>
      <c r="AA844" s="162">
        <f t="shared" si="527"/>
        <v>0</v>
      </c>
      <c r="AB844" s="162">
        <f t="shared" si="527"/>
        <v>0</v>
      </c>
      <c r="AC844" s="162">
        <f t="shared" si="527"/>
        <v>0</v>
      </c>
      <c r="AD844" s="162">
        <f t="shared" si="527"/>
        <v>0</v>
      </c>
      <c r="AE844" s="162">
        <f t="shared" si="527"/>
        <v>0</v>
      </c>
      <c r="AF844" s="162">
        <f t="shared" si="527"/>
        <v>0</v>
      </c>
      <c r="AG844" s="162">
        <f t="shared" si="527"/>
        <v>0</v>
      </c>
      <c r="AH844" s="162">
        <f t="shared" si="527"/>
        <v>0</v>
      </c>
      <c r="AI844" s="162">
        <f t="shared" si="527"/>
        <v>0</v>
      </c>
      <c r="AJ844" s="162">
        <f t="shared" si="527"/>
        <v>0</v>
      </c>
      <c r="AK844" s="162">
        <f t="shared" si="527"/>
        <v>0</v>
      </c>
      <c r="AL844" s="162">
        <f t="shared" si="527"/>
        <v>0</v>
      </c>
      <c r="AM844" s="162">
        <f t="shared" si="527"/>
        <v>0</v>
      </c>
      <c r="AN844" s="162">
        <f t="shared" si="527"/>
        <v>0</v>
      </c>
      <c r="AO844" s="162">
        <f t="shared" si="527"/>
        <v>0</v>
      </c>
      <c r="AP844" s="162">
        <f t="shared" si="527"/>
        <v>0</v>
      </c>
      <c r="AQ844" s="162">
        <f t="shared" si="527"/>
        <v>0</v>
      </c>
      <c r="AR844" s="162">
        <f t="shared" si="527"/>
        <v>0</v>
      </c>
      <c r="AS844" s="162">
        <f t="shared" si="527"/>
        <v>0</v>
      </c>
      <c r="AT844" s="162">
        <f t="shared" si="527"/>
        <v>0</v>
      </c>
      <c r="AU844" s="162">
        <f t="shared" si="527"/>
        <v>0</v>
      </c>
      <c r="AV844" s="162">
        <f t="shared" si="527"/>
        <v>0</v>
      </c>
      <c r="AW844" s="162">
        <f t="shared" si="527"/>
        <v>0</v>
      </c>
      <c r="AX844" s="162">
        <f t="shared" si="527"/>
        <v>0</v>
      </c>
      <c r="AY844" s="162">
        <f t="shared" si="527"/>
        <v>0</v>
      </c>
      <c r="AZ844" s="162">
        <f t="shared" si="527"/>
        <v>0</v>
      </c>
      <c r="BA844" s="162">
        <f t="shared" si="527"/>
        <v>0</v>
      </c>
      <c r="BB844" s="162">
        <f t="shared" si="527"/>
        <v>0</v>
      </c>
      <c r="BC844" s="162">
        <f t="shared" si="527"/>
        <v>0</v>
      </c>
      <c r="BD844" s="162">
        <f t="shared" si="527"/>
        <v>0</v>
      </c>
      <c r="BE844" s="162">
        <f t="shared" si="527"/>
        <v>0</v>
      </c>
      <c r="BF844" s="162">
        <f t="shared" si="527"/>
        <v>0</v>
      </c>
      <c r="BG844" s="162">
        <f t="shared" si="527"/>
        <v>0</v>
      </c>
      <c r="BH844" s="162">
        <f t="shared" si="527"/>
        <v>0</v>
      </c>
      <c r="BI844" s="162">
        <f t="shared" si="527"/>
        <v>0</v>
      </c>
      <c r="BJ844" s="163">
        <f t="shared" si="527"/>
        <v>0</v>
      </c>
      <c r="BK844" s="159"/>
      <c r="BL844" s="159"/>
    </row>
    <row r="845" spans="1:64" s="160" customFormat="1">
      <c r="A845" s="131" t="s">
        <v>135</v>
      </c>
      <c r="B845" s="156">
        <f t="shared" si="522"/>
        <v>532231125.03331703</v>
      </c>
      <c r="C845" s="161">
        <f>IF(C844&lt;=0,0,C844*$K749)</f>
        <v>0</v>
      </c>
      <c r="D845" s="162">
        <f>IF(D844&lt;=0,0,D844*$K749)</f>
        <v>0</v>
      </c>
      <c r="E845" s="162">
        <f t="shared" ref="E845:BJ845" si="528">IF(E844&lt;=0,0,E844*$K749)</f>
        <v>0</v>
      </c>
      <c r="F845" s="162">
        <f t="shared" si="528"/>
        <v>0</v>
      </c>
      <c r="G845" s="162">
        <f t="shared" si="528"/>
        <v>0</v>
      </c>
      <c r="H845" s="162">
        <f t="shared" si="528"/>
        <v>6792701.5088863736</v>
      </c>
      <c r="I845" s="162">
        <f t="shared" si="528"/>
        <v>15406155.88846885</v>
      </c>
      <c r="J845" s="162">
        <f t="shared" si="528"/>
        <v>24697818.296003703</v>
      </c>
      <c r="K845" s="162">
        <f t="shared" si="528"/>
        <v>34708163.846719801</v>
      </c>
      <c r="L845" s="162">
        <f t="shared" si="528"/>
        <v>50470953.580959499</v>
      </c>
      <c r="M845" s="162">
        <f t="shared" si="528"/>
        <v>52489791.724197887</v>
      </c>
      <c r="N845" s="162">
        <f t="shared" si="528"/>
        <v>54589383.393165797</v>
      </c>
      <c r="O845" s="162">
        <f t="shared" si="528"/>
        <v>56772958.728892438</v>
      </c>
      <c r="P845" s="162">
        <f t="shared" si="528"/>
        <v>59043877.078048125</v>
      </c>
      <c r="Q845" s="162">
        <f t="shared" si="528"/>
        <v>61405632.161170065</v>
      </c>
      <c r="R845" s="162">
        <f t="shared" si="528"/>
        <v>45673575.804823071</v>
      </c>
      <c r="S845" s="162">
        <f t="shared" si="528"/>
        <v>35152696.521741554</v>
      </c>
      <c r="T845" s="162">
        <f t="shared" si="528"/>
        <v>23717069.174725804</v>
      </c>
      <c r="U845" s="162">
        <f t="shared" si="528"/>
        <v>11310347.325514004</v>
      </c>
      <c r="V845" s="162">
        <f t="shared" si="528"/>
        <v>0</v>
      </c>
      <c r="W845" s="162">
        <f t="shared" si="528"/>
        <v>0</v>
      </c>
      <c r="X845" s="162">
        <f t="shared" si="528"/>
        <v>0</v>
      </c>
      <c r="Y845" s="162">
        <f t="shared" si="528"/>
        <v>0</v>
      </c>
      <c r="Z845" s="162">
        <f t="shared" si="528"/>
        <v>0</v>
      </c>
      <c r="AA845" s="162">
        <f t="shared" si="528"/>
        <v>0</v>
      </c>
      <c r="AB845" s="162">
        <f t="shared" si="528"/>
        <v>0</v>
      </c>
      <c r="AC845" s="162">
        <f t="shared" si="528"/>
        <v>0</v>
      </c>
      <c r="AD845" s="162">
        <f t="shared" si="528"/>
        <v>0</v>
      </c>
      <c r="AE845" s="162">
        <f t="shared" si="528"/>
        <v>0</v>
      </c>
      <c r="AF845" s="162">
        <f t="shared" si="528"/>
        <v>0</v>
      </c>
      <c r="AG845" s="162">
        <f t="shared" si="528"/>
        <v>0</v>
      </c>
      <c r="AH845" s="162">
        <f t="shared" si="528"/>
        <v>0</v>
      </c>
      <c r="AI845" s="162">
        <f t="shared" si="528"/>
        <v>0</v>
      </c>
      <c r="AJ845" s="162">
        <f t="shared" si="528"/>
        <v>0</v>
      </c>
      <c r="AK845" s="162">
        <f t="shared" si="528"/>
        <v>0</v>
      </c>
      <c r="AL845" s="162">
        <f t="shared" si="528"/>
        <v>0</v>
      </c>
      <c r="AM845" s="162">
        <f t="shared" si="528"/>
        <v>0</v>
      </c>
      <c r="AN845" s="162">
        <f t="shared" si="528"/>
        <v>0</v>
      </c>
      <c r="AO845" s="162">
        <f t="shared" si="528"/>
        <v>0</v>
      </c>
      <c r="AP845" s="162">
        <f t="shared" si="528"/>
        <v>0</v>
      </c>
      <c r="AQ845" s="162">
        <f t="shared" si="528"/>
        <v>0</v>
      </c>
      <c r="AR845" s="162">
        <f t="shared" si="528"/>
        <v>0</v>
      </c>
      <c r="AS845" s="162">
        <f t="shared" si="528"/>
        <v>0</v>
      </c>
      <c r="AT845" s="162">
        <f t="shared" si="528"/>
        <v>0</v>
      </c>
      <c r="AU845" s="162">
        <f t="shared" si="528"/>
        <v>0</v>
      </c>
      <c r="AV845" s="162">
        <f t="shared" si="528"/>
        <v>0</v>
      </c>
      <c r="AW845" s="162">
        <f t="shared" si="528"/>
        <v>0</v>
      </c>
      <c r="AX845" s="162">
        <f t="shared" si="528"/>
        <v>0</v>
      </c>
      <c r="AY845" s="162">
        <f t="shared" si="528"/>
        <v>0</v>
      </c>
      <c r="AZ845" s="162">
        <f t="shared" si="528"/>
        <v>0</v>
      </c>
      <c r="BA845" s="162">
        <f t="shared" si="528"/>
        <v>0</v>
      </c>
      <c r="BB845" s="162">
        <f t="shared" si="528"/>
        <v>0</v>
      </c>
      <c r="BC845" s="162">
        <f t="shared" si="528"/>
        <v>0</v>
      </c>
      <c r="BD845" s="162">
        <f t="shared" si="528"/>
        <v>0</v>
      </c>
      <c r="BE845" s="162">
        <f t="shared" si="528"/>
        <v>0</v>
      </c>
      <c r="BF845" s="162">
        <f t="shared" si="528"/>
        <v>0</v>
      </c>
      <c r="BG845" s="162">
        <f t="shared" si="528"/>
        <v>0</v>
      </c>
      <c r="BH845" s="162">
        <f t="shared" si="528"/>
        <v>0</v>
      </c>
      <c r="BI845" s="162">
        <f t="shared" si="528"/>
        <v>0</v>
      </c>
      <c r="BJ845" s="163">
        <f t="shared" si="528"/>
        <v>0</v>
      </c>
      <c r="BK845" s="159"/>
      <c r="BL845" s="159"/>
    </row>
    <row r="846" spans="1:64" s="105" customFormat="1">
      <c r="A846" s="164" t="s">
        <v>136</v>
      </c>
      <c r="B846" s="161">
        <f t="shared" si="522"/>
        <v>1963222661.7332959</v>
      </c>
      <c r="C846" s="133">
        <f>C844-C845</f>
        <v>-18340337.126845077</v>
      </c>
      <c r="D846" s="134">
        <f>D844-D845</f>
        <v>-22328234.272870004</v>
      </c>
      <c r="E846" s="134">
        <f>E844-E845</f>
        <v>-38717908.030781999</v>
      </c>
      <c r="F846" s="134">
        <f>F844-F845</f>
        <v>-41620989.706353419</v>
      </c>
      <c r="G846" s="134">
        <f t="shared" ref="G846:BJ846" si="529">G844-G845</f>
        <v>-44694369.263121299</v>
      </c>
      <c r="H846" s="134">
        <f t="shared" si="529"/>
        <v>27170806.035545491</v>
      </c>
      <c r="I846" s="134">
        <f t="shared" si="529"/>
        <v>61624623.553875402</v>
      </c>
      <c r="J846" s="134">
        <f t="shared" si="529"/>
        <v>98791273.184014812</v>
      </c>
      <c r="K846" s="134">
        <f t="shared" si="529"/>
        <v>138832655.38687921</v>
      </c>
      <c r="L846" s="134">
        <f t="shared" si="529"/>
        <v>201883814.32383797</v>
      </c>
      <c r="M846" s="134">
        <f t="shared" si="529"/>
        <v>209959166.89679152</v>
      </c>
      <c r="N846" s="134">
        <f t="shared" si="529"/>
        <v>218357533.57266316</v>
      </c>
      <c r="O846" s="134">
        <f t="shared" si="529"/>
        <v>227091834.91556972</v>
      </c>
      <c r="P846" s="134">
        <f t="shared" si="529"/>
        <v>236175508.3121925</v>
      </c>
      <c r="Q846" s="134">
        <f t="shared" si="529"/>
        <v>245622528.64468026</v>
      </c>
      <c r="R846" s="134">
        <f t="shared" si="529"/>
        <v>182694303.21929225</v>
      </c>
      <c r="S846" s="134">
        <f t="shared" si="529"/>
        <v>140610786.08696622</v>
      </c>
      <c r="T846" s="134">
        <f t="shared" si="529"/>
        <v>94868276.698903218</v>
      </c>
      <c r="U846" s="134">
        <f t="shared" si="529"/>
        <v>45241389.302056007</v>
      </c>
      <c r="V846" s="134">
        <f t="shared" si="529"/>
        <v>0</v>
      </c>
      <c r="W846" s="134">
        <f t="shared" si="529"/>
        <v>0</v>
      </c>
      <c r="X846" s="134">
        <f t="shared" si="529"/>
        <v>0</v>
      </c>
      <c r="Y846" s="134">
        <f t="shared" si="529"/>
        <v>0</v>
      </c>
      <c r="Z846" s="134">
        <f t="shared" si="529"/>
        <v>0</v>
      </c>
      <c r="AA846" s="134">
        <f t="shared" si="529"/>
        <v>0</v>
      </c>
      <c r="AB846" s="134">
        <f t="shared" si="529"/>
        <v>0</v>
      </c>
      <c r="AC846" s="134">
        <f t="shared" si="529"/>
        <v>0</v>
      </c>
      <c r="AD846" s="134">
        <f t="shared" si="529"/>
        <v>0</v>
      </c>
      <c r="AE846" s="134">
        <f t="shared" si="529"/>
        <v>0</v>
      </c>
      <c r="AF846" s="134">
        <f t="shared" si="529"/>
        <v>0</v>
      </c>
      <c r="AG846" s="134">
        <f t="shared" si="529"/>
        <v>0</v>
      </c>
      <c r="AH846" s="134">
        <f t="shared" si="529"/>
        <v>0</v>
      </c>
      <c r="AI846" s="134">
        <f t="shared" si="529"/>
        <v>0</v>
      </c>
      <c r="AJ846" s="134">
        <f t="shared" si="529"/>
        <v>0</v>
      </c>
      <c r="AK846" s="134">
        <f t="shared" si="529"/>
        <v>0</v>
      </c>
      <c r="AL846" s="134">
        <f t="shared" si="529"/>
        <v>0</v>
      </c>
      <c r="AM846" s="134">
        <f t="shared" si="529"/>
        <v>0</v>
      </c>
      <c r="AN846" s="134">
        <f t="shared" si="529"/>
        <v>0</v>
      </c>
      <c r="AO846" s="134">
        <f t="shared" si="529"/>
        <v>0</v>
      </c>
      <c r="AP846" s="134">
        <f t="shared" si="529"/>
        <v>0</v>
      </c>
      <c r="AQ846" s="134">
        <f t="shared" si="529"/>
        <v>0</v>
      </c>
      <c r="AR846" s="134">
        <f t="shared" si="529"/>
        <v>0</v>
      </c>
      <c r="AS846" s="134">
        <f t="shared" si="529"/>
        <v>0</v>
      </c>
      <c r="AT846" s="134">
        <f t="shared" si="529"/>
        <v>0</v>
      </c>
      <c r="AU846" s="134">
        <f t="shared" si="529"/>
        <v>0</v>
      </c>
      <c r="AV846" s="134">
        <f t="shared" si="529"/>
        <v>0</v>
      </c>
      <c r="AW846" s="134">
        <f t="shared" si="529"/>
        <v>0</v>
      </c>
      <c r="AX846" s="134">
        <f t="shared" si="529"/>
        <v>0</v>
      </c>
      <c r="AY846" s="134">
        <f t="shared" si="529"/>
        <v>0</v>
      </c>
      <c r="AZ846" s="134">
        <f t="shared" si="529"/>
        <v>0</v>
      </c>
      <c r="BA846" s="134">
        <f t="shared" si="529"/>
        <v>0</v>
      </c>
      <c r="BB846" s="134">
        <f t="shared" si="529"/>
        <v>0</v>
      </c>
      <c r="BC846" s="134">
        <f t="shared" si="529"/>
        <v>0</v>
      </c>
      <c r="BD846" s="134">
        <f t="shared" si="529"/>
        <v>0</v>
      </c>
      <c r="BE846" s="134">
        <f t="shared" si="529"/>
        <v>0</v>
      </c>
      <c r="BF846" s="134">
        <f t="shared" si="529"/>
        <v>0</v>
      </c>
      <c r="BG846" s="134">
        <f t="shared" si="529"/>
        <v>0</v>
      </c>
      <c r="BH846" s="134">
        <f t="shared" si="529"/>
        <v>0</v>
      </c>
      <c r="BI846" s="134">
        <f t="shared" si="529"/>
        <v>0</v>
      </c>
      <c r="BJ846" s="135">
        <f t="shared" si="529"/>
        <v>0</v>
      </c>
      <c r="BK846" s="109"/>
      <c r="BL846" s="109"/>
    </row>
    <row r="847" spans="1:64">
      <c r="A847" s="165" t="s">
        <v>137</v>
      </c>
      <c r="B847" s="161"/>
      <c r="C847" s="166"/>
      <c r="D847" s="167"/>
      <c r="E847" s="168"/>
      <c r="F847" s="168"/>
      <c r="G847" s="168"/>
      <c r="H847" s="168"/>
      <c r="I847" s="168"/>
      <c r="J847" s="168"/>
      <c r="K847" s="168"/>
      <c r="L847" s="168"/>
      <c r="M847" s="168"/>
      <c r="N847" s="168"/>
      <c r="O847" s="168"/>
      <c r="P847" s="168"/>
      <c r="Q847" s="168"/>
      <c r="R847" s="168"/>
      <c r="S847" s="168"/>
      <c r="T847" s="168"/>
      <c r="U847" s="168"/>
      <c r="V847" s="168"/>
      <c r="W847" s="168"/>
      <c r="X847" s="168"/>
      <c r="Y847" s="168"/>
      <c r="Z847" s="168"/>
      <c r="AA847" s="168"/>
      <c r="AB847" s="168"/>
      <c r="AC847" s="168"/>
      <c r="AD847" s="168"/>
      <c r="AE847" s="168"/>
      <c r="AF847" s="168"/>
      <c r="AG847" s="168"/>
      <c r="AH847" s="168"/>
      <c r="AI847" s="168"/>
      <c r="AJ847" s="168"/>
      <c r="AK847" s="168"/>
      <c r="AL847" s="168"/>
      <c r="AM847" s="168"/>
      <c r="AN847" s="168"/>
      <c r="AO847" s="168"/>
      <c r="AP847" s="168"/>
      <c r="AQ847" s="168"/>
      <c r="AR847" s="168"/>
      <c r="AS847" s="168"/>
      <c r="AT847" s="168"/>
      <c r="AU847" s="168"/>
      <c r="AV847" s="168"/>
      <c r="AW847" s="168"/>
      <c r="AX847" s="168"/>
      <c r="AY847" s="168"/>
      <c r="AZ847" s="168"/>
      <c r="BA847" s="168"/>
      <c r="BB847" s="168"/>
      <c r="BC847" s="168"/>
      <c r="BD847" s="168"/>
      <c r="BE847" s="168"/>
      <c r="BF847" s="168"/>
      <c r="BG847" s="168"/>
      <c r="BH847" s="168"/>
      <c r="BI847" s="168"/>
      <c r="BJ847" s="169"/>
    </row>
    <row r="848" spans="1:64" s="174" customFormat="1" ht="12.75">
      <c r="A848" s="120" t="s">
        <v>138</v>
      </c>
      <c r="B848" s="170">
        <f>SUM(C848:BJ848)</f>
        <v>38361533.389411695</v>
      </c>
      <c r="C848" s="171">
        <f>C819-C824</f>
        <v>19396132.341405883</v>
      </c>
      <c r="D848" s="172">
        <f t="shared" ref="D848:BJ848" si="530">IF(AND(D807&gt;5,D808=0),0,D819-D824)</f>
        <v>22424442.758340098</v>
      </c>
      <c r="E848" s="172">
        <f t="shared" si="530"/>
        <v>36213416.097324483</v>
      </c>
      <c r="F848" s="172">
        <f t="shared" si="530"/>
        <v>36307587.386877321</v>
      </c>
      <c r="G848" s="172">
        <f t="shared" si="530"/>
        <v>36351350.913838677</v>
      </c>
      <c r="H848" s="172">
        <f t="shared" si="530"/>
        <v>-6141042.0672365138</v>
      </c>
      <c r="I848" s="172">
        <f t="shared" si="530"/>
        <v>-6386683.7499259738</v>
      </c>
      <c r="J848" s="172">
        <f t="shared" si="530"/>
        <v>-6642151.0999230128</v>
      </c>
      <c r="K848" s="172">
        <f t="shared" si="530"/>
        <v>-6907837.1439199345</v>
      </c>
      <c r="L848" s="172">
        <f t="shared" si="530"/>
        <v>-7184150.6296767322</v>
      </c>
      <c r="M848" s="172">
        <f t="shared" si="530"/>
        <v>-7471516.6548638018</v>
      </c>
      <c r="N848" s="172">
        <f t="shared" si="530"/>
        <v>-7770377.3210583534</v>
      </c>
      <c r="O848" s="172">
        <f t="shared" si="530"/>
        <v>-8081192.4139006892</v>
      </c>
      <c r="P848" s="172">
        <f t="shared" si="530"/>
        <v>-8404440.1104567163</v>
      </c>
      <c r="Q848" s="172">
        <f t="shared" si="530"/>
        <v>-8740617.7148749847</v>
      </c>
      <c r="R848" s="172">
        <f t="shared" si="530"/>
        <v>-9090242.423469983</v>
      </c>
      <c r="S848" s="172">
        <f t="shared" si="530"/>
        <v>-9453852.1204087846</v>
      </c>
      <c r="T848" s="172">
        <f t="shared" si="530"/>
        <v>-9832006.205225138</v>
      </c>
      <c r="U848" s="172">
        <f t="shared" si="530"/>
        <v>-10225286.453434145</v>
      </c>
      <c r="V848" s="172">
        <f t="shared" si="530"/>
        <v>0</v>
      </c>
      <c r="W848" s="172">
        <f t="shared" si="530"/>
        <v>0</v>
      </c>
      <c r="X848" s="172">
        <f t="shared" si="530"/>
        <v>0</v>
      </c>
      <c r="Y848" s="172">
        <f t="shared" si="530"/>
        <v>0</v>
      </c>
      <c r="Z848" s="172">
        <f t="shared" si="530"/>
        <v>0</v>
      </c>
      <c r="AA848" s="172">
        <f t="shared" si="530"/>
        <v>0</v>
      </c>
      <c r="AB848" s="172">
        <f t="shared" si="530"/>
        <v>0</v>
      </c>
      <c r="AC848" s="172">
        <f t="shared" si="530"/>
        <v>0</v>
      </c>
      <c r="AD848" s="172">
        <f t="shared" si="530"/>
        <v>0</v>
      </c>
      <c r="AE848" s="172">
        <f t="shared" si="530"/>
        <v>0</v>
      </c>
      <c r="AF848" s="172">
        <f t="shared" si="530"/>
        <v>0</v>
      </c>
      <c r="AG848" s="172">
        <f t="shared" si="530"/>
        <v>0</v>
      </c>
      <c r="AH848" s="172">
        <f t="shared" si="530"/>
        <v>0</v>
      </c>
      <c r="AI848" s="172">
        <f t="shared" si="530"/>
        <v>0</v>
      </c>
      <c r="AJ848" s="172">
        <f t="shared" si="530"/>
        <v>0</v>
      </c>
      <c r="AK848" s="172">
        <f t="shared" si="530"/>
        <v>0</v>
      </c>
      <c r="AL848" s="172">
        <f t="shared" si="530"/>
        <v>0</v>
      </c>
      <c r="AM848" s="172">
        <f t="shared" si="530"/>
        <v>0</v>
      </c>
      <c r="AN848" s="172">
        <f t="shared" si="530"/>
        <v>0</v>
      </c>
      <c r="AO848" s="172">
        <f t="shared" si="530"/>
        <v>0</v>
      </c>
      <c r="AP848" s="172">
        <f t="shared" si="530"/>
        <v>0</v>
      </c>
      <c r="AQ848" s="172">
        <f t="shared" si="530"/>
        <v>0</v>
      </c>
      <c r="AR848" s="172">
        <f t="shared" si="530"/>
        <v>0</v>
      </c>
      <c r="AS848" s="172">
        <f t="shared" si="530"/>
        <v>0</v>
      </c>
      <c r="AT848" s="172">
        <f t="shared" si="530"/>
        <v>0</v>
      </c>
      <c r="AU848" s="172">
        <f t="shared" si="530"/>
        <v>0</v>
      </c>
      <c r="AV848" s="172">
        <f t="shared" si="530"/>
        <v>0</v>
      </c>
      <c r="AW848" s="172">
        <f t="shared" si="530"/>
        <v>0</v>
      </c>
      <c r="AX848" s="172">
        <f t="shared" si="530"/>
        <v>0</v>
      </c>
      <c r="AY848" s="172">
        <f t="shared" si="530"/>
        <v>0</v>
      </c>
      <c r="AZ848" s="172">
        <f t="shared" si="530"/>
        <v>0</v>
      </c>
      <c r="BA848" s="172">
        <f t="shared" si="530"/>
        <v>0</v>
      </c>
      <c r="BB848" s="172">
        <f t="shared" si="530"/>
        <v>0</v>
      </c>
      <c r="BC848" s="172">
        <f t="shared" si="530"/>
        <v>0</v>
      </c>
      <c r="BD848" s="172">
        <f t="shared" si="530"/>
        <v>0</v>
      </c>
      <c r="BE848" s="172">
        <f t="shared" si="530"/>
        <v>0</v>
      </c>
      <c r="BF848" s="172">
        <f t="shared" si="530"/>
        <v>0</v>
      </c>
      <c r="BG848" s="172">
        <f t="shared" si="530"/>
        <v>0</v>
      </c>
      <c r="BH848" s="172">
        <f t="shared" si="530"/>
        <v>0</v>
      </c>
      <c r="BI848" s="172">
        <f t="shared" si="530"/>
        <v>0</v>
      </c>
      <c r="BJ848" s="173">
        <f t="shared" si="530"/>
        <v>0</v>
      </c>
      <c r="BK848" s="172"/>
      <c r="BL848" s="172"/>
    </row>
    <row r="849" spans="1:64" s="174" customFormat="1" ht="12.75">
      <c r="A849" s="120" t="s">
        <v>139</v>
      </c>
      <c r="B849" s="170">
        <f>SUM(C849:BJ849)</f>
        <v>127576092.70806064</v>
      </c>
      <c r="C849" s="171">
        <f>C839</f>
        <v>668832.14970365108</v>
      </c>
      <c r="D849" s="172">
        <f>D839</f>
        <v>1492827.7872101383</v>
      </c>
      <c r="E849" s="172">
        <f t="shared" ref="E849:BJ849" si="531">E839</f>
        <v>2854815.2778717512</v>
      </c>
      <c r="F849" s="172">
        <f t="shared" si="531"/>
        <v>4323373.243326758</v>
      </c>
      <c r="G849" s="172">
        <f t="shared" si="531"/>
        <v>5904848.1415735697</v>
      </c>
      <c r="H849" s="172">
        <f t="shared" si="531"/>
        <v>6141042.0672365138</v>
      </c>
      <c r="I849" s="172">
        <f t="shared" si="531"/>
        <v>6386683.7499259738</v>
      </c>
      <c r="J849" s="172">
        <f t="shared" si="531"/>
        <v>6642151.0999230128</v>
      </c>
      <c r="K849" s="172">
        <f t="shared" si="531"/>
        <v>6907837.1439199345</v>
      </c>
      <c r="L849" s="172">
        <f t="shared" si="531"/>
        <v>7184150.6296767322</v>
      </c>
      <c r="M849" s="172">
        <f t="shared" si="531"/>
        <v>7471516.6548638018</v>
      </c>
      <c r="N849" s="172">
        <f t="shared" si="531"/>
        <v>7770377.3210583534</v>
      </c>
      <c r="O849" s="172">
        <f t="shared" si="531"/>
        <v>8081192.4139006892</v>
      </c>
      <c r="P849" s="172">
        <f t="shared" si="531"/>
        <v>8404440.1104567163</v>
      </c>
      <c r="Q849" s="172">
        <f t="shared" si="531"/>
        <v>8740617.7148749847</v>
      </c>
      <c r="R849" s="172">
        <f t="shared" si="531"/>
        <v>9090242.423469983</v>
      </c>
      <c r="S849" s="172">
        <f t="shared" si="531"/>
        <v>9453852.1204087846</v>
      </c>
      <c r="T849" s="172">
        <f t="shared" si="531"/>
        <v>9832006.205225138</v>
      </c>
      <c r="U849" s="172">
        <f t="shared" si="531"/>
        <v>10225286.453434145</v>
      </c>
      <c r="V849" s="172">
        <f t="shared" si="531"/>
        <v>0</v>
      </c>
      <c r="W849" s="172">
        <f t="shared" si="531"/>
        <v>0</v>
      </c>
      <c r="X849" s="172">
        <f t="shared" si="531"/>
        <v>0</v>
      </c>
      <c r="Y849" s="172">
        <f t="shared" si="531"/>
        <v>0</v>
      </c>
      <c r="Z849" s="172">
        <f t="shared" si="531"/>
        <v>0</v>
      </c>
      <c r="AA849" s="172">
        <f t="shared" si="531"/>
        <v>0</v>
      </c>
      <c r="AB849" s="172">
        <f t="shared" si="531"/>
        <v>0</v>
      </c>
      <c r="AC849" s="172">
        <f t="shared" si="531"/>
        <v>0</v>
      </c>
      <c r="AD849" s="172">
        <f t="shared" si="531"/>
        <v>0</v>
      </c>
      <c r="AE849" s="172">
        <f t="shared" si="531"/>
        <v>0</v>
      </c>
      <c r="AF849" s="172">
        <f t="shared" si="531"/>
        <v>0</v>
      </c>
      <c r="AG849" s="172">
        <f t="shared" si="531"/>
        <v>0</v>
      </c>
      <c r="AH849" s="172">
        <f t="shared" si="531"/>
        <v>0</v>
      </c>
      <c r="AI849" s="172">
        <f t="shared" si="531"/>
        <v>0</v>
      </c>
      <c r="AJ849" s="172">
        <f t="shared" si="531"/>
        <v>0</v>
      </c>
      <c r="AK849" s="172">
        <f t="shared" si="531"/>
        <v>0</v>
      </c>
      <c r="AL849" s="172">
        <f t="shared" si="531"/>
        <v>0</v>
      </c>
      <c r="AM849" s="172">
        <f t="shared" si="531"/>
        <v>0</v>
      </c>
      <c r="AN849" s="172">
        <f t="shared" si="531"/>
        <v>0</v>
      </c>
      <c r="AO849" s="172">
        <f t="shared" si="531"/>
        <v>0</v>
      </c>
      <c r="AP849" s="172">
        <f t="shared" si="531"/>
        <v>0</v>
      </c>
      <c r="AQ849" s="172">
        <f t="shared" si="531"/>
        <v>0</v>
      </c>
      <c r="AR849" s="172">
        <f t="shared" si="531"/>
        <v>0</v>
      </c>
      <c r="AS849" s="172">
        <f t="shared" si="531"/>
        <v>0</v>
      </c>
      <c r="AT849" s="172">
        <f t="shared" si="531"/>
        <v>0</v>
      </c>
      <c r="AU849" s="172">
        <f t="shared" si="531"/>
        <v>0</v>
      </c>
      <c r="AV849" s="172">
        <f t="shared" si="531"/>
        <v>0</v>
      </c>
      <c r="AW849" s="172">
        <f t="shared" si="531"/>
        <v>0</v>
      </c>
      <c r="AX849" s="172">
        <f t="shared" si="531"/>
        <v>0</v>
      </c>
      <c r="AY849" s="172">
        <f t="shared" si="531"/>
        <v>0</v>
      </c>
      <c r="AZ849" s="172">
        <f t="shared" si="531"/>
        <v>0</v>
      </c>
      <c r="BA849" s="172">
        <f t="shared" si="531"/>
        <v>0</v>
      </c>
      <c r="BB849" s="172">
        <f t="shared" si="531"/>
        <v>0</v>
      </c>
      <c r="BC849" s="172">
        <f t="shared" si="531"/>
        <v>0</v>
      </c>
      <c r="BD849" s="172">
        <f t="shared" si="531"/>
        <v>0</v>
      </c>
      <c r="BE849" s="172">
        <f t="shared" si="531"/>
        <v>0</v>
      </c>
      <c r="BF849" s="172">
        <f t="shared" si="531"/>
        <v>0</v>
      </c>
      <c r="BG849" s="172">
        <f t="shared" si="531"/>
        <v>0</v>
      </c>
      <c r="BH849" s="172">
        <f t="shared" si="531"/>
        <v>0</v>
      </c>
      <c r="BI849" s="172">
        <f t="shared" si="531"/>
        <v>0</v>
      </c>
      <c r="BJ849" s="173">
        <f t="shared" si="531"/>
        <v>0</v>
      </c>
      <c r="BK849" s="172"/>
      <c r="BL849" s="172"/>
    </row>
    <row r="850" spans="1:64" s="174" customFormat="1" ht="12.75">
      <c r="A850" s="120" t="s">
        <v>140</v>
      </c>
      <c r="B850" s="170" t="e">
        <f>SUM(C850:BJ850)</f>
        <v>#REF!</v>
      </c>
      <c r="C850" s="171">
        <f>-C819</f>
        <v>-20064964.491109535</v>
      </c>
      <c r="D850" s="172">
        <f>IF(AND(D807&gt;5,E808=0,D808&lt;&gt;0),SUM(D$71:$BJ824)-D819,-D819)</f>
        <v>-23917270.545550235</v>
      </c>
      <c r="E850" s="172">
        <f>IF(AND(E807&gt;5,F808=0,E808&lt;&gt;0),SUM(E$71:$BJ824)-E819,-E819)</f>
        <v>-39068231.375196233</v>
      </c>
      <c r="F850" s="172">
        <f>IF(AND(F807&gt;5,G808=0,F808&lt;&gt;0),SUM(F$71:$BJ824)-F819,-F819)</f>
        <v>-40630960.630204082</v>
      </c>
      <c r="G850" s="172">
        <f>IF(AND(G807&gt;5,H808=0,G808&lt;&gt;0),SUM(G$71:$BJ824)-G819,-G819)</f>
        <v>-42256199.055412248</v>
      </c>
      <c r="H850" s="172">
        <f>IF(AND(H807&gt;5,I808=0,H808&lt;&gt;0),SUM(H$71:$BJ824)-H819,-H819)</f>
        <v>0</v>
      </c>
      <c r="I850" s="172">
        <f>IF(AND(I807&gt;5,J808=0,I808&lt;&gt;0),SUM(I$71:$BJ824)-I819,-I819)</f>
        <v>0</v>
      </c>
      <c r="J850" s="172">
        <f>IF(AND(J807&gt;5,K808=0,J808&lt;&gt;0),SUM(J$71:$BJ824)-J819,-J819)</f>
        <v>0</v>
      </c>
      <c r="K850" s="172">
        <f>IF(AND(K807&gt;5,L808=0,K808&lt;&gt;0),SUM(K$71:$BJ824)-K819,-K819)</f>
        <v>0</v>
      </c>
      <c r="L850" s="172">
        <f>IF(AND(L807&gt;5,M808=0,L808&lt;&gt;0),SUM(L$71:$BJ824)-L819,-L819)</f>
        <v>0</v>
      </c>
      <c r="M850" s="172">
        <f>IF(AND(M807&gt;5,N808=0,M808&lt;&gt;0),SUM(M$71:$BJ824)-M819,-M819)</f>
        <v>0</v>
      </c>
      <c r="N850" s="172">
        <f>IF(AND(N807&gt;5,O808=0,N808&lt;&gt;0),SUM(N$71:$BJ824)-N819,-N819)</f>
        <v>0</v>
      </c>
      <c r="O850" s="172">
        <f>IF(AND(O807&gt;5,P808=0,O808&lt;&gt;0),SUM(O$71:$BJ824)-O819,-O819)</f>
        <v>0</v>
      </c>
      <c r="P850" s="172">
        <f>IF(AND(P807&gt;5,Q808=0,P808&lt;&gt;0),SUM(P$71:$BJ824)-P819,-P819)</f>
        <v>0</v>
      </c>
      <c r="Q850" s="172">
        <f>IF(AND(Q807&gt;5,R808=0,Q808&lt;&gt;0),SUM(Q$71:$BJ824)-Q819,-Q819)</f>
        <v>0</v>
      </c>
      <c r="R850" s="172">
        <f>IF(AND(R807&gt;5,S808=0,R808&lt;&gt;0),SUM(R$71:$BJ824)-R819,-R819)</f>
        <v>0</v>
      </c>
      <c r="S850" s="172">
        <f>IF(AND(S807&gt;5,T808=0,S808&lt;&gt;0),SUM(S$71:$BJ824)-S819,-S819)</f>
        <v>0</v>
      </c>
      <c r="T850" s="172">
        <f>IF(AND(T807&gt;5,U808=0,T808&lt;&gt;0),SUM(T$71:$BJ824)-T819,-T819)</f>
        <v>0</v>
      </c>
      <c r="U850" s="172" t="e">
        <f>IF(AND(U807&gt;5,V808=0,U808&lt;&gt;0),SUM(U$71:$BJ824)-U819,-U819)</f>
        <v>#REF!</v>
      </c>
      <c r="V850" s="172">
        <f>IF(AND(V807&gt;5,W808=0,V808&lt;&gt;0),SUM(V$71:$BJ824)-V819,-V819)</f>
        <v>0</v>
      </c>
      <c r="W850" s="172">
        <f>IF(AND(W807&gt;5,X808=0,W808&lt;&gt;0),SUM(W$71:$BJ824)-W819,-W819)</f>
        <v>0</v>
      </c>
      <c r="X850" s="172">
        <f>IF(AND(X807&gt;5,Y808=0,X808&lt;&gt;0),SUM(X$71:$BJ824)-X819,-X819)</f>
        <v>0</v>
      </c>
      <c r="Y850" s="172">
        <f>IF(AND(Y807&gt;5,Z808=0,Y808&lt;&gt;0),SUM(Y$71:$BJ824)-Y819,-Y819)</f>
        <v>0</v>
      </c>
      <c r="Z850" s="175">
        <f>IF(AND(Z807&gt;5,AA808=0,Z808&lt;&gt;0),SUM(Z$71:$BJ824)-Z819,-Z819)</f>
        <v>0</v>
      </c>
      <c r="AA850" s="172">
        <f>IF(AND(AA807&gt;5,AB808=0,AA808&lt;&gt;0),SUM(AA$71:$BJ824)-AA819,-AA819)</f>
        <v>0</v>
      </c>
      <c r="AB850" s="172">
        <f>IF(AND(AB807&gt;5,AC808=0,AB808&lt;&gt;0),SUM(AB$71:$BJ824)-AB819,-AB819)</f>
        <v>0</v>
      </c>
      <c r="AC850" s="172">
        <f>IF(AND(AC807&gt;5,AD808=0,AC808&lt;&gt;0),SUM(AC$71:$BJ824)-AC819,-AC819)</f>
        <v>0</v>
      </c>
      <c r="AD850" s="172">
        <f>IF(AND(AD807&gt;5,AE808=0,AD808&lt;&gt;0),SUM(AD$71:$BJ824)-AD819,-AD819)</f>
        <v>0</v>
      </c>
      <c r="AE850" s="172">
        <f>IF(AND(AE807&gt;5,AF808=0,AE808&lt;&gt;0),SUM(AE$71:$BJ824)-AE819,-AE819)</f>
        <v>0</v>
      </c>
      <c r="AF850" s="172">
        <f>IF(AND(AF807&gt;5,AG808=0,AF808&lt;&gt;0),SUM(AF$71:$BJ824)-AF819,-AF819)</f>
        <v>0</v>
      </c>
      <c r="AG850" s="172">
        <f>IF(AND(AG807&gt;5,AH808=0,AG808&lt;&gt;0),SUM(AG$71:$BJ824)-AG819,-AG819)</f>
        <v>0</v>
      </c>
      <c r="AH850" s="172">
        <f>IF(AND(AH807&gt;5,AI808=0,AH808&lt;&gt;0),SUM(AH$71:$BJ824)-AH819,-AH819)</f>
        <v>0</v>
      </c>
      <c r="AI850" s="172">
        <f>IF(AND(AI807&gt;5,AJ808=0,AI808&lt;&gt;0),SUM(AI$71:$BJ824)-AI819,-AI819)</f>
        <v>0</v>
      </c>
      <c r="AJ850" s="172">
        <f>IF(AND(AJ807&gt;5,AK808=0,AJ808&lt;&gt;0),SUM(AJ$71:$BJ824)-AJ819,-AJ819)</f>
        <v>0</v>
      </c>
      <c r="AK850" s="172">
        <f>IF(AND(AK807&gt;5,AL808=0,AK808&lt;&gt;0),SUM(AK$71:$BJ824)-AK819,-AK819)</f>
        <v>0</v>
      </c>
      <c r="AL850" s="172">
        <f>IF(AND(AL807&gt;5,AM808=0,AL808&lt;&gt;0),SUM(AL$71:$BJ824)-AL819,-AL819)</f>
        <v>0</v>
      </c>
      <c r="AM850" s="172">
        <f>IF(AND(AM807&gt;5,AN808=0,AM808&lt;&gt;0),SUM(AM$71:$BJ824)-AM819,-AM819)</f>
        <v>0</v>
      </c>
      <c r="AN850" s="172">
        <f>IF(AND(AN807&gt;5,AO808=0,AN808&lt;&gt;0),SUM(AN$71:$BJ824)-AN819,-AN819)</f>
        <v>0</v>
      </c>
      <c r="AO850" s="172">
        <f>IF(AND(AO807&gt;5,AP808=0,AO808&lt;&gt;0),SUM(AO$71:$BJ824)-AO819,-AO819)</f>
        <v>0</v>
      </c>
      <c r="AP850" s="172">
        <f>IF(AND(AP807&gt;5,AQ808=0,AP808&lt;&gt;0),SUM(AP$71:$BJ824)-AP819,-AP819)</f>
        <v>0</v>
      </c>
      <c r="AQ850" s="172">
        <f>IF(AND(AQ807&gt;5,AR808=0,AQ808&lt;&gt;0),SUM(AQ$71:$BJ824)-AQ819,-AQ819)</f>
        <v>0</v>
      </c>
      <c r="AR850" s="172">
        <f>IF(AND(AR807&gt;5,AS808=0,AR808&lt;&gt;0),SUM(AR$71:$BJ824)-AR819,-AR819)</f>
        <v>0</v>
      </c>
      <c r="AS850" s="172">
        <f>IF(AND(AS807&gt;5,AT808=0,AS808&lt;&gt;0),SUM(AS$71:$BJ824)-AS819,-AS819)</f>
        <v>0</v>
      </c>
      <c r="AT850" s="172">
        <f>IF(AND(AT807&gt;5,AU808=0,AT808&lt;&gt;0),SUM(AT$71:$BJ824)-AT819,-AT819)</f>
        <v>0</v>
      </c>
      <c r="AU850" s="172">
        <f>IF(AND(AU807&gt;5,AV808=0,AU808&lt;&gt;0),SUM(AU$71:$BJ824)-AU819,-AU819)</f>
        <v>0</v>
      </c>
      <c r="AV850" s="172">
        <f>IF(AND(AV807&gt;5,AW808=0,AV808&lt;&gt;0),SUM(AV$71:$BJ824)-AV819,-AV819)</f>
        <v>0</v>
      </c>
      <c r="AW850" s="172">
        <f>IF(AND(AW807&gt;5,AX808=0,AW808&lt;&gt;0),SUM(AW$71:$BJ824)-AW819,-AW819)</f>
        <v>0</v>
      </c>
      <c r="AX850" s="172">
        <f>IF(AND(AX807&gt;5,AY808=0,AX808&lt;&gt;0),SUM(AX$71:$BJ824)-AX819,-AX819)</f>
        <v>0</v>
      </c>
      <c r="AY850" s="172">
        <f>IF(AND(AY807&gt;5,AZ808=0,AY808&lt;&gt;0),SUM(AY$71:$BJ824)-AY819,-AY819)</f>
        <v>0</v>
      </c>
      <c r="AZ850" s="172">
        <f>IF(AND(AZ807&gt;5,BA808=0,AZ808&lt;&gt;0),SUM(AZ$71:$BJ824)-AZ819,-AZ819)</f>
        <v>0</v>
      </c>
      <c r="BA850" s="172">
        <f>IF(AND(BA807&gt;5,BB808=0,BA808&lt;&gt;0),SUM(BA$71:$BJ824)-BA819,-BA819)</f>
        <v>0</v>
      </c>
      <c r="BB850" s="172">
        <f>IF(AND(BB807&gt;5,BC808=0,BB808&lt;&gt;0),SUM(BB$71:$BJ824)-BB819,-BB819)</f>
        <v>0</v>
      </c>
      <c r="BC850" s="172">
        <f>IF(AND(BC807&gt;5,BD808=0,BC808&lt;&gt;0),SUM(BC$71:$BJ824)-BC819,-BC819)</f>
        <v>0</v>
      </c>
      <c r="BD850" s="172">
        <f>IF(AND(BD807&gt;5,BE808=0,BD808&lt;&gt;0),SUM(BD$71:$BJ824)-BD819,-BD819)</f>
        <v>0</v>
      </c>
      <c r="BE850" s="172">
        <f>IF(AND(BE807&gt;5,BF808=0,BE808&lt;&gt;0),SUM(BE$71:$BJ824)-BE819,-BE819)</f>
        <v>0</v>
      </c>
      <c r="BF850" s="172">
        <f>IF(AND(BF807&gt;5,BG808=0,BF808&lt;&gt;0),SUM(BF$71:$BJ824)-BF819,-BF819)</f>
        <v>0</v>
      </c>
      <c r="BG850" s="172">
        <f>IF(AND(BG807&gt;5,BH808=0,BG808&lt;&gt;0),SUM(BG$71:$BJ824)-BG819,-BG819)</f>
        <v>0</v>
      </c>
      <c r="BH850" s="172">
        <f>IF(AND(BH807&gt;5,BI808=0,BH808&lt;&gt;0),SUM(BH$71:$BJ824)-BH819,-BH819)</f>
        <v>0</v>
      </c>
      <c r="BI850" s="172">
        <f>IF(AND(BI807&gt;5,BJ808=0,BI808&lt;&gt;0),SUM(BI$71:$BJ824)-BI819,-BI819)</f>
        <v>0</v>
      </c>
      <c r="BJ850" s="173">
        <f>IF(AND(BJ807&gt;5,BK808=0,BJ808&lt;&gt;0),SUM(BJ$71:$BJ824)-BJ819,-BJ819)</f>
        <v>0</v>
      </c>
      <c r="BK850" s="172"/>
      <c r="BL850" s="172"/>
    </row>
    <row r="851" spans="1:64" s="160" customFormat="1">
      <c r="A851" s="176" t="s">
        <v>141</v>
      </c>
      <c r="B851" s="177">
        <f>SUM(C851:BJ851)</f>
        <v>2090798754.4413564</v>
      </c>
      <c r="C851" s="178">
        <f>C846+C849</f>
        <v>-17671504.977141425</v>
      </c>
      <c r="D851" s="179">
        <f t="shared" ref="D851:BJ851" si="532">D846+D849</f>
        <v>-20835406.485659868</v>
      </c>
      <c r="E851" s="179">
        <f t="shared" si="532"/>
        <v>-35863092.752910249</v>
      </c>
      <c r="F851" s="179">
        <f t="shared" si="532"/>
        <v>-37297616.463026658</v>
      </c>
      <c r="G851" s="179">
        <f t="shared" si="532"/>
        <v>-38789521.121547729</v>
      </c>
      <c r="H851" s="179">
        <f t="shared" si="532"/>
        <v>33311848.102782004</v>
      </c>
      <c r="I851" s="179">
        <f t="shared" si="532"/>
        <v>68011307.303801373</v>
      </c>
      <c r="J851" s="179">
        <f t="shared" si="532"/>
        <v>105433424.28393783</v>
      </c>
      <c r="K851" s="179">
        <f t="shared" si="532"/>
        <v>145740492.53079915</v>
      </c>
      <c r="L851" s="179">
        <f t="shared" si="532"/>
        <v>209067964.9535147</v>
      </c>
      <c r="M851" s="179">
        <f t="shared" si="532"/>
        <v>217430683.55165532</v>
      </c>
      <c r="N851" s="179">
        <f t="shared" si="532"/>
        <v>226127910.89372152</v>
      </c>
      <c r="O851" s="179">
        <f t="shared" si="532"/>
        <v>235173027.32947043</v>
      </c>
      <c r="P851" s="179">
        <f t="shared" si="532"/>
        <v>244579948.4226492</v>
      </c>
      <c r="Q851" s="179">
        <f t="shared" si="532"/>
        <v>254363146.35955524</v>
      </c>
      <c r="R851" s="179">
        <f t="shared" si="532"/>
        <v>191784545.64276224</v>
      </c>
      <c r="S851" s="179">
        <f t="shared" si="532"/>
        <v>150064638.20737499</v>
      </c>
      <c r="T851" s="179">
        <f t="shared" si="532"/>
        <v>104700282.90412836</v>
      </c>
      <c r="U851" s="179">
        <f t="shared" si="532"/>
        <v>55466675.755490154</v>
      </c>
      <c r="V851" s="179">
        <f t="shared" si="532"/>
        <v>0</v>
      </c>
      <c r="W851" s="179">
        <f t="shared" si="532"/>
        <v>0</v>
      </c>
      <c r="X851" s="179">
        <f t="shared" si="532"/>
        <v>0</v>
      </c>
      <c r="Y851" s="179">
        <f t="shared" si="532"/>
        <v>0</v>
      </c>
      <c r="Z851" s="179">
        <f t="shared" si="532"/>
        <v>0</v>
      </c>
      <c r="AA851" s="179">
        <f t="shared" si="532"/>
        <v>0</v>
      </c>
      <c r="AB851" s="179">
        <f t="shared" si="532"/>
        <v>0</v>
      </c>
      <c r="AC851" s="179">
        <f t="shared" si="532"/>
        <v>0</v>
      </c>
      <c r="AD851" s="179">
        <f t="shared" si="532"/>
        <v>0</v>
      </c>
      <c r="AE851" s="179">
        <f t="shared" si="532"/>
        <v>0</v>
      </c>
      <c r="AF851" s="179">
        <f t="shared" si="532"/>
        <v>0</v>
      </c>
      <c r="AG851" s="179">
        <f t="shared" si="532"/>
        <v>0</v>
      </c>
      <c r="AH851" s="179">
        <f t="shared" si="532"/>
        <v>0</v>
      </c>
      <c r="AI851" s="179">
        <f t="shared" si="532"/>
        <v>0</v>
      </c>
      <c r="AJ851" s="179">
        <f t="shared" si="532"/>
        <v>0</v>
      </c>
      <c r="AK851" s="179">
        <f t="shared" si="532"/>
        <v>0</v>
      </c>
      <c r="AL851" s="179">
        <f t="shared" si="532"/>
        <v>0</v>
      </c>
      <c r="AM851" s="179">
        <f t="shared" si="532"/>
        <v>0</v>
      </c>
      <c r="AN851" s="179">
        <f t="shared" si="532"/>
        <v>0</v>
      </c>
      <c r="AO851" s="179">
        <f t="shared" si="532"/>
        <v>0</v>
      </c>
      <c r="AP851" s="179">
        <f t="shared" si="532"/>
        <v>0</v>
      </c>
      <c r="AQ851" s="179">
        <f t="shared" si="532"/>
        <v>0</v>
      </c>
      <c r="AR851" s="179">
        <f t="shared" si="532"/>
        <v>0</v>
      </c>
      <c r="AS851" s="179">
        <f t="shared" si="532"/>
        <v>0</v>
      </c>
      <c r="AT851" s="179">
        <f t="shared" si="532"/>
        <v>0</v>
      </c>
      <c r="AU851" s="179">
        <f t="shared" si="532"/>
        <v>0</v>
      </c>
      <c r="AV851" s="179">
        <f t="shared" si="532"/>
        <v>0</v>
      </c>
      <c r="AW851" s="179">
        <f t="shared" si="532"/>
        <v>0</v>
      </c>
      <c r="AX851" s="179">
        <f t="shared" si="532"/>
        <v>0</v>
      </c>
      <c r="AY851" s="179">
        <f t="shared" si="532"/>
        <v>0</v>
      </c>
      <c r="AZ851" s="179">
        <f t="shared" si="532"/>
        <v>0</v>
      </c>
      <c r="BA851" s="179">
        <f t="shared" si="532"/>
        <v>0</v>
      </c>
      <c r="BB851" s="179">
        <f t="shared" si="532"/>
        <v>0</v>
      </c>
      <c r="BC851" s="179">
        <f t="shared" si="532"/>
        <v>0</v>
      </c>
      <c r="BD851" s="179">
        <f t="shared" si="532"/>
        <v>0</v>
      </c>
      <c r="BE851" s="179">
        <f t="shared" si="532"/>
        <v>0</v>
      </c>
      <c r="BF851" s="179">
        <f t="shared" si="532"/>
        <v>0</v>
      </c>
      <c r="BG851" s="179">
        <f t="shared" si="532"/>
        <v>0</v>
      </c>
      <c r="BH851" s="179">
        <f t="shared" si="532"/>
        <v>0</v>
      </c>
      <c r="BI851" s="179">
        <f t="shared" si="532"/>
        <v>0</v>
      </c>
      <c r="BJ851" s="180">
        <f t="shared" si="532"/>
        <v>0</v>
      </c>
    </row>
    <row r="852" spans="1:64" s="80" customFormat="1">
      <c r="A852" s="176" t="s">
        <v>142</v>
      </c>
      <c r="B852" s="177">
        <f>SUM(C852:BJ852)</f>
        <v>504696441.87853497</v>
      </c>
      <c r="C852" s="181">
        <f>C851*(1+$C749)^-(C807-1)</f>
        <v>-17671504.977141425</v>
      </c>
      <c r="D852" s="182">
        <f>D851*(1+$C749)^-(D807-1)</f>
        <v>-18603041.505053453</v>
      </c>
      <c r="E852" s="182">
        <f t="shared" ref="E852:BJ852" si="533">E851*(1+$C749)^-(E807-1)</f>
        <v>-28589837.97266442</v>
      </c>
      <c r="F852" s="182">
        <f t="shared" si="533"/>
        <v>-26547706.688902669</v>
      </c>
      <c r="G852" s="182">
        <f t="shared" si="533"/>
        <v>-24651441.925409626</v>
      </c>
      <c r="H852" s="182">
        <f t="shared" si="533"/>
        <v>18902037.227137174</v>
      </c>
      <c r="I852" s="182">
        <f t="shared" si="533"/>
        <v>34456644.872060187</v>
      </c>
      <c r="J852" s="182">
        <f t="shared" si="533"/>
        <v>47692726.745121039</v>
      </c>
      <c r="K852" s="182">
        <f t="shared" si="533"/>
        <v>58862140.570642292</v>
      </c>
      <c r="L852" s="182">
        <f t="shared" si="533"/>
        <v>75392004.064734936</v>
      </c>
      <c r="M852" s="182">
        <f t="shared" si="533"/>
        <v>70006860.917253867</v>
      </c>
      <c r="N852" s="182">
        <f t="shared" si="533"/>
        <v>65006370.851735726</v>
      </c>
      <c r="O852" s="182">
        <f t="shared" si="533"/>
        <v>60363058.648040339</v>
      </c>
      <c r="P852" s="182">
        <f t="shared" si="533"/>
        <v>56051411.601751715</v>
      </c>
      <c r="Q852" s="182">
        <f t="shared" si="533"/>
        <v>52047739.344483748</v>
      </c>
      <c r="R852" s="182">
        <f t="shared" si="533"/>
        <v>35038319.457185842</v>
      </c>
      <c r="S852" s="182">
        <f t="shared" si="533"/>
        <v>24478793.168260816</v>
      </c>
      <c r="T852" s="182">
        <f t="shared" si="533"/>
        <v>15249003.698890472</v>
      </c>
      <c r="U852" s="182">
        <f t="shared" si="533"/>
        <v>7212863.780408429</v>
      </c>
      <c r="V852" s="182">
        <f t="shared" si="533"/>
        <v>0</v>
      </c>
      <c r="W852" s="182">
        <f t="shared" si="533"/>
        <v>0</v>
      </c>
      <c r="X852" s="182">
        <f t="shared" si="533"/>
        <v>0</v>
      </c>
      <c r="Y852" s="182">
        <f t="shared" si="533"/>
        <v>0</v>
      </c>
      <c r="Z852" s="182">
        <f t="shared" si="533"/>
        <v>0</v>
      </c>
      <c r="AA852" s="182">
        <f t="shared" si="533"/>
        <v>0</v>
      </c>
      <c r="AB852" s="182">
        <f t="shared" si="533"/>
        <v>0</v>
      </c>
      <c r="AC852" s="182">
        <f t="shared" si="533"/>
        <v>0</v>
      </c>
      <c r="AD852" s="182">
        <f t="shared" si="533"/>
        <v>0</v>
      </c>
      <c r="AE852" s="182">
        <f t="shared" si="533"/>
        <v>0</v>
      </c>
      <c r="AF852" s="182">
        <f t="shared" si="533"/>
        <v>0</v>
      </c>
      <c r="AG852" s="182">
        <f t="shared" si="533"/>
        <v>0</v>
      </c>
      <c r="AH852" s="182">
        <f t="shared" si="533"/>
        <v>0</v>
      </c>
      <c r="AI852" s="182">
        <f t="shared" si="533"/>
        <v>0</v>
      </c>
      <c r="AJ852" s="182">
        <f t="shared" si="533"/>
        <v>0</v>
      </c>
      <c r="AK852" s="182">
        <f t="shared" si="533"/>
        <v>0</v>
      </c>
      <c r="AL852" s="182">
        <f t="shared" si="533"/>
        <v>0</v>
      </c>
      <c r="AM852" s="182">
        <f t="shared" si="533"/>
        <v>0</v>
      </c>
      <c r="AN852" s="182">
        <f t="shared" si="533"/>
        <v>0</v>
      </c>
      <c r="AO852" s="182">
        <f t="shared" si="533"/>
        <v>0</v>
      </c>
      <c r="AP852" s="182">
        <f t="shared" si="533"/>
        <v>0</v>
      </c>
      <c r="AQ852" s="182">
        <f t="shared" si="533"/>
        <v>0</v>
      </c>
      <c r="AR852" s="182">
        <f t="shared" si="533"/>
        <v>0</v>
      </c>
      <c r="AS852" s="182">
        <f t="shared" si="533"/>
        <v>0</v>
      </c>
      <c r="AT852" s="182">
        <f t="shared" si="533"/>
        <v>0</v>
      </c>
      <c r="AU852" s="182">
        <f t="shared" si="533"/>
        <v>0</v>
      </c>
      <c r="AV852" s="182">
        <f t="shared" si="533"/>
        <v>0</v>
      </c>
      <c r="AW852" s="182">
        <f t="shared" si="533"/>
        <v>0</v>
      </c>
      <c r="AX852" s="182">
        <f t="shared" si="533"/>
        <v>0</v>
      </c>
      <c r="AY852" s="182">
        <f t="shared" si="533"/>
        <v>0</v>
      </c>
      <c r="AZ852" s="182">
        <f t="shared" si="533"/>
        <v>0</v>
      </c>
      <c r="BA852" s="182">
        <f t="shared" si="533"/>
        <v>0</v>
      </c>
      <c r="BB852" s="182">
        <f t="shared" si="533"/>
        <v>0</v>
      </c>
      <c r="BC852" s="182">
        <f t="shared" si="533"/>
        <v>0</v>
      </c>
      <c r="BD852" s="182">
        <f t="shared" si="533"/>
        <v>0</v>
      </c>
      <c r="BE852" s="182">
        <f t="shared" si="533"/>
        <v>0</v>
      </c>
      <c r="BF852" s="182">
        <f t="shared" si="533"/>
        <v>0</v>
      </c>
      <c r="BG852" s="182">
        <f t="shared" si="533"/>
        <v>0</v>
      </c>
      <c r="BH852" s="182">
        <f t="shared" si="533"/>
        <v>0</v>
      </c>
      <c r="BI852" s="182">
        <f t="shared" si="533"/>
        <v>0</v>
      </c>
      <c r="BJ852" s="183">
        <f t="shared" si="533"/>
        <v>0</v>
      </c>
    </row>
    <row r="853" spans="1:64" s="80" customFormat="1">
      <c r="A853" s="184" t="s">
        <v>143</v>
      </c>
      <c r="B853" s="177"/>
      <c r="C853" s="181">
        <f>C852</f>
        <v>-17671504.977141425</v>
      </c>
      <c r="D853" s="182">
        <f t="shared" ref="D853:BJ853" si="534">IF(D852=0, 0, C853+D852)</f>
        <v>-36274546.482194878</v>
      </c>
      <c r="E853" s="182">
        <f t="shared" si="534"/>
        <v>-64864384.454859301</v>
      </c>
      <c r="F853" s="182">
        <f t="shared" si="534"/>
        <v>-91412091.143761963</v>
      </c>
      <c r="G853" s="182">
        <f t="shared" si="534"/>
        <v>-116063533.06917159</v>
      </c>
      <c r="H853" s="182">
        <f t="shared" si="534"/>
        <v>-97161495.842034414</v>
      </c>
      <c r="I853" s="182">
        <f t="shared" si="534"/>
        <v>-62704850.969974227</v>
      </c>
      <c r="J853" s="182">
        <f t="shared" si="534"/>
        <v>-15012124.224853188</v>
      </c>
      <c r="K853" s="182">
        <f t="shared" si="534"/>
        <v>43850016.345789105</v>
      </c>
      <c r="L853" s="182">
        <f t="shared" si="534"/>
        <v>119242020.41052404</v>
      </c>
      <c r="M853" s="182">
        <f t="shared" si="534"/>
        <v>189248881.32777792</v>
      </c>
      <c r="N853" s="182">
        <f t="shared" si="534"/>
        <v>254255252.17951363</v>
      </c>
      <c r="O853" s="182">
        <f t="shared" si="534"/>
        <v>314618310.82755399</v>
      </c>
      <c r="P853" s="182">
        <f t="shared" si="534"/>
        <v>370669722.42930567</v>
      </c>
      <c r="Q853" s="182">
        <f t="shared" si="534"/>
        <v>422717461.77378941</v>
      </c>
      <c r="R853" s="182">
        <f t="shared" si="534"/>
        <v>457755781.23097527</v>
      </c>
      <c r="S853" s="182">
        <f t="shared" si="534"/>
        <v>482234574.39923608</v>
      </c>
      <c r="T853" s="182">
        <f t="shared" si="534"/>
        <v>497483578.09812653</v>
      </c>
      <c r="U853" s="182">
        <f t="shared" si="534"/>
        <v>504696441.87853497</v>
      </c>
      <c r="V853" s="182">
        <f t="shared" si="534"/>
        <v>0</v>
      </c>
      <c r="W853" s="182">
        <f t="shared" si="534"/>
        <v>0</v>
      </c>
      <c r="X853" s="182">
        <f t="shared" si="534"/>
        <v>0</v>
      </c>
      <c r="Y853" s="182">
        <f t="shared" si="534"/>
        <v>0</v>
      </c>
      <c r="Z853" s="182">
        <f t="shared" si="534"/>
        <v>0</v>
      </c>
      <c r="AA853" s="182">
        <f t="shared" si="534"/>
        <v>0</v>
      </c>
      <c r="AB853" s="182">
        <f t="shared" si="534"/>
        <v>0</v>
      </c>
      <c r="AC853" s="182">
        <f t="shared" si="534"/>
        <v>0</v>
      </c>
      <c r="AD853" s="182">
        <f t="shared" si="534"/>
        <v>0</v>
      </c>
      <c r="AE853" s="182">
        <f t="shared" si="534"/>
        <v>0</v>
      </c>
      <c r="AF853" s="182">
        <f t="shared" si="534"/>
        <v>0</v>
      </c>
      <c r="AG853" s="182">
        <f t="shared" si="534"/>
        <v>0</v>
      </c>
      <c r="AH853" s="182">
        <f t="shared" si="534"/>
        <v>0</v>
      </c>
      <c r="AI853" s="182">
        <f t="shared" si="534"/>
        <v>0</v>
      </c>
      <c r="AJ853" s="182">
        <f t="shared" si="534"/>
        <v>0</v>
      </c>
      <c r="AK853" s="182">
        <f t="shared" si="534"/>
        <v>0</v>
      </c>
      <c r="AL853" s="182">
        <f t="shared" si="534"/>
        <v>0</v>
      </c>
      <c r="AM853" s="182">
        <f t="shared" si="534"/>
        <v>0</v>
      </c>
      <c r="AN853" s="182">
        <f t="shared" si="534"/>
        <v>0</v>
      </c>
      <c r="AO853" s="182">
        <f t="shared" si="534"/>
        <v>0</v>
      </c>
      <c r="AP853" s="182">
        <f t="shared" si="534"/>
        <v>0</v>
      </c>
      <c r="AQ853" s="182">
        <f t="shared" si="534"/>
        <v>0</v>
      </c>
      <c r="AR853" s="182">
        <f t="shared" si="534"/>
        <v>0</v>
      </c>
      <c r="AS853" s="182">
        <f t="shared" si="534"/>
        <v>0</v>
      </c>
      <c r="AT853" s="182">
        <f t="shared" si="534"/>
        <v>0</v>
      </c>
      <c r="AU853" s="182">
        <f t="shared" si="534"/>
        <v>0</v>
      </c>
      <c r="AV853" s="182">
        <f t="shared" si="534"/>
        <v>0</v>
      </c>
      <c r="AW853" s="182">
        <f t="shared" si="534"/>
        <v>0</v>
      </c>
      <c r="AX853" s="182">
        <f t="shared" si="534"/>
        <v>0</v>
      </c>
      <c r="AY853" s="182">
        <f t="shared" si="534"/>
        <v>0</v>
      </c>
      <c r="AZ853" s="182">
        <f t="shared" si="534"/>
        <v>0</v>
      </c>
      <c r="BA853" s="182">
        <f t="shared" si="534"/>
        <v>0</v>
      </c>
      <c r="BB853" s="182">
        <f t="shared" si="534"/>
        <v>0</v>
      </c>
      <c r="BC853" s="182">
        <f t="shared" si="534"/>
        <v>0</v>
      </c>
      <c r="BD853" s="182">
        <f t="shared" si="534"/>
        <v>0</v>
      </c>
      <c r="BE853" s="182">
        <f t="shared" si="534"/>
        <v>0</v>
      </c>
      <c r="BF853" s="182">
        <f t="shared" si="534"/>
        <v>0</v>
      </c>
      <c r="BG853" s="182">
        <f t="shared" si="534"/>
        <v>0</v>
      </c>
      <c r="BH853" s="182">
        <f t="shared" si="534"/>
        <v>0</v>
      </c>
      <c r="BI853" s="182">
        <f t="shared" si="534"/>
        <v>0</v>
      </c>
      <c r="BJ853" s="183">
        <f t="shared" si="534"/>
        <v>0</v>
      </c>
    </row>
    <row r="854" spans="1:64" s="83" customFormat="1">
      <c r="A854" s="78"/>
      <c r="B854" s="81"/>
      <c r="C854" s="82"/>
      <c r="D854" s="82"/>
      <c r="E854" s="82"/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2"/>
      <c r="AD854" s="82"/>
      <c r="AE854" s="82"/>
      <c r="AF854" s="82"/>
      <c r="AG854" s="82"/>
      <c r="AH854" s="82"/>
      <c r="AI854" s="82"/>
      <c r="AJ854" s="82"/>
      <c r="AK854" s="82"/>
      <c r="AL854" s="82"/>
      <c r="AM854" s="82"/>
      <c r="AN854" s="82"/>
      <c r="AO854" s="82"/>
      <c r="AP854" s="82"/>
      <c r="AQ854" s="82"/>
      <c r="AR854" s="82"/>
      <c r="AS854" s="82"/>
      <c r="AT854" s="82"/>
      <c r="AU854" s="82"/>
      <c r="AV854" s="82"/>
      <c r="AW854" s="82"/>
      <c r="AX854" s="82"/>
      <c r="AY854" s="82"/>
      <c r="AZ854" s="82"/>
      <c r="BA854" s="82"/>
      <c r="BB854" s="82"/>
      <c r="BC854" s="82"/>
      <c r="BD854" s="82"/>
      <c r="BE854" s="82"/>
      <c r="BF854" s="82"/>
      <c r="BG854" s="82"/>
      <c r="BH854" s="82"/>
      <c r="BI854" s="82"/>
      <c r="BJ854" s="82"/>
    </row>
    <row r="855" spans="1:64" ht="21">
      <c r="A855" s="185" t="s">
        <v>163</v>
      </c>
      <c r="B855" s="93"/>
      <c r="C855" s="186"/>
      <c r="D855" s="186"/>
      <c r="E855" s="186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86"/>
      <c r="AD855" s="186"/>
      <c r="AE855" s="186"/>
      <c r="AF855" s="186"/>
      <c r="AG855" s="186"/>
      <c r="AH855" s="186"/>
      <c r="AI855" s="186"/>
      <c r="AJ855" s="186"/>
      <c r="AK855" s="186"/>
      <c r="AL855" s="186"/>
      <c r="AM855" s="186"/>
      <c r="AN855" s="186"/>
      <c r="AO855" s="186"/>
      <c r="AP855" s="186"/>
      <c r="AQ855" s="186"/>
      <c r="AR855" s="186"/>
      <c r="AS855" s="186"/>
      <c r="AT855" s="186"/>
      <c r="AU855" s="186"/>
      <c r="AV855" s="186"/>
      <c r="AW855" s="186"/>
      <c r="AX855" s="186"/>
      <c r="AY855" s="186"/>
      <c r="AZ855" s="186"/>
      <c r="BA855" s="186"/>
      <c r="BB855" s="186"/>
      <c r="BC855" s="186"/>
      <c r="BD855" s="186"/>
      <c r="BE855" s="186"/>
      <c r="BF855" s="186"/>
      <c r="BG855" s="186"/>
      <c r="BH855" s="186"/>
      <c r="BI855" s="186"/>
      <c r="BJ855" s="186"/>
    </row>
    <row r="856" spans="1:64">
      <c r="A856" s="187" t="s">
        <v>158</v>
      </c>
      <c r="B856" s="188">
        <f>SUM(C856:BJ856)</f>
        <v>925.29990912874052</v>
      </c>
      <c r="C856" s="189">
        <f>(C808*(1-$K749))/(1+$C749)^(C807-1)</f>
        <v>0</v>
      </c>
      <c r="D856" s="190">
        <f>(D808*(1-$K749))/(1+$C749)^(D807-1)</f>
        <v>0</v>
      </c>
      <c r="E856" s="190">
        <f t="shared" ref="E856:BJ856" si="535">(E808*(1-$K749))/(1+$C749)^(E807-1)</f>
        <v>0</v>
      </c>
      <c r="F856" s="190">
        <f t="shared" si="535"/>
        <v>0</v>
      </c>
      <c r="G856" s="190">
        <f t="shared" si="535"/>
        <v>0</v>
      </c>
      <c r="H856" s="190">
        <f t="shared" si="535"/>
        <v>34.13639964003093</v>
      </c>
      <c r="I856" s="190">
        <f t="shared" si="535"/>
        <v>60.957856500055222</v>
      </c>
      <c r="J856" s="190">
        <f t="shared" si="535"/>
        <v>81.639986384002526</v>
      </c>
      <c r="K856" s="190">
        <f t="shared" si="535"/>
        <v>97.190459980955382</v>
      </c>
      <c r="L856" s="190">
        <f t="shared" si="535"/>
        <v>120.01101631386967</v>
      </c>
      <c r="M856" s="190">
        <f t="shared" si="535"/>
        <v>107.15269313738364</v>
      </c>
      <c r="N856" s="190">
        <f t="shared" si="535"/>
        <v>95.672047444092513</v>
      </c>
      <c r="O856" s="190">
        <f t="shared" si="535"/>
        <v>85.421470932225461</v>
      </c>
      <c r="P856" s="190">
        <f t="shared" si="535"/>
        <v>76.269170475201292</v>
      </c>
      <c r="Q856" s="190">
        <f t="shared" si="535"/>
        <v>68.097473638572581</v>
      </c>
      <c r="R856" s="190">
        <f t="shared" si="535"/>
        <v>43.964028310616911</v>
      </c>
      <c r="S856" s="190">
        <f t="shared" si="535"/>
        <v>29.440197529430964</v>
      </c>
      <c r="T856" s="190">
        <f t="shared" si="535"/>
        <v>17.523927100851761</v>
      </c>
      <c r="U856" s="190">
        <f t="shared" si="535"/>
        <v>7.8231817414516787</v>
      </c>
      <c r="V856" s="190">
        <f t="shared" si="535"/>
        <v>0</v>
      </c>
      <c r="W856" s="190">
        <f t="shared" si="535"/>
        <v>0</v>
      </c>
      <c r="X856" s="190">
        <f t="shared" si="535"/>
        <v>0</v>
      </c>
      <c r="Y856" s="190">
        <f t="shared" si="535"/>
        <v>0</v>
      </c>
      <c r="Z856" s="190">
        <f t="shared" si="535"/>
        <v>0</v>
      </c>
      <c r="AA856" s="190">
        <f t="shared" si="535"/>
        <v>0</v>
      </c>
      <c r="AB856" s="190">
        <f t="shared" si="535"/>
        <v>0</v>
      </c>
      <c r="AC856" s="190">
        <f t="shared" si="535"/>
        <v>0</v>
      </c>
      <c r="AD856" s="190">
        <f t="shared" si="535"/>
        <v>0</v>
      </c>
      <c r="AE856" s="190">
        <f t="shared" si="535"/>
        <v>0</v>
      </c>
      <c r="AF856" s="190">
        <f t="shared" si="535"/>
        <v>0</v>
      </c>
      <c r="AG856" s="190">
        <f t="shared" si="535"/>
        <v>0</v>
      </c>
      <c r="AH856" s="190">
        <f t="shared" si="535"/>
        <v>0</v>
      </c>
      <c r="AI856" s="190">
        <f t="shared" si="535"/>
        <v>0</v>
      </c>
      <c r="AJ856" s="190">
        <f t="shared" si="535"/>
        <v>0</v>
      </c>
      <c r="AK856" s="190">
        <f t="shared" si="535"/>
        <v>0</v>
      </c>
      <c r="AL856" s="190">
        <f t="shared" si="535"/>
        <v>0</v>
      </c>
      <c r="AM856" s="190">
        <f t="shared" si="535"/>
        <v>0</v>
      </c>
      <c r="AN856" s="190">
        <f t="shared" si="535"/>
        <v>0</v>
      </c>
      <c r="AO856" s="190">
        <f t="shared" si="535"/>
        <v>0</v>
      </c>
      <c r="AP856" s="190">
        <f t="shared" si="535"/>
        <v>0</v>
      </c>
      <c r="AQ856" s="190">
        <f t="shared" si="535"/>
        <v>0</v>
      </c>
      <c r="AR856" s="190">
        <f t="shared" si="535"/>
        <v>0</v>
      </c>
      <c r="AS856" s="190">
        <f t="shared" si="535"/>
        <v>0</v>
      </c>
      <c r="AT856" s="190">
        <f t="shared" si="535"/>
        <v>0</v>
      </c>
      <c r="AU856" s="190">
        <f t="shared" si="535"/>
        <v>0</v>
      </c>
      <c r="AV856" s="190">
        <f t="shared" si="535"/>
        <v>0</v>
      </c>
      <c r="AW856" s="190">
        <f t="shared" si="535"/>
        <v>0</v>
      </c>
      <c r="AX856" s="190">
        <f t="shared" si="535"/>
        <v>0</v>
      </c>
      <c r="AY856" s="190">
        <f t="shared" si="535"/>
        <v>0</v>
      </c>
      <c r="AZ856" s="190">
        <f t="shared" si="535"/>
        <v>0</v>
      </c>
      <c r="BA856" s="190">
        <f t="shared" si="535"/>
        <v>0</v>
      </c>
      <c r="BB856" s="190">
        <f t="shared" si="535"/>
        <v>0</v>
      </c>
      <c r="BC856" s="190">
        <f t="shared" si="535"/>
        <v>0</v>
      </c>
      <c r="BD856" s="190">
        <f t="shared" si="535"/>
        <v>0</v>
      </c>
      <c r="BE856" s="190">
        <f t="shared" si="535"/>
        <v>0</v>
      </c>
      <c r="BF856" s="190">
        <f t="shared" si="535"/>
        <v>0</v>
      </c>
      <c r="BG856" s="190">
        <f t="shared" si="535"/>
        <v>0</v>
      </c>
      <c r="BH856" s="190">
        <f t="shared" si="535"/>
        <v>0</v>
      </c>
      <c r="BI856" s="190">
        <f t="shared" si="535"/>
        <v>0</v>
      </c>
      <c r="BJ856" s="191">
        <f t="shared" si="535"/>
        <v>0</v>
      </c>
    </row>
    <row r="857" spans="1:64">
      <c r="A857" s="192" t="s">
        <v>159</v>
      </c>
      <c r="B857" s="193">
        <f>SUM(C857:BJ857)</f>
        <v>499018662.53044355</v>
      </c>
      <c r="C857" s="194">
        <f>(((C810+C839)*(1-$K749))-(C849-C819))/(1+$C749)^(C807-1)</f>
        <v>29413856.706985325</v>
      </c>
      <c r="D857" s="186">
        <f>(((D810+D839)*(1-$K749))-(D849-D819))/(1+$C749)^(D807-1)</f>
        <v>29893455.339069095</v>
      </c>
      <c r="E857" s="186">
        <f t="shared" ref="E857:BJ857" si="536">(((E810+E839)*(1-$K749))-(E849-E819))/(1+$C749)^(E807-1)</f>
        <v>38866160.64328526</v>
      </c>
      <c r="F857" s="186">
        <f t="shared" si="536"/>
        <v>35897204.210113592</v>
      </c>
      <c r="G857" s="186">
        <f t="shared" si="536"/>
        <v>33154087.672276232</v>
      </c>
      <c r="H857" s="186">
        <f t="shared" si="536"/>
        <v>9320056.1332539413</v>
      </c>
      <c r="I857" s="186">
        <f t="shared" si="536"/>
        <v>17955814.225809027</v>
      </c>
      <c r="J857" s="186">
        <f t="shared" si="536"/>
        <v>25310341.284053922</v>
      </c>
      <c r="K857" s="186">
        <f t="shared" si="536"/>
        <v>31522610.322621956</v>
      </c>
      <c r="L857" s="186">
        <f t="shared" si="536"/>
        <v>40679598.52615916</v>
      </c>
      <c r="M857" s="186">
        <f t="shared" si="536"/>
        <v>37773912.917147785</v>
      </c>
      <c r="N857" s="186">
        <f t="shared" si="536"/>
        <v>35075776.280208662</v>
      </c>
      <c r="O857" s="186">
        <f t="shared" si="536"/>
        <v>32570363.688765191</v>
      </c>
      <c r="P857" s="186">
        <f t="shared" si="536"/>
        <v>30243909.139567662</v>
      </c>
      <c r="Q857" s="186">
        <f t="shared" si="536"/>
        <v>28083629.915312834</v>
      </c>
      <c r="R857" s="186">
        <f t="shared" si="536"/>
        <v>18764171.331534702</v>
      </c>
      <c r="S857" s="186">
        <f t="shared" si="536"/>
        <v>12990798.631026698</v>
      </c>
      <c r="T857" s="186">
        <f t="shared" si="536"/>
        <v>7946457.8911446622</v>
      </c>
      <c r="U857" s="186">
        <f t="shared" si="536"/>
        <v>3556457.67210788</v>
      </c>
      <c r="V857" s="186">
        <f t="shared" si="536"/>
        <v>0</v>
      </c>
      <c r="W857" s="186">
        <f t="shared" si="536"/>
        <v>0</v>
      </c>
      <c r="X857" s="186">
        <f t="shared" si="536"/>
        <v>0</v>
      </c>
      <c r="Y857" s="186">
        <f t="shared" si="536"/>
        <v>0</v>
      </c>
      <c r="Z857" s="186">
        <f t="shared" si="536"/>
        <v>0</v>
      </c>
      <c r="AA857" s="186">
        <f t="shared" si="536"/>
        <v>0</v>
      </c>
      <c r="AB857" s="186">
        <f t="shared" si="536"/>
        <v>0</v>
      </c>
      <c r="AC857" s="186">
        <f t="shared" si="536"/>
        <v>0</v>
      </c>
      <c r="AD857" s="186">
        <f t="shared" si="536"/>
        <v>0</v>
      </c>
      <c r="AE857" s="186">
        <f t="shared" si="536"/>
        <v>0</v>
      </c>
      <c r="AF857" s="186">
        <f t="shared" si="536"/>
        <v>0</v>
      </c>
      <c r="AG857" s="186">
        <f t="shared" si="536"/>
        <v>0</v>
      </c>
      <c r="AH857" s="186">
        <f t="shared" si="536"/>
        <v>0</v>
      </c>
      <c r="AI857" s="186">
        <f t="shared" si="536"/>
        <v>0</v>
      </c>
      <c r="AJ857" s="186">
        <f t="shared" si="536"/>
        <v>0</v>
      </c>
      <c r="AK857" s="186">
        <f t="shared" si="536"/>
        <v>0</v>
      </c>
      <c r="AL857" s="186">
        <f t="shared" si="536"/>
        <v>0</v>
      </c>
      <c r="AM857" s="186">
        <f t="shared" si="536"/>
        <v>0</v>
      </c>
      <c r="AN857" s="186">
        <f t="shared" si="536"/>
        <v>0</v>
      </c>
      <c r="AO857" s="186">
        <f t="shared" si="536"/>
        <v>0</v>
      </c>
      <c r="AP857" s="186">
        <f t="shared" si="536"/>
        <v>0</v>
      </c>
      <c r="AQ857" s="186">
        <f t="shared" si="536"/>
        <v>0</v>
      </c>
      <c r="AR857" s="186">
        <f t="shared" si="536"/>
        <v>0</v>
      </c>
      <c r="AS857" s="186">
        <f t="shared" si="536"/>
        <v>0</v>
      </c>
      <c r="AT857" s="186">
        <f t="shared" si="536"/>
        <v>0</v>
      </c>
      <c r="AU857" s="186">
        <f t="shared" si="536"/>
        <v>0</v>
      </c>
      <c r="AV857" s="186">
        <f t="shared" si="536"/>
        <v>0</v>
      </c>
      <c r="AW857" s="186">
        <f t="shared" si="536"/>
        <v>0</v>
      </c>
      <c r="AX857" s="186">
        <f t="shared" si="536"/>
        <v>0</v>
      </c>
      <c r="AY857" s="186">
        <f t="shared" si="536"/>
        <v>0</v>
      </c>
      <c r="AZ857" s="186">
        <f t="shared" si="536"/>
        <v>0</v>
      </c>
      <c r="BA857" s="186">
        <f t="shared" si="536"/>
        <v>0</v>
      </c>
      <c r="BB857" s="186">
        <f t="shared" si="536"/>
        <v>0</v>
      </c>
      <c r="BC857" s="186">
        <f t="shared" si="536"/>
        <v>0</v>
      </c>
      <c r="BD857" s="186">
        <f t="shared" si="536"/>
        <v>0</v>
      </c>
      <c r="BE857" s="186">
        <f t="shared" si="536"/>
        <v>0</v>
      </c>
      <c r="BF857" s="186">
        <f t="shared" si="536"/>
        <v>0</v>
      </c>
      <c r="BG857" s="186">
        <f t="shared" si="536"/>
        <v>0</v>
      </c>
      <c r="BH857" s="186">
        <f t="shared" si="536"/>
        <v>0</v>
      </c>
      <c r="BI857" s="186">
        <f t="shared" si="536"/>
        <v>0</v>
      </c>
      <c r="BJ857" s="195">
        <f t="shared" si="536"/>
        <v>0</v>
      </c>
    </row>
    <row r="858" spans="1:64">
      <c r="A858" s="196" t="s">
        <v>160</v>
      </c>
      <c r="B858" s="197">
        <f>B857/B856</f>
        <v>539304.77849102777</v>
      </c>
      <c r="C858" s="166"/>
      <c r="D858" s="167"/>
      <c r="E858" s="167"/>
      <c r="F858" s="167"/>
      <c r="G858" s="167"/>
      <c r="H858" s="167"/>
      <c r="I858" s="167"/>
      <c r="J858" s="167"/>
      <c r="K858" s="167"/>
      <c r="L858" s="167"/>
      <c r="M858" s="167"/>
      <c r="N858" s="167"/>
      <c r="O858" s="167"/>
      <c r="P858" s="167"/>
      <c r="Q858" s="167"/>
      <c r="R858" s="167"/>
      <c r="S858" s="167"/>
      <c r="T858" s="167"/>
      <c r="U858" s="167"/>
      <c r="V858" s="167"/>
      <c r="W858" s="167"/>
      <c r="X858" s="167"/>
      <c r="Y858" s="167"/>
      <c r="Z858" s="167"/>
      <c r="AA858" s="167"/>
      <c r="AB858" s="167"/>
      <c r="AC858" s="167"/>
      <c r="AD858" s="167"/>
      <c r="AE858" s="167"/>
      <c r="AF858" s="167"/>
      <c r="AG858" s="167"/>
      <c r="AH858" s="167"/>
      <c r="AI858" s="167"/>
      <c r="AJ858" s="167"/>
      <c r="AK858" s="167"/>
      <c r="AL858" s="167"/>
      <c r="AM858" s="167"/>
      <c r="AN858" s="167"/>
      <c r="AO858" s="167"/>
      <c r="AP858" s="167"/>
      <c r="AQ858" s="167"/>
      <c r="AR858" s="167"/>
      <c r="AS858" s="167"/>
      <c r="AT858" s="167"/>
      <c r="AU858" s="167"/>
      <c r="AV858" s="167"/>
      <c r="AW858" s="167"/>
      <c r="AX858" s="167"/>
      <c r="AY858" s="167"/>
      <c r="AZ858" s="167"/>
      <c r="BA858" s="167"/>
      <c r="BB858" s="167"/>
      <c r="BC858" s="167"/>
      <c r="BD858" s="167"/>
      <c r="BE858" s="167"/>
      <c r="BF858" s="167"/>
      <c r="BG858" s="167"/>
      <c r="BH858" s="167"/>
      <c r="BI858" s="167"/>
      <c r="BJ858" s="198"/>
    </row>
    <row r="859" spans="1:64">
      <c r="A859" s="187" t="s">
        <v>158</v>
      </c>
      <c r="B859" s="188">
        <f>SUM(C859:BJ859)</f>
        <v>3200</v>
      </c>
      <c r="C859" s="189">
        <f>(C808*(1-$K749))/(1)^(C807-1)</f>
        <v>0</v>
      </c>
      <c r="D859" s="190">
        <f>(D808*(1-$K749))/(1)^(D807-1)</f>
        <v>0</v>
      </c>
      <c r="E859" s="190">
        <f t="shared" ref="E859:BJ859" si="537">(E808*(1-$K749))/(1)^(E807-1)</f>
        <v>0</v>
      </c>
      <c r="F859" s="190">
        <f t="shared" si="537"/>
        <v>0</v>
      </c>
      <c r="G859" s="190">
        <f t="shared" si="537"/>
        <v>0</v>
      </c>
      <c r="H859" s="190">
        <f t="shared" si="537"/>
        <v>60.16</v>
      </c>
      <c r="I859" s="190">
        <f t="shared" si="537"/>
        <v>120.32</v>
      </c>
      <c r="J859" s="190">
        <f t="shared" si="537"/>
        <v>180.48</v>
      </c>
      <c r="K859" s="190">
        <f t="shared" si="537"/>
        <v>240.64</v>
      </c>
      <c r="L859" s="190">
        <f t="shared" si="537"/>
        <v>332.8</v>
      </c>
      <c r="M859" s="190">
        <f t="shared" si="537"/>
        <v>332.8</v>
      </c>
      <c r="N859" s="190">
        <f t="shared" si="537"/>
        <v>332.8</v>
      </c>
      <c r="O859" s="190">
        <f t="shared" si="537"/>
        <v>332.8</v>
      </c>
      <c r="P859" s="190">
        <f t="shared" si="537"/>
        <v>332.8</v>
      </c>
      <c r="Q859" s="190">
        <f t="shared" si="537"/>
        <v>332.8</v>
      </c>
      <c r="R859" s="190">
        <f t="shared" si="537"/>
        <v>240.64</v>
      </c>
      <c r="S859" s="190">
        <f t="shared" si="537"/>
        <v>180.48</v>
      </c>
      <c r="T859" s="190">
        <f t="shared" si="537"/>
        <v>120.32</v>
      </c>
      <c r="U859" s="190">
        <f t="shared" si="537"/>
        <v>60.16</v>
      </c>
      <c r="V859" s="190">
        <f t="shared" si="537"/>
        <v>0</v>
      </c>
      <c r="W859" s="190">
        <f t="shared" si="537"/>
        <v>0</v>
      </c>
      <c r="X859" s="190">
        <f t="shared" si="537"/>
        <v>0</v>
      </c>
      <c r="Y859" s="190">
        <f t="shared" si="537"/>
        <v>0</v>
      </c>
      <c r="Z859" s="190">
        <f t="shared" si="537"/>
        <v>0</v>
      </c>
      <c r="AA859" s="190">
        <f t="shared" si="537"/>
        <v>0</v>
      </c>
      <c r="AB859" s="190">
        <f t="shared" si="537"/>
        <v>0</v>
      </c>
      <c r="AC859" s="190">
        <f t="shared" si="537"/>
        <v>0</v>
      </c>
      <c r="AD859" s="190">
        <f t="shared" si="537"/>
        <v>0</v>
      </c>
      <c r="AE859" s="190">
        <f t="shared" si="537"/>
        <v>0</v>
      </c>
      <c r="AF859" s="190">
        <f t="shared" si="537"/>
        <v>0</v>
      </c>
      <c r="AG859" s="190">
        <f t="shared" si="537"/>
        <v>0</v>
      </c>
      <c r="AH859" s="190">
        <f t="shared" si="537"/>
        <v>0</v>
      </c>
      <c r="AI859" s="190">
        <f t="shared" si="537"/>
        <v>0</v>
      </c>
      <c r="AJ859" s="190">
        <f t="shared" si="537"/>
        <v>0</v>
      </c>
      <c r="AK859" s="190">
        <f t="shared" si="537"/>
        <v>0</v>
      </c>
      <c r="AL859" s="190">
        <f t="shared" si="537"/>
        <v>0</v>
      </c>
      <c r="AM859" s="190">
        <f t="shared" si="537"/>
        <v>0</v>
      </c>
      <c r="AN859" s="190">
        <f t="shared" si="537"/>
        <v>0</v>
      </c>
      <c r="AO859" s="190">
        <f t="shared" si="537"/>
        <v>0</v>
      </c>
      <c r="AP859" s="190">
        <f t="shared" si="537"/>
        <v>0</v>
      </c>
      <c r="AQ859" s="190">
        <f t="shared" si="537"/>
        <v>0</v>
      </c>
      <c r="AR859" s="190">
        <f t="shared" si="537"/>
        <v>0</v>
      </c>
      <c r="AS859" s="190">
        <f t="shared" si="537"/>
        <v>0</v>
      </c>
      <c r="AT859" s="190">
        <f t="shared" si="537"/>
        <v>0</v>
      </c>
      <c r="AU859" s="190">
        <f t="shared" si="537"/>
        <v>0</v>
      </c>
      <c r="AV859" s="190">
        <f t="shared" si="537"/>
        <v>0</v>
      </c>
      <c r="AW859" s="190">
        <f t="shared" si="537"/>
        <v>0</v>
      </c>
      <c r="AX859" s="190">
        <f t="shared" si="537"/>
        <v>0</v>
      </c>
      <c r="AY859" s="190">
        <f t="shared" si="537"/>
        <v>0</v>
      </c>
      <c r="AZ859" s="190">
        <f t="shared" si="537"/>
        <v>0</v>
      </c>
      <c r="BA859" s="190">
        <f t="shared" si="537"/>
        <v>0</v>
      </c>
      <c r="BB859" s="190">
        <f t="shared" si="537"/>
        <v>0</v>
      </c>
      <c r="BC859" s="190">
        <f t="shared" si="537"/>
        <v>0</v>
      </c>
      <c r="BD859" s="190">
        <f t="shared" si="537"/>
        <v>0</v>
      </c>
      <c r="BE859" s="190">
        <f t="shared" si="537"/>
        <v>0</v>
      </c>
      <c r="BF859" s="190">
        <f t="shared" si="537"/>
        <v>0</v>
      </c>
      <c r="BG859" s="190">
        <f t="shared" si="537"/>
        <v>0</v>
      </c>
      <c r="BH859" s="190">
        <f t="shared" si="537"/>
        <v>0</v>
      </c>
      <c r="BI859" s="190">
        <f t="shared" si="537"/>
        <v>0</v>
      </c>
      <c r="BJ859" s="191">
        <f t="shared" si="537"/>
        <v>0</v>
      </c>
    </row>
    <row r="860" spans="1:64">
      <c r="A860" s="192" t="s">
        <v>159</v>
      </c>
      <c r="B860" s="193">
        <f>SUM(C860:BJ860)</f>
        <v>1412624751.2590618</v>
      </c>
      <c r="C860" s="194">
        <f>(((C810+C839)*(1-$K749))-(C849-C819))/(1)^(C807-1)</f>
        <v>29413856.706985325</v>
      </c>
      <c r="D860" s="186">
        <f>(((D810+D839)*(1-$K749))-(D849-D819))/(1)^(D807-1)</f>
        <v>33480669.979757391</v>
      </c>
      <c r="E860" s="186">
        <f t="shared" ref="E860:BJ860" si="538">(((E810+E839)*(1-$K749))-(E849-E819))/(1)^(E807-1)</f>
        <v>48753711.910937034</v>
      </c>
      <c r="F860" s="186">
        <f t="shared" si="538"/>
        <v>50432987.316506483</v>
      </c>
      <c r="G860" s="186">
        <f t="shared" si="538"/>
        <v>52168598.815463997</v>
      </c>
      <c r="H860" s="186">
        <f t="shared" si="538"/>
        <v>16425123.413397238</v>
      </c>
      <c r="I860" s="186">
        <f t="shared" si="538"/>
        <v>35441593.449851453</v>
      </c>
      <c r="J860" s="186">
        <f t="shared" si="538"/>
        <v>55953100.891760558</v>
      </c>
      <c r="K860" s="186">
        <f t="shared" si="538"/>
        <v>78048822.379502654</v>
      </c>
      <c r="L860" s="186">
        <f t="shared" si="538"/>
        <v>112807730.53449395</v>
      </c>
      <c r="M860" s="186">
        <f t="shared" si="538"/>
        <v>117320039.75587371</v>
      </c>
      <c r="N860" s="186">
        <f t="shared" si="538"/>
        <v>122012841.34610868</v>
      </c>
      <c r="O860" s="186">
        <f t="shared" si="538"/>
        <v>126893354.99995305</v>
      </c>
      <c r="P860" s="186">
        <f t="shared" si="538"/>
        <v>131969089.19995113</v>
      </c>
      <c r="Q860" s="186">
        <f t="shared" si="538"/>
        <v>137247852.76794919</v>
      </c>
      <c r="R860" s="186">
        <f t="shared" si="538"/>
        <v>102706925.70112097</v>
      </c>
      <c r="S860" s="186">
        <f t="shared" si="538"/>
        <v>79638709.440853938</v>
      </c>
      <c r="T860" s="186">
        <f t="shared" si="538"/>
        <v>54560704.798643731</v>
      </c>
      <c r="U860" s="186">
        <f t="shared" si="538"/>
        <v>27349037.849951319</v>
      </c>
      <c r="V860" s="186">
        <f t="shared" si="538"/>
        <v>0</v>
      </c>
      <c r="W860" s="186">
        <f t="shared" si="538"/>
        <v>0</v>
      </c>
      <c r="X860" s="186">
        <f t="shared" si="538"/>
        <v>0</v>
      </c>
      <c r="Y860" s="186">
        <f t="shared" si="538"/>
        <v>0</v>
      </c>
      <c r="Z860" s="186">
        <f t="shared" si="538"/>
        <v>0</v>
      </c>
      <c r="AA860" s="186">
        <f t="shared" si="538"/>
        <v>0</v>
      </c>
      <c r="AB860" s="186">
        <f t="shared" si="538"/>
        <v>0</v>
      </c>
      <c r="AC860" s="186">
        <f t="shared" si="538"/>
        <v>0</v>
      </c>
      <c r="AD860" s="186">
        <f t="shared" si="538"/>
        <v>0</v>
      </c>
      <c r="AE860" s="186">
        <f t="shared" si="538"/>
        <v>0</v>
      </c>
      <c r="AF860" s="186">
        <f t="shared" si="538"/>
        <v>0</v>
      </c>
      <c r="AG860" s="186">
        <f t="shared" si="538"/>
        <v>0</v>
      </c>
      <c r="AH860" s="186">
        <f t="shared" si="538"/>
        <v>0</v>
      </c>
      <c r="AI860" s="186">
        <f t="shared" si="538"/>
        <v>0</v>
      </c>
      <c r="AJ860" s="186">
        <f t="shared" si="538"/>
        <v>0</v>
      </c>
      <c r="AK860" s="186">
        <f t="shared" si="538"/>
        <v>0</v>
      </c>
      <c r="AL860" s="186">
        <f t="shared" si="538"/>
        <v>0</v>
      </c>
      <c r="AM860" s="186">
        <f t="shared" si="538"/>
        <v>0</v>
      </c>
      <c r="AN860" s="186">
        <f t="shared" si="538"/>
        <v>0</v>
      </c>
      <c r="AO860" s="186">
        <f t="shared" si="538"/>
        <v>0</v>
      </c>
      <c r="AP860" s="186">
        <f t="shared" si="538"/>
        <v>0</v>
      </c>
      <c r="AQ860" s="186">
        <f t="shared" si="538"/>
        <v>0</v>
      </c>
      <c r="AR860" s="186">
        <f t="shared" si="538"/>
        <v>0</v>
      </c>
      <c r="AS860" s="186">
        <f t="shared" si="538"/>
        <v>0</v>
      </c>
      <c r="AT860" s="186">
        <f t="shared" si="538"/>
        <v>0</v>
      </c>
      <c r="AU860" s="186">
        <f t="shared" si="538"/>
        <v>0</v>
      </c>
      <c r="AV860" s="186">
        <f t="shared" si="538"/>
        <v>0</v>
      </c>
      <c r="AW860" s="186">
        <f t="shared" si="538"/>
        <v>0</v>
      </c>
      <c r="AX860" s="186">
        <f t="shared" si="538"/>
        <v>0</v>
      </c>
      <c r="AY860" s="186">
        <f t="shared" si="538"/>
        <v>0</v>
      </c>
      <c r="AZ860" s="186">
        <f t="shared" si="538"/>
        <v>0</v>
      </c>
      <c r="BA860" s="186">
        <f t="shared" si="538"/>
        <v>0</v>
      </c>
      <c r="BB860" s="186">
        <f t="shared" si="538"/>
        <v>0</v>
      </c>
      <c r="BC860" s="186">
        <f t="shared" si="538"/>
        <v>0</v>
      </c>
      <c r="BD860" s="186">
        <f t="shared" si="538"/>
        <v>0</v>
      </c>
      <c r="BE860" s="186">
        <f t="shared" si="538"/>
        <v>0</v>
      </c>
      <c r="BF860" s="186">
        <f t="shared" si="538"/>
        <v>0</v>
      </c>
      <c r="BG860" s="186">
        <f t="shared" si="538"/>
        <v>0</v>
      </c>
      <c r="BH860" s="186">
        <f t="shared" si="538"/>
        <v>0</v>
      </c>
      <c r="BI860" s="186">
        <f t="shared" si="538"/>
        <v>0</v>
      </c>
      <c r="BJ860" s="195">
        <f t="shared" si="538"/>
        <v>0</v>
      </c>
      <c r="BK860" s="186"/>
    </row>
    <row r="861" spans="1:64">
      <c r="A861" s="196" t="s">
        <v>161</v>
      </c>
      <c r="B861" s="197">
        <f>B860/B859</f>
        <v>441445.23476845684</v>
      </c>
      <c r="C861" s="166"/>
      <c r="D861" s="167"/>
      <c r="E861" s="167"/>
      <c r="F861" s="167"/>
      <c r="G861" s="167"/>
      <c r="H861" s="167"/>
      <c r="I861" s="167"/>
      <c r="J861" s="167"/>
      <c r="K861" s="167"/>
      <c r="L861" s="167"/>
      <c r="M861" s="167"/>
      <c r="N861" s="167"/>
      <c r="O861" s="167"/>
      <c r="P861" s="167"/>
      <c r="Q861" s="167"/>
      <c r="R861" s="167"/>
      <c r="S861" s="167"/>
      <c r="T861" s="167"/>
      <c r="U861" s="167"/>
      <c r="V861" s="167"/>
      <c r="W861" s="167"/>
      <c r="X861" s="167"/>
      <c r="Y861" s="167"/>
      <c r="Z861" s="167"/>
      <c r="AA861" s="167"/>
      <c r="AB861" s="167"/>
      <c r="AC861" s="167"/>
      <c r="AD861" s="167"/>
      <c r="AE861" s="167"/>
      <c r="AF861" s="167"/>
      <c r="AG861" s="167"/>
      <c r="AH861" s="167"/>
      <c r="AI861" s="167"/>
      <c r="AJ861" s="167"/>
      <c r="AK861" s="167"/>
      <c r="AL861" s="167"/>
      <c r="AM861" s="167"/>
      <c r="AN861" s="167"/>
      <c r="AO861" s="167"/>
      <c r="AP861" s="167"/>
      <c r="AQ861" s="167"/>
      <c r="AR861" s="167"/>
      <c r="AS861" s="167"/>
      <c r="AT861" s="167"/>
      <c r="AU861" s="167"/>
      <c r="AV861" s="167"/>
      <c r="AW861" s="167"/>
      <c r="AX861" s="167"/>
      <c r="AY861" s="167"/>
      <c r="AZ861" s="167"/>
      <c r="BA861" s="167"/>
      <c r="BB861" s="167"/>
      <c r="BC861" s="167"/>
      <c r="BD861" s="167"/>
      <c r="BE861" s="167"/>
      <c r="BF861" s="167"/>
      <c r="BG861" s="167"/>
      <c r="BH861" s="167"/>
      <c r="BI861" s="167"/>
      <c r="BJ861" s="198"/>
    </row>
    <row r="862" spans="1:64">
      <c r="A862" s="216" t="s">
        <v>164</v>
      </c>
      <c r="B862" s="235">
        <v>9</v>
      </c>
      <c r="C862" s="218"/>
      <c r="D862" s="186"/>
      <c r="E862" s="186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86"/>
      <c r="AD862" s="186"/>
      <c r="AE862" s="186"/>
      <c r="AF862" s="186"/>
      <c r="AG862" s="186"/>
      <c r="AH862" s="186"/>
      <c r="AI862" s="186"/>
      <c r="AJ862" s="186"/>
      <c r="AK862" s="186"/>
      <c r="AL862" s="186"/>
      <c r="AM862" s="186"/>
      <c r="AN862" s="186"/>
      <c r="AO862" s="186"/>
      <c r="AP862" s="186"/>
      <c r="AQ862" s="186"/>
      <c r="AR862" s="186"/>
      <c r="AS862" s="186"/>
      <c r="AT862" s="186"/>
      <c r="AU862" s="186"/>
      <c r="AV862" s="186"/>
      <c r="AW862" s="186"/>
      <c r="AX862" s="186"/>
      <c r="AY862" s="186"/>
      <c r="AZ862" s="186"/>
      <c r="BA862" s="186"/>
      <c r="BB862" s="186"/>
      <c r="BC862" s="186"/>
      <c r="BD862" s="186"/>
      <c r="BE862" s="186"/>
      <c r="BF862" s="186"/>
      <c r="BG862" s="186"/>
      <c r="BH862" s="186"/>
      <c r="BI862" s="186"/>
      <c r="BJ862" s="186"/>
    </row>
    <row r="865" spans="1:67" ht="28.5">
      <c r="A865" s="84">
        <v>8</v>
      </c>
      <c r="B865" s="85" t="s">
        <v>147</v>
      </c>
      <c r="C865" s="86">
        <v>0.12</v>
      </c>
      <c r="D865" s="85" t="s">
        <v>148</v>
      </c>
      <c r="E865" s="86">
        <v>0.25</v>
      </c>
      <c r="F865" s="85" t="s">
        <v>149</v>
      </c>
      <c r="G865" s="86">
        <v>0.04</v>
      </c>
      <c r="H865" s="85" t="s">
        <v>150</v>
      </c>
      <c r="I865" s="87">
        <v>0.1</v>
      </c>
      <c r="J865" s="85" t="s">
        <v>151</v>
      </c>
      <c r="K865" s="86">
        <v>0.2</v>
      </c>
      <c r="L865" s="85" t="s">
        <v>152</v>
      </c>
      <c r="M865" s="87">
        <v>0.26</v>
      </c>
      <c r="N865" s="85" t="s">
        <v>153</v>
      </c>
      <c r="O865" s="88">
        <v>30</v>
      </c>
    </row>
    <row r="866" spans="1:67" s="94" customFormat="1">
      <c r="A866" s="90" t="s">
        <v>154</v>
      </c>
      <c r="B866" s="91" t="s">
        <v>155</v>
      </c>
      <c r="C866" s="91">
        <v>1</v>
      </c>
      <c r="D866" s="92">
        <v>2</v>
      </c>
      <c r="E866" s="92">
        <v>3</v>
      </c>
      <c r="F866" s="92">
        <v>4</v>
      </c>
      <c r="G866" s="92">
        <v>5</v>
      </c>
      <c r="H866" s="92">
        <v>6</v>
      </c>
      <c r="I866" s="92">
        <v>7</v>
      </c>
      <c r="J866" s="92">
        <v>8</v>
      </c>
      <c r="K866" s="92">
        <v>9</v>
      </c>
      <c r="L866" s="92">
        <v>10</v>
      </c>
      <c r="M866" s="92">
        <v>11</v>
      </c>
      <c r="N866" s="92">
        <v>12</v>
      </c>
      <c r="O866" s="92">
        <v>13</v>
      </c>
      <c r="P866" s="92">
        <v>14</v>
      </c>
      <c r="Q866" s="92">
        <v>15</v>
      </c>
      <c r="R866" s="92">
        <v>16</v>
      </c>
      <c r="S866" s="92">
        <v>17</v>
      </c>
      <c r="T866" s="92">
        <v>18</v>
      </c>
      <c r="U866" s="92">
        <v>19</v>
      </c>
      <c r="V866" s="92">
        <v>20</v>
      </c>
      <c r="W866" s="92">
        <v>21</v>
      </c>
      <c r="X866" s="92">
        <v>22</v>
      </c>
      <c r="Y866" s="92">
        <v>23</v>
      </c>
      <c r="Z866" s="92">
        <v>24</v>
      </c>
      <c r="AA866" s="92">
        <v>25</v>
      </c>
      <c r="AB866" s="92">
        <v>26</v>
      </c>
      <c r="AC866" s="92">
        <v>27</v>
      </c>
      <c r="AD866" s="92">
        <v>28</v>
      </c>
      <c r="AE866" s="92">
        <v>29</v>
      </c>
      <c r="AF866" s="92">
        <v>30</v>
      </c>
      <c r="AG866" s="92">
        <v>31</v>
      </c>
      <c r="AH866" s="92">
        <v>32</v>
      </c>
      <c r="AI866" s="92">
        <v>33</v>
      </c>
      <c r="AJ866" s="92">
        <v>34</v>
      </c>
      <c r="AK866" s="92">
        <v>35</v>
      </c>
      <c r="AL866" s="92">
        <v>36</v>
      </c>
      <c r="AM866" s="92">
        <v>37</v>
      </c>
      <c r="AN866" s="92">
        <v>38</v>
      </c>
      <c r="AO866" s="92">
        <v>39</v>
      </c>
      <c r="AP866" s="92">
        <v>40</v>
      </c>
      <c r="AQ866" s="92">
        <v>41</v>
      </c>
      <c r="AR866" s="92">
        <v>42</v>
      </c>
      <c r="AS866" s="92">
        <v>43</v>
      </c>
      <c r="AT866" s="92">
        <v>44</v>
      </c>
      <c r="AU866" s="92">
        <v>45</v>
      </c>
      <c r="AV866" s="92">
        <v>46</v>
      </c>
      <c r="AW866" s="92">
        <v>47</v>
      </c>
      <c r="AX866" s="92">
        <v>48</v>
      </c>
      <c r="AY866" s="92">
        <v>49</v>
      </c>
      <c r="AZ866" s="92">
        <v>50</v>
      </c>
      <c r="BA866" s="92">
        <v>51</v>
      </c>
      <c r="BB866" s="92">
        <v>52</v>
      </c>
      <c r="BC866" s="92">
        <v>53</v>
      </c>
      <c r="BD866" s="92">
        <v>54</v>
      </c>
      <c r="BE866" s="92">
        <v>55</v>
      </c>
      <c r="BF866" s="92">
        <v>56</v>
      </c>
      <c r="BG866" s="92">
        <v>57</v>
      </c>
      <c r="BH866" s="92">
        <v>58</v>
      </c>
      <c r="BI866" s="92">
        <v>59</v>
      </c>
      <c r="BJ866" s="93">
        <v>60</v>
      </c>
    </row>
    <row r="867" spans="1:67" s="100" customFormat="1">
      <c r="A867" s="95" t="s">
        <v>156</v>
      </c>
      <c r="B867" s="97">
        <f>SUM(C867:BJ867)</f>
        <v>4000</v>
      </c>
      <c r="C867" s="97">
        <v>0</v>
      </c>
      <c r="D867" s="98">
        <v>0</v>
      </c>
      <c r="E867" s="98">
        <v>0</v>
      </c>
      <c r="F867" s="98">
        <v>0</v>
      </c>
      <c r="G867" s="98">
        <v>0</v>
      </c>
      <c r="H867" s="98">
        <v>111.5</v>
      </c>
      <c r="I867" s="98">
        <v>223</v>
      </c>
      <c r="J867" s="98">
        <v>334.5</v>
      </c>
      <c r="K867" s="98">
        <v>446</v>
      </c>
      <c r="L867" s="98">
        <v>590</v>
      </c>
      <c r="M867" s="98">
        <v>590</v>
      </c>
      <c r="N867" s="98">
        <v>590</v>
      </c>
      <c r="O867" s="98">
        <v>446</v>
      </c>
      <c r="P867" s="98">
        <v>334.5</v>
      </c>
      <c r="Q867" s="98">
        <v>223</v>
      </c>
      <c r="R867" s="98">
        <v>111.5</v>
      </c>
      <c r="S867" s="98">
        <v>0</v>
      </c>
      <c r="T867" s="98">
        <v>0</v>
      </c>
      <c r="U867" s="98">
        <v>0</v>
      </c>
      <c r="V867" s="98">
        <v>0</v>
      </c>
      <c r="W867" s="98">
        <v>0</v>
      </c>
      <c r="X867" s="98">
        <v>0</v>
      </c>
      <c r="Y867" s="98">
        <v>0</v>
      </c>
      <c r="Z867" s="98">
        <v>0</v>
      </c>
      <c r="AA867" s="98">
        <v>0</v>
      </c>
      <c r="AB867" s="98">
        <v>0</v>
      </c>
      <c r="AC867" s="98">
        <v>0</v>
      </c>
      <c r="AD867" s="98">
        <v>0</v>
      </c>
      <c r="AE867" s="98">
        <v>0</v>
      </c>
      <c r="AF867" s="98">
        <v>0</v>
      </c>
      <c r="AG867" s="98">
        <v>0</v>
      </c>
      <c r="AH867" s="98">
        <v>0</v>
      </c>
      <c r="AI867" s="98">
        <v>0</v>
      </c>
      <c r="AJ867" s="98">
        <v>0</v>
      </c>
      <c r="AK867" s="98">
        <v>0</v>
      </c>
      <c r="AL867" s="98">
        <v>0</v>
      </c>
      <c r="AM867" s="98">
        <v>0</v>
      </c>
      <c r="AN867" s="98">
        <v>0</v>
      </c>
      <c r="AO867" s="98">
        <v>0</v>
      </c>
      <c r="AP867" s="98">
        <v>0</v>
      </c>
      <c r="AQ867" s="98">
        <v>0</v>
      </c>
      <c r="AR867" s="98">
        <v>0</v>
      </c>
      <c r="AS867" s="98">
        <v>0</v>
      </c>
      <c r="AT867" s="98">
        <v>0</v>
      </c>
      <c r="AU867" s="98">
        <v>0</v>
      </c>
      <c r="AV867" s="98">
        <v>0</v>
      </c>
      <c r="AW867" s="98">
        <v>0</v>
      </c>
      <c r="AX867" s="98">
        <v>0</v>
      </c>
      <c r="AY867" s="98">
        <v>0</v>
      </c>
      <c r="AZ867" s="98">
        <v>0</v>
      </c>
      <c r="BA867" s="98">
        <v>0</v>
      </c>
      <c r="BB867" s="98">
        <v>0</v>
      </c>
      <c r="BC867" s="98">
        <v>0</v>
      </c>
      <c r="BD867" s="98">
        <v>0</v>
      </c>
      <c r="BE867" s="98">
        <v>0</v>
      </c>
      <c r="BF867" s="98">
        <v>0</v>
      </c>
      <c r="BG867" s="98">
        <v>0</v>
      </c>
      <c r="BH867" s="98">
        <v>0</v>
      </c>
      <c r="BI867" s="98">
        <v>0</v>
      </c>
      <c r="BJ867" s="99">
        <v>0</v>
      </c>
    </row>
    <row r="868" spans="1:67" s="105" customFormat="1">
      <c r="A868" s="101" t="s">
        <v>115</v>
      </c>
      <c r="B868" s="102">
        <f>SUM(C868:BJ868)</f>
        <v>2118573898.578902</v>
      </c>
      <c r="C868" s="222">
        <f>(C876*(1+$E865))+(C867*$B974)+(C867*$B974*$M865)</f>
        <v>15575552.657789767</v>
      </c>
      <c r="D868" s="103">
        <f>(D876*(1+$E865))+(D867*$B974)+(D867*$B974*$M865)</f>
        <v>15575552.657789767</v>
      </c>
      <c r="E868" s="103">
        <f t="shared" ref="E868:BJ868" si="539">(E876*(1+$E865))+(E867*$B974)+(E867*$B974*$M865)</f>
        <v>15575552.657789767</v>
      </c>
      <c r="F868" s="103">
        <f t="shared" si="539"/>
        <v>15575552.657789767</v>
      </c>
      <c r="G868" s="103">
        <f t="shared" si="539"/>
        <v>15575552.657789767</v>
      </c>
      <c r="H868" s="103">
        <f t="shared" si="539"/>
        <v>56884404.771207444</v>
      </c>
      <c r="I868" s="103">
        <f t="shared" si="539"/>
        <v>113768809.54241489</v>
      </c>
      <c r="J868" s="103">
        <f t="shared" si="539"/>
        <v>170653214.31362236</v>
      </c>
      <c r="K868" s="103">
        <f t="shared" si="539"/>
        <v>227537619.08482978</v>
      </c>
      <c r="L868" s="103">
        <f t="shared" si="539"/>
        <v>301002679.95526809</v>
      </c>
      <c r="M868" s="103">
        <f t="shared" si="539"/>
        <v>301002679.95526809</v>
      </c>
      <c r="N868" s="103">
        <f t="shared" si="539"/>
        <v>301002679.95526809</v>
      </c>
      <c r="O868" s="103">
        <f t="shared" si="539"/>
        <v>227537619.08482978</v>
      </c>
      <c r="P868" s="103">
        <f t="shared" si="539"/>
        <v>170653214.31362236</v>
      </c>
      <c r="Q868" s="103">
        <f t="shared" si="539"/>
        <v>113768809.54241489</v>
      </c>
      <c r="R868" s="103">
        <f t="shared" si="539"/>
        <v>56884404.771207444</v>
      </c>
      <c r="S868" s="103">
        <f t="shared" si="539"/>
        <v>0</v>
      </c>
      <c r="T868" s="103">
        <f t="shared" si="539"/>
        <v>0</v>
      </c>
      <c r="U868" s="103">
        <f t="shared" si="539"/>
        <v>0</v>
      </c>
      <c r="V868" s="103">
        <f t="shared" si="539"/>
        <v>0</v>
      </c>
      <c r="W868" s="103">
        <f t="shared" si="539"/>
        <v>0</v>
      </c>
      <c r="X868" s="103">
        <f t="shared" si="539"/>
        <v>0</v>
      </c>
      <c r="Y868" s="103">
        <f t="shared" si="539"/>
        <v>0</v>
      </c>
      <c r="Z868" s="103">
        <f t="shared" si="539"/>
        <v>0</v>
      </c>
      <c r="AA868" s="103">
        <f t="shared" si="539"/>
        <v>0</v>
      </c>
      <c r="AB868" s="103">
        <f t="shared" si="539"/>
        <v>0</v>
      </c>
      <c r="AC868" s="103">
        <f t="shared" si="539"/>
        <v>0</v>
      </c>
      <c r="AD868" s="103">
        <f t="shared" si="539"/>
        <v>0</v>
      </c>
      <c r="AE868" s="103">
        <f t="shared" si="539"/>
        <v>0</v>
      </c>
      <c r="AF868" s="103">
        <f t="shared" si="539"/>
        <v>0</v>
      </c>
      <c r="AG868" s="103">
        <f t="shared" si="539"/>
        <v>0</v>
      </c>
      <c r="AH868" s="103">
        <f t="shared" si="539"/>
        <v>0</v>
      </c>
      <c r="AI868" s="103">
        <f t="shared" si="539"/>
        <v>0</v>
      </c>
      <c r="AJ868" s="103">
        <f t="shared" si="539"/>
        <v>0</v>
      </c>
      <c r="AK868" s="103">
        <f t="shared" si="539"/>
        <v>0</v>
      </c>
      <c r="AL868" s="103">
        <f t="shared" si="539"/>
        <v>0</v>
      </c>
      <c r="AM868" s="103">
        <f t="shared" si="539"/>
        <v>0</v>
      </c>
      <c r="AN868" s="103">
        <f t="shared" si="539"/>
        <v>0</v>
      </c>
      <c r="AO868" s="103">
        <f t="shared" si="539"/>
        <v>0</v>
      </c>
      <c r="AP868" s="103">
        <f t="shared" si="539"/>
        <v>0</v>
      </c>
      <c r="AQ868" s="103">
        <f t="shared" si="539"/>
        <v>0</v>
      </c>
      <c r="AR868" s="103">
        <f t="shared" si="539"/>
        <v>0</v>
      </c>
      <c r="AS868" s="103">
        <f t="shared" si="539"/>
        <v>0</v>
      </c>
      <c r="AT868" s="103">
        <f t="shared" si="539"/>
        <v>0</v>
      </c>
      <c r="AU868" s="103">
        <f t="shared" si="539"/>
        <v>0</v>
      </c>
      <c r="AV868" s="103">
        <f t="shared" si="539"/>
        <v>0</v>
      </c>
      <c r="AW868" s="103">
        <f t="shared" si="539"/>
        <v>0</v>
      </c>
      <c r="AX868" s="103">
        <f t="shared" si="539"/>
        <v>0</v>
      </c>
      <c r="AY868" s="103">
        <f t="shared" si="539"/>
        <v>0</v>
      </c>
      <c r="AZ868" s="103">
        <f t="shared" si="539"/>
        <v>0</v>
      </c>
      <c r="BA868" s="103">
        <f t="shared" si="539"/>
        <v>0</v>
      </c>
      <c r="BB868" s="103">
        <f t="shared" si="539"/>
        <v>0</v>
      </c>
      <c r="BC868" s="103">
        <f t="shared" si="539"/>
        <v>0</v>
      </c>
      <c r="BD868" s="103">
        <f t="shared" si="539"/>
        <v>0</v>
      </c>
      <c r="BE868" s="103">
        <f t="shared" si="539"/>
        <v>0</v>
      </c>
      <c r="BF868" s="103">
        <f t="shared" si="539"/>
        <v>0</v>
      </c>
      <c r="BG868" s="103">
        <f t="shared" si="539"/>
        <v>0</v>
      </c>
      <c r="BH868" s="103">
        <f t="shared" si="539"/>
        <v>0</v>
      </c>
      <c r="BI868" s="103">
        <f t="shared" si="539"/>
        <v>0</v>
      </c>
      <c r="BJ868" s="104">
        <f t="shared" si="539"/>
        <v>0</v>
      </c>
    </row>
    <row r="869" spans="1:67" s="105" customFormat="1">
      <c r="A869" s="106" t="s">
        <v>116</v>
      </c>
      <c r="B869" s="107">
        <f>SUM(B876,B870:B871)</f>
        <v>838035744.20835829</v>
      </c>
      <c r="C869" s="133">
        <f>SUM(C870,C871,C876)</f>
        <v>12460442.126231814</v>
      </c>
      <c r="D869" s="134">
        <f>D870+D871+D876</f>
        <v>12460442.126231814</v>
      </c>
      <c r="E869" s="134">
        <f t="shared" ref="E869:BJ869" si="540">E870+E871+E876</f>
        <v>12460442.126231814</v>
      </c>
      <c r="F869" s="134">
        <f t="shared" si="540"/>
        <v>12460442.126231814</v>
      </c>
      <c r="G869" s="134">
        <f t="shared" si="540"/>
        <v>12460442.126231814</v>
      </c>
      <c r="H869" s="134">
        <f t="shared" si="540"/>
        <v>21623572.248464432</v>
      </c>
      <c r="I869" s="134">
        <f t="shared" si="540"/>
        <v>43247144.496928863</v>
      </c>
      <c r="J869" s="134">
        <f t="shared" si="540"/>
        <v>64870716.745393284</v>
      </c>
      <c r="K869" s="134">
        <f t="shared" si="540"/>
        <v>86494288.993857726</v>
      </c>
      <c r="L869" s="134">
        <f t="shared" si="540"/>
        <v>114420696.2026369</v>
      </c>
      <c r="M869" s="134">
        <f t="shared" si="540"/>
        <v>114420696.2026369</v>
      </c>
      <c r="N869" s="134">
        <f t="shared" si="540"/>
        <v>114420696.2026369</v>
      </c>
      <c r="O869" s="134">
        <f t="shared" si="540"/>
        <v>86494288.993857726</v>
      </c>
      <c r="P869" s="134">
        <f t="shared" si="540"/>
        <v>64870716.745393284</v>
      </c>
      <c r="Q869" s="134">
        <f t="shared" si="540"/>
        <v>43247144.496928863</v>
      </c>
      <c r="R869" s="134">
        <f t="shared" si="540"/>
        <v>21623572.248464432</v>
      </c>
      <c r="S869" s="134">
        <f t="shared" si="540"/>
        <v>0</v>
      </c>
      <c r="T869" s="134">
        <f t="shared" si="540"/>
        <v>0</v>
      </c>
      <c r="U869" s="134">
        <f t="shared" si="540"/>
        <v>0</v>
      </c>
      <c r="V869" s="134">
        <f t="shared" si="540"/>
        <v>0</v>
      </c>
      <c r="W869" s="134">
        <f t="shared" si="540"/>
        <v>0</v>
      </c>
      <c r="X869" s="134">
        <f t="shared" si="540"/>
        <v>0</v>
      </c>
      <c r="Y869" s="134">
        <f t="shared" si="540"/>
        <v>0</v>
      </c>
      <c r="Z869" s="134">
        <f t="shared" si="540"/>
        <v>0</v>
      </c>
      <c r="AA869" s="134">
        <f t="shared" si="540"/>
        <v>0</v>
      </c>
      <c r="AB869" s="134">
        <f t="shared" si="540"/>
        <v>0</v>
      </c>
      <c r="AC869" s="134">
        <f t="shared" si="540"/>
        <v>0</v>
      </c>
      <c r="AD869" s="134">
        <f t="shared" si="540"/>
        <v>0</v>
      </c>
      <c r="AE869" s="134">
        <f t="shared" si="540"/>
        <v>0</v>
      </c>
      <c r="AF869" s="134">
        <f t="shared" si="540"/>
        <v>0</v>
      </c>
      <c r="AG869" s="134">
        <f t="shared" si="540"/>
        <v>0</v>
      </c>
      <c r="AH869" s="134">
        <f t="shared" si="540"/>
        <v>0</v>
      </c>
      <c r="AI869" s="134">
        <f t="shared" si="540"/>
        <v>0</v>
      </c>
      <c r="AJ869" s="134">
        <f t="shared" si="540"/>
        <v>0</v>
      </c>
      <c r="AK869" s="134">
        <f t="shared" si="540"/>
        <v>0</v>
      </c>
      <c r="AL869" s="134">
        <f t="shared" si="540"/>
        <v>0</v>
      </c>
      <c r="AM869" s="134">
        <f t="shared" si="540"/>
        <v>0</v>
      </c>
      <c r="AN869" s="134">
        <f t="shared" si="540"/>
        <v>0</v>
      </c>
      <c r="AO869" s="134">
        <f t="shared" si="540"/>
        <v>0</v>
      </c>
      <c r="AP869" s="134">
        <f t="shared" si="540"/>
        <v>0</v>
      </c>
      <c r="AQ869" s="134">
        <f t="shared" si="540"/>
        <v>0</v>
      </c>
      <c r="AR869" s="134">
        <f t="shared" si="540"/>
        <v>0</v>
      </c>
      <c r="AS869" s="134">
        <f t="shared" si="540"/>
        <v>0</v>
      </c>
      <c r="AT869" s="134">
        <f t="shared" si="540"/>
        <v>0</v>
      </c>
      <c r="AU869" s="134">
        <f t="shared" si="540"/>
        <v>0</v>
      </c>
      <c r="AV869" s="134">
        <f t="shared" si="540"/>
        <v>0</v>
      </c>
      <c r="AW869" s="134">
        <f t="shared" si="540"/>
        <v>0</v>
      </c>
      <c r="AX869" s="134">
        <f t="shared" si="540"/>
        <v>0</v>
      </c>
      <c r="AY869" s="134">
        <f t="shared" si="540"/>
        <v>0</v>
      </c>
      <c r="AZ869" s="134">
        <f t="shared" si="540"/>
        <v>0</v>
      </c>
      <c r="BA869" s="134">
        <f t="shared" si="540"/>
        <v>0</v>
      </c>
      <c r="BB869" s="134">
        <f t="shared" si="540"/>
        <v>0</v>
      </c>
      <c r="BC869" s="134">
        <f t="shared" si="540"/>
        <v>0</v>
      </c>
      <c r="BD869" s="134">
        <f t="shared" si="540"/>
        <v>0</v>
      </c>
      <c r="BE869" s="134">
        <f t="shared" si="540"/>
        <v>0</v>
      </c>
      <c r="BF869" s="134">
        <f t="shared" si="540"/>
        <v>0</v>
      </c>
      <c r="BG869" s="134">
        <f t="shared" si="540"/>
        <v>0</v>
      </c>
      <c r="BH869" s="134">
        <f t="shared" si="540"/>
        <v>0</v>
      </c>
      <c r="BI869" s="134">
        <f t="shared" si="540"/>
        <v>0</v>
      </c>
      <c r="BJ869" s="135">
        <f t="shared" si="540"/>
        <v>0</v>
      </c>
    </row>
    <row r="870" spans="1:67" s="116" customFormat="1">
      <c r="A870" s="111" t="s">
        <v>117</v>
      </c>
      <c r="B870" s="112">
        <f>SUM(C870:BJ870)</f>
        <v>707156509.99847734</v>
      </c>
      <c r="C870" s="223">
        <v>0</v>
      </c>
      <c r="D870" s="118">
        <v>0</v>
      </c>
      <c r="E870" s="118">
        <v>0</v>
      </c>
      <c r="F870" s="118">
        <v>0</v>
      </c>
      <c r="G870" s="118">
        <v>0</v>
      </c>
      <c r="H870" s="118">
        <v>19711987.716207556</v>
      </c>
      <c r="I870" s="118">
        <v>39423975.432415113</v>
      </c>
      <c r="J870" s="118">
        <v>59135963.148622662</v>
      </c>
      <c r="K870" s="118">
        <v>78847950.864830226</v>
      </c>
      <c r="L870" s="118">
        <v>104305585.2247754</v>
      </c>
      <c r="M870" s="118">
        <v>104305585.2247754</v>
      </c>
      <c r="N870" s="118">
        <v>104305585.2247754</v>
      </c>
      <c r="O870" s="118">
        <v>78847950.864830226</v>
      </c>
      <c r="P870" s="118">
        <v>59135963.148622662</v>
      </c>
      <c r="Q870" s="118">
        <v>39423975.432415113</v>
      </c>
      <c r="R870" s="118">
        <v>19711987.716207556</v>
      </c>
      <c r="S870" s="118">
        <v>0</v>
      </c>
      <c r="T870" s="118">
        <v>0</v>
      </c>
      <c r="U870" s="118">
        <v>0</v>
      </c>
      <c r="V870" s="118">
        <v>0</v>
      </c>
      <c r="W870" s="118">
        <v>0</v>
      </c>
      <c r="X870" s="118">
        <v>0</v>
      </c>
      <c r="Y870" s="118">
        <v>0</v>
      </c>
      <c r="Z870" s="118">
        <v>0</v>
      </c>
      <c r="AA870" s="118">
        <v>0</v>
      </c>
      <c r="AB870" s="118">
        <v>0</v>
      </c>
      <c r="AC870" s="118">
        <v>0</v>
      </c>
      <c r="AD870" s="118">
        <v>0</v>
      </c>
      <c r="AE870" s="118">
        <v>0</v>
      </c>
      <c r="AF870" s="118">
        <v>0</v>
      </c>
      <c r="AG870" s="118">
        <v>0</v>
      </c>
      <c r="AH870" s="118">
        <v>0</v>
      </c>
      <c r="AI870" s="118">
        <v>0</v>
      </c>
      <c r="AJ870" s="118">
        <v>0</v>
      </c>
      <c r="AK870" s="118">
        <v>0</v>
      </c>
      <c r="AL870" s="118">
        <v>0</v>
      </c>
      <c r="AM870" s="118">
        <v>0</v>
      </c>
      <c r="AN870" s="118">
        <v>0</v>
      </c>
      <c r="AO870" s="118">
        <v>0</v>
      </c>
      <c r="AP870" s="118">
        <v>0</v>
      </c>
      <c r="AQ870" s="118">
        <v>0</v>
      </c>
      <c r="AR870" s="118">
        <v>0</v>
      </c>
      <c r="AS870" s="118">
        <v>0</v>
      </c>
      <c r="AT870" s="118">
        <v>0</v>
      </c>
      <c r="AU870" s="118">
        <v>0</v>
      </c>
      <c r="AV870" s="118">
        <v>0</v>
      </c>
      <c r="AW870" s="118">
        <v>0</v>
      </c>
      <c r="AX870" s="118">
        <v>0</v>
      </c>
      <c r="AY870" s="118">
        <v>0</v>
      </c>
      <c r="AZ870" s="118">
        <v>0</v>
      </c>
      <c r="BA870" s="118">
        <v>0</v>
      </c>
      <c r="BB870" s="118">
        <v>0</v>
      </c>
      <c r="BC870" s="118">
        <v>0</v>
      </c>
      <c r="BD870" s="118">
        <v>0</v>
      </c>
      <c r="BE870" s="118">
        <v>0</v>
      </c>
      <c r="BF870" s="118">
        <v>0</v>
      </c>
      <c r="BG870" s="118">
        <v>0</v>
      </c>
      <c r="BH870" s="118">
        <v>0</v>
      </c>
      <c r="BI870" s="118">
        <v>0</v>
      </c>
      <c r="BJ870" s="119">
        <v>0</v>
      </c>
    </row>
    <row r="871" spans="1:67" s="116" customFormat="1">
      <c r="A871" s="111" t="s">
        <v>118</v>
      </c>
      <c r="B871" s="112">
        <f>SUM(B872:B875)</f>
        <v>68577023.578721941</v>
      </c>
      <c r="C871" s="117">
        <f>SUM(C872:C875)</f>
        <v>0</v>
      </c>
      <c r="D871" s="118">
        <f>SUM(D872:D875)</f>
        <v>0</v>
      </c>
      <c r="E871" s="118">
        <f t="shared" ref="E871:BJ871" si="541">SUM(E872:E875)</f>
        <v>0</v>
      </c>
      <c r="F871" s="118">
        <f t="shared" si="541"/>
        <v>0</v>
      </c>
      <c r="G871" s="118">
        <f t="shared" si="541"/>
        <v>0</v>
      </c>
      <c r="H871" s="118">
        <f t="shared" si="541"/>
        <v>1911584.5322568738</v>
      </c>
      <c r="I871" s="118">
        <f t="shared" si="541"/>
        <v>3823169.0645137476</v>
      </c>
      <c r="J871" s="118">
        <f t="shared" si="541"/>
        <v>5734753.5967706218</v>
      </c>
      <c r="K871" s="118">
        <f t="shared" si="541"/>
        <v>7646338.1290274952</v>
      </c>
      <c r="L871" s="118">
        <f t="shared" si="541"/>
        <v>10115110.977861486</v>
      </c>
      <c r="M871" s="118">
        <f t="shared" si="541"/>
        <v>10115110.977861486</v>
      </c>
      <c r="N871" s="118">
        <f t="shared" si="541"/>
        <v>10115110.977861486</v>
      </c>
      <c r="O871" s="118">
        <f t="shared" si="541"/>
        <v>7646338.1290274952</v>
      </c>
      <c r="P871" s="118">
        <f t="shared" si="541"/>
        <v>5734753.5967706218</v>
      </c>
      <c r="Q871" s="118">
        <f t="shared" si="541"/>
        <v>3823169.0645137476</v>
      </c>
      <c r="R871" s="118">
        <f t="shared" si="541"/>
        <v>1911584.5322568738</v>
      </c>
      <c r="S871" s="118">
        <f t="shared" si="541"/>
        <v>0</v>
      </c>
      <c r="T871" s="118">
        <f t="shared" si="541"/>
        <v>0</v>
      </c>
      <c r="U871" s="118">
        <f t="shared" si="541"/>
        <v>0</v>
      </c>
      <c r="V871" s="118">
        <f t="shared" si="541"/>
        <v>0</v>
      </c>
      <c r="W871" s="118">
        <f t="shared" si="541"/>
        <v>0</v>
      </c>
      <c r="X871" s="118">
        <f t="shared" si="541"/>
        <v>0</v>
      </c>
      <c r="Y871" s="118">
        <f t="shared" si="541"/>
        <v>0</v>
      </c>
      <c r="Z871" s="118">
        <f t="shared" si="541"/>
        <v>0</v>
      </c>
      <c r="AA871" s="118">
        <f t="shared" si="541"/>
        <v>0</v>
      </c>
      <c r="AB871" s="118">
        <f t="shared" si="541"/>
        <v>0</v>
      </c>
      <c r="AC871" s="118">
        <f t="shared" si="541"/>
        <v>0</v>
      </c>
      <c r="AD871" s="118">
        <f t="shared" si="541"/>
        <v>0</v>
      </c>
      <c r="AE871" s="118">
        <f t="shared" si="541"/>
        <v>0</v>
      </c>
      <c r="AF871" s="118">
        <f t="shared" si="541"/>
        <v>0</v>
      </c>
      <c r="AG871" s="118">
        <f t="shared" si="541"/>
        <v>0</v>
      </c>
      <c r="AH871" s="118">
        <f t="shared" si="541"/>
        <v>0</v>
      </c>
      <c r="AI871" s="118">
        <f t="shared" si="541"/>
        <v>0</v>
      </c>
      <c r="AJ871" s="118">
        <f t="shared" si="541"/>
        <v>0</v>
      </c>
      <c r="AK871" s="118">
        <f t="shared" si="541"/>
        <v>0</v>
      </c>
      <c r="AL871" s="118">
        <f t="shared" si="541"/>
        <v>0</v>
      </c>
      <c r="AM871" s="118">
        <f t="shared" si="541"/>
        <v>0</v>
      </c>
      <c r="AN871" s="118">
        <f t="shared" si="541"/>
        <v>0</v>
      </c>
      <c r="AO871" s="118">
        <f t="shared" si="541"/>
        <v>0</v>
      </c>
      <c r="AP871" s="118">
        <f t="shared" si="541"/>
        <v>0</v>
      </c>
      <c r="AQ871" s="118">
        <f t="shared" si="541"/>
        <v>0</v>
      </c>
      <c r="AR871" s="118">
        <f t="shared" si="541"/>
        <v>0</v>
      </c>
      <c r="AS871" s="118">
        <f t="shared" si="541"/>
        <v>0</v>
      </c>
      <c r="AT871" s="118">
        <f t="shared" si="541"/>
        <v>0</v>
      </c>
      <c r="AU871" s="118">
        <f t="shared" si="541"/>
        <v>0</v>
      </c>
      <c r="AV871" s="118">
        <f t="shared" si="541"/>
        <v>0</v>
      </c>
      <c r="AW871" s="118">
        <f t="shared" si="541"/>
        <v>0</v>
      </c>
      <c r="AX871" s="118">
        <f t="shared" si="541"/>
        <v>0</v>
      </c>
      <c r="AY871" s="118">
        <f t="shared" si="541"/>
        <v>0</v>
      </c>
      <c r="AZ871" s="118">
        <f t="shared" si="541"/>
        <v>0</v>
      </c>
      <c r="BA871" s="118">
        <f t="shared" si="541"/>
        <v>0</v>
      </c>
      <c r="BB871" s="118">
        <f t="shared" si="541"/>
        <v>0</v>
      </c>
      <c r="BC871" s="118">
        <f t="shared" si="541"/>
        <v>0</v>
      </c>
      <c r="BD871" s="118">
        <f t="shared" si="541"/>
        <v>0</v>
      </c>
      <c r="BE871" s="118">
        <f t="shared" si="541"/>
        <v>0</v>
      </c>
      <c r="BF871" s="118">
        <f t="shared" si="541"/>
        <v>0</v>
      </c>
      <c r="BG871" s="118">
        <f t="shared" si="541"/>
        <v>0</v>
      </c>
      <c r="BH871" s="118">
        <f t="shared" si="541"/>
        <v>0</v>
      </c>
      <c r="BI871" s="118">
        <f t="shared" si="541"/>
        <v>0</v>
      </c>
      <c r="BJ871" s="119">
        <f t="shared" si="541"/>
        <v>0</v>
      </c>
    </row>
    <row r="872" spans="1:67" s="125" customFormat="1" ht="12.75">
      <c r="A872" s="120" t="s">
        <v>119</v>
      </c>
      <c r="B872" s="121">
        <f t="shared" ref="B872:B877" si="542">SUM(C872:BJ872)</f>
        <v>24399669.902434133</v>
      </c>
      <c r="C872" s="224">
        <v>0</v>
      </c>
      <c r="D872" s="123">
        <v>0</v>
      </c>
      <c r="E872" s="123">
        <v>0</v>
      </c>
      <c r="F872" s="123">
        <v>0</v>
      </c>
      <c r="G872" s="123">
        <v>0</v>
      </c>
      <c r="H872" s="123">
        <v>680140.79853035149</v>
      </c>
      <c r="I872" s="123">
        <v>1360281.597060703</v>
      </c>
      <c r="J872" s="123">
        <v>2040422.3955910543</v>
      </c>
      <c r="K872" s="123">
        <v>2720563.1941214059</v>
      </c>
      <c r="L872" s="123">
        <v>3598951.3106090347</v>
      </c>
      <c r="M872" s="123">
        <v>3598951.3106090347</v>
      </c>
      <c r="N872" s="123">
        <v>3598951.3106090347</v>
      </c>
      <c r="O872" s="123">
        <v>2720563.1941214059</v>
      </c>
      <c r="P872" s="123">
        <v>2040422.3955910543</v>
      </c>
      <c r="Q872" s="123">
        <v>1360281.597060703</v>
      </c>
      <c r="R872" s="123">
        <v>680140.79853035149</v>
      </c>
      <c r="S872" s="123">
        <v>0</v>
      </c>
      <c r="T872" s="123">
        <v>0</v>
      </c>
      <c r="U872" s="123">
        <v>0</v>
      </c>
      <c r="V872" s="123">
        <v>0</v>
      </c>
      <c r="W872" s="123">
        <v>0</v>
      </c>
      <c r="X872" s="123">
        <v>0</v>
      </c>
      <c r="Y872" s="123">
        <v>0</v>
      </c>
      <c r="Z872" s="123">
        <v>0</v>
      </c>
      <c r="AA872" s="123">
        <v>0</v>
      </c>
      <c r="AB872" s="123">
        <v>0</v>
      </c>
      <c r="AC872" s="123">
        <v>0</v>
      </c>
      <c r="AD872" s="123">
        <v>0</v>
      </c>
      <c r="AE872" s="123">
        <v>0</v>
      </c>
      <c r="AF872" s="123">
        <v>0</v>
      </c>
      <c r="AG872" s="123">
        <v>0</v>
      </c>
      <c r="AH872" s="123">
        <v>0</v>
      </c>
      <c r="AI872" s="123">
        <v>0</v>
      </c>
      <c r="AJ872" s="123">
        <v>0</v>
      </c>
      <c r="AK872" s="123">
        <v>0</v>
      </c>
      <c r="AL872" s="123">
        <v>0</v>
      </c>
      <c r="AM872" s="123">
        <v>0</v>
      </c>
      <c r="AN872" s="123">
        <v>0</v>
      </c>
      <c r="AO872" s="123">
        <v>0</v>
      </c>
      <c r="AP872" s="123">
        <v>0</v>
      </c>
      <c r="AQ872" s="123">
        <v>0</v>
      </c>
      <c r="AR872" s="123">
        <v>0</v>
      </c>
      <c r="AS872" s="123">
        <v>0</v>
      </c>
      <c r="AT872" s="123">
        <v>0</v>
      </c>
      <c r="AU872" s="123">
        <v>0</v>
      </c>
      <c r="AV872" s="123">
        <v>0</v>
      </c>
      <c r="AW872" s="123">
        <v>0</v>
      </c>
      <c r="AX872" s="123">
        <v>0</v>
      </c>
      <c r="AY872" s="123">
        <v>0</v>
      </c>
      <c r="AZ872" s="123">
        <v>0</v>
      </c>
      <c r="BA872" s="123">
        <v>0</v>
      </c>
      <c r="BB872" s="123">
        <v>0</v>
      </c>
      <c r="BC872" s="123">
        <v>0</v>
      </c>
      <c r="BD872" s="123">
        <v>0</v>
      </c>
      <c r="BE872" s="123">
        <v>0</v>
      </c>
      <c r="BF872" s="123">
        <v>0</v>
      </c>
      <c r="BG872" s="123">
        <v>0</v>
      </c>
      <c r="BH872" s="123">
        <v>0</v>
      </c>
      <c r="BI872" s="123">
        <v>0</v>
      </c>
      <c r="BJ872" s="124">
        <v>0</v>
      </c>
    </row>
    <row r="873" spans="1:67" s="125" customFormat="1" ht="12.75">
      <c r="A873" s="120" t="s">
        <v>120</v>
      </c>
      <c r="B873" s="121">
        <f t="shared" si="542"/>
        <v>35592931.401608564</v>
      </c>
      <c r="C873" s="224">
        <v>0</v>
      </c>
      <c r="D873" s="123">
        <v>0</v>
      </c>
      <c r="E873" s="123">
        <v>0</v>
      </c>
      <c r="F873" s="123">
        <v>0</v>
      </c>
      <c r="G873" s="123">
        <v>0</v>
      </c>
      <c r="H873" s="123">
        <v>992152.9628198389</v>
      </c>
      <c r="I873" s="123">
        <v>1984305.9256396778</v>
      </c>
      <c r="J873" s="123">
        <v>2976458.8884595167</v>
      </c>
      <c r="K873" s="123">
        <v>3968611.8512793556</v>
      </c>
      <c r="L873" s="123">
        <v>5249957.3817372639</v>
      </c>
      <c r="M873" s="123">
        <v>5249957.3817372639</v>
      </c>
      <c r="N873" s="123">
        <v>5249957.3817372639</v>
      </c>
      <c r="O873" s="123">
        <v>3968611.8512793556</v>
      </c>
      <c r="P873" s="123">
        <v>2976458.8884595167</v>
      </c>
      <c r="Q873" s="123">
        <v>1984305.9256396778</v>
      </c>
      <c r="R873" s="123">
        <v>992152.9628198389</v>
      </c>
      <c r="S873" s="123">
        <v>0</v>
      </c>
      <c r="T873" s="123">
        <v>0</v>
      </c>
      <c r="U873" s="123">
        <v>0</v>
      </c>
      <c r="V873" s="123">
        <v>0</v>
      </c>
      <c r="W873" s="123">
        <v>0</v>
      </c>
      <c r="X873" s="123">
        <v>0</v>
      </c>
      <c r="Y873" s="123">
        <v>0</v>
      </c>
      <c r="Z873" s="123">
        <v>0</v>
      </c>
      <c r="AA873" s="123">
        <v>0</v>
      </c>
      <c r="AB873" s="123">
        <v>0</v>
      </c>
      <c r="AC873" s="123">
        <v>0</v>
      </c>
      <c r="AD873" s="123">
        <v>0</v>
      </c>
      <c r="AE873" s="123">
        <v>0</v>
      </c>
      <c r="AF873" s="123">
        <v>0</v>
      </c>
      <c r="AG873" s="123">
        <v>0</v>
      </c>
      <c r="AH873" s="123">
        <v>0</v>
      </c>
      <c r="AI873" s="123">
        <v>0</v>
      </c>
      <c r="AJ873" s="123">
        <v>0</v>
      </c>
      <c r="AK873" s="123">
        <v>0</v>
      </c>
      <c r="AL873" s="123">
        <v>0</v>
      </c>
      <c r="AM873" s="123">
        <v>0</v>
      </c>
      <c r="AN873" s="123">
        <v>0</v>
      </c>
      <c r="AO873" s="123">
        <v>0</v>
      </c>
      <c r="AP873" s="123">
        <v>0</v>
      </c>
      <c r="AQ873" s="123">
        <v>0</v>
      </c>
      <c r="AR873" s="123">
        <v>0</v>
      </c>
      <c r="AS873" s="123">
        <v>0</v>
      </c>
      <c r="AT873" s="123">
        <v>0</v>
      </c>
      <c r="AU873" s="123">
        <v>0</v>
      </c>
      <c r="AV873" s="123">
        <v>0</v>
      </c>
      <c r="AW873" s="123">
        <v>0</v>
      </c>
      <c r="AX873" s="123">
        <v>0</v>
      </c>
      <c r="AY873" s="123">
        <v>0</v>
      </c>
      <c r="AZ873" s="123">
        <v>0</v>
      </c>
      <c r="BA873" s="123">
        <v>0</v>
      </c>
      <c r="BB873" s="123">
        <v>0</v>
      </c>
      <c r="BC873" s="123">
        <v>0</v>
      </c>
      <c r="BD873" s="123">
        <v>0</v>
      </c>
      <c r="BE873" s="123">
        <v>0</v>
      </c>
      <c r="BF873" s="123">
        <v>0</v>
      </c>
      <c r="BG873" s="123">
        <v>0</v>
      </c>
      <c r="BH873" s="123">
        <v>0</v>
      </c>
      <c r="BI873" s="123">
        <v>0</v>
      </c>
      <c r="BJ873" s="124">
        <v>0</v>
      </c>
      <c r="BO873" s="126"/>
    </row>
    <row r="874" spans="1:67" s="125" customFormat="1" ht="12.75">
      <c r="A874" s="120" t="s">
        <v>121</v>
      </c>
      <c r="B874" s="121">
        <f t="shared" si="542"/>
        <v>7210855.5725359414</v>
      </c>
      <c r="C874" s="224">
        <v>0</v>
      </c>
      <c r="D874" s="123">
        <v>0</v>
      </c>
      <c r="E874" s="123">
        <v>0</v>
      </c>
      <c r="F874" s="123">
        <v>0</v>
      </c>
      <c r="G874" s="123">
        <v>0</v>
      </c>
      <c r="H874" s="123">
        <v>201002.59908443934</v>
      </c>
      <c r="I874" s="123">
        <v>402005.19816887868</v>
      </c>
      <c r="J874" s="123">
        <v>603007.79725331801</v>
      </c>
      <c r="K874" s="123">
        <v>804010.39633775735</v>
      </c>
      <c r="L874" s="123">
        <v>1063601.1969490512</v>
      </c>
      <c r="M874" s="123">
        <v>1063601.1969490512</v>
      </c>
      <c r="N874" s="123">
        <v>1063601.1969490512</v>
      </c>
      <c r="O874" s="123">
        <v>804010.39633775735</v>
      </c>
      <c r="P874" s="123">
        <v>603007.79725331801</v>
      </c>
      <c r="Q874" s="123">
        <v>402005.19816887868</v>
      </c>
      <c r="R874" s="123">
        <v>201002.59908443934</v>
      </c>
      <c r="S874" s="123">
        <v>0</v>
      </c>
      <c r="T874" s="123">
        <v>0</v>
      </c>
      <c r="U874" s="123">
        <v>0</v>
      </c>
      <c r="V874" s="123">
        <v>0</v>
      </c>
      <c r="W874" s="123">
        <v>0</v>
      </c>
      <c r="X874" s="123">
        <v>0</v>
      </c>
      <c r="Y874" s="123">
        <v>0</v>
      </c>
      <c r="Z874" s="123">
        <v>0</v>
      </c>
      <c r="AA874" s="123">
        <v>0</v>
      </c>
      <c r="AB874" s="123">
        <v>0</v>
      </c>
      <c r="AC874" s="123">
        <v>0</v>
      </c>
      <c r="AD874" s="123">
        <v>0</v>
      </c>
      <c r="AE874" s="123">
        <v>0</v>
      </c>
      <c r="AF874" s="123">
        <v>0</v>
      </c>
      <c r="AG874" s="123">
        <v>0</v>
      </c>
      <c r="AH874" s="123">
        <v>0</v>
      </c>
      <c r="AI874" s="123">
        <v>0</v>
      </c>
      <c r="AJ874" s="123">
        <v>0</v>
      </c>
      <c r="AK874" s="123">
        <v>0</v>
      </c>
      <c r="AL874" s="123">
        <v>0</v>
      </c>
      <c r="AM874" s="123">
        <v>0</v>
      </c>
      <c r="AN874" s="123">
        <v>0</v>
      </c>
      <c r="AO874" s="123">
        <v>0</v>
      </c>
      <c r="AP874" s="123">
        <v>0</v>
      </c>
      <c r="AQ874" s="123">
        <v>0</v>
      </c>
      <c r="AR874" s="123">
        <v>0</v>
      </c>
      <c r="AS874" s="123">
        <v>0</v>
      </c>
      <c r="AT874" s="123">
        <v>0</v>
      </c>
      <c r="AU874" s="123">
        <v>0</v>
      </c>
      <c r="AV874" s="123">
        <v>0</v>
      </c>
      <c r="AW874" s="123">
        <v>0</v>
      </c>
      <c r="AX874" s="123">
        <v>0</v>
      </c>
      <c r="AY874" s="123">
        <v>0</v>
      </c>
      <c r="AZ874" s="123">
        <v>0</v>
      </c>
      <c r="BA874" s="123">
        <v>0</v>
      </c>
      <c r="BB874" s="123">
        <v>0</v>
      </c>
      <c r="BC874" s="123">
        <v>0</v>
      </c>
      <c r="BD874" s="123">
        <v>0</v>
      </c>
      <c r="BE874" s="123">
        <v>0</v>
      </c>
      <c r="BF874" s="123">
        <v>0</v>
      </c>
      <c r="BG874" s="123">
        <v>0</v>
      </c>
      <c r="BH874" s="123">
        <v>0</v>
      </c>
      <c r="BI874" s="123">
        <v>0</v>
      </c>
      <c r="BJ874" s="124">
        <v>0</v>
      </c>
    </row>
    <row r="875" spans="1:67" s="125" customFormat="1" ht="12.75">
      <c r="A875" s="120" t="s">
        <v>122</v>
      </c>
      <c r="B875" s="121">
        <f t="shared" si="542"/>
        <v>1373566.7021432901</v>
      </c>
      <c r="C875" s="224">
        <v>0</v>
      </c>
      <c r="D875" s="123">
        <v>0</v>
      </c>
      <c r="E875" s="123">
        <v>0</v>
      </c>
      <c r="F875" s="123">
        <v>0</v>
      </c>
      <c r="G875" s="123">
        <v>0</v>
      </c>
      <c r="H875" s="123">
        <v>38288.171822244207</v>
      </c>
      <c r="I875" s="123">
        <v>76576.343644488414</v>
      </c>
      <c r="J875" s="123">
        <v>114864.51546673263</v>
      </c>
      <c r="K875" s="123">
        <v>153152.68728897683</v>
      </c>
      <c r="L875" s="123">
        <v>202601.08856613529</v>
      </c>
      <c r="M875" s="123">
        <v>202601.08856613529</v>
      </c>
      <c r="N875" s="123">
        <v>202601.08856613529</v>
      </c>
      <c r="O875" s="123">
        <v>153152.68728897683</v>
      </c>
      <c r="P875" s="123">
        <v>114864.51546673263</v>
      </c>
      <c r="Q875" s="123">
        <v>76576.343644488414</v>
      </c>
      <c r="R875" s="123">
        <v>38288.171822244207</v>
      </c>
      <c r="S875" s="123">
        <v>0</v>
      </c>
      <c r="T875" s="123">
        <v>0</v>
      </c>
      <c r="U875" s="123">
        <v>0</v>
      </c>
      <c r="V875" s="123">
        <v>0</v>
      </c>
      <c r="W875" s="123">
        <v>0</v>
      </c>
      <c r="X875" s="123">
        <v>0</v>
      </c>
      <c r="Y875" s="123">
        <v>0</v>
      </c>
      <c r="Z875" s="123">
        <v>0</v>
      </c>
      <c r="AA875" s="123">
        <v>0</v>
      </c>
      <c r="AB875" s="123">
        <v>0</v>
      </c>
      <c r="AC875" s="123">
        <v>0</v>
      </c>
      <c r="AD875" s="123">
        <v>0</v>
      </c>
      <c r="AE875" s="123">
        <v>0</v>
      </c>
      <c r="AF875" s="123">
        <v>0</v>
      </c>
      <c r="AG875" s="123">
        <v>0</v>
      </c>
      <c r="AH875" s="123">
        <v>0</v>
      </c>
      <c r="AI875" s="123">
        <v>0</v>
      </c>
      <c r="AJ875" s="123">
        <v>0</v>
      </c>
      <c r="AK875" s="123">
        <v>0</v>
      </c>
      <c r="AL875" s="123">
        <v>0</v>
      </c>
      <c r="AM875" s="123">
        <v>0</v>
      </c>
      <c r="AN875" s="123">
        <v>0</v>
      </c>
      <c r="AO875" s="123">
        <v>0</v>
      </c>
      <c r="AP875" s="123">
        <v>0</v>
      </c>
      <c r="AQ875" s="123">
        <v>0</v>
      </c>
      <c r="AR875" s="123">
        <v>0</v>
      </c>
      <c r="AS875" s="123">
        <v>0</v>
      </c>
      <c r="AT875" s="123">
        <v>0</v>
      </c>
      <c r="AU875" s="123">
        <v>0</v>
      </c>
      <c r="AV875" s="123">
        <v>0</v>
      </c>
      <c r="AW875" s="123">
        <v>0</v>
      </c>
      <c r="AX875" s="123">
        <v>0</v>
      </c>
      <c r="AY875" s="123">
        <v>0</v>
      </c>
      <c r="AZ875" s="123">
        <v>0</v>
      </c>
      <c r="BA875" s="123">
        <v>0</v>
      </c>
      <c r="BB875" s="123">
        <v>0</v>
      </c>
      <c r="BC875" s="123">
        <v>0</v>
      </c>
      <c r="BD875" s="123">
        <v>0</v>
      </c>
      <c r="BE875" s="123">
        <v>0</v>
      </c>
      <c r="BF875" s="123">
        <v>0</v>
      </c>
      <c r="BG875" s="123">
        <v>0</v>
      </c>
      <c r="BH875" s="123">
        <v>0</v>
      </c>
      <c r="BI875" s="123">
        <v>0</v>
      </c>
      <c r="BJ875" s="124">
        <v>0</v>
      </c>
    </row>
    <row r="876" spans="1:67" s="116" customFormat="1">
      <c r="A876" s="127" t="s">
        <v>123</v>
      </c>
      <c r="B876" s="112">
        <f t="shared" si="542"/>
        <v>62302210.631159067</v>
      </c>
      <c r="C876" s="225">
        <v>12460442.126231814</v>
      </c>
      <c r="D876" s="129">
        <f>C876</f>
        <v>12460442.126231814</v>
      </c>
      <c r="E876" s="129">
        <f>D876</f>
        <v>12460442.126231814</v>
      </c>
      <c r="F876" s="129">
        <f>E876</f>
        <v>12460442.126231814</v>
      </c>
      <c r="G876" s="129">
        <f>F876</f>
        <v>12460442.126231814</v>
      </c>
      <c r="H876" s="129"/>
      <c r="I876" s="129"/>
      <c r="J876" s="129"/>
      <c r="K876" s="129"/>
      <c r="L876" s="129"/>
      <c r="M876" s="129"/>
      <c r="N876" s="129"/>
      <c r="O876" s="129"/>
      <c r="P876" s="129"/>
      <c r="Q876" s="129"/>
      <c r="R876" s="129"/>
      <c r="S876" s="129"/>
      <c r="T876" s="129"/>
      <c r="U876" s="129"/>
      <c r="V876" s="129"/>
      <c r="W876" s="129"/>
      <c r="X876" s="129"/>
      <c r="Y876" s="129"/>
      <c r="Z876" s="129"/>
      <c r="AA876" s="129"/>
      <c r="AB876" s="129"/>
      <c r="AC876" s="129"/>
      <c r="AD876" s="129"/>
      <c r="AE876" s="129"/>
      <c r="AF876" s="129"/>
      <c r="AG876" s="129"/>
      <c r="AH876" s="129"/>
      <c r="AI876" s="129"/>
      <c r="AJ876" s="129"/>
      <c r="AK876" s="129"/>
      <c r="AL876" s="129"/>
      <c r="AM876" s="129"/>
      <c r="AN876" s="129"/>
      <c r="AO876" s="129"/>
      <c r="AP876" s="129"/>
      <c r="AQ876" s="129"/>
      <c r="AR876" s="129"/>
      <c r="AS876" s="129"/>
      <c r="AT876" s="129"/>
      <c r="AU876" s="129"/>
      <c r="AV876" s="129"/>
      <c r="AW876" s="129"/>
      <c r="AX876" s="129"/>
      <c r="AY876" s="129"/>
      <c r="AZ876" s="129"/>
      <c r="BA876" s="129"/>
      <c r="BB876" s="129"/>
      <c r="BC876" s="129"/>
      <c r="BD876" s="129"/>
      <c r="BE876" s="129"/>
      <c r="BF876" s="129"/>
      <c r="BG876" s="129"/>
      <c r="BH876" s="129"/>
      <c r="BI876" s="129"/>
      <c r="BJ876" s="130"/>
    </row>
    <row r="877" spans="1:67" s="105" customFormat="1" ht="22.5" customHeight="1">
      <c r="A877" s="131" t="s">
        <v>124</v>
      </c>
      <c r="B877" s="132">
        <f t="shared" si="542"/>
        <v>1280538154.3705437</v>
      </c>
      <c r="C877" s="102">
        <f>C868-C870-C871-C876</f>
        <v>3115110.531557953</v>
      </c>
      <c r="D877" s="103">
        <f>D868-D870-D871-D876</f>
        <v>3115110.531557953</v>
      </c>
      <c r="E877" s="103">
        <f t="shared" ref="E877:BJ877" si="543">E868-E870-E871-E876</f>
        <v>3115110.531557953</v>
      </c>
      <c r="F877" s="103">
        <f t="shared" si="543"/>
        <v>3115110.531557953</v>
      </c>
      <c r="G877" s="103">
        <f t="shared" si="543"/>
        <v>3115110.531557953</v>
      </c>
      <c r="H877" s="103">
        <f t="shared" si="543"/>
        <v>35260832.522743016</v>
      </c>
      <c r="I877" s="103">
        <f t="shared" si="543"/>
        <v>70521665.045486033</v>
      </c>
      <c r="J877" s="103">
        <f t="shared" si="543"/>
        <v>105782497.56822908</v>
      </c>
      <c r="K877" s="103">
        <f t="shared" si="543"/>
        <v>141043330.09097207</v>
      </c>
      <c r="L877" s="103">
        <f t="shared" si="543"/>
        <v>186581983.75263119</v>
      </c>
      <c r="M877" s="103">
        <f t="shared" si="543"/>
        <v>186581983.75263119</v>
      </c>
      <c r="N877" s="103">
        <f t="shared" si="543"/>
        <v>186581983.75263119</v>
      </c>
      <c r="O877" s="103">
        <f t="shared" si="543"/>
        <v>141043330.09097207</v>
      </c>
      <c r="P877" s="103">
        <f t="shared" si="543"/>
        <v>105782497.56822908</v>
      </c>
      <c r="Q877" s="103">
        <f t="shared" si="543"/>
        <v>70521665.045486033</v>
      </c>
      <c r="R877" s="103">
        <f t="shared" si="543"/>
        <v>35260832.522743016</v>
      </c>
      <c r="S877" s="103">
        <f t="shared" si="543"/>
        <v>0</v>
      </c>
      <c r="T877" s="103">
        <f t="shared" si="543"/>
        <v>0</v>
      </c>
      <c r="U877" s="103">
        <f t="shared" si="543"/>
        <v>0</v>
      </c>
      <c r="V877" s="103">
        <f t="shared" si="543"/>
        <v>0</v>
      </c>
      <c r="W877" s="103">
        <f t="shared" si="543"/>
        <v>0</v>
      </c>
      <c r="X877" s="103">
        <f t="shared" si="543"/>
        <v>0</v>
      </c>
      <c r="Y877" s="103">
        <f t="shared" si="543"/>
        <v>0</v>
      </c>
      <c r="Z877" s="103">
        <f t="shared" si="543"/>
        <v>0</v>
      </c>
      <c r="AA877" s="103">
        <f t="shared" si="543"/>
        <v>0</v>
      </c>
      <c r="AB877" s="103">
        <f t="shared" si="543"/>
        <v>0</v>
      </c>
      <c r="AC877" s="103">
        <f t="shared" si="543"/>
        <v>0</v>
      </c>
      <c r="AD877" s="103">
        <f t="shared" si="543"/>
        <v>0</v>
      </c>
      <c r="AE877" s="103">
        <f t="shared" si="543"/>
        <v>0</v>
      </c>
      <c r="AF877" s="103">
        <f t="shared" si="543"/>
        <v>0</v>
      </c>
      <c r="AG877" s="103">
        <f t="shared" si="543"/>
        <v>0</v>
      </c>
      <c r="AH877" s="103">
        <f t="shared" si="543"/>
        <v>0</v>
      </c>
      <c r="AI877" s="103">
        <f t="shared" si="543"/>
        <v>0</v>
      </c>
      <c r="AJ877" s="103">
        <f t="shared" si="543"/>
        <v>0</v>
      </c>
      <c r="AK877" s="103">
        <f t="shared" si="543"/>
        <v>0</v>
      </c>
      <c r="AL877" s="103">
        <f t="shared" si="543"/>
        <v>0</v>
      </c>
      <c r="AM877" s="103">
        <f t="shared" si="543"/>
        <v>0</v>
      </c>
      <c r="AN877" s="103">
        <f t="shared" si="543"/>
        <v>0</v>
      </c>
      <c r="AO877" s="103">
        <f t="shared" si="543"/>
        <v>0</v>
      </c>
      <c r="AP877" s="103">
        <f t="shared" si="543"/>
        <v>0</v>
      </c>
      <c r="AQ877" s="103">
        <f t="shared" si="543"/>
        <v>0</v>
      </c>
      <c r="AR877" s="103">
        <f t="shared" si="543"/>
        <v>0</v>
      </c>
      <c r="AS877" s="103">
        <f t="shared" si="543"/>
        <v>0</v>
      </c>
      <c r="AT877" s="103">
        <f t="shared" si="543"/>
        <v>0</v>
      </c>
      <c r="AU877" s="103">
        <f t="shared" si="543"/>
        <v>0</v>
      </c>
      <c r="AV877" s="103">
        <f t="shared" si="543"/>
        <v>0</v>
      </c>
      <c r="AW877" s="103">
        <f t="shared" si="543"/>
        <v>0</v>
      </c>
      <c r="AX877" s="103">
        <f t="shared" si="543"/>
        <v>0</v>
      </c>
      <c r="AY877" s="103">
        <f t="shared" si="543"/>
        <v>0</v>
      </c>
      <c r="AZ877" s="103">
        <f t="shared" si="543"/>
        <v>0</v>
      </c>
      <c r="BA877" s="103">
        <f t="shared" si="543"/>
        <v>0</v>
      </c>
      <c r="BB877" s="103">
        <f t="shared" si="543"/>
        <v>0</v>
      </c>
      <c r="BC877" s="103">
        <f t="shared" si="543"/>
        <v>0</v>
      </c>
      <c r="BD877" s="103">
        <f t="shared" si="543"/>
        <v>0</v>
      </c>
      <c r="BE877" s="103">
        <f t="shared" si="543"/>
        <v>0</v>
      </c>
      <c r="BF877" s="103">
        <f t="shared" si="543"/>
        <v>0</v>
      </c>
      <c r="BG877" s="103">
        <f t="shared" si="543"/>
        <v>0</v>
      </c>
      <c r="BH877" s="103">
        <f t="shared" si="543"/>
        <v>0</v>
      </c>
      <c r="BI877" s="103">
        <f t="shared" si="543"/>
        <v>0</v>
      </c>
      <c r="BJ877" s="104">
        <f t="shared" si="543"/>
        <v>0</v>
      </c>
      <c r="BK877" s="109"/>
      <c r="BL877" s="109"/>
    </row>
    <row r="878" spans="1:67" s="116" customFormat="1">
      <c r="A878" s="136" t="s">
        <v>125</v>
      </c>
      <c r="B878" s="137">
        <f t="shared" ref="B878:G878" si="544">SUM(B879:B882)</f>
        <v>109985980.11449632</v>
      </c>
      <c r="C878" s="113">
        <f t="shared" si="544"/>
        <v>20037731.68939089</v>
      </c>
      <c r="D878" s="114">
        <f t="shared" si="544"/>
        <v>22965758.378096651</v>
      </c>
      <c r="E878" s="114">
        <f t="shared" si="544"/>
        <v>22327496.682336263</v>
      </c>
      <c r="F878" s="114">
        <f t="shared" si="544"/>
        <v>22327496.682336263</v>
      </c>
      <c r="G878" s="114">
        <f t="shared" si="544"/>
        <v>22327496.682336263</v>
      </c>
      <c r="H878" s="114"/>
      <c r="I878" s="114"/>
      <c r="J878" s="114"/>
      <c r="K878" s="114"/>
      <c r="L878" s="114"/>
      <c r="M878" s="114"/>
      <c r="N878" s="114"/>
      <c r="O878" s="114"/>
      <c r="P878" s="114"/>
      <c r="Q878" s="114"/>
      <c r="R878" s="114"/>
      <c r="S878" s="114"/>
      <c r="T878" s="114"/>
      <c r="U878" s="114"/>
      <c r="V878" s="114"/>
      <c r="W878" s="114"/>
      <c r="X878" s="114"/>
      <c r="Y878" s="114"/>
      <c r="Z878" s="114"/>
      <c r="AA878" s="114"/>
      <c r="AB878" s="114"/>
      <c r="AC878" s="114"/>
      <c r="AD878" s="114"/>
      <c r="AE878" s="114"/>
      <c r="AF878" s="114"/>
      <c r="AG878" s="114"/>
      <c r="AH878" s="114"/>
      <c r="AI878" s="114"/>
      <c r="AJ878" s="114"/>
      <c r="AK878" s="114"/>
      <c r="AL878" s="114"/>
      <c r="AM878" s="114"/>
      <c r="AN878" s="114"/>
      <c r="AO878" s="114"/>
      <c r="AP878" s="114"/>
      <c r="AQ878" s="114"/>
      <c r="AR878" s="114"/>
      <c r="AS878" s="114"/>
      <c r="AT878" s="114"/>
      <c r="AU878" s="114"/>
      <c r="AV878" s="114"/>
      <c r="AW878" s="114"/>
      <c r="AX878" s="114"/>
      <c r="AY878" s="114"/>
      <c r="AZ878" s="114"/>
      <c r="BA878" s="114"/>
      <c r="BB878" s="114"/>
      <c r="BC878" s="114"/>
      <c r="BD878" s="114"/>
      <c r="BE878" s="114"/>
      <c r="BF878" s="114"/>
      <c r="BG878" s="114"/>
      <c r="BH878" s="114"/>
      <c r="BI878" s="114"/>
      <c r="BJ878" s="115"/>
    </row>
    <row r="879" spans="1:67" s="143" customFormat="1" ht="12.75">
      <c r="A879" s="138" t="s">
        <v>126</v>
      </c>
      <c r="B879" s="139">
        <f>SUM(C879:BJ879)</f>
        <v>15653375.044953413</v>
      </c>
      <c r="C879" s="140"/>
      <c r="D879" s="141"/>
      <c r="E879" s="141">
        <v>5217791.6816511378</v>
      </c>
      <c r="F879" s="141">
        <f t="shared" ref="F879:G881" si="545">E879</f>
        <v>5217791.6816511378</v>
      </c>
      <c r="G879" s="141">
        <f t="shared" si="545"/>
        <v>5217791.6816511378</v>
      </c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  <c r="AH879" s="141"/>
      <c r="AI879" s="141"/>
      <c r="AJ879" s="141"/>
      <c r="AK879" s="141"/>
      <c r="AL879" s="141"/>
      <c r="AM879" s="141"/>
      <c r="AN879" s="141"/>
      <c r="AO879" s="141"/>
      <c r="AP879" s="141"/>
      <c r="AQ879" s="141"/>
      <c r="AR879" s="141"/>
      <c r="AS879" s="141"/>
      <c r="AT879" s="141"/>
      <c r="AU879" s="141"/>
      <c r="AV879" s="141"/>
      <c r="AW879" s="141"/>
      <c r="AX879" s="141"/>
      <c r="AY879" s="141"/>
      <c r="AZ879" s="141"/>
      <c r="BA879" s="141"/>
      <c r="BB879" s="141"/>
      <c r="BC879" s="141"/>
      <c r="BD879" s="141"/>
      <c r="BE879" s="141"/>
      <c r="BF879" s="141"/>
      <c r="BG879" s="141"/>
      <c r="BH879" s="141"/>
      <c r="BI879" s="141"/>
      <c r="BJ879" s="142"/>
      <c r="BK879" s="141"/>
      <c r="BL879" s="141"/>
    </row>
    <row r="880" spans="1:67" s="143" customFormat="1" ht="12.75">
      <c r="A880" s="138" t="s">
        <v>127</v>
      </c>
      <c r="B880" s="139">
        <f>SUM(C880:BJ880)</f>
        <v>0</v>
      </c>
      <c r="C880" s="140"/>
      <c r="D880" s="141"/>
      <c r="E880" s="141">
        <v>0</v>
      </c>
      <c r="F880" s="141">
        <f t="shared" si="545"/>
        <v>0</v>
      </c>
      <c r="G880" s="141">
        <f t="shared" si="545"/>
        <v>0</v>
      </c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  <c r="AH880" s="141"/>
      <c r="AI880" s="141"/>
      <c r="AJ880" s="141"/>
      <c r="AK880" s="141"/>
      <c r="AL880" s="141"/>
      <c r="AM880" s="141"/>
      <c r="AN880" s="141"/>
      <c r="AO880" s="141"/>
      <c r="AP880" s="141"/>
      <c r="AQ880" s="141"/>
      <c r="AR880" s="141"/>
      <c r="AS880" s="141"/>
      <c r="AT880" s="141"/>
      <c r="AU880" s="141"/>
      <c r="AV880" s="141"/>
      <c r="AW880" s="141"/>
      <c r="AX880" s="141"/>
      <c r="AY880" s="141"/>
      <c r="AZ880" s="141"/>
      <c r="BA880" s="141"/>
      <c r="BB880" s="141"/>
      <c r="BC880" s="141"/>
      <c r="BD880" s="141"/>
      <c r="BE880" s="141"/>
      <c r="BF880" s="141"/>
      <c r="BG880" s="141"/>
      <c r="BH880" s="141"/>
      <c r="BI880" s="141"/>
      <c r="BJ880" s="142"/>
      <c r="BK880" s="141"/>
      <c r="BL880" s="141"/>
    </row>
    <row r="881" spans="1:64" s="143" customFormat="1" ht="12.75">
      <c r="A881" s="138" t="s">
        <v>128</v>
      </c>
      <c r="B881" s="139">
        <f>SUM(C881:BJ881)</f>
        <v>85548525.003425628</v>
      </c>
      <c r="C881" s="140">
        <v>17109705.000685126</v>
      </c>
      <c r="D881" s="141">
        <f>C881</f>
        <v>17109705.000685126</v>
      </c>
      <c r="E881" s="141">
        <f>D881</f>
        <v>17109705.000685126</v>
      </c>
      <c r="F881" s="141">
        <f t="shared" si="545"/>
        <v>17109705.000685126</v>
      </c>
      <c r="G881" s="141">
        <f t="shared" si="545"/>
        <v>17109705.000685126</v>
      </c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  <c r="AH881" s="141"/>
      <c r="AI881" s="141"/>
      <c r="AJ881" s="141"/>
      <c r="AK881" s="141"/>
      <c r="AL881" s="141"/>
      <c r="AM881" s="141"/>
      <c r="AN881" s="141"/>
      <c r="AO881" s="141"/>
      <c r="AP881" s="141"/>
      <c r="AQ881" s="141"/>
      <c r="AR881" s="141"/>
      <c r="AS881" s="141"/>
      <c r="AT881" s="141"/>
      <c r="AU881" s="141"/>
      <c r="AV881" s="141"/>
      <c r="AW881" s="141"/>
      <c r="AX881" s="141"/>
      <c r="AY881" s="141"/>
      <c r="AZ881" s="141"/>
      <c r="BA881" s="141"/>
      <c r="BB881" s="141"/>
      <c r="BC881" s="141"/>
      <c r="BD881" s="141"/>
      <c r="BE881" s="141"/>
      <c r="BF881" s="141"/>
      <c r="BG881" s="141"/>
      <c r="BH881" s="141"/>
      <c r="BI881" s="141"/>
      <c r="BJ881" s="142"/>
      <c r="BK881" s="141"/>
      <c r="BL881" s="141"/>
    </row>
    <row r="882" spans="1:64" s="143" customFormat="1" ht="12.75">
      <c r="A882" s="138" t="s">
        <v>129</v>
      </c>
      <c r="B882" s="139">
        <f>SUM(C882:BJ882)</f>
        <v>8784080.0661172904</v>
      </c>
      <c r="C882" s="140">
        <v>2928026.6887057633</v>
      </c>
      <c r="D882" s="141">
        <v>5856053.3774115266</v>
      </c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  <c r="AH882" s="141"/>
      <c r="AI882" s="141"/>
      <c r="AJ882" s="141"/>
      <c r="AK882" s="141"/>
      <c r="AL882" s="141"/>
      <c r="AM882" s="141"/>
      <c r="AN882" s="141"/>
      <c r="AO882" s="141"/>
      <c r="AP882" s="141"/>
      <c r="AQ882" s="141"/>
      <c r="AR882" s="141"/>
      <c r="AS882" s="141"/>
      <c r="AT882" s="141"/>
      <c r="AU882" s="141"/>
      <c r="AV882" s="141"/>
      <c r="AW882" s="141"/>
      <c r="AX882" s="141"/>
      <c r="AY882" s="141"/>
      <c r="AZ882" s="141"/>
      <c r="BA882" s="141"/>
      <c r="BB882" s="141"/>
      <c r="BC882" s="141"/>
      <c r="BD882" s="141"/>
      <c r="BE882" s="141"/>
      <c r="BF882" s="141"/>
      <c r="BG882" s="141"/>
      <c r="BH882" s="141"/>
      <c r="BI882" s="141"/>
      <c r="BJ882" s="142"/>
      <c r="BK882" s="141"/>
      <c r="BL882" s="141"/>
    </row>
    <row r="883" spans="1:64" s="116" customFormat="1">
      <c r="A883" s="111" t="s">
        <v>130</v>
      </c>
      <c r="B883" s="137">
        <f>SUM(B884:B887)</f>
        <v>109985980.11449632</v>
      </c>
      <c r="C883" s="117">
        <f>SUM(C884:C887)</f>
        <v>667924.38964636298</v>
      </c>
      <c r="D883" s="118">
        <f>SUM(D884:D887)</f>
        <v>1433449.6689162515</v>
      </c>
      <c r="E883" s="118">
        <f t="shared" ref="E883:BJ883" si="546">SUM(E884:E887)</f>
        <v>2177699.5583274602</v>
      </c>
      <c r="F883" s="118">
        <f t="shared" si="546"/>
        <v>2921949.4477386689</v>
      </c>
      <c r="G883" s="118">
        <f t="shared" si="546"/>
        <v>3666199.3371498776</v>
      </c>
      <c r="H883" s="118">
        <f t="shared" si="546"/>
        <v>3666199.3371498776</v>
      </c>
      <c r="I883" s="118">
        <f t="shared" si="546"/>
        <v>3666199.3371498776</v>
      </c>
      <c r="J883" s="118">
        <f t="shared" si="546"/>
        <v>3666199.3371498776</v>
      </c>
      <c r="K883" s="118">
        <f t="shared" si="546"/>
        <v>3666199.3371498776</v>
      </c>
      <c r="L883" s="118">
        <f t="shared" si="546"/>
        <v>3666199.3371498776</v>
      </c>
      <c r="M883" s="118">
        <f t="shared" si="546"/>
        <v>3666199.3371498776</v>
      </c>
      <c r="N883" s="118">
        <f t="shared" si="546"/>
        <v>3666199.3371498776</v>
      </c>
      <c r="O883" s="118">
        <f t="shared" si="546"/>
        <v>3666199.3371498776</v>
      </c>
      <c r="P883" s="118">
        <f t="shared" si="546"/>
        <v>3666199.3371498776</v>
      </c>
      <c r="Q883" s="118">
        <f t="shared" si="546"/>
        <v>3666199.3371498776</v>
      </c>
      <c r="R883" s="118">
        <f t="shared" si="546"/>
        <v>3666199.3371498776</v>
      </c>
      <c r="S883" s="118">
        <f t="shared" si="546"/>
        <v>3666199.3371498776</v>
      </c>
      <c r="T883" s="118">
        <f t="shared" si="546"/>
        <v>3666199.3371498776</v>
      </c>
      <c r="U883" s="118">
        <f t="shared" si="546"/>
        <v>3666199.3371498776</v>
      </c>
      <c r="V883" s="118">
        <f t="shared" si="546"/>
        <v>3666199.3371498776</v>
      </c>
      <c r="W883" s="118">
        <f t="shared" si="546"/>
        <v>3666199.3371498776</v>
      </c>
      <c r="X883" s="118">
        <f t="shared" si="546"/>
        <v>3666199.3371498776</v>
      </c>
      <c r="Y883" s="118">
        <f t="shared" si="546"/>
        <v>3666199.3371498776</v>
      </c>
      <c r="Z883" s="118">
        <f t="shared" si="546"/>
        <v>3666199.3371498776</v>
      </c>
      <c r="AA883" s="118">
        <f t="shared" si="546"/>
        <v>3666199.3371498776</v>
      </c>
      <c r="AB883" s="118">
        <f t="shared" si="546"/>
        <v>3666199.3371498776</v>
      </c>
      <c r="AC883" s="118">
        <f t="shared" si="546"/>
        <v>3666199.3371498776</v>
      </c>
      <c r="AD883" s="118">
        <f t="shared" si="546"/>
        <v>3666199.3371498776</v>
      </c>
      <c r="AE883" s="118">
        <f t="shared" si="546"/>
        <v>3666199.3371498776</v>
      </c>
      <c r="AF883" s="118">
        <f t="shared" si="546"/>
        <v>3666199.3371498776</v>
      </c>
      <c r="AG883" s="118">
        <f t="shared" si="546"/>
        <v>2998274.9475035151</v>
      </c>
      <c r="AH883" s="118">
        <f t="shared" si="546"/>
        <v>2232749.6682336265</v>
      </c>
      <c r="AI883" s="118">
        <f t="shared" si="546"/>
        <v>1488499.7788224176</v>
      </c>
      <c r="AJ883" s="118">
        <f t="shared" si="546"/>
        <v>744249.8894112088</v>
      </c>
      <c r="AK883" s="118">
        <f t="shared" si="546"/>
        <v>0</v>
      </c>
      <c r="AL883" s="118">
        <f t="shared" si="546"/>
        <v>0</v>
      </c>
      <c r="AM883" s="118">
        <f t="shared" si="546"/>
        <v>0</v>
      </c>
      <c r="AN883" s="118">
        <f t="shared" si="546"/>
        <v>0</v>
      </c>
      <c r="AO883" s="118">
        <f t="shared" si="546"/>
        <v>0</v>
      </c>
      <c r="AP883" s="118">
        <f t="shared" si="546"/>
        <v>0</v>
      </c>
      <c r="AQ883" s="118">
        <f t="shared" si="546"/>
        <v>0</v>
      </c>
      <c r="AR883" s="118">
        <f t="shared" si="546"/>
        <v>0</v>
      </c>
      <c r="AS883" s="118">
        <f t="shared" si="546"/>
        <v>0</v>
      </c>
      <c r="AT883" s="118">
        <f t="shared" si="546"/>
        <v>0</v>
      </c>
      <c r="AU883" s="118">
        <f t="shared" si="546"/>
        <v>0</v>
      </c>
      <c r="AV883" s="118">
        <f t="shared" si="546"/>
        <v>0</v>
      </c>
      <c r="AW883" s="118">
        <f t="shared" si="546"/>
        <v>0</v>
      </c>
      <c r="AX883" s="118">
        <f t="shared" si="546"/>
        <v>0</v>
      </c>
      <c r="AY883" s="118">
        <f t="shared" si="546"/>
        <v>0</v>
      </c>
      <c r="AZ883" s="118">
        <f t="shared" si="546"/>
        <v>0</v>
      </c>
      <c r="BA883" s="118">
        <f t="shared" si="546"/>
        <v>0</v>
      </c>
      <c r="BB883" s="118">
        <f t="shared" si="546"/>
        <v>0</v>
      </c>
      <c r="BC883" s="118">
        <f t="shared" si="546"/>
        <v>0</v>
      </c>
      <c r="BD883" s="118">
        <f t="shared" si="546"/>
        <v>0</v>
      </c>
      <c r="BE883" s="118">
        <f t="shared" si="546"/>
        <v>0</v>
      </c>
      <c r="BF883" s="118">
        <f t="shared" si="546"/>
        <v>0</v>
      </c>
      <c r="BG883" s="118">
        <f t="shared" si="546"/>
        <v>0</v>
      </c>
      <c r="BH883" s="118">
        <f t="shared" si="546"/>
        <v>0</v>
      </c>
      <c r="BI883" s="118">
        <f t="shared" si="546"/>
        <v>0</v>
      </c>
      <c r="BJ883" s="119">
        <f t="shared" si="546"/>
        <v>0</v>
      </c>
      <c r="BK883" s="118"/>
      <c r="BL883" s="118"/>
    </row>
    <row r="884" spans="1:64" s="143" customFormat="1" ht="12.75">
      <c r="A884" s="138" t="s">
        <v>126</v>
      </c>
      <c r="B884" s="139">
        <f>SUM(C884:BJ884)</f>
        <v>15653375.044953413</v>
      </c>
      <c r="C884" s="140"/>
      <c r="D884" s="141"/>
      <c r="E884" s="226">
        <f>$C879/$O865+$D879/$O865+$E879/$O865</f>
        <v>173926.38938837126</v>
      </c>
      <c r="F884" s="141">
        <f>$C879/$O865+$D879/$O865+$E879/$O865+$F879/$O865</f>
        <v>347852.77877674252</v>
      </c>
      <c r="G884" s="141">
        <f>$C879/$O865+$D879/$O865+$E879/$O865+$F879/$O865+$G879/$O865</f>
        <v>521779.16816511378</v>
      </c>
      <c r="H884" s="141">
        <f t="shared" ref="H884:AH887" si="547">G884</f>
        <v>521779.16816511378</v>
      </c>
      <c r="I884" s="141">
        <f t="shared" si="547"/>
        <v>521779.16816511378</v>
      </c>
      <c r="J884" s="141">
        <f t="shared" si="547"/>
        <v>521779.16816511378</v>
      </c>
      <c r="K884" s="141">
        <f t="shared" si="547"/>
        <v>521779.16816511378</v>
      </c>
      <c r="L884" s="141">
        <f t="shared" si="547"/>
        <v>521779.16816511378</v>
      </c>
      <c r="M884" s="141">
        <f t="shared" si="547"/>
        <v>521779.16816511378</v>
      </c>
      <c r="N884" s="141">
        <f t="shared" si="547"/>
        <v>521779.16816511378</v>
      </c>
      <c r="O884" s="141">
        <f t="shared" si="547"/>
        <v>521779.16816511378</v>
      </c>
      <c r="P884" s="141">
        <f t="shared" si="547"/>
        <v>521779.16816511378</v>
      </c>
      <c r="Q884" s="141">
        <f t="shared" si="547"/>
        <v>521779.16816511378</v>
      </c>
      <c r="R884" s="141">
        <f t="shared" si="547"/>
        <v>521779.16816511378</v>
      </c>
      <c r="S884" s="141">
        <f t="shared" si="547"/>
        <v>521779.16816511378</v>
      </c>
      <c r="T884" s="141">
        <f t="shared" si="547"/>
        <v>521779.16816511378</v>
      </c>
      <c r="U884" s="141">
        <f t="shared" si="547"/>
        <v>521779.16816511378</v>
      </c>
      <c r="V884" s="141">
        <f t="shared" si="547"/>
        <v>521779.16816511378</v>
      </c>
      <c r="W884" s="141">
        <f t="shared" si="547"/>
        <v>521779.16816511378</v>
      </c>
      <c r="X884" s="141">
        <f t="shared" si="547"/>
        <v>521779.16816511378</v>
      </c>
      <c r="Y884" s="141">
        <f t="shared" si="547"/>
        <v>521779.16816511378</v>
      </c>
      <c r="Z884" s="141">
        <f t="shared" si="547"/>
        <v>521779.16816511378</v>
      </c>
      <c r="AA884" s="141">
        <f t="shared" si="547"/>
        <v>521779.16816511378</v>
      </c>
      <c r="AB884" s="141">
        <f t="shared" si="547"/>
        <v>521779.16816511378</v>
      </c>
      <c r="AC884" s="141">
        <f t="shared" si="547"/>
        <v>521779.16816511378</v>
      </c>
      <c r="AD884" s="141">
        <f t="shared" si="547"/>
        <v>521779.16816511378</v>
      </c>
      <c r="AE884" s="141">
        <f t="shared" si="547"/>
        <v>521779.16816511378</v>
      </c>
      <c r="AF884" s="141">
        <f t="shared" si="547"/>
        <v>521779.16816511378</v>
      </c>
      <c r="AG884" s="141">
        <f t="shared" si="547"/>
        <v>521779.16816511378</v>
      </c>
      <c r="AH884" s="141">
        <f t="shared" si="547"/>
        <v>521779.16816511378</v>
      </c>
      <c r="AI884" s="141">
        <f>F884</f>
        <v>347852.77877674252</v>
      </c>
      <c r="AJ884" s="141">
        <f>E884</f>
        <v>173926.38938837126</v>
      </c>
      <c r="AK884" s="141"/>
      <c r="AL884" s="141"/>
      <c r="AM884" s="141"/>
      <c r="AN884" s="141"/>
      <c r="AO884" s="141"/>
      <c r="AP884" s="141"/>
      <c r="AQ884" s="141"/>
      <c r="AR884" s="141"/>
      <c r="AS884" s="141"/>
      <c r="AT884" s="141"/>
      <c r="AU884" s="141"/>
      <c r="AV884" s="141"/>
      <c r="AW884" s="141"/>
      <c r="AX884" s="141"/>
      <c r="AY884" s="141"/>
      <c r="AZ884" s="141"/>
      <c r="BA884" s="141"/>
      <c r="BB884" s="141"/>
      <c r="BC884" s="141"/>
      <c r="BD884" s="141"/>
      <c r="BE884" s="141"/>
      <c r="BF884" s="141"/>
      <c r="BG884" s="141"/>
      <c r="BH884" s="141"/>
      <c r="BI884" s="141"/>
      <c r="BJ884" s="142"/>
      <c r="BK884" s="141"/>
      <c r="BL884" s="141"/>
    </row>
    <row r="885" spans="1:64" s="143" customFormat="1" ht="12.75">
      <c r="A885" s="138" t="s">
        <v>127</v>
      </c>
      <c r="B885" s="139">
        <f>SUM(C885:BJ885)</f>
        <v>0</v>
      </c>
      <c r="C885" s="140"/>
      <c r="D885" s="141"/>
      <c r="E885" s="226">
        <f>$C880/$O865+$D880/$O865+$E880/$O865</f>
        <v>0</v>
      </c>
      <c r="F885" s="141">
        <f>$C880/$O865+$D880/$O865+$E880/$O865+$F880/$O865</f>
        <v>0</v>
      </c>
      <c r="G885" s="141">
        <f>$C880/$O865+$D880/$O865+$E880/$O865+$F880/$O865+$G880/$O865</f>
        <v>0</v>
      </c>
      <c r="H885" s="141">
        <f t="shared" si="547"/>
        <v>0</v>
      </c>
      <c r="I885" s="141">
        <f t="shared" si="547"/>
        <v>0</v>
      </c>
      <c r="J885" s="141">
        <f t="shared" si="547"/>
        <v>0</v>
      </c>
      <c r="K885" s="141">
        <f t="shared" si="547"/>
        <v>0</v>
      </c>
      <c r="L885" s="141">
        <f t="shared" si="547"/>
        <v>0</v>
      </c>
      <c r="M885" s="141">
        <f t="shared" si="547"/>
        <v>0</v>
      </c>
      <c r="N885" s="141">
        <f t="shared" si="547"/>
        <v>0</v>
      </c>
      <c r="O885" s="141">
        <f t="shared" si="547"/>
        <v>0</v>
      </c>
      <c r="P885" s="141">
        <f t="shared" si="547"/>
        <v>0</v>
      </c>
      <c r="Q885" s="141">
        <f t="shared" si="547"/>
        <v>0</v>
      </c>
      <c r="R885" s="141">
        <f t="shared" si="547"/>
        <v>0</v>
      </c>
      <c r="S885" s="141">
        <f t="shared" si="547"/>
        <v>0</v>
      </c>
      <c r="T885" s="141">
        <f t="shared" si="547"/>
        <v>0</v>
      </c>
      <c r="U885" s="141">
        <f t="shared" si="547"/>
        <v>0</v>
      </c>
      <c r="V885" s="141">
        <f t="shared" si="547"/>
        <v>0</v>
      </c>
      <c r="W885" s="141">
        <f t="shared" si="547"/>
        <v>0</v>
      </c>
      <c r="X885" s="141">
        <f t="shared" si="547"/>
        <v>0</v>
      </c>
      <c r="Y885" s="141">
        <f t="shared" si="547"/>
        <v>0</v>
      </c>
      <c r="Z885" s="141">
        <f t="shared" si="547"/>
        <v>0</v>
      </c>
      <c r="AA885" s="141">
        <f t="shared" si="547"/>
        <v>0</v>
      </c>
      <c r="AB885" s="141">
        <f t="shared" si="547"/>
        <v>0</v>
      </c>
      <c r="AC885" s="141">
        <f t="shared" si="547"/>
        <v>0</v>
      </c>
      <c r="AD885" s="141">
        <f t="shared" si="547"/>
        <v>0</v>
      </c>
      <c r="AE885" s="141">
        <f t="shared" si="547"/>
        <v>0</v>
      </c>
      <c r="AF885" s="141">
        <f t="shared" si="547"/>
        <v>0</v>
      </c>
      <c r="AG885" s="141">
        <f t="shared" si="547"/>
        <v>0</v>
      </c>
      <c r="AH885" s="141">
        <f t="shared" si="547"/>
        <v>0</v>
      </c>
      <c r="AI885" s="141">
        <f>F885</f>
        <v>0</v>
      </c>
      <c r="AJ885" s="141">
        <f>E885</f>
        <v>0</v>
      </c>
      <c r="AK885" s="141"/>
      <c r="AL885" s="141"/>
      <c r="AM885" s="141"/>
      <c r="AN885" s="141"/>
      <c r="AO885" s="141"/>
      <c r="AP885" s="141"/>
      <c r="AQ885" s="141"/>
      <c r="AR885" s="141"/>
      <c r="AS885" s="141"/>
      <c r="AT885" s="141"/>
      <c r="AU885" s="141"/>
      <c r="AV885" s="141"/>
      <c r="AW885" s="141"/>
      <c r="AX885" s="141"/>
      <c r="AY885" s="141"/>
      <c r="AZ885" s="141"/>
      <c r="BA885" s="141"/>
      <c r="BB885" s="141"/>
      <c r="BC885" s="141"/>
      <c r="BD885" s="141"/>
      <c r="BE885" s="141"/>
      <c r="BF885" s="141"/>
      <c r="BG885" s="141"/>
      <c r="BH885" s="141"/>
      <c r="BI885" s="141"/>
      <c r="BJ885" s="142"/>
      <c r="BK885" s="141"/>
      <c r="BL885" s="141"/>
    </row>
    <row r="886" spans="1:64" s="143" customFormat="1" ht="12.75">
      <c r="A886" s="138" t="s">
        <v>128</v>
      </c>
      <c r="B886" s="139">
        <f>SUM(C886:BJ886)</f>
        <v>85548525.003425628</v>
      </c>
      <c r="C886" s="227">
        <f>$C881/$O865</f>
        <v>570323.50002283754</v>
      </c>
      <c r="D886" s="141">
        <f>$C881/$O865+$D881/$O865</f>
        <v>1140647.0000456751</v>
      </c>
      <c r="E886" s="141">
        <f>$C881/$O865+$D881/$O865+$E881/$O865</f>
        <v>1710970.5000685127</v>
      </c>
      <c r="F886" s="141">
        <f>$C881/$O865+$D881/$O865+$E881/$O865+$F881/$O865</f>
        <v>2281294.0000913502</v>
      </c>
      <c r="G886" s="141">
        <f>$C881/$O865+$D881/$O865+$E881/$O865+$F881/$O865+$G881/$O865</f>
        <v>2851617.5001141876</v>
      </c>
      <c r="H886" s="141">
        <f t="shared" si="547"/>
        <v>2851617.5001141876</v>
      </c>
      <c r="I886" s="141">
        <f t="shared" si="547"/>
        <v>2851617.5001141876</v>
      </c>
      <c r="J886" s="141">
        <f t="shared" si="547"/>
        <v>2851617.5001141876</v>
      </c>
      <c r="K886" s="141">
        <f t="shared" si="547"/>
        <v>2851617.5001141876</v>
      </c>
      <c r="L886" s="141">
        <f t="shared" si="547"/>
        <v>2851617.5001141876</v>
      </c>
      <c r="M886" s="141">
        <f t="shared" si="547"/>
        <v>2851617.5001141876</v>
      </c>
      <c r="N886" s="141">
        <f t="shared" si="547"/>
        <v>2851617.5001141876</v>
      </c>
      <c r="O886" s="141">
        <f t="shared" si="547"/>
        <v>2851617.5001141876</v>
      </c>
      <c r="P886" s="141">
        <f t="shared" si="547"/>
        <v>2851617.5001141876</v>
      </c>
      <c r="Q886" s="141">
        <f t="shared" si="547"/>
        <v>2851617.5001141876</v>
      </c>
      <c r="R886" s="141">
        <f t="shared" si="547"/>
        <v>2851617.5001141876</v>
      </c>
      <c r="S886" s="141">
        <f t="shared" si="547"/>
        <v>2851617.5001141876</v>
      </c>
      <c r="T886" s="141">
        <f t="shared" si="547"/>
        <v>2851617.5001141876</v>
      </c>
      <c r="U886" s="141">
        <f t="shared" si="547"/>
        <v>2851617.5001141876</v>
      </c>
      <c r="V886" s="141">
        <f t="shared" si="547"/>
        <v>2851617.5001141876</v>
      </c>
      <c r="W886" s="141">
        <f t="shared" si="547"/>
        <v>2851617.5001141876</v>
      </c>
      <c r="X886" s="141">
        <f t="shared" si="547"/>
        <v>2851617.5001141876</v>
      </c>
      <c r="Y886" s="141">
        <f t="shared" si="547"/>
        <v>2851617.5001141876</v>
      </c>
      <c r="Z886" s="141">
        <f t="shared" si="547"/>
        <v>2851617.5001141876</v>
      </c>
      <c r="AA886" s="141">
        <f t="shared" si="547"/>
        <v>2851617.5001141876</v>
      </c>
      <c r="AB886" s="141">
        <f t="shared" si="547"/>
        <v>2851617.5001141876</v>
      </c>
      <c r="AC886" s="141">
        <f t="shared" si="547"/>
        <v>2851617.5001141876</v>
      </c>
      <c r="AD886" s="141">
        <f t="shared" si="547"/>
        <v>2851617.5001141876</v>
      </c>
      <c r="AE886" s="141">
        <f t="shared" si="547"/>
        <v>2851617.5001141876</v>
      </c>
      <c r="AF886" s="141">
        <f t="shared" si="547"/>
        <v>2851617.5001141876</v>
      </c>
      <c r="AG886" s="141">
        <f>F886</f>
        <v>2281294.0000913502</v>
      </c>
      <c r="AH886" s="141">
        <f>E886</f>
        <v>1710970.5000685127</v>
      </c>
      <c r="AI886" s="141">
        <f>D886</f>
        <v>1140647.0000456751</v>
      </c>
      <c r="AJ886" s="141">
        <f>C886</f>
        <v>570323.50002283754</v>
      </c>
      <c r="AK886" s="141"/>
      <c r="AL886" s="141"/>
      <c r="AM886" s="141"/>
      <c r="AN886" s="141"/>
      <c r="AO886" s="141"/>
      <c r="AP886" s="141"/>
      <c r="AQ886" s="141"/>
      <c r="AR886" s="141"/>
      <c r="AS886" s="141"/>
      <c r="AT886" s="141"/>
      <c r="AU886" s="141"/>
      <c r="AV886" s="141"/>
      <c r="AW886" s="141"/>
      <c r="AX886" s="141"/>
      <c r="AY886" s="141"/>
      <c r="AZ886" s="141"/>
      <c r="BA886" s="141"/>
      <c r="BB886" s="141"/>
      <c r="BC886" s="141"/>
      <c r="BD886" s="141"/>
      <c r="BE886" s="141"/>
      <c r="BF886" s="141"/>
      <c r="BG886" s="141"/>
      <c r="BH886" s="141"/>
      <c r="BI886" s="141"/>
      <c r="BJ886" s="142"/>
      <c r="BK886" s="141"/>
      <c r="BL886" s="141"/>
    </row>
    <row r="887" spans="1:64" s="143" customFormat="1" ht="12.75">
      <c r="A887" s="138" t="s">
        <v>129</v>
      </c>
      <c r="B887" s="139">
        <f>SUM(C887:BJ887)</f>
        <v>8784080.0661172941</v>
      </c>
      <c r="C887" s="227">
        <f>$C882/$O865</f>
        <v>97600.889623525451</v>
      </c>
      <c r="D887" s="141">
        <f>$C882/$O865+$D882/$O865</f>
        <v>292802.66887057637</v>
      </c>
      <c r="E887" s="141">
        <f>$C882/$O865+$D882/$O865+$E882/$O865</f>
        <v>292802.66887057637</v>
      </c>
      <c r="F887" s="141">
        <f>$C882/$O865+$D882/$O865+$E882/$O865+$F882/$O865</f>
        <v>292802.66887057637</v>
      </c>
      <c r="G887" s="141">
        <f>$C882/$O865+$D882/$O865+$E882/$O865+$F882/$O865+$G882/$O865</f>
        <v>292802.66887057637</v>
      </c>
      <c r="H887" s="141">
        <f t="shared" si="547"/>
        <v>292802.66887057637</v>
      </c>
      <c r="I887" s="141">
        <f t="shared" si="547"/>
        <v>292802.66887057637</v>
      </c>
      <c r="J887" s="141">
        <f t="shared" si="547"/>
        <v>292802.66887057637</v>
      </c>
      <c r="K887" s="141">
        <f t="shared" si="547"/>
        <v>292802.66887057637</v>
      </c>
      <c r="L887" s="141">
        <f t="shared" si="547"/>
        <v>292802.66887057637</v>
      </c>
      <c r="M887" s="141">
        <f t="shared" si="547"/>
        <v>292802.66887057637</v>
      </c>
      <c r="N887" s="141">
        <f t="shared" si="547"/>
        <v>292802.66887057637</v>
      </c>
      <c r="O887" s="141">
        <f t="shared" si="547"/>
        <v>292802.66887057637</v>
      </c>
      <c r="P887" s="141">
        <f t="shared" si="547"/>
        <v>292802.66887057637</v>
      </c>
      <c r="Q887" s="141">
        <f t="shared" si="547"/>
        <v>292802.66887057637</v>
      </c>
      <c r="R887" s="141">
        <f t="shared" si="547"/>
        <v>292802.66887057637</v>
      </c>
      <c r="S887" s="141">
        <f t="shared" si="547"/>
        <v>292802.66887057637</v>
      </c>
      <c r="T887" s="141">
        <f t="shared" si="547"/>
        <v>292802.66887057637</v>
      </c>
      <c r="U887" s="141">
        <f t="shared" si="547"/>
        <v>292802.66887057637</v>
      </c>
      <c r="V887" s="141">
        <f t="shared" si="547"/>
        <v>292802.66887057637</v>
      </c>
      <c r="W887" s="141">
        <f t="shared" si="547"/>
        <v>292802.66887057637</v>
      </c>
      <c r="X887" s="141">
        <f t="shared" si="547"/>
        <v>292802.66887057637</v>
      </c>
      <c r="Y887" s="141">
        <f t="shared" si="547"/>
        <v>292802.66887057637</v>
      </c>
      <c r="Z887" s="141">
        <f t="shared" si="547"/>
        <v>292802.66887057637</v>
      </c>
      <c r="AA887" s="141">
        <f t="shared" si="547"/>
        <v>292802.66887057637</v>
      </c>
      <c r="AB887" s="141">
        <f t="shared" si="547"/>
        <v>292802.66887057637</v>
      </c>
      <c r="AC887" s="141">
        <f t="shared" si="547"/>
        <v>292802.66887057637</v>
      </c>
      <c r="AD887" s="141">
        <f t="shared" si="547"/>
        <v>292802.66887057637</v>
      </c>
      <c r="AE887" s="141">
        <f t="shared" si="547"/>
        <v>292802.66887057637</v>
      </c>
      <c r="AF887" s="141">
        <f t="shared" si="547"/>
        <v>292802.66887057637</v>
      </c>
      <c r="AG887" s="141">
        <f>AF887-C887</f>
        <v>195201.77924705093</v>
      </c>
      <c r="AH887" s="141"/>
      <c r="AI887" s="141"/>
      <c r="AJ887" s="141"/>
      <c r="AK887" s="141"/>
      <c r="AL887" s="141"/>
      <c r="AM887" s="141"/>
      <c r="AN887" s="141"/>
      <c r="AO887" s="141"/>
      <c r="AP887" s="141"/>
      <c r="AQ887" s="141"/>
      <c r="AR887" s="141"/>
      <c r="AS887" s="141"/>
      <c r="AT887" s="141"/>
      <c r="AU887" s="141"/>
      <c r="AV887" s="141"/>
      <c r="AW887" s="141"/>
      <c r="AX887" s="141"/>
      <c r="AY887" s="141"/>
      <c r="AZ887" s="141"/>
      <c r="BA887" s="141"/>
      <c r="BB887" s="141"/>
      <c r="BC887" s="141"/>
      <c r="BD887" s="141"/>
      <c r="BE887" s="141"/>
      <c r="BF887" s="141"/>
      <c r="BG887" s="141"/>
      <c r="BH887" s="141"/>
      <c r="BI887" s="141"/>
      <c r="BJ887" s="142"/>
      <c r="BK887" s="141"/>
      <c r="BL887" s="141"/>
    </row>
    <row r="888" spans="1:64" s="148" customFormat="1">
      <c r="A888" s="111" t="s">
        <v>131</v>
      </c>
      <c r="B888" s="144"/>
      <c r="C888" s="145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  <c r="AF888" s="146"/>
      <c r="AG888" s="146"/>
      <c r="AH888" s="146"/>
      <c r="AI888" s="146"/>
      <c r="AJ888" s="146"/>
      <c r="AK888" s="146"/>
      <c r="AL888" s="146"/>
      <c r="AM888" s="146"/>
      <c r="AN888" s="146"/>
      <c r="AO888" s="146"/>
      <c r="AP888" s="146"/>
      <c r="AQ888" s="146"/>
      <c r="AR888" s="146"/>
      <c r="AS888" s="146"/>
      <c r="AT888" s="146"/>
      <c r="AU888" s="146"/>
      <c r="AV888" s="146"/>
      <c r="AW888" s="146"/>
      <c r="AX888" s="146"/>
      <c r="AY888" s="146"/>
      <c r="AZ888" s="146"/>
      <c r="BA888" s="146"/>
      <c r="BB888" s="146"/>
      <c r="BC888" s="146"/>
      <c r="BD888" s="146"/>
      <c r="BE888" s="146"/>
      <c r="BF888" s="146"/>
      <c r="BG888" s="146"/>
      <c r="BH888" s="146"/>
      <c r="BI888" s="146"/>
      <c r="BJ888" s="147"/>
      <c r="BK888" s="146"/>
      <c r="BL888" s="146"/>
    </row>
    <row r="889" spans="1:64" s="153" customFormat="1" ht="12.75">
      <c r="A889" s="138" t="s">
        <v>126</v>
      </c>
      <c r="B889" s="144"/>
      <c r="C889" s="149"/>
      <c r="D889" s="150"/>
      <c r="E889" s="151">
        <f>$B879-E884</f>
        <v>15479448.655565042</v>
      </c>
      <c r="F889" s="151">
        <f t="shared" ref="F889:AJ892" si="548">E889-F884</f>
        <v>15131595.8767883</v>
      </c>
      <c r="G889" s="151">
        <f t="shared" si="548"/>
        <v>14609816.708623186</v>
      </c>
      <c r="H889" s="151">
        <f t="shared" si="548"/>
        <v>14088037.540458072</v>
      </c>
      <c r="I889" s="151">
        <f t="shared" si="548"/>
        <v>13566258.372292958</v>
      </c>
      <c r="J889" s="151">
        <f t="shared" si="548"/>
        <v>13044479.204127844</v>
      </c>
      <c r="K889" s="151">
        <f t="shared" si="548"/>
        <v>12522700.035962731</v>
      </c>
      <c r="L889" s="151">
        <f t="shared" si="548"/>
        <v>12000920.867797617</v>
      </c>
      <c r="M889" s="151">
        <f t="shared" si="548"/>
        <v>11479141.699632503</v>
      </c>
      <c r="N889" s="151">
        <f t="shared" si="548"/>
        <v>10957362.531467389</v>
      </c>
      <c r="O889" s="151">
        <f t="shared" si="548"/>
        <v>10435583.363302276</v>
      </c>
      <c r="P889" s="151">
        <f t="shared" si="548"/>
        <v>9913804.1951371618</v>
      </c>
      <c r="Q889" s="151">
        <f t="shared" si="548"/>
        <v>9392025.026972048</v>
      </c>
      <c r="R889" s="151">
        <f t="shared" si="548"/>
        <v>8870245.8588069342</v>
      </c>
      <c r="S889" s="151">
        <f t="shared" si="548"/>
        <v>8348466.6906418204</v>
      </c>
      <c r="T889" s="151">
        <f t="shared" si="548"/>
        <v>7826687.5224767067</v>
      </c>
      <c r="U889" s="151">
        <f t="shared" si="548"/>
        <v>7304908.3543115929</v>
      </c>
      <c r="V889" s="151">
        <f t="shared" si="548"/>
        <v>6783129.1861464791</v>
      </c>
      <c r="W889" s="151">
        <f t="shared" si="548"/>
        <v>6261350.0179813653</v>
      </c>
      <c r="X889" s="151">
        <f t="shared" si="548"/>
        <v>5739570.8498162515</v>
      </c>
      <c r="Y889" s="151">
        <f t="shared" si="548"/>
        <v>5217791.6816511378</v>
      </c>
      <c r="Z889" s="151">
        <f t="shared" si="548"/>
        <v>4696012.513486024</v>
      </c>
      <c r="AA889" s="151">
        <f t="shared" si="548"/>
        <v>4174233.3453209102</v>
      </c>
      <c r="AB889" s="151">
        <f t="shared" si="548"/>
        <v>3652454.1771557964</v>
      </c>
      <c r="AC889" s="151">
        <f t="shared" si="548"/>
        <v>3130675.0089906827</v>
      </c>
      <c r="AD889" s="151">
        <f t="shared" si="548"/>
        <v>2608895.8408255689</v>
      </c>
      <c r="AE889" s="151">
        <f t="shared" si="548"/>
        <v>2087116.6726604551</v>
      </c>
      <c r="AF889" s="151">
        <f t="shared" si="548"/>
        <v>1565337.5044953413</v>
      </c>
      <c r="AG889" s="151">
        <f t="shared" si="548"/>
        <v>1043558.3363302276</v>
      </c>
      <c r="AH889" s="151">
        <f t="shared" si="548"/>
        <v>521779.16816511378</v>
      </c>
      <c r="AI889" s="151">
        <f t="shared" si="548"/>
        <v>173926.38938837126</v>
      </c>
      <c r="AJ889" s="151">
        <f t="shared" si="548"/>
        <v>0</v>
      </c>
      <c r="AK889" s="151"/>
      <c r="AL889" s="151"/>
      <c r="AM889" s="151"/>
      <c r="AN889" s="151"/>
      <c r="AO889" s="151"/>
      <c r="AP889" s="151"/>
      <c r="AQ889" s="151"/>
      <c r="AR889" s="151"/>
      <c r="AS889" s="151"/>
      <c r="AT889" s="151"/>
      <c r="AU889" s="151"/>
      <c r="AV889" s="151"/>
      <c r="AW889" s="151"/>
      <c r="AX889" s="151"/>
      <c r="AY889" s="151"/>
      <c r="AZ889" s="151"/>
      <c r="BA889" s="151"/>
      <c r="BB889" s="151"/>
      <c r="BC889" s="151"/>
      <c r="BD889" s="151"/>
      <c r="BE889" s="151"/>
      <c r="BF889" s="151"/>
      <c r="BG889" s="151"/>
      <c r="BH889" s="151"/>
      <c r="BI889" s="151"/>
      <c r="BJ889" s="152"/>
      <c r="BK889" s="151"/>
      <c r="BL889" s="151"/>
    </row>
    <row r="890" spans="1:64" s="153" customFormat="1" ht="12.75">
      <c r="A890" s="138" t="s">
        <v>127</v>
      </c>
      <c r="B890" s="144"/>
      <c r="C890" s="149"/>
      <c r="D890" s="150"/>
      <c r="E890" s="151">
        <f>$B880-E885</f>
        <v>0</v>
      </c>
      <c r="F890" s="151">
        <f t="shared" si="548"/>
        <v>0</v>
      </c>
      <c r="G890" s="151">
        <f t="shared" si="548"/>
        <v>0</v>
      </c>
      <c r="H890" s="151">
        <f t="shared" si="548"/>
        <v>0</v>
      </c>
      <c r="I890" s="151">
        <f t="shared" si="548"/>
        <v>0</v>
      </c>
      <c r="J890" s="151">
        <f t="shared" si="548"/>
        <v>0</v>
      </c>
      <c r="K890" s="151">
        <f t="shared" si="548"/>
        <v>0</v>
      </c>
      <c r="L890" s="151">
        <f t="shared" si="548"/>
        <v>0</v>
      </c>
      <c r="M890" s="151">
        <f t="shared" si="548"/>
        <v>0</v>
      </c>
      <c r="N890" s="151">
        <f t="shared" si="548"/>
        <v>0</v>
      </c>
      <c r="O890" s="151">
        <f t="shared" si="548"/>
        <v>0</v>
      </c>
      <c r="P890" s="151">
        <f t="shared" si="548"/>
        <v>0</v>
      </c>
      <c r="Q890" s="151">
        <f t="shared" si="548"/>
        <v>0</v>
      </c>
      <c r="R890" s="151">
        <f t="shared" si="548"/>
        <v>0</v>
      </c>
      <c r="S890" s="151">
        <f t="shared" si="548"/>
        <v>0</v>
      </c>
      <c r="T890" s="151">
        <f t="shared" si="548"/>
        <v>0</v>
      </c>
      <c r="U890" s="151">
        <f t="shared" si="548"/>
        <v>0</v>
      </c>
      <c r="V890" s="151">
        <f t="shared" si="548"/>
        <v>0</v>
      </c>
      <c r="W890" s="151">
        <f t="shared" si="548"/>
        <v>0</v>
      </c>
      <c r="X890" s="151">
        <f t="shared" si="548"/>
        <v>0</v>
      </c>
      <c r="Y890" s="151">
        <f t="shared" si="548"/>
        <v>0</v>
      </c>
      <c r="Z890" s="151">
        <f t="shared" si="548"/>
        <v>0</v>
      </c>
      <c r="AA890" s="151">
        <f t="shared" si="548"/>
        <v>0</v>
      </c>
      <c r="AB890" s="151">
        <f t="shared" si="548"/>
        <v>0</v>
      </c>
      <c r="AC890" s="151">
        <f t="shared" si="548"/>
        <v>0</v>
      </c>
      <c r="AD890" s="151">
        <f t="shared" si="548"/>
        <v>0</v>
      </c>
      <c r="AE890" s="151">
        <f t="shared" si="548"/>
        <v>0</v>
      </c>
      <c r="AF890" s="151">
        <f t="shared" si="548"/>
        <v>0</v>
      </c>
      <c r="AG890" s="151">
        <f t="shared" si="548"/>
        <v>0</v>
      </c>
      <c r="AH890" s="151">
        <f t="shared" si="548"/>
        <v>0</v>
      </c>
      <c r="AI890" s="151">
        <f t="shared" si="548"/>
        <v>0</v>
      </c>
      <c r="AJ890" s="151">
        <f t="shared" si="548"/>
        <v>0</v>
      </c>
      <c r="AK890" s="151"/>
      <c r="AL890" s="151"/>
      <c r="AM890" s="151"/>
      <c r="AN890" s="151"/>
      <c r="AO890" s="151"/>
      <c r="AP890" s="151"/>
      <c r="AQ890" s="151"/>
      <c r="AR890" s="151"/>
      <c r="AS890" s="151"/>
      <c r="AT890" s="151"/>
      <c r="AU890" s="151"/>
      <c r="AV890" s="151"/>
      <c r="AW890" s="151"/>
      <c r="AX890" s="151"/>
      <c r="AY890" s="151"/>
      <c r="AZ890" s="151"/>
      <c r="BA890" s="151"/>
      <c r="BB890" s="151"/>
      <c r="BC890" s="151"/>
      <c r="BD890" s="151"/>
      <c r="BE890" s="151"/>
      <c r="BF890" s="151"/>
      <c r="BG890" s="151"/>
      <c r="BH890" s="151"/>
      <c r="BI890" s="151"/>
      <c r="BJ890" s="152"/>
      <c r="BK890" s="151"/>
      <c r="BL890" s="151"/>
    </row>
    <row r="891" spans="1:64" s="153" customFormat="1" ht="12.75">
      <c r="A891" s="138" t="s">
        <v>128</v>
      </c>
      <c r="B891" s="144"/>
      <c r="C891" s="154">
        <f>$B881-C886</f>
        <v>84978201.503402784</v>
      </c>
      <c r="D891" s="151">
        <f>C891-D886</f>
        <v>83837554.503357112</v>
      </c>
      <c r="E891" s="151">
        <f>D891-E886</f>
        <v>82126584.003288597</v>
      </c>
      <c r="F891" s="151">
        <f t="shared" si="548"/>
        <v>79845290.003197253</v>
      </c>
      <c r="G891" s="151">
        <f t="shared" si="548"/>
        <v>76993672.503083065</v>
      </c>
      <c r="H891" s="151">
        <f t="shared" si="548"/>
        <v>74142055.002968878</v>
      </c>
      <c r="I891" s="151">
        <f t="shared" si="548"/>
        <v>71290437.50285469</v>
      </c>
      <c r="J891" s="151">
        <f t="shared" si="548"/>
        <v>68438820.002740502</v>
      </c>
      <c r="K891" s="151">
        <f t="shared" si="548"/>
        <v>65587202.502626315</v>
      </c>
      <c r="L891" s="151">
        <f t="shared" si="548"/>
        <v>62735585.002512127</v>
      </c>
      <c r="M891" s="151">
        <f t="shared" si="548"/>
        <v>59883967.50239794</v>
      </c>
      <c r="N891" s="151">
        <f t="shared" si="548"/>
        <v>57032350.002283752</v>
      </c>
      <c r="O891" s="151">
        <f t="shared" si="548"/>
        <v>54180732.502169564</v>
      </c>
      <c r="P891" s="151">
        <f t="shared" si="548"/>
        <v>51329115.002055377</v>
      </c>
      <c r="Q891" s="151">
        <f t="shared" si="548"/>
        <v>48477497.501941189</v>
      </c>
      <c r="R891" s="151">
        <f t="shared" si="548"/>
        <v>45625880.001827002</v>
      </c>
      <c r="S891" s="151">
        <f t="shared" si="548"/>
        <v>42774262.501712814</v>
      </c>
      <c r="T891" s="151">
        <f t="shared" si="548"/>
        <v>39922645.001598626</v>
      </c>
      <c r="U891" s="151">
        <f t="shared" si="548"/>
        <v>37071027.501484439</v>
      </c>
      <c r="V891" s="151">
        <f t="shared" si="548"/>
        <v>34219410.001370251</v>
      </c>
      <c r="W891" s="151">
        <f t="shared" si="548"/>
        <v>31367792.501256064</v>
      </c>
      <c r="X891" s="151">
        <f t="shared" si="548"/>
        <v>28516175.001141876</v>
      </c>
      <c r="Y891" s="151">
        <f t="shared" si="548"/>
        <v>25664557.501027688</v>
      </c>
      <c r="Z891" s="151">
        <f t="shared" si="548"/>
        <v>22812940.000913501</v>
      </c>
      <c r="AA891" s="151">
        <f t="shared" si="548"/>
        <v>19961322.500799313</v>
      </c>
      <c r="AB891" s="151">
        <f t="shared" si="548"/>
        <v>17109705.000685126</v>
      </c>
      <c r="AC891" s="151">
        <f t="shared" si="548"/>
        <v>14258087.500570938</v>
      </c>
      <c r="AD891" s="151">
        <f t="shared" si="548"/>
        <v>11406470.00045675</v>
      </c>
      <c r="AE891" s="151">
        <f t="shared" si="548"/>
        <v>8554852.5003425628</v>
      </c>
      <c r="AF891" s="151">
        <f t="shared" si="548"/>
        <v>5703235.0002283752</v>
      </c>
      <c r="AG891" s="151">
        <f t="shared" si="548"/>
        <v>3421941.000137025</v>
      </c>
      <c r="AH891" s="151">
        <f t="shared" si="548"/>
        <v>1710970.5000685123</v>
      </c>
      <c r="AI891" s="151">
        <f t="shared" si="548"/>
        <v>570323.50002283719</v>
      </c>
      <c r="AJ891" s="151">
        <f t="shared" si="548"/>
        <v>0</v>
      </c>
      <c r="AK891" s="151"/>
      <c r="AL891" s="151"/>
      <c r="AM891" s="151"/>
      <c r="AN891" s="151"/>
      <c r="AO891" s="151"/>
      <c r="AP891" s="151"/>
      <c r="AQ891" s="151"/>
      <c r="AR891" s="151"/>
      <c r="AS891" s="151"/>
      <c r="AT891" s="151"/>
      <c r="AU891" s="151"/>
      <c r="AV891" s="151"/>
      <c r="AW891" s="151"/>
      <c r="AX891" s="151"/>
      <c r="AY891" s="151"/>
      <c r="AZ891" s="151"/>
      <c r="BA891" s="151"/>
      <c r="BB891" s="151"/>
      <c r="BC891" s="151"/>
      <c r="BD891" s="151"/>
      <c r="BE891" s="151"/>
      <c r="BF891" s="151"/>
      <c r="BG891" s="151"/>
      <c r="BH891" s="151"/>
      <c r="BI891" s="151"/>
      <c r="BJ891" s="152"/>
      <c r="BK891" s="151"/>
      <c r="BL891" s="151"/>
    </row>
    <row r="892" spans="1:64" s="153" customFormat="1" ht="12.75">
      <c r="A892" s="138" t="s">
        <v>129</v>
      </c>
      <c r="B892" s="144"/>
      <c r="C892" s="154">
        <f>$B882-C887</f>
        <v>8686479.1764937658</v>
      </c>
      <c r="D892" s="151">
        <f>C892-D887</f>
        <v>8393676.5076231901</v>
      </c>
      <c r="E892" s="151">
        <f>D892-E887</f>
        <v>8100873.8387526134</v>
      </c>
      <c r="F892" s="151">
        <f t="shared" si="548"/>
        <v>7808071.1698820367</v>
      </c>
      <c r="G892" s="151">
        <f t="shared" si="548"/>
        <v>7515268.5010114601</v>
      </c>
      <c r="H892" s="151">
        <f t="shared" si="548"/>
        <v>7222465.8321408834</v>
      </c>
      <c r="I892" s="151">
        <f t="shared" si="548"/>
        <v>6929663.1632703068</v>
      </c>
      <c r="J892" s="151">
        <f t="shared" si="548"/>
        <v>6636860.4943997301</v>
      </c>
      <c r="K892" s="151">
        <f t="shared" si="548"/>
        <v>6344057.8255291535</v>
      </c>
      <c r="L892" s="151">
        <f t="shared" si="548"/>
        <v>6051255.1566585768</v>
      </c>
      <c r="M892" s="151">
        <f t="shared" si="548"/>
        <v>5758452.4877880001</v>
      </c>
      <c r="N892" s="151">
        <f t="shared" si="548"/>
        <v>5465649.8189174235</v>
      </c>
      <c r="O892" s="151">
        <f t="shared" si="548"/>
        <v>5172847.1500468468</v>
      </c>
      <c r="P892" s="151">
        <f t="shared" si="548"/>
        <v>4880044.4811762702</v>
      </c>
      <c r="Q892" s="151">
        <f t="shared" si="548"/>
        <v>4587241.8123056935</v>
      </c>
      <c r="R892" s="151">
        <f t="shared" si="548"/>
        <v>4294439.1434351169</v>
      </c>
      <c r="S892" s="151">
        <f t="shared" si="548"/>
        <v>4001636.4745645407</v>
      </c>
      <c r="T892" s="151">
        <f t="shared" si="548"/>
        <v>3708833.8056939645</v>
      </c>
      <c r="U892" s="151">
        <f t="shared" si="548"/>
        <v>3416031.1368233883</v>
      </c>
      <c r="V892" s="151">
        <f t="shared" si="548"/>
        <v>3123228.4679528121</v>
      </c>
      <c r="W892" s="151">
        <f t="shared" si="548"/>
        <v>2830425.7990822359</v>
      </c>
      <c r="X892" s="151">
        <f t="shared" si="548"/>
        <v>2537623.1302116597</v>
      </c>
      <c r="Y892" s="151">
        <f t="shared" si="548"/>
        <v>2244820.4613410835</v>
      </c>
      <c r="Z892" s="151">
        <f t="shared" si="548"/>
        <v>1952017.7924705071</v>
      </c>
      <c r="AA892" s="151">
        <f t="shared" si="548"/>
        <v>1659215.1235999307</v>
      </c>
      <c r="AB892" s="151">
        <f t="shared" si="548"/>
        <v>1366412.4547293542</v>
      </c>
      <c r="AC892" s="151">
        <f t="shared" si="548"/>
        <v>1073609.7858587778</v>
      </c>
      <c r="AD892" s="151">
        <f t="shared" si="548"/>
        <v>780807.11698820139</v>
      </c>
      <c r="AE892" s="151">
        <f t="shared" si="548"/>
        <v>488004.44811762503</v>
      </c>
      <c r="AF892" s="151">
        <f t="shared" si="548"/>
        <v>195201.77924704866</v>
      </c>
      <c r="AG892" s="151">
        <f t="shared" si="548"/>
        <v>-2.2700987756252289E-9</v>
      </c>
      <c r="AH892" s="151">
        <f t="shared" si="548"/>
        <v>-2.2700987756252289E-9</v>
      </c>
      <c r="AI892" s="151">
        <f t="shared" si="548"/>
        <v>-2.2700987756252289E-9</v>
      </c>
      <c r="AJ892" s="151">
        <f t="shared" si="548"/>
        <v>-2.2700987756252289E-9</v>
      </c>
      <c r="AK892" s="151"/>
      <c r="AL892" s="151"/>
      <c r="AM892" s="151"/>
      <c r="AN892" s="151"/>
      <c r="AO892" s="151"/>
      <c r="AP892" s="151"/>
      <c r="AQ892" s="151"/>
      <c r="AR892" s="151"/>
      <c r="AS892" s="151"/>
      <c r="AT892" s="151"/>
      <c r="AU892" s="151"/>
      <c r="AV892" s="151"/>
      <c r="AW892" s="151"/>
      <c r="AX892" s="151"/>
      <c r="AY892" s="151"/>
      <c r="AZ892" s="151"/>
      <c r="BA892" s="151"/>
      <c r="BB892" s="151"/>
      <c r="BC892" s="151"/>
      <c r="BD892" s="151"/>
      <c r="BE892" s="151"/>
      <c r="BF892" s="151"/>
      <c r="BG892" s="151"/>
      <c r="BH892" s="151"/>
      <c r="BI892" s="151"/>
      <c r="BJ892" s="152"/>
      <c r="BK892" s="151"/>
      <c r="BL892" s="151"/>
    </row>
    <row r="893" spans="1:64" s="116" customFormat="1">
      <c r="A893" s="111" t="s">
        <v>132</v>
      </c>
      <c r="B893" s="155">
        <f>SUM(B894:B897)</f>
        <v>139303912.66494986</v>
      </c>
      <c r="C893" s="117">
        <f>SUM(C894:C897)</f>
        <v>9433260.5069542918</v>
      </c>
      <c r="D893" s="118">
        <f t="shared" ref="D893:AJ893" si="549">SUM(D894:D897)</f>
        <v>9366468.0679896567</v>
      </c>
      <c r="E893" s="118">
        <f t="shared" si="549"/>
        <v>10788460.605593372</v>
      </c>
      <c r="F893" s="118">
        <f t="shared" si="549"/>
        <v>10570690.649760626</v>
      </c>
      <c r="G893" s="118">
        <f t="shared" si="549"/>
        <v>10278495.70498676</v>
      </c>
      <c r="H893" s="118">
        <f t="shared" si="549"/>
        <v>9911875.7712717727</v>
      </c>
      <c r="I893" s="118">
        <f t="shared" si="549"/>
        <v>9545255.8375567831</v>
      </c>
      <c r="J893" s="118">
        <f t="shared" si="549"/>
        <v>9178635.9038417973</v>
      </c>
      <c r="K893" s="118">
        <f t="shared" si="549"/>
        <v>8812015.9701268077</v>
      </c>
      <c r="L893" s="118">
        <f t="shared" si="549"/>
        <v>8445396.03641182</v>
      </c>
      <c r="M893" s="118">
        <f t="shared" si="549"/>
        <v>8078776.1026968332</v>
      </c>
      <c r="N893" s="118">
        <f t="shared" si="549"/>
        <v>7712156.1689818446</v>
      </c>
      <c r="O893" s="118">
        <f t="shared" si="549"/>
        <v>7345536.2352668559</v>
      </c>
      <c r="P893" s="118">
        <f t="shared" si="549"/>
        <v>6978916.3015518691</v>
      </c>
      <c r="Q893" s="118">
        <f t="shared" si="549"/>
        <v>6612296.3678368814</v>
      </c>
      <c r="R893" s="118">
        <f t="shared" si="549"/>
        <v>6245676.4341218937</v>
      </c>
      <c r="S893" s="118">
        <f t="shared" si="549"/>
        <v>0</v>
      </c>
      <c r="T893" s="118">
        <f t="shared" si="549"/>
        <v>0</v>
      </c>
      <c r="U893" s="118">
        <f t="shared" si="549"/>
        <v>0</v>
      </c>
      <c r="V893" s="118">
        <f t="shared" si="549"/>
        <v>0</v>
      </c>
      <c r="W893" s="118">
        <f t="shared" si="549"/>
        <v>0</v>
      </c>
      <c r="X893" s="118">
        <f t="shared" si="549"/>
        <v>0</v>
      </c>
      <c r="Y893" s="118">
        <f t="shared" si="549"/>
        <v>0</v>
      </c>
      <c r="Z893" s="118">
        <f t="shared" si="549"/>
        <v>0</v>
      </c>
      <c r="AA893" s="118">
        <f t="shared" si="549"/>
        <v>0</v>
      </c>
      <c r="AB893" s="118">
        <f t="shared" si="549"/>
        <v>0</v>
      </c>
      <c r="AC893" s="118">
        <f t="shared" si="549"/>
        <v>0</v>
      </c>
      <c r="AD893" s="118">
        <f t="shared" si="549"/>
        <v>0</v>
      </c>
      <c r="AE893" s="118">
        <f t="shared" si="549"/>
        <v>0</v>
      </c>
      <c r="AF893" s="118">
        <f t="shared" si="549"/>
        <v>0</v>
      </c>
      <c r="AG893" s="118">
        <f t="shared" si="549"/>
        <v>0</v>
      </c>
      <c r="AH893" s="118">
        <f t="shared" si="549"/>
        <v>0</v>
      </c>
      <c r="AI893" s="118">
        <f t="shared" si="549"/>
        <v>0</v>
      </c>
      <c r="AJ893" s="118">
        <f t="shared" si="549"/>
        <v>0</v>
      </c>
      <c r="AK893" s="118"/>
      <c r="AL893" s="118"/>
      <c r="AM893" s="118"/>
      <c r="AN893" s="118"/>
      <c r="AO893" s="118"/>
      <c r="AP893" s="118"/>
      <c r="AQ893" s="118"/>
      <c r="AR893" s="118"/>
      <c r="AS893" s="118"/>
      <c r="AT893" s="118"/>
      <c r="AU893" s="118"/>
      <c r="AV893" s="118"/>
      <c r="AW893" s="118"/>
      <c r="AX893" s="118"/>
      <c r="AY893" s="118"/>
      <c r="AZ893" s="118"/>
      <c r="BA893" s="118"/>
      <c r="BB893" s="118"/>
      <c r="BC893" s="118"/>
      <c r="BD893" s="118"/>
      <c r="BE893" s="118"/>
      <c r="BF893" s="118"/>
      <c r="BG893" s="118"/>
      <c r="BH893" s="118"/>
      <c r="BI893" s="118"/>
      <c r="BJ893" s="119"/>
      <c r="BK893" s="118"/>
      <c r="BL893" s="118"/>
    </row>
    <row r="894" spans="1:64" s="143" customFormat="1" ht="12.75">
      <c r="A894" s="138" t="s">
        <v>126</v>
      </c>
      <c r="B894" s="139">
        <f>SUM(C894:BJ894)</f>
        <v>17827454.912308056</v>
      </c>
      <c r="C894" s="140"/>
      <c r="D894" s="141"/>
      <c r="E894" s="226">
        <f>IF(AND(E866&gt;5,E867=0),0,(E889+E884)*$I865)</f>
        <v>1565337.5044953413</v>
      </c>
      <c r="F894" s="141">
        <f>IF(AND(F866&gt;5,F867=0),0,(F889+F884)*$I865)</f>
        <v>1547944.8655565043</v>
      </c>
      <c r="G894" s="141">
        <f t="shared" ref="G894:BJ894" si="550">IF(AND(G866&gt;5,G867=0),0,(G889+G884)*$I865)</f>
        <v>1513159.5876788301</v>
      </c>
      <c r="H894" s="141">
        <f t="shared" si="550"/>
        <v>1460981.6708623187</v>
      </c>
      <c r="I894" s="141">
        <f t="shared" si="550"/>
        <v>1408803.7540458073</v>
      </c>
      <c r="J894" s="141">
        <f t="shared" si="550"/>
        <v>1356625.8372292959</v>
      </c>
      <c r="K894" s="141">
        <f t="shared" si="550"/>
        <v>1304447.9204127844</v>
      </c>
      <c r="L894" s="141">
        <f t="shared" si="550"/>
        <v>1252270.003596273</v>
      </c>
      <c r="M894" s="141">
        <f t="shared" si="550"/>
        <v>1200092.0867797618</v>
      </c>
      <c r="N894" s="141">
        <f t="shared" si="550"/>
        <v>1147914.1699632504</v>
      </c>
      <c r="O894" s="141">
        <f t="shared" si="550"/>
        <v>1095736.253146739</v>
      </c>
      <c r="P894" s="141">
        <f t="shared" si="550"/>
        <v>1043558.3363302276</v>
      </c>
      <c r="Q894" s="141">
        <f t="shared" si="550"/>
        <v>991380.41951371625</v>
      </c>
      <c r="R894" s="141">
        <f t="shared" si="550"/>
        <v>939202.50269720482</v>
      </c>
      <c r="S894" s="141">
        <f t="shared" si="550"/>
        <v>0</v>
      </c>
      <c r="T894" s="141">
        <f t="shared" si="550"/>
        <v>0</v>
      </c>
      <c r="U894" s="141">
        <f t="shared" si="550"/>
        <v>0</v>
      </c>
      <c r="V894" s="141">
        <f t="shared" si="550"/>
        <v>0</v>
      </c>
      <c r="W894" s="141">
        <f t="shared" si="550"/>
        <v>0</v>
      </c>
      <c r="X894" s="141">
        <f t="shared" si="550"/>
        <v>0</v>
      </c>
      <c r="Y894" s="141">
        <f t="shared" si="550"/>
        <v>0</v>
      </c>
      <c r="Z894" s="141">
        <f t="shared" si="550"/>
        <v>0</v>
      </c>
      <c r="AA894" s="141">
        <f t="shared" si="550"/>
        <v>0</v>
      </c>
      <c r="AB894" s="141">
        <f t="shared" si="550"/>
        <v>0</v>
      </c>
      <c r="AC894" s="141">
        <f t="shared" si="550"/>
        <v>0</v>
      </c>
      <c r="AD894" s="141">
        <f t="shared" si="550"/>
        <v>0</v>
      </c>
      <c r="AE894" s="141">
        <f t="shared" si="550"/>
        <v>0</v>
      </c>
      <c r="AF894" s="141">
        <f t="shared" si="550"/>
        <v>0</v>
      </c>
      <c r="AG894" s="141">
        <f t="shared" si="550"/>
        <v>0</v>
      </c>
      <c r="AH894" s="141">
        <f t="shared" si="550"/>
        <v>0</v>
      </c>
      <c r="AI894" s="141">
        <f t="shared" si="550"/>
        <v>0</v>
      </c>
      <c r="AJ894" s="141">
        <f t="shared" si="550"/>
        <v>0</v>
      </c>
      <c r="AK894" s="141">
        <f t="shared" si="550"/>
        <v>0</v>
      </c>
      <c r="AL894" s="141">
        <f t="shared" si="550"/>
        <v>0</v>
      </c>
      <c r="AM894" s="141">
        <f t="shared" si="550"/>
        <v>0</v>
      </c>
      <c r="AN894" s="141">
        <f t="shared" si="550"/>
        <v>0</v>
      </c>
      <c r="AO894" s="141">
        <f t="shared" si="550"/>
        <v>0</v>
      </c>
      <c r="AP894" s="141">
        <f t="shared" si="550"/>
        <v>0</v>
      </c>
      <c r="AQ894" s="141">
        <f t="shared" si="550"/>
        <v>0</v>
      </c>
      <c r="AR894" s="141">
        <f t="shared" si="550"/>
        <v>0</v>
      </c>
      <c r="AS894" s="141">
        <f t="shared" si="550"/>
        <v>0</v>
      </c>
      <c r="AT894" s="141">
        <f t="shared" si="550"/>
        <v>0</v>
      </c>
      <c r="AU894" s="141">
        <f t="shared" si="550"/>
        <v>0</v>
      </c>
      <c r="AV894" s="141">
        <f t="shared" si="550"/>
        <v>0</v>
      </c>
      <c r="AW894" s="141">
        <f t="shared" si="550"/>
        <v>0</v>
      </c>
      <c r="AX894" s="141">
        <f t="shared" si="550"/>
        <v>0</v>
      </c>
      <c r="AY894" s="141">
        <f t="shared" si="550"/>
        <v>0</v>
      </c>
      <c r="AZ894" s="141">
        <f t="shared" si="550"/>
        <v>0</v>
      </c>
      <c r="BA894" s="141">
        <f t="shared" si="550"/>
        <v>0</v>
      </c>
      <c r="BB894" s="141">
        <f t="shared" si="550"/>
        <v>0</v>
      </c>
      <c r="BC894" s="141">
        <f t="shared" si="550"/>
        <v>0</v>
      </c>
      <c r="BD894" s="141">
        <f t="shared" si="550"/>
        <v>0</v>
      </c>
      <c r="BE894" s="141">
        <f t="shared" si="550"/>
        <v>0</v>
      </c>
      <c r="BF894" s="141">
        <f t="shared" si="550"/>
        <v>0</v>
      </c>
      <c r="BG894" s="141">
        <f t="shared" si="550"/>
        <v>0</v>
      </c>
      <c r="BH894" s="141">
        <f t="shared" si="550"/>
        <v>0</v>
      </c>
      <c r="BI894" s="141">
        <f t="shared" si="550"/>
        <v>0</v>
      </c>
      <c r="BJ894" s="142">
        <f t="shared" si="550"/>
        <v>0</v>
      </c>
      <c r="BK894" s="141"/>
      <c r="BL894" s="141"/>
    </row>
    <row r="895" spans="1:64" s="143" customFormat="1" ht="12.75">
      <c r="A895" s="138" t="s">
        <v>127</v>
      </c>
      <c r="B895" s="139">
        <f>SUM(C895:BJ895)</f>
        <v>0</v>
      </c>
      <c r="C895" s="140"/>
      <c r="D895" s="141"/>
      <c r="E895" s="226">
        <f>IF(AND(E866&gt;5,E867=0),0,(E890+E885)*$I865)</f>
        <v>0</v>
      </c>
      <c r="F895" s="141">
        <f t="shared" ref="F895:BJ895" si="551">IF(AND(F866&gt;5,F867=0),0,(F890+F885)*$I865)</f>
        <v>0</v>
      </c>
      <c r="G895" s="141">
        <f t="shared" si="551"/>
        <v>0</v>
      </c>
      <c r="H895" s="141">
        <f t="shared" si="551"/>
        <v>0</v>
      </c>
      <c r="I895" s="141">
        <f t="shared" si="551"/>
        <v>0</v>
      </c>
      <c r="J895" s="141">
        <f t="shared" si="551"/>
        <v>0</v>
      </c>
      <c r="K895" s="141">
        <f t="shared" si="551"/>
        <v>0</v>
      </c>
      <c r="L895" s="141">
        <f t="shared" si="551"/>
        <v>0</v>
      </c>
      <c r="M895" s="141">
        <f t="shared" si="551"/>
        <v>0</v>
      </c>
      <c r="N895" s="141">
        <f t="shared" si="551"/>
        <v>0</v>
      </c>
      <c r="O895" s="141">
        <f t="shared" si="551"/>
        <v>0</v>
      </c>
      <c r="P895" s="141">
        <f t="shared" si="551"/>
        <v>0</v>
      </c>
      <c r="Q895" s="141">
        <f t="shared" si="551"/>
        <v>0</v>
      </c>
      <c r="R895" s="141">
        <f t="shared" si="551"/>
        <v>0</v>
      </c>
      <c r="S895" s="141">
        <f t="shared" si="551"/>
        <v>0</v>
      </c>
      <c r="T895" s="141">
        <f t="shared" si="551"/>
        <v>0</v>
      </c>
      <c r="U895" s="141">
        <f t="shared" si="551"/>
        <v>0</v>
      </c>
      <c r="V895" s="141">
        <f t="shared" si="551"/>
        <v>0</v>
      </c>
      <c r="W895" s="141">
        <f t="shared" si="551"/>
        <v>0</v>
      </c>
      <c r="X895" s="141">
        <f t="shared" si="551"/>
        <v>0</v>
      </c>
      <c r="Y895" s="141">
        <f t="shared" si="551"/>
        <v>0</v>
      </c>
      <c r="Z895" s="141">
        <f t="shared" si="551"/>
        <v>0</v>
      </c>
      <c r="AA895" s="141">
        <f t="shared" si="551"/>
        <v>0</v>
      </c>
      <c r="AB895" s="141">
        <f t="shared" si="551"/>
        <v>0</v>
      </c>
      <c r="AC895" s="141">
        <f t="shared" si="551"/>
        <v>0</v>
      </c>
      <c r="AD895" s="141">
        <f t="shared" si="551"/>
        <v>0</v>
      </c>
      <c r="AE895" s="141">
        <f t="shared" si="551"/>
        <v>0</v>
      </c>
      <c r="AF895" s="141">
        <f t="shared" si="551"/>
        <v>0</v>
      </c>
      <c r="AG895" s="141">
        <f t="shared" si="551"/>
        <v>0</v>
      </c>
      <c r="AH895" s="141">
        <f t="shared" si="551"/>
        <v>0</v>
      </c>
      <c r="AI895" s="141">
        <f t="shared" si="551"/>
        <v>0</v>
      </c>
      <c r="AJ895" s="141">
        <f t="shared" si="551"/>
        <v>0</v>
      </c>
      <c r="AK895" s="141">
        <f t="shared" si="551"/>
        <v>0</v>
      </c>
      <c r="AL895" s="141">
        <f t="shared" si="551"/>
        <v>0</v>
      </c>
      <c r="AM895" s="141">
        <f t="shared" si="551"/>
        <v>0</v>
      </c>
      <c r="AN895" s="141">
        <f t="shared" si="551"/>
        <v>0</v>
      </c>
      <c r="AO895" s="141">
        <f t="shared" si="551"/>
        <v>0</v>
      </c>
      <c r="AP895" s="141">
        <f t="shared" si="551"/>
        <v>0</v>
      </c>
      <c r="AQ895" s="141">
        <f t="shared" si="551"/>
        <v>0</v>
      </c>
      <c r="AR895" s="141">
        <f t="shared" si="551"/>
        <v>0</v>
      </c>
      <c r="AS895" s="141">
        <f t="shared" si="551"/>
        <v>0</v>
      </c>
      <c r="AT895" s="141">
        <f t="shared" si="551"/>
        <v>0</v>
      </c>
      <c r="AU895" s="141">
        <f t="shared" si="551"/>
        <v>0</v>
      </c>
      <c r="AV895" s="141">
        <f t="shared" si="551"/>
        <v>0</v>
      </c>
      <c r="AW895" s="141">
        <f t="shared" si="551"/>
        <v>0</v>
      </c>
      <c r="AX895" s="141">
        <f t="shared" si="551"/>
        <v>0</v>
      </c>
      <c r="AY895" s="141">
        <f t="shared" si="551"/>
        <v>0</v>
      </c>
      <c r="AZ895" s="141">
        <f t="shared" si="551"/>
        <v>0</v>
      </c>
      <c r="BA895" s="141">
        <f t="shared" si="551"/>
        <v>0</v>
      </c>
      <c r="BB895" s="141">
        <f t="shared" si="551"/>
        <v>0</v>
      </c>
      <c r="BC895" s="141">
        <f t="shared" si="551"/>
        <v>0</v>
      </c>
      <c r="BD895" s="141">
        <f t="shared" si="551"/>
        <v>0</v>
      </c>
      <c r="BE895" s="141">
        <f t="shared" si="551"/>
        <v>0</v>
      </c>
      <c r="BF895" s="141">
        <f t="shared" si="551"/>
        <v>0</v>
      </c>
      <c r="BG895" s="141">
        <f t="shared" si="551"/>
        <v>0</v>
      </c>
      <c r="BH895" s="141">
        <f t="shared" si="551"/>
        <v>0</v>
      </c>
      <c r="BI895" s="141">
        <f t="shared" si="551"/>
        <v>0</v>
      </c>
      <c r="BJ895" s="142">
        <f t="shared" si="551"/>
        <v>0</v>
      </c>
      <c r="BK895" s="141"/>
      <c r="BL895" s="141"/>
    </row>
    <row r="896" spans="1:64" s="143" customFormat="1" ht="12.75">
      <c r="A896" s="138" t="s">
        <v>128</v>
      </c>
      <c r="B896" s="139">
        <f>SUM(C896:BJ896)</f>
        <v>110642759.00443049</v>
      </c>
      <c r="C896" s="227">
        <f>IF(AND(C866&gt;5,C867=0),0,(C891+C886)*$I865)</f>
        <v>8554852.5003425628</v>
      </c>
      <c r="D896" s="141">
        <f>IF(AND(D866&gt;5,D867=0),0,(D891+D886)*$I865)</f>
        <v>8497820.1503402796</v>
      </c>
      <c r="E896" s="141">
        <f t="shared" ref="E896:BJ896" si="552">IF(AND(E866&gt;5,E867=0),0,(E891+E886)*$I865)</f>
        <v>8383755.4503357112</v>
      </c>
      <c r="F896" s="141">
        <f t="shared" si="552"/>
        <v>8212658.4003288597</v>
      </c>
      <c r="G896" s="141">
        <f t="shared" si="552"/>
        <v>7984529.0003197258</v>
      </c>
      <c r="H896" s="141">
        <f t="shared" si="552"/>
        <v>7699367.2503083069</v>
      </c>
      <c r="I896" s="141">
        <f t="shared" si="552"/>
        <v>7414205.5002968879</v>
      </c>
      <c r="J896" s="141">
        <f t="shared" si="552"/>
        <v>7129043.750285469</v>
      </c>
      <c r="K896" s="141">
        <f t="shared" si="552"/>
        <v>6843882.000274051</v>
      </c>
      <c r="L896" s="141">
        <f t="shared" si="552"/>
        <v>6558720.250262632</v>
      </c>
      <c r="M896" s="141">
        <f t="shared" si="552"/>
        <v>6273558.5002512131</v>
      </c>
      <c r="N896" s="141">
        <f t="shared" si="552"/>
        <v>5988396.7502397941</v>
      </c>
      <c r="O896" s="141">
        <f t="shared" si="552"/>
        <v>5703235.0002283752</v>
      </c>
      <c r="P896" s="141">
        <f t="shared" si="552"/>
        <v>5418073.2502169572</v>
      </c>
      <c r="Q896" s="141">
        <f t="shared" si="552"/>
        <v>5132911.5002055382</v>
      </c>
      <c r="R896" s="141">
        <f t="shared" si="552"/>
        <v>4847749.7501941193</v>
      </c>
      <c r="S896" s="141">
        <f t="shared" si="552"/>
        <v>0</v>
      </c>
      <c r="T896" s="141">
        <f t="shared" si="552"/>
        <v>0</v>
      </c>
      <c r="U896" s="141">
        <f t="shared" si="552"/>
        <v>0</v>
      </c>
      <c r="V896" s="141">
        <f t="shared" si="552"/>
        <v>0</v>
      </c>
      <c r="W896" s="141">
        <f t="shared" si="552"/>
        <v>0</v>
      </c>
      <c r="X896" s="141">
        <f t="shared" si="552"/>
        <v>0</v>
      </c>
      <c r="Y896" s="141">
        <f t="shared" si="552"/>
        <v>0</v>
      </c>
      <c r="Z896" s="141">
        <f t="shared" si="552"/>
        <v>0</v>
      </c>
      <c r="AA896" s="141">
        <f t="shared" si="552"/>
        <v>0</v>
      </c>
      <c r="AB896" s="141">
        <f t="shared" si="552"/>
        <v>0</v>
      </c>
      <c r="AC896" s="141">
        <f t="shared" si="552"/>
        <v>0</v>
      </c>
      <c r="AD896" s="141">
        <f t="shared" si="552"/>
        <v>0</v>
      </c>
      <c r="AE896" s="141">
        <f t="shared" si="552"/>
        <v>0</v>
      </c>
      <c r="AF896" s="141">
        <f t="shared" si="552"/>
        <v>0</v>
      </c>
      <c r="AG896" s="141">
        <f t="shared" si="552"/>
        <v>0</v>
      </c>
      <c r="AH896" s="141">
        <f t="shared" si="552"/>
        <v>0</v>
      </c>
      <c r="AI896" s="141">
        <f t="shared" si="552"/>
        <v>0</v>
      </c>
      <c r="AJ896" s="141">
        <f t="shared" si="552"/>
        <v>0</v>
      </c>
      <c r="AK896" s="141">
        <f t="shared" si="552"/>
        <v>0</v>
      </c>
      <c r="AL896" s="141">
        <f t="shared" si="552"/>
        <v>0</v>
      </c>
      <c r="AM896" s="141">
        <f t="shared" si="552"/>
        <v>0</v>
      </c>
      <c r="AN896" s="141">
        <f t="shared" si="552"/>
        <v>0</v>
      </c>
      <c r="AO896" s="141">
        <f t="shared" si="552"/>
        <v>0</v>
      </c>
      <c r="AP896" s="141">
        <f t="shared" si="552"/>
        <v>0</v>
      </c>
      <c r="AQ896" s="141">
        <f t="shared" si="552"/>
        <v>0</v>
      </c>
      <c r="AR896" s="141">
        <f t="shared" si="552"/>
        <v>0</v>
      </c>
      <c r="AS896" s="141">
        <f t="shared" si="552"/>
        <v>0</v>
      </c>
      <c r="AT896" s="141">
        <f t="shared" si="552"/>
        <v>0</v>
      </c>
      <c r="AU896" s="141">
        <f t="shared" si="552"/>
        <v>0</v>
      </c>
      <c r="AV896" s="141">
        <f t="shared" si="552"/>
        <v>0</v>
      </c>
      <c r="AW896" s="141">
        <f t="shared" si="552"/>
        <v>0</v>
      </c>
      <c r="AX896" s="141">
        <f t="shared" si="552"/>
        <v>0</v>
      </c>
      <c r="AY896" s="141">
        <f t="shared" si="552"/>
        <v>0</v>
      </c>
      <c r="AZ896" s="141">
        <f t="shared" si="552"/>
        <v>0</v>
      </c>
      <c r="BA896" s="141">
        <f t="shared" si="552"/>
        <v>0</v>
      </c>
      <c r="BB896" s="141">
        <f t="shared" si="552"/>
        <v>0</v>
      </c>
      <c r="BC896" s="141">
        <f t="shared" si="552"/>
        <v>0</v>
      </c>
      <c r="BD896" s="141">
        <f t="shared" si="552"/>
        <v>0</v>
      </c>
      <c r="BE896" s="141">
        <f t="shared" si="552"/>
        <v>0</v>
      </c>
      <c r="BF896" s="141">
        <f t="shared" si="552"/>
        <v>0</v>
      </c>
      <c r="BG896" s="141">
        <f t="shared" si="552"/>
        <v>0</v>
      </c>
      <c r="BH896" s="141">
        <f t="shared" si="552"/>
        <v>0</v>
      </c>
      <c r="BI896" s="141">
        <f t="shared" si="552"/>
        <v>0</v>
      </c>
      <c r="BJ896" s="142">
        <f t="shared" si="552"/>
        <v>0</v>
      </c>
      <c r="BK896" s="141"/>
      <c r="BL896" s="141"/>
    </row>
    <row r="897" spans="1:64" s="143" customFormat="1" ht="12.75">
      <c r="A897" s="138" t="s">
        <v>129</v>
      </c>
      <c r="B897" s="139">
        <f>SUM(C897:BJ897)</f>
        <v>10833698.748211324</v>
      </c>
      <c r="C897" s="227">
        <f>IF(AND(C866&gt;5,C867=0),0,(C892+C887)*$I865)</f>
        <v>878408.00661172904</v>
      </c>
      <c r="D897" s="141">
        <f>IF(AND(D866&gt;5,D867=0),0,(D892+D887)*$I865)</f>
        <v>868647.91764937667</v>
      </c>
      <c r="E897" s="141">
        <f t="shared" ref="E897:BJ897" si="553">IF(AND(E866&gt;5,E867=0),0,(E892+E887)*$I865)</f>
        <v>839367.6507623191</v>
      </c>
      <c r="F897" s="141">
        <f t="shared" si="553"/>
        <v>810087.38387526141</v>
      </c>
      <c r="G897" s="141">
        <f t="shared" si="553"/>
        <v>780807.11698820372</v>
      </c>
      <c r="H897" s="141">
        <f t="shared" si="553"/>
        <v>751526.85010114603</v>
      </c>
      <c r="I897" s="141">
        <f t="shared" si="553"/>
        <v>722246.58321408834</v>
      </c>
      <c r="J897" s="141">
        <f t="shared" si="553"/>
        <v>692966.31632703077</v>
      </c>
      <c r="K897" s="141">
        <f t="shared" si="553"/>
        <v>663686.04943997308</v>
      </c>
      <c r="L897" s="141">
        <f t="shared" si="553"/>
        <v>634405.78255291539</v>
      </c>
      <c r="M897" s="141">
        <f t="shared" si="553"/>
        <v>605125.5156658577</v>
      </c>
      <c r="N897" s="141">
        <f t="shared" si="553"/>
        <v>575845.24877880001</v>
      </c>
      <c r="O897" s="141">
        <f t="shared" si="553"/>
        <v>546564.98189174233</v>
      </c>
      <c r="P897" s="141">
        <f t="shared" si="553"/>
        <v>517284.71500468469</v>
      </c>
      <c r="Q897" s="141">
        <f t="shared" si="553"/>
        <v>488004.44811762706</v>
      </c>
      <c r="R897" s="141">
        <f t="shared" si="553"/>
        <v>458724.18123056937</v>
      </c>
      <c r="S897" s="141">
        <f t="shared" si="553"/>
        <v>0</v>
      </c>
      <c r="T897" s="141">
        <f t="shared" si="553"/>
        <v>0</v>
      </c>
      <c r="U897" s="141">
        <f t="shared" si="553"/>
        <v>0</v>
      </c>
      <c r="V897" s="141">
        <f t="shared" si="553"/>
        <v>0</v>
      </c>
      <c r="W897" s="141">
        <f t="shared" si="553"/>
        <v>0</v>
      </c>
      <c r="X897" s="141">
        <f t="shared" si="553"/>
        <v>0</v>
      </c>
      <c r="Y897" s="141">
        <f t="shared" si="553"/>
        <v>0</v>
      </c>
      <c r="Z897" s="141">
        <f t="shared" si="553"/>
        <v>0</v>
      </c>
      <c r="AA897" s="141">
        <f t="shared" si="553"/>
        <v>0</v>
      </c>
      <c r="AB897" s="141">
        <f t="shared" si="553"/>
        <v>0</v>
      </c>
      <c r="AC897" s="141">
        <f t="shared" si="553"/>
        <v>0</v>
      </c>
      <c r="AD897" s="141">
        <f t="shared" si="553"/>
        <v>0</v>
      </c>
      <c r="AE897" s="141">
        <f t="shared" si="553"/>
        <v>0</v>
      </c>
      <c r="AF897" s="141">
        <f t="shared" si="553"/>
        <v>0</v>
      </c>
      <c r="AG897" s="141">
        <f t="shared" si="553"/>
        <v>0</v>
      </c>
      <c r="AH897" s="141">
        <f t="shared" si="553"/>
        <v>0</v>
      </c>
      <c r="AI897" s="141">
        <f t="shared" si="553"/>
        <v>0</v>
      </c>
      <c r="AJ897" s="141">
        <f t="shared" si="553"/>
        <v>0</v>
      </c>
      <c r="AK897" s="141">
        <f t="shared" si="553"/>
        <v>0</v>
      </c>
      <c r="AL897" s="141">
        <f t="shared" si="553"/>
        <v>0</v>
      </c>
      <c r="AM897" s="141">
        <f t="shared" si="553"/>
        <v>0</v>
      </c>
      <c r="AN897" s="141">
        <f t="shared" si="553"/>
        <v>0</v>
      </c>
      <c r="AO897" s="141">
        <f t="shared" si="553"/>
        <v>0</v>
      </c>
      <c r="AP897" s="141">
        <f t="shared" si="553"/>
        <v>0</v>
      </c>
      <c r="AQ897" s="141">
        <f t="shared" si="553"/>
        <v>0</v>
      </c>
      <c r="AR897" s="141">
        <f t="shared" si="553"/>
        <v>0</v>
      </c>
      <c r="AS897" s="141">
        <f t="shared" si="553"/>
        <v>0</v>
      </c>
      <c r="AT897" s="141">
        <f t="shared" si="553"/>
        <v>0</v>
      </c>
      <c r="AU897" s="141">
        <f t="shared" si="553"/>
        <v>0</v>
      </c>
      <c r="AV897" s="141">
        <f t="shared" si="553"/>
        <v>0</v>
      </c>
      <c r="AW897" s="141">
        <f t="shared" si="553"/>
        <v>0</v>
      </c>
      <c r="AX897" s="141">
        <f t="shared" si="553"/>
        <v>0</v>
      </c>
      <c r="AY897" s="141">
        <f t="shared" si="553"/>
        <v>0</v>
      </c>
      <c r="AZ897" s="141">
        <f t="shared" si="553"/>
        <v>0</v>
      </c>
      <c r="BA897" s="141">
        <f t="shared" si="553"/>
        <v>0</v>
      </c>
      <c r="BB897" s="141">
        <f t="shared" si="553"/>
        <v>0</v>
      </c>
      <c r="BC897" s="141">
        <f t="shared" si="553"/>
        <v>0</v>
      </c>
      <c r="BD897" s="141">
        <f t="shared" si="553"/>
        <v>0</v>
      </c>
      <c r="BE897" s="141">
        <f t="shared" si="553"/>
        <v>0</v>
      </c>
      <c r="BF897" s="141">
        <f t="shared" si="553"/>
        <v>0</v>
      </c>
      <c r="BG897" s="141">
        <f t="shared" si="553"/>
        <v>0</v>
      </c>
      <c r="BH897" s="141">
        <f t="shared" si="553"/>
        <v>0</v>
      </c>
      <c r="BI897" s="141">
        <f t="shared" si="553"/>
        <v>0</v>
      </c>
      <c r="BJ897" s="142">
        <f t="shared" si="553"/>
        <v>0</v>
      </c>
      <c r="BK897" s="141"/>
      <c r="BL897" s="141"/>
    </row>
    <row r="898" spans="1:64" s="116" customFormat="1">
      <c r="A898" s="111" t="s">
        <v>133</v>
      </c>
      <c r="B898" s="155">
        <f>SUM(B899:B902)</f>
        <v>51195415.110427283</v>
      </c>
      <c r="C898" s="117">
        <f>SUM(C899:C902)</f>
        <v>667924.38964636298</v>
      </c>
      <c r="D898" s="118">
        <f>SUM(D899:D902)</f>
        <v>1433449.6689162515</v>
      </c>
      <c r="E898" s="118">
        <f>SUM(E899:E902)</f>
        <v>2177699.5583274602</v>
      </c>
      <c r="F898" s="118">
        <f t="shared" ref="F898:AJ898" si="554">SUM(F899:F902)</f>
        <v>2921949.4477386689</v>
      </c>
      <c r="G898" s="118">
        <f t="shared" si="554"/>
        <v>3666199.3371498776</v>
      </c>
      <c r="H898" s="118">
        <f t="shared" si="554"/>
        <v>3666199.3371498776</v>
      </c>
      <c r="I898" s="118">
        <f t="shared" si="554"/>
        <v>3666199.3371498776</v>
      </c>
      <c r="J898" s="118">
        <f t="shared" si="554"/>
        <v>3666199.3371498776</v>
      </c>
      <c r="K898" s="118">
        <f t="shared" si="554"/>
        <v>3666199.3371498776</v>
      </c>
      <c r="L898" s="118">
        <f t="shared" si="554"/>
        <v>3666199.3371498776</v>
      </c>
      <c r="M898" s="118">
        <f t="shared" si="554"/>
        <v>3666199.3371498776</v>
      </c>
      <c r="N898" s="118">
        <f t="shared" si="554"/>
        <v>3666199.3371498776</v>
      </c>
      <c r="O898" s="118">
        <f t="shared" si="554"/>
        <v>3666199.3371498776</v>
      </c>
      <c r="P898" s="118">
        <f t="shared" si="554"/>
        <v>3666199.3371498776</v>
      </c>
      <c r="Q898" s="118">
        <f t="shared" si="554"/>
        <v>3666199.3371498776</v>
      </c>
      <c r="R898" s="118">
        <f t="shared" si="554"/>
        <v>3666199.3371498776</v>
      </c>
      <c r="S898" s="118">
        <f t="shared" si="554"/>
        <v>0</v>
      </c>
      <c r="T898" s="118">
        <f t="shared" si="554"/>
        <v>0</v>
      </c>
      <c r="U898" s="118">
        <f t="shared" si="554"/>
        <v>0</v>
      </c>
      <c r="V898" s="118">
        <f t="shared" si="554"/>
        <v>0</v>
      </c>
      <c r="W898" s="118">
        <f t="shared" si="554"/>
        <v>0</v>
      </c>
      <c r="X898" s="118">
        <f t="shared" si="554"/>
        <v>0</v>
      </c>
      <c r="Y898" s="118">
        <f t="shared" si="554"/>
        <v>0</v>
      </c>
      <c r="Z898" s="118">
        <f t="shared" si="554"/>
        <v>0</v>
      </c>
      <c r="AA898" s="118">
        <f t="shared" si="554"/>
        <v>0</v>
      </c>
      <c r="AB898" s="118">
        <f t="shared" si="554"/>
        <v>0</v>
      </c>
      <c r="AC898" s="118">
        <f t="shared" si="554"/>
        <v>0</v>
      </c>
      <c r="AD898" s="118">
        <f t="shared" si="554"/>
        <v>0</v>
      </c>
      <c r="AE898" s="118">
        <f t="shared" si="554"/>
        <v>0</v>
      </c>
      <c r="AF898" s="118">
        <f t="shared" si="554"/>
        <v>0</v>
      </c>
      <c r="AG898" s="118">
        <f t="shared" si="554"/>
        <v>0</v>
      </c>
      <c r="AH898" s="118">
        <f t="shared" si="554"/>
        <v>0</v>
      </c>
      <c r="AI898" s="118">
        <f t="shared" si="554"/>
        <v>0</v>
      </c>
      <c r="AJ898" s="118">
        <f t="shared" si="554"/>
        <v>0</v>
      </c>
      <c r="AK898" s="118"/>
      <c r="AL898" s="118"/>
      <c r="AM898" s="118"/>
      <c r="AN898" s="118"/>
      <c r="AO898" s="118"/>
      <c r="AP898" s="118"/>
      <c r="AQ898" s="118"/>
      <c r="AR898" s="118"/>
      <c r="AS898" s="118"/>
      <c r="AT898" s="118"/>
      <c r="AU898" s="118"/>
      <c r="AV898" s="118"/>
      <c r="AW898" s="118"/>
      <c r="AX898" s="118"/>
      <c r="AY898" s="118"/>
      <c r="AZ898" s="118"/>
      <c r="BA898" s="118"/>
      <c r="BB898" s="118"/>
      <c r="BC898" s="118"/>
      <c r="BD898" s="118"/>
      <c r="BE898" s="118"/>
      <c r="BF898" s="118"/>
      <c r="BG898" s="118"/>
      <c r="BH898" s="118"/>
      <c r="BI898" s="118"/>
      <c r="BJ898" s="119"/>
      <c r="BK898" s="118"/>
      <c r="BL898" s="118"/>
    </row>
    <row r="899" spans="1:64" s="143" customFormat="1" ht="12.75">
      <c r="A899" s="138" t="s">
        <v>126</v>
      </c>
      <c r="B899" s="139">
        <f t="shared" ref="B899:B905" si="555">SUM(C899:BJ899)</f>
        <v>6783129.1861464791</v>
      </c>
      <c r="C899" s="227">
        <f>IF(AND(C866&gt;5,C867=0),0,C884)</f>
        <v>0</v>
      </c>
      <c r="D899" s="141">
        <f>IF(AND(D866&gt;5,D867=0),0,D884)</f>
        <v>0</v>
      </c>
      <c r="E899" s="141">
        <f t="shared" ref="E899:BJ899" si="556">IF(AND(E866&gt;5,E867=0),0,E884)</f>
        <v>173926.38938837126</v>
      </c>
      <c r="F899" s="141">
        <f t="shared" si="556"/>
        <v>347852.77877674252</v>
      </c>
      <c r="G899" s="141">
        <f t="shared" si="556"/>
        <v>521779.16816511378</v>
      </c>
      <c r="H899" s="141">
        <f t="shared" si="556"/>
        <v>521779.16816511378</v>
      </c>
      <c r="I899" s="141">
        <f t="shared" si="556"/>
        <v>521779.16816511378</v>
      </c>
      <c r="J899" s="141">
        <f t="shared" si="556"/>
        <v>521779.16816511378</v>
      </c>
      <c r="K899" s="141">
        <f t="shared" si="556"/>
        <v>521779.16816511378</v>
      </c>
      <c r="L899" s="141">
        <f t="shared" si="556"/>
        <v>521779.16816511378</v>
      </c>
      <c r="M899" s="141">
        <f t="shared" si="556"/>
        <v>521779.16816511378</v>
      </c>
      <c r="N899" s="141">
        <f t="shared" si="556"/>
        <v>521779.16816511378</v>
      </c>
      <c r="O899" s="141">
        <f t="shared" si="556"/>
        <v>521779.16816511378</v>
      </c>
      <c r="P899" s="141">
        <f t="shared" si="556"/>
        <v>521779.16816511378</v>
      </c>
      <c r="Q899" s="141">
        <f t="shared" si="556"/>
        <v>521779.16816511378</v>
      </c>
      <c r="R899" s="141">
        <f t="shared" si="556"/>
        <v>521779.16816511378</v>
      </c>
      <c r="S899" s="141">
        <f t="shared" si="556"/>
        <v>0</v>
      </c>
      <c r="T899" s="141">
        <f t="shared" si="556"/>
        <v>0</v>
      </c>
      <c r="U899" s="141">
        <f t="shared" si="556"/>
        <v>0</v>
      </c>
      <c r="V899" s="141">
        <f t="shared" si="556"/>
        <v>0</v>
      </c>
      <c r="W899" s="141">
        <f t="shared" si="556"/>
        <v>0</v>
      </c>
      <c r="X899" s="141">
        <f t="shared" si="556"/>
        <v>0</v>
      </c>
      <c r="Y899" s="141">
        <f t="shared" si="556"/>
        <v>0</v>
      </c>
      <c r="Z899" s="141">
        <f t="shared" si="556"/>
        <v>0</v>
      </c>
      <c r="AA899" s="141">
        <f t="shared" si="556"/>
        <v>0</v>
      </c>
      <c r="AB899" s="141">
        <f t="shared" si="556"/>
        <v>0</v>
      </c>
      <c r="AC899" s="141">
        <f t="shared" si="556"/>
        <v>0</v>
      </c>
      <c r="AD899" s="141">
        <f t="shared" si="556"/>
        <v>0</v>
      </c>
      <c r="AE899" s="141">
        <f t="shared" si="556"/>
        <v>0</v>
      </c>
      <c r="AF899" s="141">
        <f t="shared" si="556"/>
        <v>0</v>
      </c>
      <c r="AG899" s="141">
        <f t="shared" si="556"/>
        <v>0</v>
      </c>
      <c r="AH899" s="141">
        <f t="shared" si="556"/>
        <v>0</v>
      </c>
      <c r="AI899" s="141">
        <f t="shared" si="556"/>
        <v>0</v>
      </c>
      <c r="AJ899" s="141">
        <f t="shared" si="556"/>
        <v>0</v>
      </c>
      <c r="AK899" s="141">
        <f t="shared" si="556"/>
        <v>0</v>
      </c>
      <c r="AL899" s="141">
        <f t="shared" si="556"/>
        <v>0</v>
      </c>
      <c r="AM899" s="141">
        <f t="shared" si="556"/>
        <v>0</v>
      </c>
      <c r="AN899" s="141">
        <f t="shared" si="556"/>
        <v>0</v>
      </c>
      <c r="AO899" s="141">
        <f t="shared" si="556"/>
        <v>0</v>
      </c>
      <c r="AP899" s="141">
        <f t="shared" si="556"/>
        <v>0</v>
      </c>
      <c r="AQ899" s="141">
        <f t="shared" si="556"/>
        <v>0</v>
      </c>
      <c r="AR899" s="141">
        <f t="shared" si="556"/>
        <v>0</v>
      </c>
      <c r="AS899" s="141">
        <f t="shared" si="556"/>
        <v>0</v>
      </c>
      <c r="AT899" s="141">
        <f t="shared" si="556"/>
        <v>0</v>
      </c>
      <c r="AU899" s="141">
        <f t="shared" si="556"/>
        <v>0</v>
      </c>
      <c r="AV899" s="141">
        <f t="shared" si="556"/>
        <v>0</v>
      </c>
      <c r="AW899" s="141">
        <f t="shared" si="556"/>
        <v>0</v>
      </c>
      <c r="AX899" s="141">
        <f t="shared" si="556"/>
        <v>0</v>
      </c>
      <c r="AY899" s="141">
        <f t="shared" si="556"/>
        <v>0</v>
      </c>
      <c r="AZ899" s="141">
        <f t="shared" si="556"/>
        <v>0</v>
      </c>
      <c r="BA899" s="141">
        <f t="shared" si="556"/>
        <v>0</v>
      </c>
      <c r="BB899" s="141">
        <f t="shared" si="556"/>
        <v>0</v>
      </c>
      <c r="BC899" s="141">
        <f t="shared" si="556"/>
        <v>0</v>
      </c>
      <c r="BD899" s="141">
        <f t="shared" si="556"/>
        <v>0</v>
      </c>
      <c r="BE899" s="141">
        <f t="shared" si="556"/>
        <v>0</v>
      </c>
      <c r="BF899" s="141">
        <f t="shared" si="556"/>
        <v>0</v>
      </c>
      <c r="BG899" s="141">
        <f t="shared" si="556"/>
        <v>0</v>
      </c>
      <c r="BH899" s="141">
        <f t="shared" si="556"/>
        <v>0</v>
      </c>
      <c r="BI899" s="141">
        <f t="shared" si="556"/>
        <v>0</v>
      </c>
      <c r="BJ899" s="142">
        <f t="shared" si="556"/>
        <v>0</v>
      </c>
      <c r="BK899" s="141"/>
      <c r="BL899" s="141"/>
    </row>
    <row r="900" spans="1:64" s="143" customFormat="1" ht="12.75">
      <c r="A900" s="138" t="s">
        <v>127</v>
      </c>
      <c r="B900" s="139">
        <f t="shared" si="555"/>
        <v>0</v>
      </c>
      <c r="C900" s="227">
        <f>IF(AND(C866&gt;5,C867=0),0,C885)</f>
        <v>0</v>
      </c>
      <c r="D900" s="141">
        <f>IF(AND(D866&gt;5,D867=0),0,D885)</f>
        <v>0</v>
      </c>
      <c r="E900" s="141">
        <f t="shared" ref="E900:BJ900" si="557">IF(AND(E866&gt;5,E867=0),0,E885)</f>
        <v>0</v>
      </c>
      <c r="F900" s="141">
        <f t="shared" si="557"/>
        <v>0</v>
      </c>
      <c r="G900" s="141">
        <f t="shared" si="557"/>
        <v>0</v>
      </c>
      <c r="H900" s="141">
        <f t="shared" si="557"/>
        <v>0</v>
      </c>
      <c r="I900" s="141">
        <f t="shared" si="557"/>
        <v>0</v>
      </c>
      <c r="J900" s="141">
        <f t="shared" si="557"/>
        <v>0</v>
      </c>
      <c r="K900" s="141">
        <f t="shared" si="557"/>
        <v>0</v>
      </c>
      <c r="L900" s="141">
        <f t="shared" si="557"/>
        <v>0</v>
      </c>
      <c r="M900" s="141">
        <f t="shared" si="557"/>
        <v>0</v>
      </c>
      <c r="N900" s="141">
        <f t="shared" si="557"/>
        <v>0</v>
      </c>
      <c r="O900" s="141">
        <f t="shared" si="557"/>
        <v>0</v>
      </c>
      <c r="P900" s="141">
        <f t="shared" si="557"/>
        <v>0</v>
      </c>
      <c r="Q900" s="141">
        <f t="shared" si="557"/>
        <v>0</v>
      </c>
      <c r="R900" s="141">
        <f t="shared" si="557"/>
        <v>0</v>
      </c>
      <c r="S900" s="141">
        <f t="shared" si="557"/>
        <v>0</v>
      </c>
      <c r="T900" s="141">
        <f t="shared" si="557"/>
        <v>0</v>
      </c>
      <c r="U900" s="141">
        <f t="shared" si="557"/>
        <v>0</v>
      </c>
      <c r="V900" s="141">
        <f t="shared" si="557"/>
        <v>0</v>
      </c>
      <c r="W900" s="141">
        <f t="shared" si="557"/>
        <v>0</v>
      </c>
      <c r="X900" s="141">
        <f t="shared" si="557"/>
        <v>0</v>
      </c>
      <c r="Y900" s="141">
        <f t="shared" si="557"/>
        <v>0</v>
      </c>
      <c r="Z900" s="141">
        <f t="shared" si="557"/>
        <v>0</v>
      </c>
      <c r="AA900" s="141">
        <f t="shared" si="557"/>
        <v>0</v>
      </c>
      <c r="AB900" s="141">
        <f t="shared" si="557"/>
        <v>0</v>
      </c>
      <c r="AC900" s="141">
        <f t="shared" si="557"/>
        <v>0</v>
      </c>
      <c r="AD900" s="141">
        <f t="shared" si="557"/>
        <v>0</v>
      </c>
      <c r="AE900" s="141">
        <f t="shared" si="557"/>
        <v>0</v>
      </c>
      <c r="AF900" s="141">
        <f t="shared" si="557"/>
        <v>0</v>
      </c>
      <c r="AG900" s="141">
        <f t="shared" si="557"/>
        <v>0</v>
      </c>
      <c r="AH900" s="141">
        <f t="shared" si="557"/>
        <v>0</v>
      </c>
      <c r="AI900" s="141">
        <f t="shared" si="557"/>
        <v>0</v>
      </c>
      <c r="AJ900" s="141">
        <f t="shared" si="557"/>
        <v>0</v>
      </c>
      <c r="AK900" s="141">
        <f t="shared" si="557"/>
        <v>0</v>
      </c>
      <c r="AL900" s="141">
        <f t="shared" si="557"/>
        <v>0</v>
      </c>
      <c r="AM900" s="141">
        <f t="shared" si="557"/>
        <v>0</v>
      </c>
      <c r="AN900" s="141">
        <f t="shared" si="557"/>
        <v>0</v>
      </c>
      <c r="AO900" s="141">
        <f t="shared" si="557"/>
        <v>0</v>
      </c>
      <c r="AP900" s="141">
        <f t="shared" si="557"/>
        <v>0</v>
      </c>
      <c r="AQ900" s="141">
        <f t="shared" si="557"/>
        <v>0</v>
      </c>
      <c r="AR900" s="141">
        <f t="shared" si="557"/>
        <v>0</v>
      </c>
      <c r="AS900" s="141">
        <f t="shared" si="557"/>
        <v>0</v>
      </c>
      <c r="AT900" s="141">
        <f t="shared" si="557"/>
        <v>0</v>
      </c>
      <c r="AU900" s="141">
        <f t="shared" si="557"/>
        <v>0</v>
      </c>
      <c r="AV900" s="141">
        <f t="shared" si="557"/>
        <v>0</v>
      </c>
      <c r="AW900" s="141">
        <f t="shared" si="557"/>
        <v>0</v>
      </c>
      <c r="AX900" s="141">
        <f t="shared" si="557"/>
        <v>0</v>
      </c>
      <c r="AY900" s="141">
        <f t="shared" si="557"/>
        <v>0</v>
      </c>
      <c r="AZ900" s="141">
        <f t="shared" si="557"/>
        <v>0</v>
      </c>
      <c r="BA900" s="141">
        <f t="shared" si="557"/>
        <v>0</v>
      </c>
      <c r="BB900" s="141">
        <f t="shared" si="557"/>
        <v>0</v>
      </c>
      <c r="BC900" s="141">
        <f t="shared" si="557"/>
        <v>0</v>
      </c>
      <c r="BD900" s="141">
        <f t="shared" si="557"/>
        <v>0</v>
      </c>
      <c r="BE900" s="141">
        <f t="shared" si="557"/>
        <v>0</v>
      </c>
      <c r="BF900" s="141">
        <f t="shared" si="557"/>
        <v>0</v>
      </c>
      <c r="BG900" s="141">
        <f t="shared" si="557"/>
        <v>0</v>
      </c>
      <c r="BH900" s="141">
        <f t="shared" si="557"/>
        <v>0</v>
      </c>
      <c r="BI900" s="141">
        <f t="shared" si="557"/>
        <v>0</v>
      </c>
      <c r="BJ900" s="142">
        <f t="shared" si="557"/>
        <v>0</v>
      </c>
      <c r="BK900" s="141"/>
      <c r="BL900" s="141"/>
    </row>
    <row r="901" spans="1:64" s="143" customFormat="1" ht="12.75">
      <c r="A901" s="138" t="s">
        <v>128</v>
      </c>
      <c r="B901" s="139">
        <f t="shared" si="555"/>
        <v>39922645.001598626</v>
      </c>
      <c r="C901" s="227">
        <f>IF(AND(C866&gt;5,C867=0),0,C886)</f>
        <v>570323.50002283754</v>
      </c>
      <c r="D901" s="141">
        <f>IF(AND(D866&gt;5,D867=0),0,D886)</f>
        <v>1140647.0000456751</v>
      </c>
      <c r="E901" s="141">
        <f t="shared" ref="E901:BJ901" si="558">IF(AND(E866&gt;5,E867=0),0,E886)</f>
        <v>1710970.5000685127</v>
      </c>
      <c r="F901" s="141">
        <f t="shared" si="558"/>
        <v>2281294.0000913502</v>
      </c>
      <c r="G901" s="141">
        <f t="shared" si="558"/>
        <v>2851617.5001141876</v>
      </c>
      <c r="H901" s="141">
        <f t="shared" si="558"/>
        <v>2851617.5001141876</v>
      </c>
      <c r="I901" s="141">
        <f t="shared" si="558"/>
        <v>2851617.5001141876</v>
      </c>
      <c r="J901" s="141">
        <f t="shared" si="558"/>
        <v>2851617.5001141876</v>
      </c>
      <c r="K901" s="141">
        <f t="shared" si="558"/>
        <v>2851617.5001141876</v>
      </c>
      <c r="L901" s="141">
        <f t="shared" si="558"/>
        <v>2851617.5001141876</v>
      </c>
      <c r="M901" s="141">
        <f t="shared" si="558"/>
        <v>2851617.5001141876</v>
      </c>
      <c r="N901" s="141">
        <f t="shared" si="558"/>
        <v>2851617.5001141876</v>
      </c>
      <c r="O901" s="141">
        <f t="shared" si="558"/>
        <v>2851617.5001141876</v>
      </c>
      <c r="P901" s="141">
        <f t="shared" si="558"/>
        <v>2851617.5001141876</v>
      </c>
      <c r="Q901" s="141">
        <f t="shared" si="558"/>
        <v>2851617.5001141876</v>
      </c>
      <c r="R901" s="141">
        <f t="shared" si="558"/>
        <v>2851617.5001141876</v>
      </c>
      <c r="S901" s="141">
        <f t="shared" si="558"/>
        <v>0</v>
      </c>
      <c r="T901" s="141">
        <f t="shared" si="558"/>
        <v>0</v>
      </c>
      <c r="U901" s="141">
        <f t="shared" si="558"/>
        <v>0</v>
      </c>
      <c r="V901" s="141">
        <f t="shared" si="558"/>
        <v>0</v>
      </c>
      <c r="W901" s="141">
        <f t="shared" si="558"/>
        <v>0</v>
      </c>
      <c r="X901" s="141">
        <f t="shared" si="558"/>
        <v>0</v>
      </c>
      <c r="Y901" s="141">
        <f t="shared" si="558"/>
        <v>0</v>
      </c>
      <c r="Z901" s="141">
        <f t="shared" si="558"/>
        <v>0</v>
      </c>
      <c r="AA901" s="141">
        <f t="shared" si="558"/>
        <v>0</v>
      </c>
      <c r="AB901" s="141">
        <f t="shared" si="558"/>
        <v>0</v>
      </c>
      <c r="AC901" s="141">
        <f t="shared" si="558"/>
        <v>0</v>
      </c>
      <c r="AD901" s="141">
        <f t="shared" si="558"/>
        <v>0</v>
      </c>
      <c r="AE901" s="141">
        <f t="shared" si="558"/>
        <v>0</v>
      </c>
      <c r="AF901" s="141">
        <f t="shared" si="558"/>
        <v>0</v>
      </c>
      <c r="AG901" s="141">
        <f t="shared" si="558"/>
        <v>0</v>
      </c>
      <c r="AH901" s="141">
        <f t="shared" si="558"/>
        <v>0</v>
      </c>
      <c r="AI901" s="141">
        <f t="shared" si="558"/>
        <v>0</v>
      </c>
      <c r="AJ901" s="141">
        <f t="shared" si="558"/>
        <v>0</v>
      </c>
      <c r="AK901" s="141">
        <f t="shared" si="558"/>
        <v>0</v>
      </c>
      <c r="AL901" s="141">
        <f t="shared" si="558"/>
        <v>0</v>
      </c>
      <c r="AM901" s="141">
        <f t="shared" si="558"/>
        <v>0</v>
      </c>
      <c r="AN901" s="141">
        <f t="shared" si="558"/>
        <v>0</v>
      </c>
      <c r="AO901" s="141">
        <f t="shared" si="558"/>
        <v>0</v>
      </c>
      <c r="AP901" s="141">
        <f t="shared" si="558"/>
        <v>0</v>
      </c>
      <c r="AQ901" s="141">
        <f t="shared" si="558"/>
        <v>0</v>
      </c>
      <c r="AR901" s="141">
        <f t="shared" si="558"/>
        <v>0</v>
      </c>
      <c r="AS901" s="141">
        <f t="shared" si="558"/>
        <v>0</v>
      </c>
      <c r="AT901" s="141">
        <f t="shared" si="558"/>
        <v>0</v>
      </c>
      <c r="AU901" s="141">
        <f t="shared" si="558"/>
        <v>0</v>
      </c>
      <c r="AV901" s="141">
        <f t="shared" si="558"/>
        <v>0</v>
      </c>
      <c r="AW901" s="141">
        <f t="shared" si="558"/>
        <v>0</v>
      </c>
      <c r="AX901" s="141">
        <f t="shared" si="558"/>
        <v>0</v>
      </c>
      <c r="AY901" s="141">
        <f t="shared" si="558"/>
        <v>0</v>
      </c>
      <c r="AZ901" s="141">
        <f t="shared" si="558"/>
        <v>0</v>
      </c>
      <c r="BA901" s="141">
        <f t="shared" si="558"/>
        <v>0</v>
      </c>
      <c r="BB901" s="141">
        <f t="shared" si="558"/>
        <v>0</v>
      </c>
      <c r="BC901" s="141">
        <f t="shared" si="558"/>
        <v>0</v>
      </c>
      <c r="BD901" s="141">
        <f t="shared" si="558"/>
        <v>0</v>
      </c>
      <c r="BE901" s="141">
        <f t="shared" si="558"/>
        <v>0</v>
      </c>
      <c r="BF901" s="141">
        <f t="shared" si="558"/>
        <v>0</v>
      </c>
      <c r="BG901" s="141">
        <f t="shared" si="558"/>
        <v>0</v>
      </c>
      <c r="BH901" s="141">
        <f t="shared" si="558"/>
        <v>0</v>
      </c>
      <c r="BI901" s="141">
        <f t="shared" si="558"/>
        <v>0</v>
      </c>
      <c r="BJ901" s="142">
        <f t="shared" si="558"/>
        <v>0</v>
      </c>
      <c r="BK901" s="141"/>
      <c r="BL901" s="141"/>
    </row>
    <row r="902" spans="1:64" s="143" customFormat="1" ht="12.75">
      <c r="A902" s="228" t="s">
        <v>129</v>
      </c>
      <c r="B902" s="229">
        <f t="shared" si="555"/>
        <v>4489640.9226821708</v>
      </c>
      <c r="C902" s="230">
        <f>IF(AND(C866&gt;5,C867=0),0,C887)</f>
        <v>97600.889623525451</v>
      </c>
      <c r="D902" s="214">
        <f>IF(AND(D866&gt;5,D867=0),0,D887)</f>
        <v>292802.66887057637</v>
      </c>
      <c r="E902" s="214">
        <f t="shared" ref="E902:BJ902" si="559">IF(AND(E866&gt;5,E867=0),0,E887)</f>
        <v>292802.66887057637</v>
      </c>
      <c r="F902" s="214">
        <f t="shared" si="559"/>
        <v>292802.66887057637</v>
      </c>
      <c r="G902" s="214">
        <f t="shared" si="559"/>
        <v>292802.66887057637</v>
      </c>
      <c r="H902" s="214">
        <f t="shared" si="559"/>
        <v>292802.66887057637</v>
      </c>
      <c r="I902" s="214">
        <f t="shared" si="559"/>
        <v>292802.66887057637</v>
      </c>
      <c r="J902" s="214">
        <f t="shared" si="559"/>
        <v>292802.66887057637</v>
      </c>
      <c r="K902" s="214">
        <f t="shared" si="559"/>
        <v>292802.66887057637</v>
      </c>
      <c r="L902" s="214">
        <f t="shared" si="559"/>
        <v>292802.66887057637</v>
      </c>
      <c r="M902" s="214">
        <f t="shared" si="559"/>
        <v>292802.66887057637</v>
      </c>
      <c r="N902" s="214">
        <f t="shared" si="559"/>
        <v>292802.66887057637</v>
      </c>
      <c r="O902" s="214">
        <f t="shared" si="559"/>
        <v>292802.66887057637</v>
      </c>
      <c r="P902" s="214">
        <f t="shared" si="559"/>
        <v>292802.66887057637</v>
      </c>
      <c r="Q902" s="214">
        <f t="shared" si="559"/>
        <v>292802.66887057637</v>
      </c>
      <c r="R902" s="214">
        <f t="shared" si="559"/>
        <v>292802.66887057637</v>
      </c>
      <c r="S902" s="214">
        <f t="shared" si="559"/>
        <v>0</v>
      </c>
      <c r="T902" s="214">
        <f t="shared" si="559"/>
        <v>0</v>
      </c>
      <c r="U902" s="214">
        <f t="shared" si="559"/>
        <v>0</v>
      </c>
      <c r="V902" s="214">
        <f t="shared" si="559"/>
        <v>0</v>
      </c>
      <c r="W902" s="214">
        <f t="shared" si="559"/>
        <v>0</v>
      </c>
      <c r="X902" s="214">
        <f t="shared" si="559"/>
        <v>0</v>
      </c>
      <c r="Y902" s="214">
        <f t="shared" si="559"/>
        <v>0</v>
      </c>
      <c r="Z902" s="214">
        <f t="shared" si="559"/>
        <v>0</v>
      </c>
      <c r="AA902" s="214">
        <f t="shared" si="559"/>
        <v>0</v>
      </c>
      <c r="AB902" s="214">
        <f t="shared" si="559"/>
        <v>0</v>
      </c>
      <c r="AC902" s="214">
        <f t="shared" si="559"/>
        <v>0</v>
      </c>
      <c r="AD902" s="214">
        <f t="shared" si="559"/>
        <v>0</v>
      </c>
      <c r="AE902" s="214">
        <f t="shared" si="559"/>
        <v>0</v>
      </c>
      <c r="AF902" s="214">
        <f t="shared" si="559"/>
        <v>0</v>
      </c>
      <c r="AG902" s="214">
        <f t="shared" si="559"/>
        <v>0</v>
      </c>
      <c r="AH902" s="214">
        <f t="shared" si="559"/>
        <v>0</v>
      </c>
      <c r="AI902" s="214">
        <f t="shared" si="559"/>
        <v>0</v>
      </c>
      <c r="AJ902" s="214">
        <f t="shared" si="559"/>
        <v>0</v>
      </c>
      <c r="AK902" s="214">
        <f t="shared" si="559"/>
        <v>0</v>
      </c>
      <c r="AL902" s="214">
        <f t="shared" si="559"/>
        <v>0</v>
      </c>
      <c r="AM902" s="214">
        <f t="shared" si="559"/>
        <v>0</v>
      </c>
      <c r="AN902" s="214">
        <f t="shared" si="559"/>
        <v>0</v>
      </c>
      <c r="AO902" s="214">
        <f t="shared" si="559"/>
        <v>0</v>
      </c>
      <c r="AP902" s="214">
        <f t="shared" si="559"/>
        <v>0</v>
      </c>
      <c r="AQ902" s="214">
        <f t="shared" si="559"/>
        <v>0</v>
      </c>
      <c r="AR902" s="214">
        <f t="shared" si="559"/>
        <v>0</v>
      </c>
      <c r="AS902" s="214">
        <f t="shared" si="559"/>
        <v>0</v>
      </c>
      <c r="AT902" s="214">
        <f t="shared" si="559"/>
        <v>0</v>
      </c>
      <c r="AU902" s="214">
        <f t="shared" si="559"/>
        <v>0</v>
      </c>
      <c r="AV902" s="214">
        <f t="shared" si="559"/>
        <v>0</v>
      </c>
      <c r="AW902" s="214">
        <f t="shared" si="559"/>
        <v>0</v>
      </c>
      <c r="AX902" s="214">
        <f t="shared" si="559"/>
        <v>0</v>
      </c>
      <c r="AY902" s="214">
        <f t="shared" si="559"/>
        <v>0</v>
      </c>
      <c r="AZ902" s="214">
        <f t="shared" si="559"/>
        <v>0</v>
      </c>
      <c r="BA902" s="214">
        <f t="shared" si="559"/>
        <v>0</v>
      </c>
      <c r="BB902" s="214">
        <f t="shared" si="559"/>
        <v>0</v>
      </c>
      <c r="BC902" s="214">
        <f t="shared" si="559"/>
        <v>0</v>
      </c>
      <c r="BD902" s="214">
        <f t="shared" si="559"/>
        <v>0</v>
      </c>
      <c r="BE902" s="214">
        <f t="shared" si="559"/>
        <v>0</v>
      </c>
      <c r="BF902" s="214">
        <f t="shared" si="559"/>
        <v>0</v>
      </c>
      <c r="BG902" s="214">
        <f t="shared" si="559"/>
        <v>0</v>
      </c>
      <c r="BH902" s="214">
        <f t="shared" si="559"/>
        <v>0</v>
      </c>
      <c r="BI902" s="214">
        <f t="shared" si="559"/>
        <v>0</v>
      </c>
      <c r="BJ902" s="215">
        <f t="shared" si="559"/>
        <v>0</v>
      </c>
      <c r="BK902" s="141"/>
      <c r="BL902" s="141"/>
    </row>
    <row r="903" spans="1:64" s="160" customFormat="1">
      <c r="A903" s="131" t="s">
        <v>134</v>
      </c>
      <c r="B903" s="156">
        <f t="shared" si="555"/>
        <v>1119356759.1456201</v>
      </c>
      <c r="C903" s="156">
        <f>C877-C878-C898</f>
        <v>-17590545.547479298</v>
      </c>
      <c r="D903" s="157">
        <f t="shared" ref="D903:BJ903" si="560">D877-D878-D898</f>
        <v>-21284097.515454952</v>
      </c>
      <c r="E903" s="157">
        <f t="shared" si="560"/>
        <v>-21390085.709105767</v>
      </c>
      <c r="F903" s="157">
        <f t="shared" si="560"/>
        <v>-22134335.598516978</v>
      </c>
      <c r="G903" s="157">
        <f t="shared" si="560"/>
        <v>-22878585.487928186</v>
      </c>
      <c r="H903" s="157">
        <f t="shared" si="560"/>
        <v>31594633.185593139</v>
      </c>
      <c r="I903" s="157">
        <f t="shared" si="560"/>
        <v>66855465.708336152</v>
      </c>
      <c r="J903" s="157">
        <f t="shared" si="560"/>
        <v>102116298.23107921</v>
      </c>
      <c r="K903" s="157">
        <f t="shared" si="560"/>
        <v>137377130.75382218</v>
      </c>
      <c r="L903" s="157">
        <f t="shared" si="560"/>
        <v>182915784.4154813</v>
      </c>
      <c r="M903" s="157">
        <f t="shared" si="560"/>
        <v>182915784.4154813</v>
      </c>
      <c r="N903" s="157">
        <f t="shared" si="560"/>
        <v>182915784.4154813</v>
      </c>
      <c r="O903" s="157">
        <f t="shared" si="560"/>
        <v>137377130.75382218</v>
      </c>
      <c r="P903" s="157">
        <f t="shared" si="560"/>
        <v>102116298.23107921</v>
      </c>
      <c r="Q903" s="157">
        <f t="shared" si="560"/>
        <v>66855465.708336152</v>
      </c>
      <c r="R903" s="157">
        <f t="shared" si="560"/>
        <v>31594633.185593139</v>
      </c>
      <c r="S903" s="157">
        <f t="shared" si="560"/>
        <v>0</v>
      </c>
      <c r="T903" s="157">
        <f t="shared" si="560"/>
        <v>0</v>
      </c>
      <c r="U903" s="157">
        <f t="shared" si="560"/>
        <v>0</v>
      </c>
      <c r="V903" s="157">
        <f t="shared" si="560"/>
        <v>0</v>
      </c>
      <c r="W903" s="157">
        <f t="shared" si="560"/>
        <v>0</v>
      </c>
      <c r="X903" s="157">
        <f t="shared" si="560"/>
        <v>0</v>
      </c>
      <c r="Y903" s="157">
        <f t="shared" si="560"/>
        <v>0</v>
      </c>
      <c r="Z903" s="157">
        <f t="shared" si="560"/>
        <v>0</v>
      </c>
      <c r="AA903" s="157">
        <f t="shared" si="560"/>
        <v>0</v>
      </c>
      <c r="AB903" s="157">
        <f t="shared" si="560"/>
        <v>0</v>
      </c>
      <c r="AC903" s="157">
        <f t="shared" si="560"/>
        <v>0</v>
      </c>
      <c r="AD903" s="157">
        <f t="shared" si="560"/>
        <v>0</v>
      </c>
      <c r="AE903" s="157">
        <f t="shared" si="560"/>
        <v>0</v>
      </c>
      <c r="AF903" s="157">
        <f t="shared" si="560"/>
        <v>0</v>
      </c>
      <c r="AG903" s="157">
        <f t="shared" si="560"/>
        <v>0</v>
      </c>
      <c r="AH903" s="157">
        <f t="shared" si="560"/>
        <v>0</v>
      </c>
      <c r="AI903" s="157">
        <f t="shared" si="560"/>
        <v>0</v>
      </c>
      <c r="AJ903" s="157">
        <f t="shared" si="560"/>
        <v>0</v>
      </c>
      <c r="AK903" s="157">
        <f t="shared" si="560"/>
        <v>0</v>
      </c>
      <c r="AL903" s="157">
        <f t="shared" si="560"/>
        <v>0</v>
      </c>
      <c r="AM903" s="157">
        <f t="shared" si="560"/>
        <v>0</v>
      </c>
      <c r="AN903" s="157">
        <f t="shared" si="560"/>
        <v>0</v>
      </c>
      <c r="AO903" s="157">
        <f t="shared" si="560"/>
        <v>0</v>
      </c>
      <c r="AP903" s="157">
        <f t="shared" si="560"/>
        <v>0</v>
      </c>
      <c r="AQ903" s="157">
        <f t="shared" si="560"/>
        <v>0</v>
      </c>
      <c r="AR903" s="157">
        <f t="shared" si="560"/>
        <v>0</v>
      </c>
      <c r="AS903" s="157">
        <f t="shared" si="560"/>
        <v>0</v>
      </c>
      <c r="AT903" s="157">
        <f t="shared" si="560"/>
        <v>0</v>
      </c>
      <c r="AU903" s="157">
        <f t="shared" si="560"/>
        <v>0</v>
      </c>
      <c r="AV903" s="157">
        <f t="shared" si="560"/>
        <v>0</v>
      </c>
      <c r="AW903" s="157">
        <f t="shared" si="560"/>
        <v>0</v>
      </c>
      <c r="AX903" s="157">
        <f t="shared" si="560"/>
        <v>0</v>
      </c>
      <c r="AY903" s="157">
        <f t="shared" si="560"/>
        <v>0</v>
      </c>
      <c r="AZ903" s="157">
        <f t="shared" si="560"/>
        <v>0</v>
      </c>
      <c r="BA903" s="157">
        <f t="shared" si="560"/>
        <v>0</v>
      </c>
      <c r="BB903" s="157">
        <f t="shared" si="560"/>
        <v>0</v>
      </c>
      <c r="BC903" s="157">
        <f t="shared" si="560"/>
        <v>0</v>
      </c>
      <c r="BD903" s="157">
        <f t="shared" si="560"/>
        <v>0</v>
      </c>
      <c r="BE903" s="157">
        <f t="shared" si="560"/>
        <v>0</v>
      </c>
      <c r="BF903" s="157">
        <f t="shared" si="560"/>
        <v>0</v>
      </c>
      <c r="BG903" s="157">
        <f t="shared" si="560"/>
        <v>0</v>
      </c>
      <c r="BH903" s="157">
        <f t="shared" si="560"/>
        <v>0</v>
      </c>
      <c r="BI903" s="157">
        <f t="shared" si="560"/>
        <v>0</v>
      </c>
      <c r="BJ903" s="158">
        <f t="shared" si="560"/>
        <v>0</v>
      </c>
      <c r="BK903" s="159"/>
      <c r="BL903" s="159"/>
    </row>
    <row r="904" spans="1:64" s="160" customFormat="1">
      <c r="A904" s="131" t="s">
        <v>135</v>
      </c>
      <c r="B904" s="156">
        <f t="shared" si="555"/>
        <v>244926881.80082107</v>
      </c>
      <c r="C904" s="231">
        <f>IF(C903&lt;=0,0,C903*$K865)</f>
        <v>0</v>
      </c>
      <c r="D904" s="157">
        <f>IF(D903&lt;=0,0,D903*$K865)</f>
        <v>0</v>
      </c>
      <c r="E904" s="157">
        <f t="shared" ref="E904:BJ904" si="561">IF(E903&lt;=0,0,E903*$K865)</f>
        <v>0</v>
      </c>
      <c r="F904" s="157">
        <f t="shared" si="561"/>
        <v>0</v>
      </c>
      <c r="G904" s="157">
        <f t="shared" si="561"/>
        <v>0</v>
      </c>
      <c r="H904" s="157">
        <f t="shared" si="561"/>
        <v>6318926.6371186282</v>
      </c>
      <c r="I904" s="157">
        <f t="shared" si="561"/>
        <v>13371093.141667232</v>
      </c>
      <c r="J904" s="157">
        <f t="shared" si="561"/>
        <v>20423259.646215841</v>
      </c>
      <c r="K904" s="157">
        <f t="shared" si="561"/>
        <v>27475426.150764436</v>
      </c>
      <c r="L904" s="157">
        <f t="shared" si="561"/>
        <v>36583156.883096263</v>
      </c>
      <c r="M904" s="157">
        <f t="shared" si="561"/>
        <v>36583156.883096263</v>
      </c>
      <c r="N904" s="157">
        <f t="shared" si="561"/>
        <v>36583156.883096263</v>
      </c>
      <c r="O904" s="157">
        <f t="shared" si="561"/>
        <v>27475426.150764436</v>
      </c>
      <c r="P904" s="157">
        <f t="shared" si="561"/>
        <v>20423259.646215841</v>
      </c>
      <c r="Q904" s="157">
        <f t="shared" si="561"/>
        <v>13371093.141667232</v>
      </c>
      <c r="R904" s="157">
        <f t="shared" si="561"/>
        <v>6318926.6371186282</v>
      </c>
      <c r="S904" s="157">
        <f t="shared" si="561"/>
        <v>0</v>
      </c>
      <c r="T904" s="157">
        <f t="shared" si="561"/>
        <v>0</v>
      </c>
      <c r="U904" s="157">
        <f t="shared" si="561"/>
        <v>0</v>
      </c>
      <c r="V904" s="157">
        <f t="shared" si="561"/>
        <v>0</v>
      </c>
      <c r="W904" s="157">
        <f t="shared" si="561"/>
        <v>0</v>
      </c>
      <c r="X904" s="157">
        <f t="shared" si="561"/>
        <v>0</v>
      </c>
      <c r="Y904" s="157">
        <f t="shared" si="561"/>
        <v>0</v>
      </c>
      <c r="Z904" s="157">
        <f t="shared" si="561"/>
        <v>0</v>
      </c>
      <c r="AA904" s="157">
        <f t="shared" si="561"/>
        <v>0</v>
      </c>
      <c r="AB904" s="157">
        <f t="shared" si="561"/>
        <v>0</v>
      </c>
      <c r="AC904" s="157">
        <f t="shared" si="561"/>
        <v>0</v>
      </c>
      <c r="AD904" s="157">
        <f t="shared" si="561"/>
        <v>0</v>
      </c>
      <c r="AE904" s="157">
        <f t="shared" si="561"/>
        <v>0</v>
      </c>
      <c r="AF904" s="157">
        <f t="shared" si="561"/>
        <v>0</v>
      </c>
      <c r="AG904" s="157">
        <f t="shared" si="561"/>
        <v>0</v>
      </c>
      <c r="AH904" s="157">
        <f t="shared" si="561"/>
        <v>0</v>
      </c>
      <c r="AI904" s="157">
        <f t="shared" si="561"/>
        <v>0</v>
      </c>
      <c r="AJ904" s="157">
        <f t="shared" si="561"/>
        <v>0</v>
      </c>
      <c r="AK904" s="157">
        <f t="shared" si="561"/>
        <v>0</v>
      </c>
      <c r="AL904" s="157">
        <f t="shared" si="561"/>
        <v>0</v>
      </c>
      <c r="AM904" s="157">
        <f t="shared" si="561"/>
        <v>0</v>
      </c>
      <c r="AN904" s="157">
        <f t="shared" si="561"/>
        <v>0</v>
      </c>
      <c r="AO904" s="157">
        <f t="shared" si="561"/>
        <v>0</v>
      </c>
      <c r="AP904" s="157">
        <f t="shared" si="561"/>
        <v>0</v>
      </c>
      <c r="AQ904" s="157">
        <f t="shared" si="561"/>
        <v>0</v>
      </c>
      <c r="AR904" s="157">
        <f t="shared" si="561"/>
        <v>0</v>
      </c>
      <c r="AS904" s="157">
        <f t="shared" si="561"/>
        <v>0</v>
      </c>
      <c r="AT904" s="157">
        <f t="shared" si="561"/>
        <v>0</v>
      </c>
      <c r="AU904" s="157">
        <f t="shared" si="561"/>
        <v>0</v>
      </c>
      <c r="AV904" s="157">
        <f t="shared" si="561"/>
        <v>0</v>
      </c>
      <c r="AW904" s="157">
        <f t="shared" si="561"/>
        <v>0</v>
      </c>
      <c r="AX904" s="157">
        <f t="shared" si="561"/>
        <v>0</v>
      </c>
      <c r="AY904" s="157">
        <f t="shared" si="561"/>
        <v>0</v>
      </c>
      <c r="AZ904" s="157">
        <f t="shared" si="561"/>
        <v>0</v>
      </c>
      <c r="BA904" s="157">
        <f t="shared" si="561"/>
        <v>0</v>
      </c>
      <c r="BB904" s="157">
        <f t="shared" si="561"/>
        <v>0</v>
      </c>
      <c r="BC904" s="157">
        <f t="shared" si="561"/>
        <v>0</v>
      </c>
      <c r="BD904" s="157">
        <f t="shared" si="561"/>
        <v>0</v>
      </c>
      <c r="BE904" s="157">
        <f t="shared" si="561"/>
        <v>0</v>
      </c>
      <c r="BF904" s="157">
        <f t="shared" si="561"/>
        <v>0</v>
      </c>
      <c r="BG904" s="157">
        <f t="shared" si="561"/>
        <v>0</v>
      </c>
      <c r="BH904" s="157">
        <f t="shared" si="561"/>
        <v>0</v>
      </c>
      <c r="BI904" s="157">
        <f t="shared" si="561"/>
        <v>0</v>
      </c>
      <c r="BJ904" s="158">
        <f t="shared" si="561"/>
        <v>0</v>
      </c>
      <c r="BK904" s="159"/>
      <c r="BL904" s="159"/>
    </row>
    <row r="905" spans="1:64" s="105" customFormat="1">
      <c r="A905" s="164" t="s">
        <v>136</v>
      </c>
      <c r="B905" s="161">
        <f t="shared" si="555"/>
        <v>874429877.34479892</v>
      </c>
      <c r="C905" s="133">
        <f>C903-C904</f>
        <v>-17590545.547479298</v>
      </c>
      <c r="D905" s="134">
        <f>D903-D904</f>
        <v>-21284097.515454952</v>
      </c>
      <c r="E905" s="134">
        <f>E903-E904</f>
        <v>-21390085.709105767</v>
      </c>
      <c r="F905" s="134">
        <f>F903-F904</f>
        <v>-22134335.598516978</v>
      </c>
      <c r="G905" s="134">
        <f t="shared" ref="G905:BJ905" si="562">G903-G904</f>
        <v>-22878585.487928186</v>
      </c>
      <c r="H905" s="134">
        <f t="shared" si="562"/>
        <v>25275706.548474513</v>
      </c>
      <c r="I905" s="134">
        <f t="shared" si="562"/>
        <v>53484372.56666892</v>
      </c>
      <c r="J905" s="134">
        <f t="shared" si="562"/>
        <v>81693038.584863365</v>
      </c>
      <c r="K905" s="134">
        <f t="shared" si="562"/>
        <v>109901704.60305774</v>
      </c>
      <c r="L905" s="134">
        <f t="shared" si="562"/>
        <v>146332627.53238505</v>
      </c>
      <c r="M905" s="134">
        <f t="shared" si="562"/>
        <v>146332627.53238505</v>
      </c>
      <c r="N905" s="134">
        <f t="shared" si="562"/>
        <v>146332627.53238505</v>
      </c>
      <c r="O905" s="134">
        <f t="shared" si="562"/>
        <v>109901704.60305774</v>
      </c>
      <c r="P905" s="134">
        <f t="shared" si="562"/>
        <v>81693038.584863365</v>
      </c>
      <c r="Q905" s="134">
        <f t="shared" si="562"/>
        <v>53484372.56666892</v>
      </c>
      <c r="R905" s="134">
        <f t="shared" si="562"/>
        <v>25275706.548474513</v>
      </c>
      <c r="S905" s="134">
        <f t="shared" si="562"/>
        <v>0</v>
      </c>
      <c r="T905" s="134">
        <f t="shared" si="562"/>
        <v>0</v>
      </c>
      <c r="U905" s="134">
        <f t="shared" si="562"/>
        <v>0</v>
      </c>
      <c r="V905" s="134">
        <f t="shared" si="562"/>
        <v>0</v>
      </c>
      <c r="W905" s="134">
        <f t="shared" si="562"/>
        <v>0</v>
      </c>
      <c r="X905" s="134">
        <f t="shared" si="562"/>
        <v>0</v>
      </c>
      <c r="Y905" s="134">
        <f t="shared" si="562"/>
        <v>0</v>
      </c>
      <c r="Z905" s="134">
        <f t="shared" si="562"/>
        <v>0</v>
      </c>
      <c r="AA905" s="134">
        <f t="shared" si="562"/>
        <v>0</v>
      </c>
      <c r="AB905" s="134">
        <f t="shared" si="562"/>
        <v>0</v>
      </c>
      <c r="AC905" s="134">
        <f t="shared" si="562"/>
        <v>0</v>
      </c>
      <c r="AD905" s="134">
        <f t="shared" si="562"/>
        <v>0</v>
      </c>
      <c r="AE905" s="134">
        <f t="shared" si="562"/>
        <v>0</v>
      </c>
      <c r="AF905" s="134">
        <f t="shared" si="562"/>
        <v>0</v>
      </c>
      <c r="AG905" s="134">
        <f t="shared" si="562"/>
        <v>0</v>
      </c>
      <c r="AH905" s="134">
        <f t="shared" si="562"/>
        <v>0</v>
      </c>
      <c r="AI905" s="134">
        <f t="shared" si="562"/>
        <v>0</v>
      </c>
      <c r="AJ905" s="134">
        <f t="shared" si="562"/>
        <v>0</v>
      </c>
      <c r="AK905" s="134">
        <f t="shared" si="562"/>
        <v>0</v>
      </c>
      <c r="AL905" s="134">
        <f t="shared" si="562"/>
        <v>0</v>
      </c>
      <c r="AM905" s="134">
        <f t="shared" si="562"/>
        <v>0</v>
      </c>
      <c r="AN905" s="134">
        <f t="shared" si="562"/>
        <v>0</v>
      </c>
      <c r="AO905" s="134">
        <f t="shared" si="562"/>
        <v>0</v>
      </c>
      <c r="AP905" s="134">
        <f t="shared" si="562"/>
        <v>0</v>
      </c>
      <c r="AQ905" s="134">
        <f t="shared" si="562"/>
        <v>0</v>
      </c>
      <c r="AR905" s="134">
        <f t="shared" si="562"/>
        <v>0</v>
      </c>
      <c r="AS905" s="134">
        <f t="shared" si="562"/>
        <v>0</v>
      </c>
      <c r="AT905" s="134">
        <f t="shared" si="562"/>
        <v>0</v>
      </c>
      <c r="AU905" s="134">
        <f t="shared" si="562"/>
        <v>0</v>
      </c>
      <c r="AV905" s="134">
        <f t="shared" si="562"/>
        <v>0</v>
      </c>
      <c r="AW905" s="134">
        <f t="shared" si="562"/>
        <v>0</v>
      </c>
      <c r="AX905" s="134">
        <f t="shared" si="562"/>
        <v>0</v>
      </c>
      <c r="AY905" s="134">
        <f t="shared" si="562"/>
        <v>0</v>
      </c>
      <c r="AZ905" s="134">
        <f t="shared" si="562"/>
        <v>0</v>
      </c>
      <c r="BA905" s="134">
        <f t="shared" si="562"/>
        <v>0</v>
      </c>
      <c r="BB905" s="134">
        <f t="shared" si="562"/>
        <v>0</v>
      </c>
      <c r="BC905" s="134">
        <f t="shared" si="562"/>
        <v>0</v>
      </c>
      <c r="BD905" s="134">
        <f t="shared" si="562"/>
        <v>0</v>
      </c>
      <c r="BE905" s="134">
        <f t="shared" si="562"/>
        <v>0</v>
      </c>
      <c r="BF905" s="134">
        <f t="shared" si="562"/>
        <v>0</v>
      </c>
      <c r="BG905" s="134">
        <f t="shared" si="562"/>
        <v>0</v>
      </c>
      <c r="BH905" s="134">
        <f t="shared" si="562"/>
        <v>0</v>
      </c>
      <c r="BI905" s="134">
        <f t="shared" si="562"/>
        <v>0</v>
      </c>
      <c r="BJ905" s="135">
        <f t="shared" si="562"/>
        <v>0</v>
      </c>
      <c r="BK905" s="109"/>
      <c r="BL905" s="109"/>
    </row>
    <row r="906" spans="1:64">
      <c r="A906" s="165" t="s">
        <v>137</v>
      </c>
      <c r="B906" s="161" t="e">
        <f>SUM(B907:B909)</f>
        <v>#REF!</v>
      </c>
      <c r="C906" s="166"/>
      <c r="D906" s="167"/>
      <c r="E906" s="168"/>
      <c r="F906" s="168"/>
      <c r="G906" s="168"/>
      <c r="H906" s="168"/>
      <c r="I906" s="168"/>
      <c r="J906" s="168"/>
      <c r="K906" s="168"/>
      <c r="L906" s="168"/>
      <c r="M906" s="168"/>
      <c r="N906" s="168"/>
      <c r="O906" s="168"/>
      <c r="P906" s="168"/>
      <c r="Q906" s="168"/>
      <c r="R906" s="168"/>
      <c r="S906" s="168"/>
      <c r="T906" s="168"/>
      <c r="U906" s="168"/>
      <c r="V906" s="168"/>
      <c r="W906" s="168"/>
      <c r="X906" s="168"/>
      <c r="Y906" s="168"/>
      <c r="Z906" s="168"/>
      <c r="AA906" s="168"/>
      <c r="AB906" s="168"/>
      <c r="AC906" s="168"/>
      <c r="AD906" s="168"/>
      <c r="AE906" s="168"/>
      <c r="AF906" s="168"/>
      <c r="AG906" s="168"/>
      <c r="AH906" s="168"/>
      <c r="AI906" s="168"/>
      <c r="AJ906" s="168"/>
      <c r="AK906" s="168"/>
      <c r="AL906" s="168"/>
      <c r="AM906" s="168"/>
      <c r="AN906" s="168"/>
      <c r="AO906" s="168"/>
      <c r="AP906" s="168"/>
      <c r="AQ906" s="168"/>
      <c r="AR906" s="168"/>
      <c r="AS906" s="168"/>
      <c r="AT906" s="168"/>
      <c r="AU906" s="168"/>
      <c r="AV906" s="168"/>
      <c r="AW906" s="168"/>
      <c r="AX906" s="168"/>
      <c r="AY906" s="168"/>
      <c r="AZ906" s="168"/>
      <c r="BA906" s="168"/>
      <c r="BB906" s="168"/>
      <c r="BC906" s="168"/>
      <c r="BD906" s="168"/>
      <c r="BE906" s="168"/>
      <c r="BF906" s="168"/>
      <c r="BG906" s="168"/>
      <c r="BH906" s="168"/>
      <c r="BI906" s="168"/>
      <c r="BJ906" s="169"/>
    </row>
    <row r="907" spans="1:64" s="174" customFormat="1" ht="12.75">
      <c r="A907" s="120" t="s">
        <v>138</v>
      </c>
      <c r="B907" s="170">
        <f>SUM(C907:BJ907)</f>
        <v>58790565.004069082</v>
      </c>
      <c r="C907" s="171">
        <f>C878-C883</f>
        <v>19369807.299744528</v>
      </c>
      <c r="D907" s="172">
        <f>IF(AND(D866&gt;5,D867=0),0,D878-D883)</f>
        <v>21532308.7091804</v>
      </c>
      <c r="E907" s="172">
        <f t="shared" ref="E907:BJ907" si="563">IF(AND(E866&gt;5,E867=0),0,E878-E883)</f>
        <v>20149797.124008805</v>
      </c>
      <c r="F907" s="172">
        <f t="shared" si="563"/>
        <v>19405547.234597594</v>
      </c>
      <c r="G907" s="172">
        <f t="shared" si="563"/>
        <v>18661297.345186386</v>
      </c>
      <c r="H907" s="172">
        <f t="shared" si="563"/>
        <v>-3666199.3371498776</v>
      </c>
      <c r="I907" s="172">
        <f t="shared" si="563"/>
        <v>-3666199.3371498776</v>
      </c>
      <c r="J907" s="172">
        <f t="shared" si="563"/>
        <v>-3666199.3371498776</v>
      </c>
      <c r="K907" s="172">
        <f t="shared" si="563"/>
        <v>-3666199.3371498776</v>
      </c>
      <c r="L907" s="172">
        <f t="shared" si="563"/>
        <v>-3666199.3371498776</v>
      </c>
      <c r="M907" s="172">
        <f t="shared" si="563"/>
        <v>-3666199.3371498776</v>
      </c>
      <c r="N907" s="172">
        <f t="shared" si="563"/>
        <v>-3666199.3371498776</v>
      </c>
      <c r="O907" s="172">
        <f t="shared" si="563"/>
        <v>-3666199.3371498776</v>
      </c>
      <c r="P907" s="172">
        <f t="shared" si="563"/>
        <v>-3666199.3371498776</v>
      </c>
      <c r="Q907" s="172">
        <f t="shared" si="563"/>
        <v>-3666199.3371498776</v>
      </c>
      <c r="R907" s="172">
        <f t="shared" si="563"/>
        <v>-3666199.3371498776</v>
      </c>
      <c r="S907" s="172">
        <f t="shared" si="563"/>
        <v>0</v>
      </c>
      <c r="T907" s="172">
        <f t="shared" si="563"/>
        <v>0</v>
      </c>
      <c r="U907" s="172">
        <f t="shared" si="563"/>
        <v>0</v>
      </c>
      <c r="V907" s="172">
        <f t="shared" si="563"/>
        <v>0</v>
      </c>
      <c r="W907" s="172">
        <f t="shared" si="563"/>
        <v>0</v>
      </c>
      <c r="X907" s="172">
        <f t="shared" si="563"/>
        <v>0</v>
      </c>
      <c r="Y907" s="172">
        <f t="shared" si="563"/>
        <v>0</v>
      </c>
      <c r="Z907" s="172">
        <f t="shared" si="563"/>
        <v>0</v>
      </c>
      <c r="AA907" s="172">
        <f t="shared" si="563"/>
        <v>0</v>
      </c>
      <c r="AB907" s="172">
        <f t="shared" si="563"/>
        <v>0</v>
      </c>
      <c r="AC907" s="172">
        <f t="shared" si="563"/>
        <v>0</v>
      </c>
      <c r="AD907" s="172">
        <f t="shared" si="563"/>
        <v>0</v>
      </c>
      <c r="AE907" s="172">
        <f t="shared" si="563"/>
        <v>0</v>
      </c>
      <c r="AF907" s="172">
        <f t="shared" si="563"/>
        <v>0</v>
      </c>
      <c r="AG907" s="172">
        <f t="shared" si="563"/>
        <v>0</v>
      </c>
      <c r="AH907" s="172">
        <f t="shared" si="563"/>
        <v>0</v>
      </c>
      <c r="AI907" s="172">
        <f t="shared" si="563"/>
        <v>0</v>
      </c>
      <c r="AJ907" s="172">
        <f t="shared" si="563"/>
        <v>0</v>
      </c>
      <c r="AK907" s="172">
        <f t="shared" si="563"/>
        <v>0</v>
      </c>
      <c r="AL907" s="172">
        <f t="shared" si="563"/>
        <v>0</v>
      </c>
      <c r="AM907" s="172">
        <f t="shared" si="563"/>
        <v>0</v>
      </c>
      <c r="AN907" s="172">
        <f t="shared" si="563"/>
        <v>0</v>
      </c>
      <c r="AO907" s="172">
        <f t="shared" si="563"/>
        <v>0</v>
      </c>
      <c r="AP907" s="172">
        <f t="shared" si="563"/>
        <v>0</v>
      </c>
      <c r="AQ907" s="172">
        <f t="shared" si="563"/>
        <v>0</v>
      </c>
      <c r="AR907" s="172">
        <f t="shared" si="563"/>
        <v>0</v>
      </c>
      <c r="AS907" s="172">
        <f t="shared" si="563"/>
        <v>0</v>
      </c>
      <c r="AT907" s="172">
        <f t="shared" si="563"/>
        <v>0</v>
      </c>
      <c r="AU907" s="172">
        <f t="shared" si="563"/>
        <v>0</v>
      </c>
      <c r="AV907" s="172">
        <f t="shared" si="563"/>
        <v>0</v>
      </c>
      <c r="AW907" s="172">
        <f t="shared" si="563"/>
        <v>0</v>
      </c>
      <c r="AX907" s="172">
        <f t="shared" si="563"/>
        <v>0</v>
      </c>
      <c r="AY907" s="172">
        <f t="shared" si="563"/>
        <v>0</v>
      </c>
      <c r="AZ907" s="172">
        <f t="shared" si="563"/>
        <v>0</v>
      </c>
      <c r="BA907" s="172">
        <f t="shared" si="563"/>
        <v>0</v>
      </c>
      <c r="BB907" s="172">
        <f t="shared" si="563"/>
        <v>0</v>
      </c>
      <c r="BC907" s="172">
        <f t="shared" si="563"/>
        <v>0</v>
      </c>
      <c r="BD907" s="172">
        <f t="shared" si="563"/>
        <v>0</v>
      </c>
      <c r="BE907" s="172">
        <f t="shared" si="563"/>
        <v>0</v>
      </c>
      <c r="BF907" s="172">
        <f t="shared" si="563"/>
        <v>0</v>
      </c>
      <c r="BG907" s="172">
        <f t="shared" si="563"/>
        <v>0</v>
      </c>
      <c r="BH907" s="172">
        <f t="shared" si="563"/>
        <v>0</v>
      </c>
      <c r="BI907" s="172">
        <f t="shared" si="563"/>
        <v>0</v>
      </c>
      <c r="BJ907" s="173">
        <f t="shared" si="563"/>
        <v>0</v>
      </c>
      <c r="BK907" s="172"/>
      <c r="BL907" s="172"/>
    </row>
    <row r="908" spans="1:64" s="174" customFormat="1" ht="12.75">
      <c r="A908" s="120" t="s">
        <v>139</v>
      </c>
      <c r="B908" s="170">
        <f>SUM(C908:BJ908)</f>
        <v>51195415.11042729</v>
      </c>
      <c r="C908" s="171">
        <f>C898</f>
        <v>667924.38964636298</v>
      </c>
      <c r="D908" s="172">
        <f>D898</f>
        <v>1433449.6689162515</v>
      </c>
      <c r="E908" s="172">
        <f t="shared" ref="E908:BJ908" si="564">E898</f>
        <v>2177699.5583274602</v>
      </c>
      <c r="F908" s="172">
        <f t="shared" si="564"/>
        <v>2921949.4477386689</v>
      </c>
      <c r="G908" s="172">
        <f t="shared" si="564"/>
        <v>3666199.3371498776</v>
      </c>
      <c r="H908" s="172">
        <f t="shared" si="564"/>
        <v>3666199.3371498776</v>
      </c>
      <c r="I908" s="172">
        <f t="shared" si="564"/>
        <v>3666199.3371498776</v>
      </c>
      <c r="J908" s="172">
        <f t="shared" si="564"/>
        <v>3666199.3371498776</v>
      </c>
      <c r="K908" s="172">
        <f t="shared" si="564"/>
        <v>3666199.3371498776</v>
      </c>
      <c r="L908" s="172">
        <f t="shared" si="564"/>
        <v>3666199.3371498776</v>
      </c>
      <c r="M908" s="172">
        <f t="shared" si="564"/>
        <v>3666199.3371498776</v>
      </c>
      <c r="N908" s="172">
        <f t="shared" si="564"/>
        <v>3666199.3371498776</v>
      </c>
      <c r="O908" s="172">
        <f t="shared" si="564"/>
        <v>3666199.3371498776</v>
      </c>
      <c r="P908" s="172">
        <f t="shared" si="564"/>
        <v>3666199.3371498776</v>
      </c>
      <c r="Q908" s="172">
        <f t="shared" si="564"/>
        <v>3666199.3371498776</v>
      </c>
      <c r="R908" s="172">
        <f t="shared" si="564"/>
        <v>3666199.3371498776</v>
      </c>
      <c r="S908" s="172">
        <f t="shared" si="564"/>
        <v>0</v>
      </c>
      <c r="T908" s="172">
        <f t="shared" si="564"/>
        <v>0</v>
      </c>
      <c r="U908" s="172">
        <f t="shared" si="564"/>
        <v>0</v>
      </c>
      <c r="V908" s="172">
        <f t="shared" si="564"/>
        <v>0</v>
      </c>
      <c r="W908" s="172">
        <f t="shared" si="564"/>
        <v>0</v>
      </c>
      <c r="X908" s="172">
        <f t="shared" si="564"/>
        <v>0</v>
      </c>
      <c r="Y908" s="172">
        <f t="shared" si="564"/>
        <v>0</v>
      </c>
      <c r="Z908" s="172">
        <f t="shared" si="564"/>
        <v>0</v>
      </c>
      <c r="AA908" s="172">
        <f t="shared" si="564"/>
        <v>0</v>
      </c>
      <c r="AB908" s="172">
        <f t="shared" si="564"/>
        <v>0</v>
      </c>
      <c r="AC908" s="172">
        <f t="shared" si="564"/>
        <v>0</v>
      </c>
      <c r="AD908" s="172">
        <f t="shared" si="564"/>
        <v>0</v>
      </c>
      <c r="AE908" s="172">
        <f t="shared" si="564"/>
        <v>0</v>
      </c>
      <c r="AF908" s="172">
        <f t="shared" si="564"/>
        <v>0</v>
      </c>
      <c r="AG908" s="172">
        <f t="shared" si="564"/>
        <v>0</v>
      </c>
      <c r="AH908" s="172">
        <f t="shared" si="564"/>
        <v>0</v>
      </c>
      <c r="AI908" s="172">
        <f t="shared" si="564"/>
        <v>0</v>
      </c>
      <c r="AJ908" s="172">
        <f t="shared" si="564"/>
        <v>0</v>
      </c>
      <c r="AK908" s="172">
        <f t="shared" si="564"/>
        <v>0</v>
      </c>
      <c r="AL908" s="172">
        <f t="shared" si="564"/>
        <v>0</v>
      </c>
      <c r="AM908" s="172">
        <f t="shared" si="564"/>
        <v>0</v>
      </c>
      <c r="AN908" s="172">
        <f t="shared" si="564"/>
        <v>0</v>
      </c>
      <c r="AO908" s="172">
        <f t="shared" si="564"/>
        <v>0</v>
      </c>
      <c r="AP908" s="172">
        <f t="shared" si="564"/>
        <v>0</v>
      </c>
      <c r="AQ908" s="172">
        <f t="shared" si="564"/>
        <v>0</v>
      </c>
      <c r="AR908" s="172">
        <f t="shared" si="564"/>
        <v>0</v>
      </c>
      <c r="AS908" s="172">
        <f t="shared" si="564"/>
        <v>0</v>
      </c>
      <c r="AT908" s="172">
        <f t="shared" si="564"/>
        <v>0</v>
      </c>
      <c r="AU908" s="172">
        <f t="shared" si="564"/>
        <v>0</v>
      </c>
      <c r="AV908" s="172">
        <f t="shared" si="564"/>
        <v>0</v>
      </c>
      <c r="AW908" s="172">
        <f t="shared" si="564"/>
        <v>0</v>
      </c>
      <c r="AX908" s="172">
        <f t="shared" si="564"/>
        <v>0</v>
      </c>
      <c r="AY908" s="172">
        <f t="shared" si="564"/>
        <v>0</v>
      </c>
      <c r="AZ908" s="172">
        <f t="shared" si="564"/>
        <v>0</v>
      </c>
      <c r="BA908" s="172">
        <f t="shared" si="564"/>
        <v>0</v>
      </c>
      <c r="BB908" s="172">
        <f t="shared" si="564"/>
        <v>0</v>
      </c>
      <c r="BC908" s="172">
        <f t="shared" si="564"/>
        <v>0</v>
      </c>
      <c r="BD908" s="172">
        <f t="shared" si="564"/>
        <v>0</v>
      </c>
      <c r="BE908" s="172">
        <f t="shared" si="564"/>
        <v>0</v>
      </c>
      <c r="BF908" s="172">
        <f t="shared" si="564"/>
        <v>0</v>
      </c>
      <c r="BG908" s="172">
        <f t="shared" si="564"/>
        <v>0</v>
      </c>
      <c r="BH908" s="172">
        <f t="shared" si="564"/>
        <v>0</v>
      </c>
      <c r="BI908" s="172">
        <f t="shared" si="564"/>
        <v>0</v>
      </c>
      <c r="BJ908" s="173">
        <f t="shared" si="564"/>
        <v>0</v>
      </c>
      <c r="BK908" s="172"/>
      <c r="BL908" s="172"/>
    </row>
    <row r="909" spans="1:64" s="174" customFormat="1" ht="12.75">
      <c r="A909" s="120" t="s">
        <v>140</v>
      </c>
      <c r="B909" s="170" t="e">
        <f>SUM(C909:BJ909)</f>
        <v>#REF!</v>
      </c>
      <c r="C909" s="171">
        <f>-C878</f>
        <v>-20037731.68939089</v>
      </c>
      <c r="D909" s="172">
        <f>IF(AND(D866&gt;5,E867=0,D867&lt;&gt;0),SUM(D$71:$BJ883)-D878,-D878)</f>
        <v>-22965758.378096651</v>
      </c>
      <c r="E909" s="172">
        <f>IF(AND(E866&gt;5,F867=0,E867&lt;&gt;0),SUM(E$71:$BJ883)-E878,-E878)</f>
        <v>-22327496.682336263</v>
      </c>
      <c r="F909" s="172">
        <f>IF(AND(F866&gt;5,G867=0,F867&lt;&gt;0),SUM(F$71:$BJ883)-F878,-F878)</f>
        <v>-22327496.682336263</v>
      </c>
      <c r="G909" s="172">
        <f>IF(AND(G866&gt;5,H867=0,G867&lt;&gt;0),SUM(G$71:$BJ883)-G878,-G878)</f>
        <v>-22327496.682336263</v>
      </c>
      <c r="H909" s="172">
        <f>IF(AND(H866&gt;5,I867=0,H867&lt;&gt;0),SUM(H$71:$BJ883)-H878,-H878)</f>
        <v>0</v>
      </c>
      <c r="I909" s="172">
        <f>IF(AND(I866&gt;5,J867=0,I867&lt;&gt;0),SUM(I$71:$BJ883)-I878,-I878)</f>
        <v>0</v>
      </c>
      <c r="J909" s="172">
        <f>IF(AND(J866&gt;5,K867=0,J867&lt;&gt;0),SUM(J$71:$BJ883)-J878,-J878)</f>
        <v>0</v>
      </c>
      <c r="K909" s="172">
        <f>IF(AND(K866&gt;5,L867=0,K867&lt;&gt;0),SUM(K$71:$BJ883)-K878,-K878)</f>
        <v>0</v>
      </c>
      <c r="L909" s="172">
        <f>IF(AND(L866&gt;5,M867=0,L867&lt;&gt;0),SUM(L$71:$BJ883)-L878,-L878)</f>
        <v>0</v>
      </c>
      <c r="M909" s="172">
        <f>IF(AND(M866&gt;5,N867=0,M867&lt;&gt;0),SUM(M$71:$BJ883)-M878,-M878)</f>
        <v>0</v>
      </c>
      <c r="N909" s="172">
        <f>IF(AND(N866&gt;5,O867=0,N867&lt;&gt;0),SUM(N$71:$BJ883)-N878,-N878)</f>
        <v>0</v>
      </c>
      <c r="O909" s="172">
        <f>IF(AND(O866&gt;5,P867=0,O867&lt;&gt;0),SUM(O$71:$BJ883)-O878,-O878)</f>
        <v>0</v>
      </c>
      <c r="P909" s="172">
        <f>IF(AND(P866&gt;5,Q867=0,P867&lt;&gt;0),SUM(P$71:$BJ883)-P878,-P878)</f>
        <v>0</v>
      </c>
      <c r="Q909" s="172">
        <f>IF(AND(Q866&gt;5,R867=0,Q867&lt;&gt;0),SUM(Q$71:$BJ883)-Q878,-Q878)</f>
        <v>0</v>
      </c>
      <c r="R909" s="172" t="e">
        <f>IF(AND(R866&gt;5,S867=0,R867&lt;&gt;0),SUM(R$71:$BJ883)-R878,-R878)</f>
        <v>#REF!</v>
      </c>
      <c r="S909" s="172">
        <f>IF(AND(S866&gt;5,T867=0,S867&lt;&gt;0),SUM(S$71:$BJ883)-S878,-S878)</f>
        <v>0</v>
      </c>
      <c r="T909" s="172">
        <f>IF(AND(T866&gt;5,U867=0,T867&lt;&gt;0),SUM(T$71:$BJ883)-T878,-T878)</f>
        <v>0</v>
      </c>
      <c r="U909" s="172">
        <f>IF(AND(U866&gt;5,V867=0,U867&lt;&gt;0),SUM(U$71:$BJ883)-U878,-U878)</f>
        <v>0</v>
      </c>
      <c r="V909" s="172">
        <f>IF(AND(V866&gt;5,W867=0,V867&lt;&gt;0),SUM(V$71:$BJ883)-V878,-V878)</f>
        <v>0</v>
      </c>
      <c r="W909" s="172">
        <f>IF(AND(W866&gt;5,X867=0,W867&lt;&gt;0),SUM(W$71:$BJ883)-W878,-W878)</f>
        <v>0</v>
      </c>
      <c r="X909" s="172">
        <f>IF(AND(X866&gt;5,Y867=0,X867&lt;&gt;0),SUM(X$71:$BJ883)-X878,-X878)</f>
        <v>0</v>
      </c>
      <c r="Y909" s="172">
        <f>IF(AND(Y866&gt;5,Z867=0,Y867&lt;&gt;0),SUM(Y$71:$BJ883)-Y878,-Y878)</f>
        <v>0</v>
      </c>
      <c r="Z909" s="175">
        <f>IF(AND(Z866&gt;5,AA867=0,Z867&lt;&gt;0),SUM(Z$71:$BJ883)-Z878,-Z878)</f>
        <v>0</v>
      </c>
      <c r="AA909" s="172">
        <f>IF(AND(AA866&gt;5,AB867=0,AA867&lt;&gt;0),SUM(AA$71:$BJ883)-AA878,-AA878)</f>
        <v>0</v>
      </c>
      <c r="AB909" s="172">
        <f>IF(AND(AB866&gt;5,AC867=0,AB867&lt;&gt;0),SUM(AB$71:$BJ883)-AB878,-AB878)</f>
        <v>0</v>
      </c>
      <c r="AC909" s="172">
        <f>IF(AND(AC866&gt;5,AD867=0,AC867&lt;&gt;0),SUM(AC$71:$BJ883)-AC878,-AC878)</f>
        <v>0</v>
      </c>
      <c r="AD909" s="172">
        <f>IF(AND(AD866&gt;5,AE867=0,AD867&lt;&gt;0),SUM(AD$71:$BJ883)-AD878,-AD878)</f>
        <v>0</v>
      </c>
      <c r="AE909" s="172">
        <f>IF(AND(AE866&gt;5,AF867=0,AE867&lt;&gt;0),SUM(AE$71:$BJ883)-AE878,-AE878)</f>
        <v>0</v>
      </c>
      <c r="AF909" s="172">
        <f>IF(AND(AF866&gt;5,AG867=0,AF867&lt;&gt;0),SUM(AF$71:$BJ883)-AF878,-AF878)</f>
        <v>0</v>
      </c>
      <c r="AG909" s="172">
        <f>IF(AND(AG866&gt;5,AH867=0,AG867&lt;&gt;0),SUM(AG$71:$BJ883)-AG878,-AG878)</f>
        <v>0</v>
      </c>
      <c r="AH909" s="172">
        <f>IF(AND(AH866&gt;5,AI867=0,AH867&lt;&gt;0),SUM(AH$71:$BJ883)-AH878,-AH878)</f>
        <v>0</v>
      </c>
      <c r="AI909" s="172">
        <f>IF(AND(AI866&gt;5,AJ867=0,AI867&lt;&gt;0),SUM(AI$71:$BJ883)-AI878,-AI878)</f>
        <v>0</v>
      </c>
      <c r="AJ909" s="172">
        <f>IF(AND(AJ866&gt;5,AK867=0,AJ867&lt;&gt;0),SUM(AJ$71:$BJ883)-AJ878,-AJ878)</f>
        <v>0</v>
      </c>
      <c r="AK909" s="172">
        <f>IF(AND(AK866&gt;5,AL867=0,AK867&lt;&gt;0),SUM(AK$71:$BJ883)-AK878,-AK878)</f>
        <v>0</v>
      </c>
      <c r="AL909" s="172">
        <f>IF(AND(AL866&gt;5,AM867=0,AL867&lt;&gt;0),SUM(AL$71:$BJ883)-AL878,-AL878)</f>
        <v>0</v>
      </c>
      <c r="AM909" s="172">
        <f>IF(AND(AM866&gt;5,AN867=0,AM867&lt;&gt;0),SUM(AM$71:$BJ883)-AM878,-AM878)</f>
        <v>0</v>
      </c>
      <c r="AN909" s="172">
        <f>IF(AND(AN866&gt;5,AO867=0,AN867&lt;&gt;0),SUM(AN$71:$BJ883)-AN878,-AN878)</f>
        <v>0</v>
      </c>
      <c r="AO909" s="172">
        <f>IF(AND(AO866&gt;5,AP867=0,AO867&lt;&gt;0),SUM(AO$71:$BJ883)-AO878,-AO878)</f>
        <v>0</v>
      </c>
      <c r="AP909" s="172">
        <f>IF(AND(AP866&gt;5,AQ867=0,AP867&lt;&gt;0),SUM(AP$71:$BJ883)-AP878,-AP878)</f>
        <v>0</v>
      </c>
      <c r="AQ909" s="172">
        <f>IF(AND(AQ866&gt;5,AR867=0,AQ867&lt;&gt;0),SUM(AQ$71:$BJ883)-AQ878,-AQ878)</f>
        <v>0</v>
      </c>
      <c r="AR909" s="172">
        <f>IF(AND(AR866&gt;5,AS867=0,AR867&lt;&gt;0),SUM(AR$71:$BJ883)-AR878,-AR878)</f>
        <v>0</v>
      </c>
      <c r="AS909" s="172">
        <f>IF(AND(AS866&gt;5,AT867=0,AS867&lt;&gt;0),SUM(AS$71:$BJ883)-AS878,-AS878)</f>
        <v>0</v>
      </c>
      <c r="AT909" s="172">
        <f>IF(AND(AT866&gt;5,AU867=0,AT867&lt;&gt;0),SUM(AT$71:$BJ883)-AT878,-AT878)</f>
        <v>0</v>
      </c>
      <c r="AU909" s="172">
        <f>IF(AND(AU866&gt;5,AV867=0,AU867&lt;&gt;0),SUM(AU$71:$BJ883)-AU878,-AU878)</f>
        <v>0</v>
      </c>
      <c r="AV909" s="172">
        <f>IF(AND(AV866&gt;5,AW867=0,AV867&lt;&gt;0),SUM(AV$71:$BJ883)-AV878,-AV878)</f>
        <v>0</v>
      </c>
      <c r="AW909" s="172">
        <f>IF(AND(AW866&gt;5,AX867=0,AW867&lt;&gt;0),SUM(AW$71:$BJ883)-AW878,-AW878)</f>
        <v>0</v>
      </c>
      <c r="AX909" s="172">
        <f>IF(AND(AX866&gt;5,AY867=0,AX867&lt;&gt;0),SUM(AX$71:$BJ883)-AX878,-AX878)</f>
        <v>0</v>
      </c>
      <c r="AY909" s="172">
        <f>IF(AND(AY866&gt;5,AZ867=0,AY867&lt;&gt;0),SUM(AY$71:$BJ883)-AY878,-AY878)</f>
        <v>0</v>
      </c>
      <c r="AZ909" s="172">
        <f>IF(AND(AZ866&gt;5,BA867=0,AZ867&lt;&gt;0),SUM(AZ$71:$BJ883)-AZ878,-AZ878)</f>
        <v>0</v>
      </c>
      <c r="BA909" s="172">
        <f>IF(AND(BA866&gt;5,BB867=0,BA867&lt;&gt;0),SUM(BA$71:$BJ883)-BA878,-BA878)</f>
        <v>0</v>
      </c>
      <c r="BB909" s="172">
        <f>IF(AND(BB866&gt;5,BC867=0,BB867&lt;&gt;0),SUM(BB$71:$BJ883)-BB878,-BB878)</f>
        <v>0</v>
      </c>
      <c r="BC909" s="172">
        <f>IF(AND(BC866&gt;5,BD867=0,BC867&lt;&gt;0),SUM(BC$71:$BJ883)-BC878,-BC878)</f>
        <v>0</v>
      </c>
      <c r="BD909" s="172">
        <f>IF(AND(BD866&gt;5,BE867=0,BD867&lt;&gt;0),SUM(BD$71:$BJ883)-BD878,-BD878)</f>
        <v>0</v>
      </c>
      <c r="BE909" s="172">
        <f>IF(AND(BE866&gt;5,BF867=0,BE867&lt;&gt;0),SUM(BE$71:$BJ883)-BE878,-BE878)</f>
        <v>0</v>
      </c>
      <c r="BF909" s="172">
        <f>IF(AND(BF866&gt;5,BG867=0,BF867&lt;&gt;0),SUM(BF$71:$BJ883)-BF878,-BF878)</f>
        <v>0</v>
      </c>
      <c r="BG909" s="172">
        <f>IF(AND(BG866&gt;5,BH867=0,BG867&lt;&gt;0),SUM(BG$71:$BJ883)-BG878,-BG878)</f>
        <v>0</v>
      </c>
      <c r="BH909" s="172">
        <f>IF(AND(BH866&gt;5,BI867=0,BH867&lt;&gt;0),SUM(BH$71:$BJ883)-BH878,-BH878)</f>
        <v>0</v>
      </c>
      <c r="BI909" s="172">
        <f>IF(AND(BI866&gt;5,BJ867=0,BI867&lt;&gt;0),SUM(BI$71:$BJ883)-BI878,-BI878)</f>
        <v>0</v>
      </c>
      <c r="BJ909" s="173">
        <f>IF(AND(BJ866&gt;5,BK867=0,BJ867&lt;&gt;0),SUM(BJ$71:$BJ883)-BJ878,-BJ878)</f>
        <v>0</v>
      </c>
      <c r="BK909" s="172"/>
      <c r="BL909" s="172"/>
    </row>
    <row r="910" spans="1:64" s="160" customFormat="1">
      <c r="A910" s="176" t="s">
        <v>141</v>
      </c>
      <c r="B910" s="177">
        <f>SUM(C910:BJ910)</f>
        <v>925625292.45522654</v>
      </c>
      <c r="C910" s="178">
        <f>C905+C908</f>
        <v>-16922621.157832935</v>
      </c>
      <c r="D910" s="179">
        <f t="shared" ref="D910:BJ910" si="565">D905+D908</f>
        <v>-19850647.8465387</v>
      </c>
      <c r="E910" s="179">
        <f t="shared" si="565"/>
        <v>-19212386.150778309</v>
      </c>
      <c r="F910" s="179">
        <f t="shared" si="565"/>
        <v>-19212386.150778309</v>
      </c>
      <c r="G910" s="179">
        <f t="shared" si="565"/>
        <v>-19212386.150778309</v>
      </c>
      <c r="H910" s="179">
        <f t="shared" si="565"/>
        <v>28941905.88562439</v>
      </c>
      <c r="I910" s="179">
        <f t="shared" si="565"/>
        <v>57150571.903818801</v>
      </c>
      <c r="J910" s="179">
        <f t="shared" si="565"/>
        <v>85359237.922013238</v>
      </c>
      <c r="K910" s="179">
        <f t="shared" si="565"/>
        <v>113567903.94020762</v>
      </c>
      <c r="L910" s="179">
        <f t="shared" si="565"/>
        <v>149998826.86953494</v>
      </c>
      <c r="M910" s="179">
        <f t="shared" si="565"/>
        <v>149998826.86953494</v>
      </c>
      <c r="N910" s="179">
        <f t="shared" si="565"/>
        <v>149998826.86953494</v>
      </c>
      <c r="O910" s="179">
        <f t="shared" si="565"/>
        <v>113567903.94020762</v>
      </c>
      <c r="P910" s="179">
        <f t="shared" si="565"/>
        <v>85359237.922013238</v>
      </c>
      <c r="Q910" s="179">
        <f t="shared" si="565"/>
        <v>57150571.903818801</v>
      </c>
      <c r="R910" s="179">
        <f t="shared" si="565"/>
        <v>28941905.88562439</v>
      </c>
      <c r="S910" s="179">
        <f t="shared" si="565"/>
        <v>0</v>
      </c>
      <c r="T910" s="179">
        <f t="shared" si="565"/>
        <v>0</v>
      </c>
      <c r="U910" s="179">
        <f t="shared" si="565"/>
        <v>0</v>
      </c>
      <c r="V910" s="179">
        <f t="shared" si="565"/>
        <v>0</v>
      </c>
      <c r="W910" s="179">
        <f t="shared" si="565"/>
        <v>0</v>
      </c>
      <c r="X910" s="179">
        <f t="shared" si="565"/>
        <v>0</v>
      </c>
      <c r="Y910" s="179">
        <f t="shared" si="565"/>
        <v>0</v>
      </c>
      <c r="Z910" s="179">
        <f t="shared" si="565"/>
        <v>0</v>
      </c>
      <c r="AA910" s="179">
        <f t="shared" si="565"/>
        <v>0</v>
      </c>
      <c r="AB910" s="179">
        <f t="shared" si="565"/>
        <v>0</v>
      </c>
      <c r="AC910" s="179">
        <f t="shared" si="565"/>
        <v>0</v>
      </c>
      <c r="AD910" s="179">
        <f t="shared" si="565"/>
        <v>0</v>
      </c>
      <c r="AE910" s="179">
        <f t="shared" si="565"/>
        <v>0</v>
      </c>
      <c r="AF910" s="179">
        <f t="shared" si="565"/>
        <v>0</v>
      </c>
      <c r="AG910" s="179">
        <f t="shared" si="565"/>
        <v>0</v>
      </c>
      <c r="AH910" s="179">
        <f t="shared" si="565"/>
        <v>0</v>
      </c>
      <c r="AI910" s="179">
        <f t="shared" si="565"/>
        <v>0</v>
      </c>
      <c r="AJ910" s="179">
        <f t="shared" si="565"/>
        <v>0</v>
      </c>
      <c r="AK910" s="179">
        <f t="shared" si="565"/>
        <v>0</v>
      </c>
      <c r="AL910" s="179">
        <f t="shared" si="565"/>
        <v>0</v>
      </c>
      <c r="AM910" s="179">
        <f t="shared" si="565"/>
        <v>0</v>
      </c>
      <c r="AN910" s="179">
        <f t="shared" si="565"/>
        <v>0</v>
      </c>
      <c r="AO910" s="179">
        <f t="shared" si="565"/>
        <v>0</v>
      </c>
      <c r="AP910" s="179">
        <f t="shared" si="565"/>
        <v>0</v>
      </c>
      <c r="AQ910" s="179">
        <f t="shared" si="565"/>
        <v>0</v>
      </c>
      <c r="AR910" s="179">
        <f t="shared" si="565"/>
        <v>0</v>
      </c>
      <c r="AS910" s="179">
        <f t="shared" si="565"/>
        <v>0</v>
      </c>
      <c r="AT910" s="179">
        <f t="shared" si="565"/>
        <v>0</v>
      </c>
      <c r="AU910" s="179">
        <f t="shared" si="565"/>
        <v>0</v>
      </c>
      <c r="AV910" s="179">
        <f t="shared" si="565"/>
        <v>0</v>
      </c>
      <c r="AW910" s="179">
        <f t="shared" si="565"/>
        <v>0</v>
      </c>
      <c r="AX910" s="179">
        <f t="shared" si="565"/>
        <v>0</v>
      </c>
      <c r="AY910" s="179">
        <f t="shared" si="565"/>
        <v>0</v>
      </c>
      <c r="AZ910" s="179">
        <f t="shared" si="565"/>
        <v>0</v>
      </c>
      <c r="BA910" s="179">
        <f t="shared" si="565"/>
        <v>0</v>
      </c>
      <c r="BB910" s="179">
        <f t="shared" si="565"/>
        <v>0</v>
      </c>
      <c r="BC910" s="179">
        <f t="shared" si="565"/>
        <v>0</v>
      </c>
      <c r="BD910" s="179">
        <f t="shared" si="565"/>
        <v>0</v>
      </c>
      <c r="BE910" s="179">
        <f t="shared" si="565"/>
        <v>0</v>
      </c>
      <c r="BF910" s="179">
        <f t="shared" si="565"/>
        <v>0</v>
      </c>
      <c r="BG910" s="179">
        <f t="shared" si="565"/>
        <v>0</v>
      </c>
      <c r="BH910" s="179">
        <f t="shared" si="565"/>
        <v>0</v>
      </c>
      <c r="BI910" s="179">
        <f t="shared" si="565"/>
        <v>0</v>
      </c>
      <c r="BJ910" s="180">
        <f t="shared" si="565"/>
        <v>0</v>
      </c>
    </row>
    <row r="911" spans="1:64" s="80" customFormat="1">
      <c r="A911" s="176" t="s">
        <v>142</v>
      </c>
      <c r="B911" s="177">
        <f>SUM(C911:BJ911)</f>
        <v>265211473.3924627</v>
      </c>
      <c r="C911" s="232">
        <f>C910*(1+$C865)^-(C866-1)</f>
        <v>-16922621.157832935</v>
      </c>
      <c r="D911" s="182">
        <f>D910*(1+$C865)^-(D866-1)</f>
        <v>-17723792.720123839</v>
      </c>
      <c r="E911" s="182">
        <f t="shared" ref="E911:BJ911" si="566">E910*(1+$C865)^-(E866-1)</f>
        <v>-15315996.612546481</v>
      </c>
      <c r="F911" s="182">
        <f t="shared" si="566"/>
        <v>-13674996.975487927</v>
      </c>
      <c r="G911" s="182">
        <f t="shared" si="566"/>
        <v>-12209818.728114223</v>
      </c>
      <c r="H911" s="182">
        <f t="shared" si="566"/>
        <v>16422414.655183468</v>
      </c>
      <c r="I911" s="182">
        <f t="shared" si="566"/>
        <v>28954258.319556803</v>
      </c>
      <c r="J911" s="182">
        <f t="shared" si="566"/>
        <v>38612184.295777887</v>
      </c>
      <c r="K911" s="182">
        <f t="shared" si="566"/>
        <v>45868171.638221964</v>
      </c>
      <c r="L911" s="182">
        <f t="shared" si="566"/>
        <v>54091080.704630621</v>
      </c>
      <c r="M911" s="182">
        <f t="shared" si="566"/>
        <v>48295607.771991618</v>
      </c>
      <c r="N911" s="182">
        <f t="shared" si="566"/>
        <v>43121078.367849655</v>
      </c>
      <c r="O911" s="182">
        <f t="shared" si="566"/>
        <v>29150052.299465805</v>
      </c>
      <c r="P911" s="182">
        <f t="shared" si="566"/>
        <v>19562134.220875286</v>
      </c>
      <c r="Q911" s="182">
        <f t="shared" si="566"/>
        <v>11694139.313851103</v>
      </c>
      <c r="R911" s="182">
        <f t="shared" si="566"/>
        <v>5287577.9991639005</v>
      </c>
      <c r="S911" s="182">
        <f t="shared" si="566"/>
        <v>0</v>
      </c>
      <c r="T911" s="182">
        <f t="shared" si="566"/>
        <v>0</v>
      </c>
      <c r="U911" s="182">
        <f t="shared" si="566"/>
        <v>0</v>
      </c>
      <c r="V911" s="182">
        <f t="shared" si="566"/>
        <v>0</v>
      </c>
      <c r="W911" s="182">
        <f t="shared" si="566"/>
        <v>0</v>
      </c>
      <c r="X911" s="182">
        <f t="shared" si="566"/>
        <v>0</v>
      </c>
      <c r="Y911" s="182">
        <f t="shared" si="566"/>
        <v>0</v>
      </c>
      <c r="Z911" s="182">
        <f t="shared" si="566"/>
        <v>0</v>
      </c>
      <c r="AA911" s="182">
        <f t="shared" si="566"/>
        <v>0</v>
      </c>
      <c r="AB911" s="182">
        <f t="shared" si="566"/>
        <v>0</v>
      </c>
      <c r="AC911" s="182">
        <f t="shared" si="566"/>
        <v>0</v>
      </c>
      <c r="AD911" s="182">
        <f t="shared" si="566"/>
        <v>0</v>
      </c>
      <c r="AE911" s="182">
        <f t="shared" si="566"/>
        <v>0</v>
      </c>
      <c r="AF911" s="182">
        <f t="shared" si="566"/>
        <v>0</v>
      </c>
      <c r="AG911" s="182">
        <f t="shared" si="566"/>
        <v>0</v>
      </c>
      <c r="AH911" s="182">
        <f t="shared" si="566"/>
        <v>0</v>
      </c>
      <c r="AI911" s="182">
        <f t="shared" si="566"/>
        <v>0</v>
      </c>
      <c r="AJ911" s="182">
        <f t="shared" si="566"/>
        <v>0</v>
      </c>
      <c r="AK911" s="182">
        <f t="shared" si="566"/>
        <v>0</v>
      </c>
      <c r="AL911" s="182">
        <f t="shared" si="566"/>
        <v>0</v>
      </c>
      <c r="AM911" s="182">
        <f t="shared" si="566"/>
        <v>0</v>
      </c>
      <c r="AN911" s="182">
        <f t="shared" si="566"/>
        <v>0</v>
      </c>
      <c r="AO911" s="182">
        <f t="shared" si="566"/>
        <v>0</v>
      </c>
      <c r="AP911" s="182">
        <f t="shared" si="566"/>
        <v>0</v>
      </c>
      <c r="AQ911" s="182">
        <f t="shared" si="566"/>
        <v>0</v>
      </c>
      <c r="AR911" s="182">
        <f t="shared" si="566"/>
        <v>0</v>
      </c>
      <c r="AS911" s="182">
        <f t="shared" si="566"/>
        <v>0</v>
      </c>
      <c r="AT911" s="182">
        <f t="shared" si="566"/>
        <v>0</v>
      </c>
      <c r="AU911" s="182">
        <f t="shared" si="566"/>
        <v>0</v>
      </c>
      <c r="AV911" s="182">
        <f t="shared" si="566"/>
        <v>0</v>
      </c>
      <c r="AW911" s="182">
        <f t="shared" si="566"/>
        <v>0</v>
      </c>
      <c r="AX911" s="182">
        <f t="shared" si="566"/>
        <v>0</v>
      </c>
      <c r="AY911" s="182">
        <f t="shared" si="566"/>
        <v>0</v>
      </c>
      <c r="AZ911" s="182">
        <f t="shared" si="566"/>
        <v>0</v>
      </c>
      <c r="BA911" s="182">
        <f t="shared" si="566"/>
        <v>0</v>
      </c>
      <c r="BB911" s="182">
        <f t="shared" si="566"/>
        <v>0</v>
      </c>
      <c r="BC911" s="182">
        <f t="shared" si="566"/>
        <v>0</v>
      </c>
      <c r="BD911" s="182">
        <f t="shared" si="566"/>
        <v>0</v>
      </c>
      <c r="BE911" s="182">
        <f t="shared" si="566"/>
        <v>0</v>
      </c>
      <c r="BF911" s="182">
        <f t="shared" si="566"/>
        <v>0</v>
      </c>
      <c r="BG911" s="182">
        <f t="shared" si="566"/>
        <v>0</v>
      </c>
      <c r="BH911" s="182">
        <f t="shared" si="566"/>
        <v>0</v>
      </c>
      <c r="BI911" s="182">
        <f t="shared" si="566"/>
        <v>0</v>
      </c>
      <c r="BJ911" s="183">
        <f t="shared" si="566"/>
        <v>0</v>
      </c>
    </row>
    <row r="912" spans="1:64" s="80" customFormat="1">
      <c r="A912" s="184" t="s">
        <v>143</v>
      </c>
      <c r="B912" s="177"/>
      <c r="C912" s="181">
        <f>C911</f>
        <v>-16922621.157832935</v>
      </c>
      <c r="D912" s="182">
        <f t="shared" ref="D912:BJ912" si="567">IF(D911=0, 0, C912+D911)</f>
        <v>-34646413.877956778</v>
      </c>
      <c r="E912" s="182">
        <f t="shared" si="567"/>
        <v>-49962410.490503259</v>
      </c>
      <c r="F912" s="182">
        <f t="shared" si="567"/>
        <v>-63637407.465991184</v>
      </c>
      <c r="G912" s="182">
        <f t="shared" si="567"/>
        <v>-75847226.194105402</v>
      </c>
      <c r="H912" s="182">
        <f t="shared" si="567"/>
        <v>-59424811.538921937</v>
      </c>
      <c r="I912" s="182">
        <f t="shared" si="567"/>
        <v>-30470553.219365135</v>
      </c>
      <c r="J912" s="182">
        <f t="shared" si="567"/>
        <v>8141631.0764127523</v>
      </c>
      <c r="K912" s="182">
        <f t="shared" si="567"/>
        <v>54009802.714634717</v>
      </c>
      <c r="L912" s="182">
        <f t="shared" si="567"/>
        <v>108100883.41926533</v>
      </c>
      <c r="M912" s="182">
        <f t="shared" si="567"/>
        <v>156396491.19125694</v>
      </c>
      <c r="N912" s="182">
        <f t="shared" si="567"/>
        <v>199517569.55910659</v>
      </c>
      <c r="O912" s="182">
        <f t="shared" si="567"/>
        <v>228667621.85857239</v>
      </c>
      <c r="P912" s="182">
        <f t="shared" si="567"/>
        <v>248229756.07944769</v>
      </c>
      <c r="Q912" s="182">
        <f t="shared" si="567"/>
        <v>259923895.3932988</v>
      </c>
      <c r="R912" s="182">
        <f t="shared" si="567"/>
        <v>265211473.3924627</v>
      </c>
      <c r="S912" s="182">
        <f t="shared" si="567"/>
        <v>0</v>
      </c>
      <c r="T912" s="182">
        <f t="shared" si="567"/>
        <v>0</v>
      </c>
      <c r="U912" s="182">
        <f t="shared" si="567"/>
        <v>0</v>
      </c>
      <c r="V912" s="182">
        <f t="shared" si="567"/>
        <v>0</v>
      </c>
      <c r="W912" s="182">
        <f t="shared" si="567"/>
        <v>0</v>
      </c>
      <c r="X912" s="182">
        <f t="shared" si="567"/>
        <v>0</v>
      </c>
      <c r="Y912" s="182">
        <f t="shared" si="567"/>
        <v>0</v>
      </c>
      <c r="Z912" s="182">
        <f t="shared" si="567"/>
        <v>0</v>
      </c>
      <c r="AA912" s="182">
        <f t="shared" si="567"/>
        <v>0</v>
      </c>
      <c r="AB912" s="182">
        <f t="shared" si="567"/>
        <v>0</v>
      </c>
      <c r="AC912" s="182">
        <f t="shared" si="567"/>
        <v>0</v>
      </c>
      <c r="AD912" s="182">
        <f t="shared" si="567"/>
        <v>0</v>
      </c>
      <c r="AE912" s="182">
        <f t="shared" si="567"/>
        <v>0</v>
      </c>
      <c r="AF912" s="182">
        <f t="shared" si="567"/>
        <v>0</v>
      </c>
      <c r="AG912" s="182">
        <f t="shared" si="567"/>
        <v>0</v>
      </c>
      <c r="AH912" s="182">
        <f t="shared" si="567"/>
        <v>0</v>
      </c>
      <c r="AI912" s="182">
        <f t="shared" si="567"/>
        <v>0</v>
      </c>
      <c r="AJ912" s="182">
        <f t="shared" si="567"/>
        <v>0</v>
      </c>
      <c r="AK912" s="182">
        <f t="shared" si="567"/>
        <v>0</v>
      </c>
      <c r="AL912" s="182">
        <f t="shared" si="567"/>
        <v>0</v>
      </c>
      <c r="AM912" s="182">
        <f t="shared" si="567"/>
        <v>0</v>
      </c>
      <c r="AN912" s="182">
        <f t="shared" si="567"/>
        <v>0</v>
      </c>
      <c r="AO912" s="182">
        <f t="shared" si="567"/>
        <v>0</v>
      </c>
      <c r="AP912" s="182">
        <f t="shared" si="567"/>
        <v>0</v>
      </c>
      <c r="AQ912" s="182">
        <f t="shared" si="567"/>
        <v>0</v>
      </c>
      <c r="AR912" s="182">
        <f t="shared" si="567"/>
        <v>0</v>
      </c>
      <c r="AS912" s="182">
        <f t="shared" si="567"/>
        <v>0</v>
      </c>
      <c r="AT912" s="182">
        <f t="shared" si="567"/>
        <v>0</v>
      </c>
      <c r="AU912" s="182">
        <f t="shared" si="567"/>
        <v>0</v>
      </c>
      <c r="AV912" s="182">
        <f t="shared" si="567"/>
        <v>0</v>
      </c>
      <c r="AW912" s="182">
        <f t="shared" si="567"/>
        <v>0</v>
      </c>
      <c r="AX912" s="182">
        <f t="shared" si="567"/>
        <v>0</v>
      </c>
      <c r="AY912" s="182">
        <f t="shared" si="567"/>
        <v>0</v>
      </c>
      <c r="AZ912" s="182">
        <f t="shared" si="567"/>
        <v>0</v>
      </c>
      <c r="BA912" s="182">
        <f t="shared" si="567"/>
        <v>0</v>
      </c>
      <c r="BB912" s="182">
        <f t="shared" si="567"/>
        <v>0</v>
      </c>
      <c r="BC912" s="182">
        <f t="shared" si="567"/>
        <v>0</v>
      </c>
      <c r="BD912" s="182">
        <f t="shared" si="567"/>
        <v>0</v>
      </c>
      <c r="BE912" s="182">
        <f t="shared" si="567"/>
        <v>0</v>
      </c>
      <c r="BF912" s="182">
        <f t="shared" si="567"/>
        <v>0</v>
      </c>
      <c r="BG912" s="182">
        <f t="shared" si="567"/>
        <v>0</v>
      </c>
      <c r="BH912" s="182">
        <f t="shared" si="567"/>
        <v>0</v>
      </c>
      <c r="BI912" s="182">
        <f t="shared" si="567"/>
        <v>0</v>
      </c>
      <c r="BJ912" s="183">
        <f t="shared" si="567"/>
        <v>0</v>
      </c>
    </row>
    <row r="913" spans="1:63" s="83" customFormat="1">
      <c r="A913" s="78"/>
      <c r="B913" s="81"/>
      <c r="C913" s="82"/>
      <c r="D913" s="82"/>
      <c r="E913" s="82"/>
      <c r="F913" s="82"/>
      <c r="G913" s="82"/>
      <c r="H913" s="82"/>
      <c r="I913" s="82"/>
      <c r="J913" s="82"/>
      <c r="K913" s="82"/>
      <c r="L913" s="82"/>
      <c r="M913" s="82"/>
      <c r="N913" s="82"/>
      <c r="O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2"/>
      <c r="AD913" s="82"/>
      <c r="AE913" s="82"/>
      <c r="AF913" s="82"/>
      <c r="AG913" s="82"/>
      <c r="AH913" s="82"/>
      <c r="AI913" s="82"/>
      <c r="AJ913" s="82"/>
      <c r="AK913" s="82"/>
      <c r="AL913" s="82"/>
      <c r="AM913" s="82"/>
      <c r="AN913" s="82"/>
      <c r="AO913" s="82"/>
      <c r="AP913" s="82"/>
      <c r="AQ913" s="82"/>
      <c r="AR913" s="82"/>
      <c r="AS913" s="82"/>
      <c r="AT913" s="82"/>
      <c r="AU913" s="82"/>
      <c r="AV913" s="82"/>
      <c r="AW913" s="82"/>
      <c r="AX913" s="82"/>
      <c r="AY913" s="82"/>
      <c r="AZ913" s="82"/>
      <c r="BA913" s="82"/>
      <c r="BB913" s="82"/>
      <c r="BC913" s="82"/>
      <c r="BD913" s="82"/>
      <c r="BE913" s="82"/>
      <c r="BF913" s="82"/>
      <c r="BG913" s="82"/>
      <c r="BH913" s="82"/>
      <c r="BI913" s="82"/>
      <c r="BJ913" s="82"/>
    </row>
    <row r="914" spans="1:63" ht="21">
      <c r="A914" s="185" t="s">
        <v>157</v>
      </c>
      <c r="B914" s="93"/>
      <c r="C914" s="186"/>
      <c r="D914" s="186"/>
      <c r="E914" s="186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86"/>
      <c r="AD914" s="186"/>
      <c r="AE914" s="186"/>
      <c r="AF914" s="186"/>
      <c r="AG914" s="186"/>
      <c r="AH914" s="186"/>
      <c r="AI914" s="186"/>
      <c r="AJ914" s="186"/>
      <c r="AK914" s="186"/>
      <c r="AL914" s="186"/>
      <c r="AM914" s="186"/>
      <c r="AN914" s="186"/>
      <c r="AO914" s="186"/>
      <c r="AP914" s="186"/>
      <c r="AQ914" s="186"/>
      <c r="AR914" s="186"/>
      <c r="AS914" s="186"/>
      <c r="AT914" s="186"/>
      <c r="AU914" s="186"/>
      <c r="AV914" s="186"/>
      <c r="AW914" s="186"/>
      <c r="AX914" s="186"/>
      <c r="AY914" s="186"/>
      <c r="AZ914" s="186"/>
      <c r="BA914" s="186"/>
      <c r="BB914" s="186"/>
      <c r="BC914" s="186"/>
      <c r="BD914" s="186"/>
      <c r="BE914" s="186"/>
      <c r="BF914" s="186"/>
      <c r="BG914" s="186"/>
      <c r="BH914" s="186"/>
      <c r="BI914" s="186"/>
      <c r="BJ914" s="186"/>
    </row>
    <row r="915" spans="1:63">
      <c r="A915" s="187" t="s">
        <v>158</v>
      </c>
      <c r="B915" s="188">
        <f>SUM(C915:BJ915)</f>
        <v>1069.7290414291851</v>
      </c>
      <c r="C915" s="233">
        <f>(C867*(1-$K865))/(1+$C865)^(C866-1)</f>
        <v>0</v>
      </c>
      <c r="D915" s="190">
        <f>(D867*(1-$K865))/(1+$C865)^(D866-1)</f>
        <v>0</v>
      </c>
      <c r="E915" s="190">
        <f t="shared" ref="E915:BJ915" si="568">(E867*(1-$K865))/(1+$C865)^(E866-1)</f>
        <v>0</v>
      </c>
      <c r="F915" s="190">
        <f t="shared" si="568"/>
        <v>0</v>
      </c>
      <c r="G915" s="190">
        <f t="shared" si="568"/>
        <v>0</v>
      </c>
      <c r="H915" s="190">
        <f t="shared" si="568"/>
        <v>50.61447553009905</v>
      </c>
      <c r="I915" s="190">
        <f t="shared" si="568"/>
        <v>90.382992018034017</v>
      </c>
      <c r="J915" s="190">
        <f t="shared" si="568"/>
        <v>121.04865002415269</v>
      </c>
      <c r="K915" s="190">
        <f t="shared" si="568"/>
        <v>144.1055357430389</v>
      </c>
      <c r="L915" s="190">
        <f t="shared" si="568"/>
        <v>170.20793179130555</v>
      </c>
      <c r="M915" s="190">
        <f t="shared" si="568"/>
        <v>151.97136767080852</v>
      </c>
      <c r="N915" s="190">
        <f t="shared" si="568"/>
        <v>135.68872113465045</v>
      </c>
      <c r="O915" s="190">
        <f t="shared" si="568"/>
        <v>91.581673162914797</v>
      </c>
      <c r="P915" s="190">
        <f t="shared" si="568"/>
        <v>61.327013278737581</v>
      </c>
      <c r="Q915" s="190">
        <f t="shared" si="568"/>
        <v>36.504174570677129</v>
      </c>
      <c r="R915" s="190">
        <f t="shared" si="568"/>
        <v>16.296506504766576</v>
      </c>
      <c r="S915" s="190">
        <f t="shared" si="568"/>
        <v>0</v>
      </c>
      <c r="T915" s="190">
        <f t="shared" si="568"/>
        <v>0</v>
      </c>
      <c r="U915" s="190">
        <f t="shared" si="568"/>
        <v>0</v>
      </c>
      <c r="V915" s="190">
        <f t="shared" si="568"/>
        <v>0</v>
      </c>
      <c r="W915" s="190">
        <f t="shared" si="568"/>
        <v>0</v>
      </c>
      <c r="X915" s="190">
        <f t="shared" si="568"/>
        <v>0</v>
      </c>
      <c r="Y915" s="190">
        <f t="shared" si="568"/>
        <v>0</v>
      </c>
      <c r="Z915" s="190">
        <f t="shared" si="568"/>
        <v>0</v>
      </c>
      <c r="AA915" s="190">
        <f t="shared" si="568"/>
        <v>0</v>
      </c>
      <c r="AB915" s="190">
        <f t="shared" si="568"/>
        <v>0</v>
      </c>
      <c r="AC915" s="190">
        <f t="shared" si="568"/>
        <v>0</v>
      </c>
      <c r="AD915" s="190">
        <f t="shared" si="568"/>
        <v>0</v>
      </c>
      <c r="AE915" s="190">
        <f t="shared" si="568"/>
        <v>0</v>
      </c>
      <c r="AF915" s="190">
        <f t="shared" si="568"/>
        <v>0</v>
      </c>
      <c r="AG915" s="190">
        <f t="shared" si="568"/>
        <v>0</v>
      </c>
      <c r="AH915" s="190">
        <f t="shared" si="568"/>
        <v>0</v>
      </c>
      <c r="AI915" s="190">
        <f t="shared" si="568"/>
        <v>0</v>
      </c>
      <c r="AJ915" s="190">
        <f t="shared" si="568"/>
        <v>0</v>
      </c>
      <c r="AK915" s="190">
        <f t="shared" si="568"/>
        <v>0</v>
      </c>
      <c r="AL915" s="190">
        <f t="shared" si="568"/>
        <v>0</v>
      </c>
      <c r="AM915" s="190">
        <f t="shared" si="568"/>
        <v>0</v>
      </c>
      <c r="AN915" s="190">
        <f t="shared" si="568"/>
        <v>0</v>
      </c>
      <c r="AO915" s="190">
        <f t="shared" si="568"/>
        <v>0</v>
      </c>
      <c r="AP915" s="190">
        <f t="shared" si="568"/>
        <v>0</v>
      </c>
      <c r="AQ915" s="190">
        <f t="shared" si="568"/>
        <v>0</v>
      </c>
      <c r="AR915" s="190">
        <f t="shared" si="568"/>
        <v>0</v>
      </c>
      <c r="AS915" s="190">
        <f t="shared" si="568"/>
        <v>0</v>
      </c>
      <c r="AT915" s="190">
        <f t="shared" si="568"/>
        <v>0</v>
      </c>
      <c r="AU915" s="190">
        <f t="shared" si="568"/>
        <v>0</v>
      </c>
      <c r="AV915" s="190">
        <f t="shared" si="568"/>
        <v>0</v>
      </c>
      <c r="AW915" s="190">
        <f t="shared" si="568"/>
        <v>0</v>
      </c>
      <c r="AX915" s="190">
        <f t="shared" si="568"/>
        <v>0</v>
      </c>
      <c r="AY915" s="190">
        <f t="shared" si="568"/>
        <v>0</v>
      </c>
      <c r="AZ915" s="190">
        <f t="shared" si="568"/>
        <v>0</v>
      </c>
      <c r="BA915" s="190">
        <f t="shared" si="568"/>
        <v>0</v>
      </c>
      <c r="BB915" s="190">
        <f t="shared" si="568"/>
        <v>0</v>
      </c>
      <c r="BC915" s="190">
        <f t="shared" si="568"/>
        <v>0</v>
      </c>
      <c r="BD915" s="190">
        <f t="shared" si="568"/>
        <v>0</v>
      </c>
      <c r="BE915" s="190">
        <f t="shared" si="568"/>
        <v>0</v>
      </c>
      <c r="BF915" s="190">
        <f t="shared" si="568"/>
        <v>0</v>
      </c>
      <c r="BG915" s="190">
        <f t="shared" si="568"/>
        <v>0</v>
      </c>
      <c r="BH915" s="190">
        <f t="shared" si="568"/>
        <v>0</v>
      </c>
      <c r="BI915" s="190">
        <f t="shared" si="568"/>
        <v>0</v>
      </c>
      <c r="BJ915" s="191">
        <f t="shared" si="568"/>
        <v>0</v>
      </c>
    </row>
    <row r="916" spans="1:63">
      <c r="A916" s="192" t="s">
        <v>159</v>
      </c>
      <c r="B916" s="193">
        <f>SUM(C916:BJ916)</f>
        <v>331740310.38533497</v>
      </c>
      <c r="C916" s="234">
        <f>(((C869+C898)*(1-$K865))-(C908-C878))/(1+$C865)^(C866-1)</f>
        <v>29872500.51244707</v>
      </c>
      <c r="D916" s="186">
        <f>(((D869+D898)*(1-$K865))-(D908-D878))/(1+$C865)^(D866-1)</f>
        <v>29149484.058302544</v>
      </c>
      <c r="E916" s="186">
        <f>(((E869+E898)*(1-$K865))-(E908-E878))/(1+$C865)^(E866-1)</f>
        <v>25398844.444879003</v>
      </c>
      <c r="F916" s="186">
        <f t="shared" ref="F916:BJ916" si="569">(((F869+F898)*(1-$K865))-(F908-F878))/(1+$C865)^(F866-1)</f>
        <v>22571591.208783634</v>
      </c>
      <c r="G916" s="186">
        <f t="shared" si="569"/>
        <v>20058609.584499635</v>
      </c>
      <c r="H916" s="186">
        <f t="shared" si="569"/>
        <v>9399776.4958167933</v>
      </c>
      <c r="I916" s="186">
        <f t="shared" si="569"/>
        <v>17156797.307229374</v>
      </c>
      <c r="J916" s="186">
        <f t="shared" si="569"/>
        <v>23143693.775810745</v>
      </c>
      <c r="K916" s="186">
        <f t="shared" si="569"/>
        <v>27650730.827954959</v>
      </c>
      <c r="L916" s="186">
        <f t="shared" si="569"/>
        <v>32744586.445922684</v>
      </c>
      <c r="M916" s="186">
        <f t="shared" si="569"/>
        <v>29236237.898145251</v>
      </c>
      <c r="N916" s="186">
        <f t="shared" si="569"/>
        <v>26103783.837629683</v>
      </c>
      <c r="O916" s="186">
        <f t="shared" si="569"/>
        <v>17572539.322271165</v>
      </c>
      <c r="P916" s="186">
        <f t="shared" si="569"/>
        <v>11725315.525823576</v>
      </c>
      <c r="Q916" s="186">
        <f t="shared" si="569"/>
        <v>6929342.6782315476</v>
      </c>
      <c r="R916" s="186">
        <f t="shared" si="569"/>
        <v>3026476.4615872838</v>
      </c>
      <c r="S916" s="186">
        <f t="shared" si="569"/>
        <v>0</v>
      </c>
      <c r="T916" s="186">
        <f t="shared" si="569"/>
        <v>0</v>
      </c>
      <c r="U916" s="186">
        <f t="shared" si="569"/>
        <v>0</v>
      </c>
      <c r="V916" s="186">
        <f t="shared" si="569"/>
        <v>0</v>
      </c>
      <c r="W916" s="186">
        <f t="shared" si="569"/>
        <v>0</v>
      </c>
      <c r="X916" s="186">
        <f t="shared" si="569"/>
        <v>0</v>
      </c>
      <c r="Y916" s="186">
        <f t="shared" si="569"/>
        <v>0</v>
      </c>
      <c r="Z916" s="186">
        <f t="shared" si="569"/>
        <v>0</v>
      </c>
      <c r="AA916" s="186">
        <f t="shared" si="569"/>
        <v>0</v>
      </c>
      <c r="AB916" s="186">
        <f t="shared" si="569"/>
        <v>0</v>
      </c>
      <c r="AC916" s="186">
        <f t="shared" si="569"/>
        <v>0</v>
      </c>
      <c r="AD916" s="186">
        <f t="shared" si="569"/>
        <v>0</v>
      </c>
      <c r="AE916" s="186">
        <f t="shared" si="569"/>
        <v>0</v>
      </c>
      <c r="AF916" s="186">
        <f t="shared" si="569"/>
        <v>0</v>
      </c>
      <c r="AG916" s="186">
        <f t="shared" si="569"/>
        <v>0</v>
      </c>
      <c r="AH916" s="186">
        <f t="shared" si="569"/>
        <v>0</v>
      </c>
      <c r="AI916" s="186">
        <f t="shared" si="569"/>
        <v>0</v>
      </c>
      <c r="AJ916" s="186">
        <f t="shared" si="569"/>
        <v>0</v>
      </c>
      <c r="AK916" s="186">
        <f t="shared" si="569"/>
        <v>0</v>
      </c>
      <c r="AL916" s="186">
        <f t="shared" si="569"/>
        <v>0</v>
      </c>
      <c r="AM916" s="186">
        <f t="shared" si="569"/>
        <v>0</v>
      </c>
      <c r="AN916" s="186">
        <f t="shared" si="569"/>
        <v>0</v>
      </c>
      <c r="AO916" s="186">
        <f t="shared" si="569"/>
        <v>0</v>
      </c>
      <c r="AP916" s="186">
        <f t="shared" si="569"/>
        <v>0</v>
      </c>
      <c r="AQ916" s="186">
        <f t="shared" si="569"/>
        <v>0</v>
      </c>
      <c r="AR916" s="186">
        <f t="shared" si="569"/>
        <v>0</v>
      </c>
      <c r="AS916" s="186">
        <f t="shared" si="569"/>
        <v>0</v>
      </c>
      <c r="AT916" s="186">
        <f t="shared" si="569"/>
        <v>0</v>
      </c>
      <c r="AU916" s="186">
        <f t="shared" si="569"/>
        <v>0</v>
      </c>
      <c r="AV916" s="186">
        <f t="shared" si="569"/>
        <v>0</v>
      </c>
      <c r="AW916" s="186">
        <f t="shared" si="569"/>
        <v>0</v>
      </c>
      <c r="AX916" s="186">
        <f t="shared" si="569"/>
        <v>0</v>
      </c>
      <c r="AY916" s="186">
        <f t="shared" si="569"/>
        <v>0</v>
      </c>
      <c r="AZ916" s="186">
        <f t="shared" si="569"/>
        <v>0</v>
      </c>
      <c r="BA916" s="186">
        <f t="shared" si="569"/>
        <v>0</v>
      </c>
      <c r="BB916" s="186">
        <f t="shared" si="569"/>
        <v>0</v>
      </c>
      <c r="BC916" s="186">
        <f t="shared" si="569"/>
        <v>0</v>
      </c>
      <c r="BD916" s="186">
        <f t="shared" si="569"/>
        <v>0</v>
      </c>
      <c r="BE916" s="186">
        <f t="shared" si="569"/>
        <v>0</v>
      </c>
      <c r="BF916" s="186">
        <f t="shared" si="569"/>
        <v>0</v>
      </c>
      <c r="BG916" s="186">
        <f t="shared" si="569"/>
        <v>0</v>
      </c>
      <c r="BH916" s="186">
        <f t="shared" si="569"/>
        <v>0</v>
      </c>
      <c r="BI916" s="186">
        <f t="shared" si="569"/>
        <v>0</v>
      </c>
      <c r="BJ916" s="195">
        <f t="shared" si="569"/>
        <v>0</v>
      </c>
    </row>
    <row r="917" spans="1:63">
      <c r="A917" s="196" t="s">
        <v>160</v>
      </c>
      <c r="B917" s="197">
        <f>B916/B915</f>
        <v>310116.20469995047</v>
      </c>
      <c r="C917" s="166"/>
      <c r="D917" s="167"/>
      <c r="E917" s="167"/>
      <c r="F917" s="167"/>
      <c r="G917" s="167"/>
      <c r="H917" s="167"/>
      <c r="I917" s="167"/>
      <c r="J917" s="167"/>
      <c r="K917" s="167"/>
      <c r="L917" s="167"/>
      <c r="M917" s="167"/>
      <c r="N917" s="167"/>
      <c r="O917" s="167"/>
      <c r="P917" s="167"/>
      <c r="Q917" s="167"/>
      <c r="R917" s="167"/>
      <c r="S917" s="167"/>
      <c r="T917" s="167"/>
      <c r="U917" s="167"/>
      <c r="V917" s="167"/>
      <c r="W917" s="167"/>
      <c r="X917" s="167"/>
      <c r="Y917" s="167"/>
      <c r="Z917" s="167"/>
      <c r="AA917" s="167"/>
      <c r="AB917" s="167"/>
      <c r="AC917" s="167"/>
      <c r="AD917" s="167"/>
      <c r="AE917" s="167"/>
      <c r="AF917" s="167"/>
      <c r="AG917" s="167"/>
      <c r="AH917" s="167"/>
      <c r="AI917" s="167"/>
      <c r="AJ917" s="167"/>
      <c r="AK917" s="167"/>
      <c r="AL917" s="167"/>
      <c r="AM917" s="167"/>
      <c r="AN917" s="167"/>
      <c r="AO917" s="167"/>
      <c r="AP917" s="167"/>
      <c r="AQ917" s="167"/>
      <c r="AR917" s="167"/>
      <c r="AS917" s="167"/>
      <c r="AT917" s="167"/>
      <c r="AU917" s="167"/>
      <c r="AV917" s="167"/>
      <c r="AW917" s="167"/>
      <c r="AX917" s="167"/>
      <c r="AY917" s="167"/>
      <c r="AZ917" s="167"/>
      <c r="BA917" s="167"/>
      <c r="BB917" s="167"/>
      <c r="BC917" s="167"/>
      <c r="BD917" s="167"/>
      <c r="BE917" s="167"/>
      <c r="BF917" s="167"/>
      <c r="BG917" s="167"/>
      <c r="BH917" s="167"/>
      <c r="BI917" s="167"/>
      <c r="BJ917" s="198"/>
    </row>
    <row r="918" spans="1:63">
      <c r="A918" s="187" t="s">
        <v>158</v>
      </c>
      <c r="B918" s="188">
        <f>SUM(C918:BJ918)</f>
        <v>3200</v>
      </c>
      <c r="C918" s="234">
        <f>(C867*(1-$K865))/(1)^(C866-1)</f>
        <v>0</v>
      </c>
      <c r="D918" s="186">
        <f>(D867*(1-$K865))/(1)^(D866-1)</f>
        <v>0</v>
      </c>
      <c r="E918" s="186">
        <f t="shared" ref="E918:BJ918" si="570">(E867*(1-$K865))/(1)^(E866-1)</f>
        <v>0</v>
      </c>
      <c r="F918" s="186">
        <f t="shared" si="570"/>
        <v>0</v>
      </c>
      <c r="G918" s="186">
        <f t="shared" si="570"/>
        <v>0</v>
      </c>
      <c r="H918" s="186">
        <f t="shared" si="570"/>
        <v>89.2</v>
      </c>
      <c r="I918" s="186">
        <f t="shared" si="570"/>
        <v>178.4</v>
      </c>
      <c r="J918" s="186">
        <f t="shared" si="570"/>
        <v>267.60000000000002</v>
      </c>
      <c r="K918" s="186">
        <f t="shared" si="570"/>
        <v>356.8</v>
      </c>
      <c r="L918" s="186">
        <f t="shared" si="570"/>
        <v>472</v>
      </c>
      <c r="M918" s="186">
        <f t="shared" si="570"/>
        <v>472</v>
      </c>
      <c r="N918" s="186">
        <f t="shared" si="570"/>
        <v>472</v>
      </c>
      <c r="O918" s="186">
        <f t="shared" si="570"/>
        <v>356.8</v>
      </c>
      <c r="P918" s="186">
        <f t="shared" si="570"/>
        <v>267.60000000000002</v>
      </c>
      <c r="Q918" s="186">
        <f t="shared" si="570"/>
        <v>178.4</v>
      </c>
      <c r="R918" s="186">
        <f t="shared" si="570"/>
        <v>89.2</v>
      </c>
      <c r="S918" s="186">
        <f t="shared" si="570"/>
        <v>0</v>
      </c>
      <c r="T918" s="186">
        <f t="shared" si="570"/>
        <v>0</v>
      </c>
      <c r="U918" s="186">
        <f t="shared" si="570"/>
        <v>0</v>
      </c>
      <c r="V918" s="186">
        <f t="shared" si="570"/>
        <v>0</v>
      </c>
      <c r="W918" s="186">
        <f t="shared" si="570"/>
        <v>0</v>
      </c>
      <c r="X918" s="186">
        <f t="shared" si="570"/>
        <v>0</v>
      </c>
      <c r="Y918" s="186">
        <f t="shared" si="570"/>
        <v>0</v>
      </c>
      <c r="Z918" s="186">
        <f t="shared" si="570"/>
        <v>0</v>
      </c>
      <c r="AA918" s="186">
        <f t="shared" si="570"/>
        <v>0</v>
      </c>
      <c r="AB918" s="186">
        <f t="shared" si="570"/>
        <v>0</v>
      </c>
      <c r="AC918" s="186">
        <f t="shared" si="570"/>
        <v>0</v>
      </c>
      <c r="AD918" s="186">
        <f t="shared" si="570"/>
        <v>0</v>
      </c>
      <c r="AE918" s="186">
        <f t="shared" si="570"/>
        <v>0</v>
      </c>
      <c r="AF918" s="186">
        <f t="shared" si="570"/>
        <v>0</v>
      </c>
      <c r="AG918" s="186">
        <f t="shared" si="570"/>
        <v>0</v>
      </c>
      <c r="AH918" s="186">
        <f t="shared" si="570"/>
        <v>0</v>
      </c>
      <c r="AI918" s="186">
        <f t="shared" si="570"/>
        <v>0</v>
      </c>
      <c r="AJ918" s="186">
        <f t="shared" si="570"/>
        <v>0</v>
      </c>
      <c r="AK918" s="186">
        <f t="shared" si="570"/>
        <v>0</v>
      </c>
      <c r="AL918" s="186">
        <f t="shared" si="570"/>
        <v>0</v>
      </c>
      <c r="AM918" s="186">
        <f t="shared" si="570"/>
        <v>0</v>
      </c>
      <c r="AN918" s="186">
        <f t="shared" si="570"/>
        <v>0</v>
      </c>
      <c r="AO918" s="186">
        <f t="shared" si="570"/>
        <v>0</v>
      </c>
      <c r="AP918" s="186">
        <f t="shared" si="570"/>
        <v>0</v>
      </c>
      <c r="AQ918" s="186">
        <f t="shared" si="570"/>
        <v>0</v>
      </c>
      <c r="AR918" s="186">
        <f t="shared" si="570"/>
        <v>0</v>
      </c>
      <c r="AS918" s="186">
        <f t="shared" si="570"/>
        <v>0</v>
      </c>
      <c r="AT918" s="186">
        <f t="shared" si="570"/>
        <v>0</v>
      </c>
      <c r="AU918" s="186">
        <f t="shared" si="570"/>
        <v>0</v>
      </c>
      <c r="AV918" s="186">
        <f t="shared" si="570"/>
        <v>0</v>
      </c>
      <c r="AW918" s="186">
        <f t="shared" si="570"/>
        <v>0</v>
      </c>
      <c r="AX918" s="186">
        <f t="shared" si="570"/>
        <v>0</v>
      </c>
      <c r="AY918" s="186">
        <f t="shared" si="570"/>
        <v>0</v>
      </c>
      <c r="AZ918" s="186">
        <f t="shared" si="570"/>
        <v>0</v>
      </c>
      <c r="BA918" s="186">
        <f t="shared" si="570"/>
        <v>0</v>
      </c>
      <c r="BB918" s="186">
        <f t="shared" si="570"/>
        <v>0</v>
      </c>
      <c r="BC918" s="186">
        <f t="shared" si="570"/>
        <v>0</v>
      </c>
      <c r="BD918" s="186">
        <f t="shared" si="570"/>
        <v>0</v>
      </c>
      <c r="BE918" s="186">
        <f t="shared" si="570"/>
        <v>0</v>
      </c>
      <c r="BF918" s="186">
        <f t="shared" si="570"/>
        <v>0</v>
      </c>
      <c r="BG918" s="186">
        <f t="shared" si="570"/>
        <v>0</v>
      </c>
      <c r="BH918" s="186">
        <f t="shared" si="570"/>
        <v>0</v>
      </c>
      <c r="BI918" s="186">
        <f t="shared" si="570"/>
        <v>0</v>
      </c>
      <c r="BJ918" s="195">
        <f t="shared" si="570"/>
        <v>0</v>
      </c>
    </row>
    <row r="919" spans="1:63">
      <c r="A919" s="192" t="s">
        <v>159</v>
      </c>
      <c r="B919" s="193">
        <f>SUM(C919:BJ919)</f>
        <v>770175492.45909762</v>
      </c>
      <c r="C919" s="234">
        <f>(((C869+C898)*(1-$K865))-(C908-C878))/(1)^(C866-1)</f>
        <v>29872500.51244707</v>
      </c>
      <c r="D919" s="186">
        <f>(((D869+D898)*(1-$K865))-(D908-D878))/(1)^(D866-1)</f>
        <v>32647422.145298854</v>
      </c>
      <c r="E919" s="186">
        <f t="shared" ref="E919:BJ919" si="571">(((E869+E898)*(1-$K865))-(E908-E878))/(1)^(E866-1)</f>
        <v>31860310.471656226</v>
      </c>
      <c r="F919" s="186">
        <f t="shared" si="571"/>
        <v>31711460.493773982</v>
      </c>
      <c r="G919" s="186">
        <f t="shared" si="571"/>
        <v>31562610.515891738</v>
      </c>
      <c r="H919" s="186">
        <f t="shared" si="571"/>
        <v>16565617.93134157</v>
      </c>
      <c r="I919" s="186">
        <f t="shared" si="571"/>
        <v>33864475.730113119</v>
      </c>
      <c r="J919" s="186">
        <f t="shared" si="571"/>
        <v>51163333.528884657</v>
      </c>
      <c r="K919" s="186">
        <f t="shared" si="571"/>
        <v>68462191.327656209</v>
      </c>
      <c r="L919" s="186">
        <f t="shared" si="571"/>
        <v>90803317.094679549</v>
      </c>
      <c r="M919" s="186">
        <f t="shared" si="571"/>
        <v>90803317.094679549</v>
      </c>
      <c r="N919" s="186">
        <f t="shared" si="571"/>
        <v>90803317.094679549</v>
      </c>
      <c r="O919" s="186">
        <f t="shared" si="571"/>
        <v>68462191.327656209</v>
      </c>
      <c r="P919" s="186">
        <f t="shared" si="571"/>
        <v>51163333.528884657</v>
      </c>
      <c r="Q919" s="186">
        <f t="shared" si="571"/>
        <v>33864475.730113119</v>
      </c>
      <c r="R919" s="186">
        <f t="shared" si="571"/>
        <v>16565617.93134157</v>
      </c>
      <c r="S919" s="186">
        <f t="shared" si="571"/>
        <v>0</v>
      </c>
      <c r="T919" s="186">
        <f t="shared" si="571"/>
        <v>0</v>
      </c>
      <c r="U919" s="186">
        <f t="shared" si="571"/>
        <v>0</v>
      </c>
      <c r="V919" s="186">
        <f t="shared" si="571"/>
        <v>0</v>
      </c>
      <c r="W919" s="186">
        <f t="shared" si="571"/>
        <v>0</v>
      </c>
      <c r="X919" s="186">
        <f t="shared" si="571"/>
        <v>0</v>
      </c>
      <c r="Y919" s="186">
        <f t="shared" si="571"/>
        <v>0</v>
      </c>
      <c r="Z919" s="186">
        <f t="shared" si="571"/>
        <v>0</v>
      </c>
      <c r="AA919" s="186">
        <f t="shared" si="571"/>
        <v>0</v>
      </c>
      <c r="AB919" s="186">
        <f t="shared" si="571"/>
        <v>0</v>
      </c>
      <c r="AC919" s="186">
        <f t="shared" si="571"/>
        <v>0</v>
      </c>
      <c r="AD919" s="186">
        <f t="shared" si="571"/>
        <v>0</v>
      </c>
      <c r="AE919" s="186">
        <f t="shared" si="571"/>
        <v>0</v>
      </c>
      <c r="AF919" s="186">
        <f t="shared" si="571"/>
        <v>0</v>
      </c>
      <c r="AG919" s="186">
        <f t="shared" si="571"/>
        <v>0</v>
      </c>
      <c r="AH919" s="186">
        <f t="shared" si="571"/>
        <v>0</v>
      </c>
      <c r="AI919" s="186">
        <f t="shared" si="571"/>
        <v>0</v>
      </c>
      <c r="AJ919" s="186">
        <f t="shared" si="571"/>
        <v>0</v>
      </c>
      <c r="AK919" s="186">
        <f t="shared" si="571"/>
        <v>0</v>
      </c>
      <c r="AL919" s="186">
        <f t="shared" si="571"/>
        <v>0</v>
      </c>
      <c r="AM919" s="186">
        <f t="shared" si="571"/>
        <v>0</v>
      </c>
      <c r="AN919" s="186">
        <f t="shared" si="571"/>
        <v>0</v>
      </c>
      <c r="AO919" s="186">
        <f t="shared" si="571"/>
        <v>0</v>
      </c>
      <c r="AP919" s="186">
        <f t="shared" si="571"/>
        <v>0</v>
      </c>
      <c r="AQ919" s="186">
        <f t="shared" si="571"/>
        <v>0</v>
      </c>
      <c r="AR919" s="186">
        <f t="shared" si="571"/>
        <v>0</v>
      </c>
      <c r="AS919" s="186">
        <f t="shared" si="571"/>
        <v>0</v>
      </c>
      <c r="AT919" s="186">
        <f t="shared" si="571"/>
        <v>0</v>
      </c>
      <c r="AU919" s="186">
        <f t="shared" si="571"/>
        <v>0</v>
      </c>
      <c r="AV919" s="186">
        <f t="shared" si="571"/>
        <v>0</v>
      </c>
      <c r="AW919" s="186">
        <f t="shared" si="571"/>
        <v>0</v>
      </c>
      <c r="AX919" s="186">
        <f t="shared" si="571"/>
        <v>0</v>
      </c>
      <c r="AY919" s="186">
        <f t="shared" si="571"/>
        <v>0</v>
      </c>
      <c r="AZ919" s="186">
        <f t="shared" si="571"/>
        <v>0</v>
      </c>
      <c r="BA919" s="186">
        <f t="shared" si="571"/>
        <v>0</v>
      </c>
      <c r="BB919" s="186">
        <f t="shared" si="571"/>
        <v>0</v>
      </c>
      <c r="BC919" s="186">
        <f t="shared" si="571"/>
        <v>0</v>
      </c>
      <c r="BD919" s="186">
        <f t="shared" si="571"/>
        <v>0</v>
      </c>
      <c r="BE919" s="186">
        <f t="shared" si="571"/>
        <v>0</v>
      </c>
      <c r="BF919" s="186">
        <f t="shared" si="571"/>
        <v>0</v>
      </c>
      <c r="BG919" s="186">
        <f t="shared" si="571"/>
        <v>0</v>
      </c>
      <c r="BH919" s="186">
        <f t="shared" si="571"/>
        <v>0</v>
      </c>
      <c r="BI919" s="186">
        <f t="shared" si="571"/>
        <v>0</v>
      </c>
      <c r="BJ919" s="195">
        <f t="shared" si="571"/>
        <v>0</v>
      </c>
      <c r="BK919" s="186"/>
    </row>
    <row r="920" spans="1:63">
      <c r="A920" s="196" t="s">
        <v>161</v>
      </c>
      <c r="B920" s="197">
        <f>B919/B918</f>
        <v>240679.841393468</v>
      </c>
      <c r="C920" s="166"/>
      <c r="D920" s="167"/>
      <c r="E920" s="167"/>
      <c r="F920" s="167"/>
      <c r="G920" s="167"/>
      <c r="H920" s="167"/>
      <c r="I920" s="167"/>
      <c r="J920" s="167"/>
      <c r="K920" s="167"/>
      <c r="L920" s="167"/>
      <c r="M920" s="167"/>
      <c r="N920" s="167"/>
      <c r="O920" s="167"/>
      <c r="P920" s="167"/>
      <c r="Q920" s="167"/>
      <c r="R920" s="167"/>
      <c r="S920" s="167"/>
      <c r="T920" s="167"/>
      <c r="U920" s="167"/>
      <c r="V920" s="167"/>
      <c r="W920" s="167"/>
      <c r="X920" s="167"/>
      <c r="Y920" s="167"/>
      <c r="Z920" s="167"/>
      <c r="AA920" s="167"/>
      <c r="AB920" s="167"/>
      <c r="AC920" s="167"/>
      <c r="AD920" s="167"/>
      <c r="AE920" s="167"/>
      <c r="AF920" s="167"/>
      <c r="AG920" s="167"/>
      <c r="AH920" s="167"/>
      <c r="AI920" s="167"/>
      <c r="AJ920" s="167"/>
      <c r="AK920" s="167"/>
      <c r="AL920" s="167"/>
      <c r="AM920" s="167"/>
      <c r="AN920" s="167"/>
      <c r="AO920" s="167"/>
      <c r="AP920" s="167"/>
      <c r="AQ920" s="167"/>
      <c r="AR920" s="167"/>
      <c r="AS920" s="167"/>
      <c r="AT920" s="167"/>
      <c r="AU920" s="167"/>
      <c r="AV920" s="167"/>
      <c r="AW920" s="167"/>
      <c r="AX920" s="167"/>
      <c r="AY920" s="167"/>
      <c r="AZ920" s="167"/>
      <c r="BA920" s="167"/>
      <c r="BB920" s="167"/>
      <c r="BC920" s="167"/>
      <c r="BD920" s="167"/>
      <c r="BE920" s="167"/>
      <c r="BF920" s="167"/>
      <c r="BG920" s="167"/>
      <c r="BH920" s="167"/>
      <c r="BI920" s="167"/>
      <c r="BJ920" s="198"/>
    </row>
    <row r="921" spans="1:63">
      <c r="A921" s="199"/>
      <c r="B921" s="200"/>
      <c r="C921" s="201"/>
      <c r="D921" s="201"/>
      <c r="E921" s="201"/>
      <c r="F921" s="201"/>
      <c r="G921" s="201"/>
      <c r="H921" s="201"/>
      <c r="I921" s="202"/>
      <c r="J921" s="201"/>
      <c r="K921" s="201"/>
      <c r="L921" s="201"/>
      <c r="M921" s="201"/>
      <c r="N921" s="201"/>
      <c r="O921" s="201"/>
      <c r="P921" s="201"/>
      <c r="Q921" s="201"/>
      <c r="R921" s="201"/>
      <c r="S921" s="201"/>
      <c r="T921" s="201"/>
      <c r="U921" s="201"/>
      <c r="V921" s="201"/>
      <c r="W921" s="201"/>
      <c r="X921" s="201"/>
      <c r="Y921" s="201"/>
      <c r="Z921" s="201"/>
      <c r="AA921" s="201"/>
      <c r="AB921" s="201"/>
      <c r="AC921" s="201"/>
      <c r="AD921" s="201"/>
      <c r="AE921" s="201"/>
      <c r="AF921" s="201"/>
      <c r="AG921" s="201"/>
      <c r="AH921" s="201"/>
      <c r="AI921" s="201"/>
      <c r="AJ921" s="201"/>
      <c r="AK921" s="201"/>
      <c r="AL921" s="201"/>
      <c r="AM921" s="201"/>
      <c r="AN921" s="201"/>
      <c r="AO921" s="201"/>
      <c r="AP921" s="201"/>
      <c r="AQ921" s="201"/>
      <c r="AR921" s="201"/>
      <c r="AS921" s="201"/>
      <c r="AT921" s="201"/>
      <c r="AU921" s="201"/>
      <c r="AV921" s="201"/>
      <c r="AW921" s="201"/>
      <c r="AX921" s="201"/>
      <c r="AY921" s="201"/>
      <c r="AZ921" s="201"/>
      <c r="BA921" s="201"/>
      <c r="BB921" s="201"/>
      <c r="BC921" s="201"/>
      <c r="BD921" s="201"/>
      <c r="BE921" s="201"/>
      <c r="BF921" s="201"/>
      <c r="BG921" s="201"/>
      <c r="BH921" s="201"/>
      <c r="BI921" s="201"/>
      <c r="BJ921" s="201"/>
    </row>
    <row r="922" spans="1:63" ht="21">
      <c r="A922" s="203" t="s">
        <v>162</v>
      </c>
      <c r="B922" s="89"/>
      <c r="D922" s="204"/>
      <c r="E922" s="204"/>
    </row>
    <row r="923" spans="1:63" s="94" customFormat="1">
      <c r="A923" s="90" t="s">
        <v>154</v>
      </c>
      <c r="B923" s="91" t="s">
        <v>155</v>
      </c>
      <c r="C923" s="91">
        <v>1</v>
      </c>
      <c r="D923" s="92">
        <v>2</v>
      </c>
      <c r="E923" s="92">
        <v>3</v>
      </c>
      <c r="F923" s="92">
        <v>4</v>
      </c>
      <c r="G923" s="92">
        <v>5</v>
      </c>
      <c r="H923" s="92">
        <v>6</v>
      </c>
      <c r="I923" s="92">
        <v>7</v>
      </c>
      <c r="J923" s="92">
        <v>8</v>
      </c>
      <c r="K923" s="92">
        <v>9</v>
      </c>
      <c r="L923" s="92">
        <v>10</v>
      </c>
      <c r="M923" s="92">
        <v>11</v>
      </c>
      <c r="N923" s="92">
        <v>12</v>
      </c>
      <c r="O923" s="92">
        <v>13</v>
      </c>
      <c r="P923" s="92">
        <v>14</v>
      </c>
      <c r="Q923" s="92">
        <v>15</v>
      </c>
      <c r="R923" s="92">
        <v>16</v>
      </c>
      <c r="S923" s="92">
        <v>17</v>
      </c>
      <c r="T923" s="92">
        <v>18</v>
      </c>
      <c r="U923" s="92">
        <v>19</v>
      </c>
      <c r="V923" s="92">
        <v>20</v>
      </c>
      <c r="W923" s="92">
        <v>21</v>
      </c>
      <c r="X923" s="92">
        <v>22</v>
      </c>
      <c r="Y923" s="92">
        <v>23</v>
      </c>
      <c r="Z923" s="92">
        <v>24</v>
      </c>
      <c r="AA923" s="92">
        <v>25</v>
      </c>
      <c r="AB923" s="92">
        <v>26</v>
      </c>
      <c r="AC923" s="92">
        <v>27</v>
      </c>
      <c r="AD923" s="92">
        <v>28</v>
      </c>
      <c r="AE923" s="92">
        <v>29</v>
      </c>
      <c r="AF923" s="92">
        <v>30</v>
      </c>
      <c r="AG923" s="92">
        <v>31</v>
      </c>
      <c r="AH923" s="92">
        <v>32</v>
      </c>
      <c r="AI923" s="92">
        <v>33</v>
      </c>
      <c r="AJ923" s="92">
        <v>34</v>
      </c>
      <c r="AK923" s="92">
        <v>35</v>
      </c>
      <c r="AL923" s="92">
        <v>36</v>
      </c>
      <c r="AM923" s="92">
        <v>37</v>
      </c>
      <c r="AN923" s="92">
        <v>38</v>
      </c>
      <c r="AO923" s="92">
        <v>39</v>
      </c>
      <c r="AP923" s="92">
        <v>40</v>
      </c>
      <c r="AQ923" s="92">
        <v>41</v>
      </c>
      <c r="AR923" s="92">
        <v>42</v>
      </c>
      <c r="AS923" s="92">
        <v>43</v>
      </c>
      <c r="AT923" s="92">
        <v>44</v>
      </c>
      <c r="AU923" s="92">
        <v>45</v>
      </c>
      <c r="AV923" s="92">
        <v>46</v>
      </c>
      <c r="AW923" s="92">
        <v>47</v>
      </c>
      <c r="AX923" s="92">
        <v>48</v>
      </c>
      <c r="AY923" s="92">
        <v>49</v>
      </c>
      <c r="AZ923" s="92">
        <v>50</v>
      </c>
      <c r="BA923" s="92">
        <v>51</v>
      </c>
      <c r="BB923" s="92">
        <v>52</v>
      </c>
      <c r="BC923" s="92">
        <v>53</v>
      </c>
      <c r="BD923" s="92">
        <v>54</v>
      </c>
      <c r="BE923" s="92">
        <v>55</v>
      </c>
      <c r="BF923" s="92">
        <v>56</v>
      </c>
      <c r="BG923" s="92">
        <v>57</v>
      </c>
      <c r="BH923" s="92">
        <v>58</v>
      </c>
      <c r="BI923" s="92">
        <v>59</v>
      </c>
      <c r="BJ923" s="93">
        <v>60</v>
      </c>
    </row>
    <row r="924" spans="1:63" s="100" customFormat="1">
      <c r="A924" s="95" t="s">
        <v>156</v>
      </c>
      <c r="B924" s="96">
        <f>SUM(C924:BJ924)</f>
        <v>4000</v>
      </c>
      <c r="C924" s="96">
        <f t="shared" ref="C924:BJ924" si="572">C867</f>
        <v>0</v>
      </c>
      <c r="D924" s="205">
        <f t="shared" si="572"/>
        <v>0</v>
      </c>
      <c r="E924" s="205">
        <f t="shared" si="572"/>
        <v>0</v>
      </c>
      <c r="F924" s="205">
        <f t="shared" si="572"/>
        <v>0</v>
      </c>
      <c r="G924" s="205">
        <f t="shared" si="572"/>
        <v>0</v>
      </c>
      <c r="H924" s="205">
        <f t="shared" si="572"/>
        <v>111.5</v>
      </c>
      <c r="I924" s="205">
        <f t="shared" si="572"/>
        <v>223</v>
      </c>
      <c r="J924" s="205">
        <f t="shared" si="572"/>
        <v>334.5</v>
      </c>
      <c r="K924" s="205">
        <f t="shared" si="572"/>
        <v>446</v>
      </c>
      <c r="L924" s="205">
        <f t="shared" si="572"/>
        <v>590</v>
      </c>
      <c r="M924" s="205">
        <f t="shared" si="572"/>
        <v>590</v>
      </c>
      <c r="N924" s="205">
        <f t="shared" si="572"/>
        <v>590</v>
      </c>
      <c r="O924" s="205">
        <f t="shared" si="572"/>
        <v>446</v>
      </c>
      <c r="P924" s="205">
        <f t="shared" si="572"/>
        <v>334.5</v>
      </c>
      <c r="Q924" s="205">
        <f t="shared" si="572"/>
        <v>223</v>
      </c>
      <c r="R924" s="205">
        <f t="shared" si="572"/>
        <v>111.5</v>
      </c>
      <c r="S924" s="205">
        <f t="shared" si="572"/>
        <v>0</v>
      </c>
      <c r="T924" s="205">
        <f t="shared" si="572"/>
        <v>0</v>
      </c>
      <c r="U924" s="205">
        <f t="shared" si="572"/>
        <v>0</v>
      </c>
      <c r="V924" s="205">
        <f t="shared" si="572"/>
        <v>0</v>
      </c>
      <c r="W924" s="205">
        <f t="shared" si="572"/>
        <v>0</v>
      </c>
      <c r="X924" s="205">
        <f t="shared" si="572"/>
        <v>0</v>
      </c>
      <c r="Y924" s="205">
        <f t="shared" si="572"/>
        <v>0</v>
      </c>
      <c r="Z924" s="205">
        <f t="shared" si="572"/>
        <v>0</v>
      </c>
      <c r="AA924" s="205">
        <f t="shared" si="572"/>
        <v>0</v>
      </c>
      <c r="AB924" s="205">
        <f t="shared" si="572"/>
        <v>0</v>
      </c>
      <c r="AC924" s="205">
        <f t="shared" si="572"/>
        <v>0</v>
      </c>
      <c r="AD924" s="205">
        <f t="shared" si="572"/>
        <v>0</v>
      </c>
      <c r="AE924" s="205">
        <f t="shared" si="572"/>
        <v>0</v>
      </c>
      <c r="AF924" s="205">
        <f t="shared" si="572"/>
        <v>0</v>
      </c>
      <c r="AG924" s="205">
        <f t="shared" si="572"/>
        <v>0</v>
      </c>
      <c r="AH924" s="205">
        <f t="shared" si="572"/>
        <v>0</v>
      </c>
      <c r="AI924" s="205">
        <f t="shared" si="572"/>
        <v>0</v>
      </c>
      <c r="AJ924" s="205">
        <f t="shared" si="572"/>
        <v>0</v>
      </c>
      <c r="AK924" s="205">
        <f t="shared" si="572"/>
        <v>0</v>
      </c>
      <c r="AL924" s="205">
        <f t="shared" si="572"/>
        <v>0</v>
      </c>
      <c r="AM924" s="205">
        <f t="shared" si="572"/>
        <v>0</v>
      </c>
      <c r="AN924" s="205">
        <f t="shared" si="572"/>
        <v>0</v>
      </c>
      <c r="AO924" s="205">
        <f t="shared" si="572"/>
        <v>0</v>
      </c>
      <c r="AP924" s="205">
        <f t="shared" si="572"/>
        <v>0</v>
      </c>
      <c r="AQ924" s="205">
        <f t="shared" si="572"/>
        <v>0</v>
      </c>
      <c r="AR924" s="205">
        <f t="shared" si="572"/>
        <v>0</v>
      </c>
      <c r="AS924" s="205">
        <f t="shared" si="572"/>
        <v>0</v>
      </c>
      <c r="AT924" s="205">
        <f t="shared" si="572"/>
        <v>0</v>
      </c>
      <c r="AU924" s="205">
        <f t="shared" si="572"/>
        <v>0</v>
      </c>
      <c r="AV924" s="205">
        <f t="shared" si="572"/>
        <v>0</v>
      </c>
      <c r="AW924" s="205">
        <f t="shared" si="572"/>
        <v>0</v>
      </c>
      <c r="AX924" s="205">
        <f t="shared" si="572"/>
        <v>0</v>
      </c>
      <c r="AY924" s="205">
        <f t="shared" si="572"/>
        <v>0</v>
      </c>
      <c r="AZ924" s="205">
        <f t="shared" si="572"/>
        <v>0</v>
      </c>
      <c r="BA924" s="205">
        <f t="shared" si="572"/>
        <v>0</v>
      </c>
      <c r="BB924" s="205">
        <f t="shared" si="572"/>
        <v>0</v>
      </c>
      <c r="BC924" s="205">
        <f t="shared" si="572"/>
        <v>0</v>
      </c>
      <c r="BD924" s="205">
        <f t="shared" si="572"/>
        <v>0</v>
      </c>
      <c r="BE924" s="205">
        <f t="shared" si="572"/>
        <v>0</v>
      </c>
      <c r="BF924" s="205">
        <f t="shared" si="572"/>
        <v>0</v>
      </c>
      <c r="BG924" s="205">
        <f t="shared" si="572"/>
        <v>0</v>
      </c>
      <c r="BH924" s="205">
        <f t="shared" si="572"/>
        <v>0</v>
      </c>
      <c r="BI924" s="205">
        <f t="shared" si="572"/>
        <v>0</v>
      </c>
      <c r="BJ924" s="206">
        <f t="shared" si="572"/>
        <v>0</v>
      </c>
    </row>
    <row r="925" spans="1:63" s="105" customFormat="1">
      <c r="A925" s="101" t="s">
        <v>115</v>
      </c>
      <c r="B925" s="102">
        <f>SUM(C925:BJ925)</f>
        <v>3118154039.1398473</v>
      </c>
      <c r="C925" s="207">
        <f>C868*(1+$G865)^(C751-1)</f>
        <v>14976492.940182466</v>
      </c>
      <c r="D925" s="208">
        <f>D868*(1+$G865)^(D866-1)</f>
        <v>16198574.764101358</v>
      </c>
      <c r="E925" s="208">
        <f t="shared" ref="E925:BJ925" si="573">E868*(1+$G865)^(E866-1)</f>
        <v>16846517.754665412</v>
      </c>
      <c r="F925" s="208">
        <f t="shared" si="573"/>
        <v>17520378.464852031</v>
      </c>
      <c r="G925" s="208">
        <f t="shared" si="573"/>
        <v>18221193.603446111</v>
      </c>
      <c r="H925" s="208">
        <f t="shared" si="573"/>
        <v>69208576.16618596</v>
      </c>
      <c r="I925" s="208">
        <f t="shared" si="573"/>
        <v>143953838.42566681</v>
      </c>
      <c r="J925" s="208">
        <f t="shared" si="573"/>
        <v>224567987.94404024</v>
      </c>
      <c r="K925" s="208">
        <f t="shared" si="573"/>
        <v>311400943.28240246</v>
      </c>
      <c r="L925" s="208">
        <f t="shared" si="573"/>
        <v>428420669.95085686</v>
      </c>
      <c r="M925" s="208">
        <f t="shared" si="573"/>
        <v>445557496.74889112</v>
      </c>
      <c r="N925" s="208">
        <f t="shared" si="573"/>
        <v>463379796.61884677</v>
      </c>
      <c r="O925" s="208">
        <f t="shared" si="573"/>
        <v>364295059.09099311</v>
      </c>
      <c r="P925" s="208">
        <f t="shared" si="573"/>
        <v>284150146.09097469</v>
      </c>
      <c r="Q925" s="208">
        <f t="shared" si="573"/>
        <v>197010767.95640907</v>
      </c>
      <c r="R925" s="208">
        <f t="shared" si="573"/>
        <v>102445599.33733271</v>
      </c>
      <c r="S925" s="208">
        <f t="shared" si="573"/>
        <v>0</v>
      </c>
      <c r="T925" s="208">
        <f t="shared" si="573"/>
        <v>0</v>
      </c>
      <c r="U925" s="208">
        <f t="shared" si="573"/>
        <v>0</v>
      </c>
      <c r="V925" s="208">
        <f t="shared" si="573"/>
        <v>0</v>
      </c>
      <c r="W925" s="208">
        <f t="shared" si="573"/>
        <v>0</v>
      </c>
      <c r="X925" s="208">
        <f t="shared" si="573"/>
        <v>0</v>
      </c>
      <c r="Y925" s="208">
        <f t="shared" si="573"/>
        <v>0</v>
      </c>
      <c r="Z925" s="208">
        <f t="shared" si="573"/>
        <v>0</v>
      </c>
      <c r="AA925" s="208">
        <f t="shared" si="573"/>
        <v>0</v>
      </c>
      <c r="AB925" s="208">
        <f t="shared" si="573"/>
        <v>0</v>
      </c>
      <c r="AC925" s="208">
        <f t="shared" si="573"/>
        <v>0</v>
      </c>
      <c r="AD925" s="208">
        <f t="shared" si="573"/>
        <v>0</v>
      </c>
      <c r="AE925" s="208">
        <f t="shared" si="573"/>
        <v>0</v>
      </c>
      <c r="AF925" s="208">
        <f t="shared" si="573"/>
        <v>0</v>
      </c>
      <c r="AG925" s="208">
        <f t="shared" si="573"/>
        <v>0</v>
      </c>
      <c r="AH925" s="208">
        <f t="shared" si="573"/>
        <v>0</v>
      </c>
      <c r="AI925" s="208">
        <f t="shared" si="573"/>
        <v>0</v>
      </c>
      <c r="AJ925" s="208">
        <f t="shared" si="573"/>
        <v>0</v>
      </c>
      <c r="AK925" s="208">
        <f t="shared" si="573"/>
        <v>0</v>
      </c>
      <c r="AL925" s="208">
        <f t="shared" si="573"/>
        <v>0</v>
      </c>
      <c r="AM925" s="208">
        <f t="shared" si="573"/>
        <v>0</v>
      </c>
      <c r="AN925" s="208">
        <f t="shared" si="573"/>
        <v>0</v>
      </c>
      <c r="AO925" s="208">
        <f t="shared" si="573"/>
        <v>0</v>
      </c>
      <c r="AP925" s="208">
        <f t="shared" si="573"/>
        <v>0</v>
      </c>
      <c r="AQ925" s="208">
        <f t="shared" si="573"/>
        <v>0</v>
      </c>
      <c r="AR925" s="208">
        <f t="shared" si="573"/>
        <v>0</v>
      </c>
      <c r="AS925" s="208">
        <f t="shared" si="573"/>
        <v>0</v>
      </c>
      <c r="AT925" s="208">
        <f t="shared" si="573"/>
        <v>0</v>
      </c>
      <c r="AU925" s="208">
        <f t="shared" si="573"/>
        <v>0</v>
      </c>
      <c r="AV925" s="208">
        <f t="shared" si="573"/>
        <v>0</v>
      </c>
      <c r="AW925" s="208">
        <f t="shared" si="573"/>
        <v>0</v>
      </c>
      <c r="AX925" s="208">
        <f t="shared" si="573"/>
        <v>0</v>
      </c>
      <c r="AY925" s="208">
        <f t="shared" si="573"/>
        <v>0</v>
      </c>
      <c r="AZ925" s="208">
        <f t="shared" si="573"/>
        <v>0</v>
      </c>
      <c r="BA925" s="208">
        <f t="shared" si="573"/>
        <v>0</v>
      </c>
      <c r="BB925" s="208">
        <f t="shared" si="573"/>
        <v>0</v>
      </c>
      <c r="BC925" s="208">
        <f t="shared" si="573"/>
        <v>0</v>
      </c>
      <c r="BD925" s="208">
        <f t="shared" si="573"/>
        <v>0</v>
      </c>
      <c r="BE925" s="208">
        <f t="shared" si="573"/>
        <v>0</v>
      </c>
      <c r="BF925" s="208">
        <f t="shared" si="573"/>
        <v>0</v>
      </c>
      <c r="BG925" s="208">
        <f t="shared" si="573"/>
        <v>0</v>
      </c>
      <c r="BH925" s="208">
        <f t="shared" si="573"/>
        <v>0</v>
      </c>
      <c r="BI925" s="208">
        <f t="shared" si="573"/>
        <v>0</v>
      </c>
      <c r="BJ925" s="209">
        <f t="shared" si="573"/>
        <v>0</v>
      </c>
    </row>
    <row r="926" spans="1:63" s="105" customFormat="1">
      <c r="A926" s="106" t="s">
        <v>116</v>
      </c>
      <c r="B926" s="210">
        <f>SUM(B933,B927:B928)</f>
        <v>1220958298.6496944</v>
      </c>
      <c r="C926" s="102">
        <f>SUM(C927:C928,C933)</f>
        <v>12460442.126231814</v>
      </c>
      <c r="D926" s="103">
        <f t="shared" ref="D926:BJ926" si="574">SUM(D927:D928,D933)</f>
        <v>12958859.811281087</v>
      </c>
      <c r="E926" s="103">
        <f t="shared" si="574"/>
        <v>13477214.20373233</v>
      </c>
      <c r="F926" s="103">
        <f t="shared" si="574"/>
        <v>14016302.771881623</v>
      </c>
      <c r="G926" s="103">
        <f t="shared" si="574"/>
        <v>14576954.882756891</v>
      </c>
      <c r="H926" s="103">
        <f t="shared" si="574"/>
        <v>26308381.936350349</v>
      </c>
      <c r="I926" s="103">
        <f t="shared" si="574"/>
        <v>54721434.427608728</v>
      </c>
      <c r="J926" s="103">
        <f t="shared" si="574"/>
        <v>85365437.707069591</v>
      </c>
      <c r="K926" s="103">
        <f t="shared" si="574"/>
        <v>118373406.95380321</v>
      </c>
      <c r="L926" s="103">
        <f t="shared" si="574"/>
        <v>162856328.49070325</v>
      </c>
      <c r="M926" s="103">
        <f t="shared" si="574"/>
        <v>169370581.6303314</v>
      </c>
      <c r="N926" s="103">
        <f t="shared" si="574"/>
        <v>176145404.89554465</v>
      </c>
      <c r="O926" s="103">
        <f t="shared" si="574"/>
        <v>138480143.40127024</v>
      </c>
      <c r="P926" s="103">
        <f t="shared" si="574"/>
        <v>108014511.85299078</v>
      </c>
      <c r="Q926" s="103">
        <f t="shared" si="574"/>
        <v>74890061.55140695</v>
      </c>
      <c r="R926" s="103">
        <f t="shared" si="574"/>
        <v>38942832.006731607</v>
      </c>
      <c r="S926" s="103">
        <f t="shared" si="574"/>
        <v>0</v>
      </c>
      <c r="T926" s="103">
        <f t="shared" si="574"/>
        <v>0</v>
      </c>
      <c r="U926" s="103">
        <f t="shared" si="574"/>
        <v>0</v>
      </c>
      <c r="V926" s="103">
        <f t="shared" si="574"/>
        <v>0</v>
      </c>
      <c r="W926" s="103">
        <f t="shared" si="574"/>
        <v>0</v>
      </c>
      <c r="X926" s="103">
        <f t="shared" si="574"/>
        <v>0</v>
      </c>
      <c r="Y926" s="103">
        <f t="shared" si="574"/>
        <v>0</v>
      </c>
      <c r="Z926" s="103">
        <f t="shared" si="574"/>
        <v>0</v>
      </c>
      <c r="AA926" s="103">
        <f t="shared" si="574"/>
        <v>0</v>
      </c>
      <c r="AB926" s="103">
        <f t="shared" si="574"/>
        <v>0</v>
      </c>
      <c r="AC926" s="103">
        <f t="shared" si="574"/>
        <v>0</v>
      </c>
      <c r="AD926" s="103">
        <f t="shared" si="574"/>
        <v>0</v>
      </c>
      <c r="AE926" s="103">
        <f t="shared" si="574"/>
        <v>0</v>
      </c>
      <c r="AF926" s="103">
        <f t="shared" si="574"/>
        <v>0</v>
      </c>
      <c r="AG926" s="103">
        <f t="shared" si="574"/>
        <v>0</v>
      </c>
      <c r="AH926" s="103">
        <f t="shared" si="574"/>
        <v>0</v>
      </c>
      <c r="AI926" s="103">
        <f t="shared" si="574"/>
        <v>0</v>
      </c>
      <c r="AJ926" s="103">
        <f t="shared" si="574"/>
        <v>0</v>
      </c>
      <c r="AK926" s="103">
        <f t="shared" si="574"/>
        <v>0</v>
      </c>
      <c r="AL926" s="103">
        <f t="shared" si="574"/>
        <v>0</v>
      </c>
      <c r="AM926" s="103">
        <f t="shared" si="574"/>
        <v>0</v>
      </c>
      <c r="AN926" s="103">
        <f t="shared" si="574"/>
        <v>0</v>
      </c>
      <c r="AO926" s="103">
        <f t="shared" si="574"/>
        <v>0</v>
      </c>
      <c r="AP926" s="103">
        <f t="shared" si="574"/>
        <v>0</v>
      </c>
      <c r="AQ926" s="103">
        <f t="shared" si="574"/>
        <v>0</v>
      </c>
      <c r="AR926" s="103">
        <f t="shared" si="574"/>
        <v>0</v>
      </c>
      <c r="AS926" s="103">
        <f t="shared" si="574"/>
        <v>0</v>
      </c>
      <c r="AT926" s="103">
        <f t="shared" si="574"/>
        <v>0</v>
      </c>
      <c r="AU926" s="103">
        <f t="shared" si="574"/>
        <v>0</v>
      </c>
      <c r="AV926" s="103">
        <f t="shared" si="574"/>
        <v>0</v>
      </c>
      <c r="AW926" s="103">
        <f t="shared" si="574"/>
        <v>0</v>
      </c>
      <c r="AX926" s="103">
        <f t="shared" si="574"/>
        <v>0</v>
      </c>
      <c r="AY926" s="103">
        <f t="shared" si="574"/>
        <v>0</v>
      </c>
      <c r="AZ926" s="103">
        <f t="shared" si="574"/>
        <v>0</v>
      </c>
      <c r="BA926" s="103">
        <f t="shared" si="574"/>
        <v>0</v>
      </c>
      <c r="BB926" s="103">
        <f t="shared" si="574"/>
        <v>0</v>
      </c>
      <c r="BC926" s="103">
        <f t="shared" si="574"/>
        <v>0</v>
      </c>
      <c r="BD926" s="103">
        <f t="shared" si="574"/>
        <v>0</v>
      </c>
      <c r="BE926" s="103">
        <f t="shared" si="574"/>
        <v>0</v>
      </c>
      <c r="BF926" s="103">
        <f t="shared" si="574"/>
        <v>0</v>
      </c>
      <c r="BG926" s="103">
        <f t="shared" si="574"/>
        <v>0</v>
      </c>
      <c r="BH926" s="103">
        <f t="shared" si="574"/>
        <v>0</v>
      </c>
      <c r="BI926" s="103">
        <f t="shared" si="574"/>
        <v>0</v>
      </c>
      <c r="BJ926" s="104">
        <f t="shared" si="574"/>
        <v>0</v>
      </c>
    </row>
    <row r="927" spans="1:63" s="116" customFormat="1">
      <c r="A927" s="111" t="s">
        <v>117</v>
      </c>
      <c r="B927" s="155">
        <f>SUM(C927:BJ927)</f>
        <v>1051498666.9034307</v>
      </c>
      <c r="C927" s="108">
        <f>C870*(1+$G865)^(C751-1)</f>
        <v>0</v>
      </c>
      <c r="D927" s="109">
        <f>D870*(1+$G865)^(D866-1)</f>
        <v>0</v>
      </c>
      <c r="E927" s="109">
        <f t="shared" ref="E927:BJ927" si="575">E870*(1+$G865)^(E866-1)</f>
        <v>0</v>
      </c>
      <c r="F927" s="109">
        <f t="shared" si="575"/>
        <v>0</v>
      </c>
      <c r="G927" s="109">
        <f t="shared" si="575"/>
        <v>0</v>
      </c>
      <c r="H927" s="109">
        <f t="shared" si="575"/>
        <v>23982647.066997077</v>
      </c>
      <c r="I927" s="109">
        <f t="shared" si="575"/>
        <v>49883905.899353921</v>
      </c>
      <c r="J927" s="109">
        <f t="shared" si="575"/>
        <v>77818893.202992097</v>
      </c>
      <c r="K927" s="109">
        <f t="shared" si="575"/>
        <v>107908865.24148241</v>
      </c>
      <c r="L927" s="109">
        <f t="shared" si="575"/>
        <v>148459371.55195877</v>
      </c>
      <c r="M927" s="109">
        <f t="shared" si="575"/>
        <v>154397746.41403711</v>
      </c>
      <c r="N927" s="109">
        <f t="shared" si="575"/>
        <v>160573656.27059859</v>
      </c>
      <c r="O927" s="109">
        <f t="shared" si="575"/>
        <v>126238109.70263469</v>
      </c>
      <c r="P927" s="109">
        <f t="shared" si="575"/>
        <v>98465725.568055049</v>
      </c>
      <c r="Q927" s="109">
        <f t="shared" si="575"/>
        <v>68269569.727184847</v>
      </c>
      <c r="R927" s="109">
        <f t="shared" si="575"/>
        <v>35500176.258136116</v>
      </c>
      <c r="S927" s="109">
        <f t="shared" si="575"/>
        <v>0</v>
      </c>
      <c r="T927" s="109">
        <f t="shared" si="575"/>
        <v>0</v>
      </c>
      <c r="U927" s="109">
        <f t="shared" si="575"/>
        <v>0</v>
      </c>
      <c r="V927" s="109">
        <f t="shared" si="575"/>
        <v>0</v>
      </c>
      <c r="W927" s="109">
        <f t="shared" si="575"/>
        <v>0</v>
      </c>
      <c r="X927" s="109">
        <f t="shared" si="575"/>
        <v>0</v>
      </c>
      <c r="Y927" s="109">
        <f t="shared" si="575"/>
        <v>0</v>
      </c>
      <c r="Z927" s="109">
        <f t="shared" si="575"/>
        <v>0</v>
      </c>
      <c r="AA927" s="109">
        <f t="shared" si="575"/>
        <v>0</v>
      </c>
      <c r="AB927" s="109">
        <f t="shared" si="575"/>
        <v>0</v>
      </c>
      <c r="AC927" s="109">
        <f t="shared" si="575"/>
        <v>0</v>
      </c>
      <c r="AD927" s="109">
        <f t="shared" si="575"/>
        <v>0</v>
      </c>
      <c r="AE927" s="109">
        <f t="shared" si="575"/>
        <v>0</v>
      </c>
      <c r="AF927" s="109">
        <f t="shared" si="575"/>
        <v>0</v>
      </c>
      <c r="AG927" s="109">
        <f t="shared" si="575"/>
        <v>0</v>
      </c>
      <c r="AH927" s="109">
        <f t="shared" si="575"/>
        <v>0</v>
      </c>
      <c r="AI927" s="109">
        <f t="shared" si="575"/>
        <v>0</v>
      </c>
      <c r="AJ927" s="109">
        <f t="shared" si="575"/>
        <v>0</v>
      </c>
      <c r="AK927" s="109">
        <f t="shared" si="575"/>
        <v>0</v>
      </c>
      <c r="AL927" s="109">
        <f t="shared" si="575"/>
        <v>0</v>
      </c>
      <c r="AM927" s="109">
        <f t="shared" si="575"/>
        <v>0</v>
      </c>
      <c r="AN927" s="109">
        <f t="shared" si="575"/>
        <v>0</v>
      </c>
      <c r="AO927" s="109">
        <f t="shared" si="575"/>
        <v>0</v>
      </c>
      <c r="AP927" s="109">
        <f t="shared" si="575"/>
        <v>0</v>
      </c>
      <c r="AQ927" s="109">
        <f t="shared" si="575"/>
        <v>0</v>
      </c>
      <c r="AR927" s="109">
        <f t="shared" si="575"/>
        <v>0</v>
      </c>
      <c r="AS927" s="109">
        <f t="shared" si="575"/>
        <v>0</v>
      </c>
      <c r="AT927" s="109">
        <f t="shared" si="575"/>
        <v>0</v>
      </c>
      <c r="AU927" s="109">
        <f t="shared" si="575"/>
        <v>0</v>
      </c>
      <c r="AV927" s="109">
        <f t="shared" si="575"/>
        <v>0</v>
      </c>
      <c r="AW927" s="109">
        <f t="shared" si="575"/>
        <v>0</v>
      </c>
      <c r="AX927" s="109">
        <f t="shared" si="575"/>
        <v>0</v>
      </c>
      <c r="AY927" s="109">
        <f t="shared" si="575"/>
        <v>0</v>
      </c>
      <c r="AZ927" s="109">
        <f t="shared" si="575"/>
        <v>0</v>
      </c>
      <c r="BA927" s="109">
        <f t="shared" si="575"/>
        <v>0</v>
      </c>
      <c r="BB927" s="109">
        <f t="shared" si="575"/>
        <v>0</v>
      </c>
      <c r="BC927" s="109">
        <f t="shared" si="575"/>
        <v>0</v>
      </c>
      <c r="BD927" s="109">
        <f t="shared" si="575"/>
        <v>0</v>
      </c>
      <c r="BE927" s="109">
        <f t="shared" si="575"/>
        <v>0</v>
      </c>
      <c r="BF927" s="109">
        <f t="shared" si="575"/>
        <v>0</v>
      </c>
      <c r="BG927" s="109">
        <f t="shared" si="575"/>
        <v>0</v>
      </c>
      <c r="BH927" s="109">
        <f t="shared" si="575"/>
        <v>0</v>
      </c>
      <c r="BI927" s="109">
        <f t="shared" si="575"/>
        <v>0</v>
      </c>
      <c r="BJ927" s="110">
        <f t="shared" si="575"/>
        <v>0</v>
      </c>
    </row>
    <row r="928" spans="1:63" s="116" customFormat="1">
      <c r="A928" s="111" t="s">
        <v>118</v>
      </c>
      <c r="B928" s="155">
        <f>SUM(B929:B932)</f>
        <v>101969857.95038006</v>
      </c>
      <c r="C928" s="108">
        <f>C871*(1+$G865)^(C866-1)</f>
        <v>0</v>
      </c>
      <c r="D928" s="109">
        <f>D871*(1+$G865)^(D866-1)</f>
        <v>0</v>
      </c>
      <c r="E928" s="109">
        <f t="shared" ref="E928:BJ928" si="576">E871*(1+$G865)^(E866-1)</f>
        <v>0</v>
      </c>
      <c r="F928" s="109">
        <f t="shared" si="576"/>
        <v>0</v>
      </c>
      <c r="G928" s="109">
        <f t="shared" si="576"/>
        <v>0</v>
      </c>
      <c r="H928" s="109">
        <f t="shared" si="576"/>
        <v>2325734.8693532725</v>
      </c>
      <c r="I928" s="109">
        <f t="shared" si="576"/>
        <v>4837528.528254807</v>
      </c>
      <c r="J928" s="109">
        <f t="shared" si="576"/>
        <v>7546544.5040774988</v>
      </c>
      <c r="K928" s="109">
        <f t="shared" si="576"/>
        <v>10464541.712320799</v>
      </c>
      <c r="L928" s="109">
        <f t="shared" si="576"/>
        <v>14396956.938744493</v>
      </c>
      <c r="M928" s="109">
        <f t="shared" si="576"/>
        <v>14972835.216294274</v>
      </c>
      <c r="N928" s="109">
        <f t="shared" si="576"/>
        <v>15571748.624946043</v>
      </c>
      <c r="O928" s="109">
        <f t="shared" si="576"/>
        <v>12242033.698635546</v>
      </c>
      <c r="P928" s="109">
        <f t="shared" si="576"/>
        <v>9548786.2849357277</v>
      </c>
      <c r="Q928" s="109">
        <f t="shared" si="576"/>
        <v>6620491.8242221037</v>
      </c>
      <c r="R928" s="109">
        <f t="shared" si="576"/>
        <v>3442655.7485954938</v>
      </c>
      <c r="S928" s="109">
        <f t="shared" si="576"/>
        <v>0</v>
      </c>
      <c r="T928" s="109">
        <f t="shared" si="576"/>
        <v>0</v>
      </c>
      <c r="U928" s="109">
        <f t="shared" si="576"/>
        <v>0</v>
      </c>
      <c r="V928" s="109">
        <f t="shared" si="576"/>
        <v>0</v>
      </c>
      <c r="W928" s="109">
        <f t="shared" si="576"/>
        <v>0</v>
      </c>
      <c r="X928" s="109">
        <f t="shared" si="576"/>
        <v>0</v>
      </c>
      <c r="Y928" s="109">
        <f t="shared" si="576"/>
        <v>0</v>
      </c>
      <c r="Z928" s="109">
        <f t="shared" si="576"/>
        <v>0</v>
      </c>
      <c r="AA928" s="109">
        <f t="shared" si="576"/>
        <v>0</v>
      </c>
      <c r="AB928" s="109">
        <f t="shared" si="576"/>
        <v>0</v>
      </c>
      <c r="AC928" s="109">
        <f t="shared" si="576"/>
        <v>0</v>
      </c>
      <c r="AD928" s="109">
        <f t="shared" si="576"/>
        <v>0</v>
      </c>
      <c r="AE928" s="109">
        <f t="shared" si="576"/>
        <v>0</v>
      </c>
      <c r="AF928" s="109">
        <f t="shared" si="576"/>
        <v>0</v>
      </c>
      <c r="AG928" s="109">
        <f t="shared" si="576"/>
        <v>0</v>
      </c>
      <c r="AH928" s="109">
        <f t="shared" si="576"/>
        <v>0</v>
      </c>
      <c r="AI928" s="109">
        <f t="shared" si="576"/>
        <v>0</v>
      </c>
      <c r="AJ928" s="109">
        <f t="shared" si="576"/>
        <v>0</v>
      </c>
      <c r="AK928" s="109">
        <f t="shared" si="576"/>
        <v>0</v>
      </c>
      <c r="AL928" s="109">
        <f t="shared" si="576"/>
        <v>0</v>
      </c>
      <c r="AM928" s="109">
        <f t="shared" si="576"/>
        <v>0</v>
      </c>
      <c r="AN928" s="109">
        <f t="shared" si="576"/>
        <v>0</v>
      </c>
      <c r="AO928" s="109">
        <f t="shared" si="576"/>
        <v>0</v>
      </c>
      <c r="AP928" s="109">
        <f t="shared" si="576"/>
        <v>0</v>
      </c>
      <c r="AQ928" s="109">
        <f t="shared" si="576"/>
        <v>0</v>
      </c>
      <c r="AR928" s="109">
        <f t="shared" si="576"/>
        <v>0</v>
      </c>
      <c r="AS928" s="109">
        <f t="shared" si="576"/>
        <v>0</v>
      </c>
      <c r="AT928" s="109">
        <f t="shared" si="576"/>
        <v>0</v>
      </c>
      <c r="AU928" s="109">
        <f t="shared" si="576"/>
        <v>0</v>
      </c>
      <c r="AV928" s="109">
        <f t="shared" si="576"/>
        <v>0</v>
      </c>
      <c r="AW928" s="109">
        <f t="shared" si="576"/>
        <v>0</v>
      </c>
      <c r="AX928" s="109">
        <f t="shared" si="576"/>
        <v>0</v>
      </c>
      <c r="AY928" s="109">
        <f t="shared" si="576"/>
        <v>0</v>
      </c>
      <c r="AZ928" s="109">
        <f t="shared" si="576"/>
        <v>0</v>
      </c>
      <c r="BA928" s="109">
        <f t="shared" si="576"/>
        <v>0</v>
      </c>
      <c r="BB928" s="109">
        <f t="shared" si="576"/>
        <v>0</v>
      </c>
      <c r="BC928" s="109">
        <f t="shared" si="576"/>
        <v>0</v>
      </c>
      <c r="BD928" s="109">
        <f t="shared" si="576"/>
        <v>0</v>
      </c>
      <c r="BE928" s="109">
        <f t="shared" si="576"/>
        <v>0</v>
      </c>
      <c r="BF928" s="109">
        <f t="shared" si="576"/>
        <v>0</v>
      </c>
      <c r="BG928" s="109">
        <f t="shared" si="576"/>
        <v>0</v>
      </c>
      <c r="BH928" s="109">
        <f t="shared" si="576"/>
        <v>0</v>
      </c>
      <c r="BI928" s="109">
        <f t="shared" si="576"/>
        <v>0</v>
      </c>
      <c r="BJ928" s="110">
        <f t="shared" si="576"/>
        <v>0</v>
      </c>
    </row>
    <row r="929" spans="1:64" s="125" customFormat="1" ht="12.75">
      <c r="A929" s="120" t="s">
        <v>119</v>
      </c>
      <c r="B929" s="211">
        <f t="shared" ref="B929:B934" si="577">SUM(C929:BJ929)</f>
        <v>36280823.28669858</v>
      </c>
      <c r="C929" s="122">
        <f>C872*(1+$G865)^(C866-1)</f>
        <v>0</v>
      </c>
      <c r="D929" s="123">
        <f>D872*(1+$G865)^(D866-1)</f>
        <v>0</v>
      </c>
      <c r="E929" s="123">
        <f t="shared" ref="E929:BJ929" si="578">E872*(1+$G865)^(E866-1)</f>
        <v>0</v>
      </c>
      <c r="F929" s="123">
        <f t="shared" si="578"/>
        <v>0</v>
      </c>
      <c r="G929" s="123">
        <f t="shared" si="578"/>
        <v>0</v>
      </c>
      <c r="H929" s="123">
        <f t="shared" si="578"/>
        <v>827495.27657260606</v>
      </c>
      <c r="I929" s="123">
        <f t="shared" si="578"/>
        <v>1721190.1752710205</v>
      </c>
      <c r="J929" s="123">
        <f t="shared" si="578"/>
        <v>2685056.6734227915</v>
      </c>
      <c r="K929" s="123">
        <f t="shared" si="578"/>
        <v>3723278.587146272</v>
      </c>
      <c r="L929" s="123">
        <f t="shared" si="578"/>
        <v>5122429.912719625</v>
      </c>
      <c r="M929" s="123">
        <f t="shared" si="578"/>
        <v>5327327.1092284098</v>
      </c>
      <c r="N929" s="123">
        <f t="shared" si="578"/>
        <v>5540420.1935975458</v>
      </c>
      <c r="O929" s="123">
        <f t="shared" si="578"/>
        <v>4355709.3264377732</v>
      </c>
      <c r="P929" s="123">
        <f t="shared" si="578"/>
        <v>3397453.2746214629</v>
      </c>
      <c r="Q929" s="123">
        <f t="shared" si="578"/>
        <v>2355567.603737548</v>
      </c>
      <c r="R929" s="123">
        <f t="shared" si="578"/>
        <v>1224895.1539435247</v>
      </c>
      <c r="S929" s="123">
        <f t="shared" si="578"/>
        <v>0</v>
      </c>
      <c r="T929" s="123">
        <f t="shared" si="578"/>
        <v>0</v>
      </c>
      <c r="U929" s="123">
        <f t="shared" si="578"/>
        <v>0</v>
      </c>
      <c r="V929" s="123">
        <f t="shared" si="578"/>
        <v>0</v>
      </c>
      <c r="W929" s="123">
        <f t="shared" si="578"/>
        <v>0</v>
      </c>
      <c r="X929" s="123">
        <f t="shared" si="578"/>
        <v>0</v>
      </c>
      <c r="Y929" s="123">
        <f t="shared" si="578"/>
        <v>0</v>
      </c>
      <c r="Z929" s="123">
        <f t="shared" si="578"/>
        <v>0</v>
      </c>
      <c r="AA929" s="123">
        <f t="shared" si="578"/>
        <v>0</v>
      </c>
      <c r="AB929" s="123">
        <f t="shared" si="578"/>
        <v>0</v>
      </c>
      <c r="AC929" s="123">
        <f t="shared" si="578"/>
        <v>0</v>
      </c>
      <c r="AD929" s="123">
        <f t="shared" si="578"/>
        <v>0</v>
      </c>
      <c r="AE929" s="123">
        <f t="shared" si="578"/>
        <v>0</v>
      </c>
      <c r="AF929" s="123">
        <f t="shared" si="578"/>
        <v>0</v>
      </c>
      <c r="AG929" s="123">
        <f t="shared" si="578"/>
        <v>0</v>
      </c>
      <c r="AH929" s="123">
        <f t="shared" si="578"/>
        <v>0</v>
      </c>
      <c r="AI929" s="123">
        <f t="shared" si="578"/>
        <v>0</v>
      </c>
      <c r="AJ929" s="123">
        <f t="shared" si="578"/>
        <v>0</v>
      </c>
      <c r="AK929" s="123">
        <f t="shared" si="578"/>
        <v>0</v>
      </c>
      <c r="AL929" s="123">
        <f t="shared" si="578"/>
        <v>0</v>
      </c>
      <c r="AM929" s="123">
        <f t="shared" si="578"/>
        <v>0</v>
      </c>
      <c r="AN929" s="123">
        <f t="shared" si="578"/>
        <v>0</v>
      </c>
      <c r="AO929" s="123">
        <f t="shared" si="578"/>
        <v>0</v>
      </c>
      <c r="AP929" s="123">
        <f t="shared" si="578"/>
        <v>0</v>
      </c>
      <c r="AQ929" s="123">
        <f t="shared" si="578"/>
        <v>0</v>
      </c>
      <c r="AR929" s="123">
        <f t="shared" si="578"/>
        <v>0</v>
      </c>
      <c r="AS929" s="123">
        <f t="shared" si="578"/>
        <v>0</v>
      </c>
      <c r="AT929" s="123">
        <f t="shared" si="578"/>
        <v>0</v>
      </c>
      <c r="AU929" s="123">
        <f t="shared" si="578"/>
        <v>0</v>
      </c>
      <c r="AV929" s="123">
        <f t="shared" si="578"/>
        <v>0</v>
      </c>
      <c r="AW929" s="123">
        <f t="shared" si="578"/>
        <v>0</v>
      </c>
      <c r="AX929" s="123">
        <f t="shared" si="578"/>
        <v>0</v>
      </c>
      <c r="AY929" s="123">
        <f t="shared" si="578"/>
        <v>0</v>
      </c>
      <c r="AZ929" s="123">
        <f t="shared" si="578"/>
        <v>0</v>
      </c>
      <c r="BA929" s="123">
        <f t="shared" si="578"/>
        <v>0</v>
      </c>
      <c r="BB929" s="123">
        <f t="shared" si="578"/>
        <v>0</v>
      </c>
      <c r="BC929" s="123">
        <f t="shared" si="578"/>
        <v>0</v>
      </c>
      <c r="BD929" s="123">
        <f t="shared" si="578"/>
        <v>0</v>
      </c>
      <c r="BE929" s="123">
        <f t="shared" si="578"/>
        <v>0</v>
      </c>
      <c r="BF929" s="123">
        <f t="shared" si="578"/>
        <v>0</v>
      </c>
      <c r="BG929" s="123">
        <f t="shared" si="578"/>
        <v>0</v>
      </c>
      <c r="BH929" s="123">
        <f t="shared" si="578"/>
        <v>0</v>
      </c>
      <c r="BI929" s="123">
        <f t="shared" si="578"/>
        <v>0</v>
      </c>
      <c r="BJ929" s="124">
        <f t="shared" si="578"/>
        <v>0</v>
      </c>
    </row>
    <row r="930" spans="1:64" s="125" customFormat="1" ht="12.75">
      <c r="A930" s="120" t="s">
        <v>120</v>
      </c>
      <c r="B930" s="211">
        <f t="shared" si="577"/>
        <v>52924521.503814273</v>
      </c>
      <c r="C930" s="122">
        <f>C873*(1+$G865)^(C866-1)</f>
        <v>0</v>
      </c>
      <c r="D930" s="123">
        <f>D873*(1+$G865)^(D866-1)</f>
        <v>0</v>
      </c>
      <c r="E930" s="123">
        <f t="shared" ref="E930:BJ930" si="579">E873*(1+$G865)^(E866-1)</f>
        <v>0</v>
      </c>
      <c r="F930" s="123">
        <f t="shared" si="579"/>
        <v>0</v>
      </c>
      <c r="G930" s="123">
        <f t="shared" si="579"/>
        <v>0</v>
      </c>
      <c r="H930" s="123">
        <f t="shared" si="579"/>
        <v>1207105.7818395167</v>
      </c>
      <c r="I930" s="123">
        <f t="shared" si="579"/>
        <v>2510780.0262261946</v>
      </c>
      <c r="J930" s="123">
        <f t="shared" si="579"/>
        <v>3916816.8409128631</v>
      </c>
      <c r="K930" s="123">
        <f t="shared" si="579"/>
        <v>5431319.3527325047</v>
      </c>
      <c r="L930" s="123">
        <f t="shared" si="579"/>
        <v>7472326.3561360203</v>
      </c>
      <c r="M930" s="123">
        <f t="shared" si="579"/>
        <v>7771219.4103814606</v>
      </c>
      <c r="N930" s="123">
        <f t="shared" si="579"/>
        <v>8082068.1867967183</v>
      </c>
      <c r="O930" s="123">
        <f t="shared" si="579"/>
        <v>6353875.4368877811</v>
      </c>
      <c r="P930" s="123">
        <f t="shared" si="579"/>
        <v>4956022.8407724695</v>
      </c>
      <c r="Q930" s="123">
        <f t="shared" si="579"/>
        <v>3436175.8362689121</v>
      </c>
      <c r="R930" s="123">
        <f t="shared" si="579"/>
        <v>1786811.4348598344</v>
      </c>
      <c r="S930" s="123">
        <f t="shared" si="579"/>
        <v>0</v>
      </c>
      <c r="T930" s="123">
        <f t="shared" si="579"/>
        <v>0</v>
      </c>
      <c r="U930" s="123">
        <f t="shared" si="579"/>
        <v>0</v>
      </c>
      <c r="V930" s="123">
        <f t="shared" si="579"/>
        <v>0</v>
      </c>
      <c r="W930" s="123">
        <f t="shared" si="579"/>
        <v>0</v>
      </c>
      <c r="X930" s="123">
        <f t="shared" si="579"/>
        <v>0</v>
      </c>
      <c r="Y930" s="123">
        <f t="shared" si="579"/>
        <v>0</v>
      </c>
      <c r="Z930" s="123">
        <f t="shared" si="579"/>
        <v>0</v>
      </c>
      <c r="AA930" s="123">
        <f t="shared" si="579"/>
        <v>0</v>
      </c>
      <c r="AB930" s="123">
        <f t="shared" si="579"/>
        <v>0</v>
      </c>
      <c r="AC930" s="123">
        <f t="shared" si="579"/>
        <v>0</v>
      </c>
      <c r="AD930" s="123">
        <f t="shared" si="579"/>
        <v>0</v>
      </c>
      <c r="AE930" s="123">
        <f t="shared" si="579"/>
        <v>0</v>
      </c>
      <c r="AF930" s="123">
        <f t="shared" si="579"/>
        <v>0</v>
      </c>
      <c r="AG930" s="123">
        <f t="shared" si="579"/>
        <v>0</v>
      </c>
      <c r="AH930" s="123">
        <f t="shared" si="579"/>
        <v>0</v>
      </c>
      <c r="AI930" s="123">
        <f t="shared" si="579"/>
        <v>0</v>
      </c>
      <c r="AJ930" s="123">
        <f t="shared" si="579"/>
        <v>0</v>
      </c>
      <c r="AK930" s="123">
        <f t="shared" si="579"/>
        <v>0</v>
      </c>
      <c r="AL930" s="123">
        <f t="shared" si="579"/>
        <v>0</v>
      </c>
      <c r="AM930" s="123">
        <f t="shared" si="579"/>
        <v>0</v>
      </c>
      <c r="AN930" s="123">
        <f t="shared" si="579"/>
        <v>0</v>
      </c>
      <c r="AO930" s="123">
        <f t="shared" si="579"/>
        <v>0</v>
      </c>
      <c r="AP930" s="123">
        <f t="shared" si="579"/>
        <v>0</v>
      </c>
      <c r="AQ930" s="123">
        <f t="shared" si="579"/>
        <v>0</v>
      </c>
      <c r="AR930" s="123">
        <f t="shared" si="579"/>
        <v>0</v>
      </c>
      <c r="AS930" s="123">
        <f t="shared" si="579"/>
        <v>0</v>
      </c>
      <c r="AT930" s="123">
        <f t="shared" si="579"/>
        <v>0</v>
      </c>
      <c r="AU930" s="123">
        <f t="shared" si="579"/>
        <v>0</v>
      </c>
      <c r="AV930" s="123">
        <f t="shared" si="579"/>
        <v>0</v>
      </c>
      <c r="AW930" s="123">
        <f t="shared" si="579"/>
        <v>0</v>
      </c>
      <c r="AX930" s="123">
        <f t="shared" si="579"/>
        <v>0</v>
      </c>
      <c r="AY930" s="123">
        <f t="shared" si="579"/>
        <v>0</v>
      </c>
      <c r="AZ930" s="123">
        <f t="shared" si="579"/>
        <v>0</v>
      </c>
      <c r="BA930" s="123">
        <f t="shared" si="579"/>
        <v>0</v>
      </c>
      <c r="BB930" s="123">
        <f t="shared" si="579"/>
        <v>0</v>
      </c>
      <c r="BC930" s="123">
        <f t="shared" si="579"/>
        <v>0</v>
      </c>
      <c r="BD930" s="123">
        <f t="shared" si="579"/>
        <v>0</v>
      </c>
      <c r="BE930" s="123">
        <f t="shared" si="579"/>
        <v>0</v>
      </c>
      <c r="BF930" s="123">
        <f t="shared" si="579"/>
        <v>0</v>
      </c>
      <c r="BG930" s="123">
        <f t="shared" si="579"/>
        <v>0</v>
      </c>
      <c r="BH930" s="123">
        <f t="shared" si="579"/>
        <v>0</v>
      </c>
      <c r="BI930" s="123">
        <f t="shared" si="579"/>
        <v>0</v>
      </c>
      <c r="BJ930" s="124">
        <f t="shared" si="579"/>
        <v>0</v>
      </c>
    </row>
    <row r="931" spans="1:64" s="125" customFormat="1" ht="12.75">
      <c r="A931" s="120" t="s">
        <v>121</v>
      </c>
      <c r="B931" s="211">
        <f t="shared" si="577"/>
        <v>10722103.119394379</v>
      </c>
      <c r="C931" s="122">
        <f>C874*(1+$G865)^(C866-1)</f>
        <v>0</v>
      </c>
      <c r="D931" s="123">
        <f>D874*(1+$G865)^(D866-1)</f>
        <v>0</v>
      </c>
      <c r="E931" s="123">
        <f t="shared" ref="E931:BJ931" si="580">E874*(1+$G865)^(E866-1)</f>
        <v>0</v>
      </c>
      <c r="F931" s="123">
        <f t="shared" si="580"/>
        <v>0</v>
      </c>
      <c r="G931" s="123">
        <f t="shared" si="580"/>
        <v>0</v>
      </c>
      <c r="H931" s="123">
        <f t="shared" si="580"/>
        <v>244550.39556602677</v>
      </c>
      <c r="I931" s="123">
        <f t="shared" si="580"/>
        <v>508664.82277733571</v>
      </c>
      <c r="J931" s="123">
        <f t="shared" si="580"/>
        <v>793517.12353264366</v>
      </c>
      <c r="K931" s="123">
        <f t="shared" si="580"/>
        <v>1100343.7446319326</v>
      </c>
      <c r="L931" s="123">
        <f t="shared" si="580"/>
        <v>1513836.1473232151</v>
      </c>
      <c r="M931" s="123">
        <f t="shared" si="580"/>
        <v>1574389.5932161438</v>
      </c>
      <c r="N931" s="123">
        <f t="shared" si="580"/>
        <v>1637365.1769447892</v>
      </c>
      <c r="O931" s="123">
        <f t="shared" si="580"/>
        <v>1287246.5486001207</v>
      </c>
      <c r="P931" s="123">
        <f t="shared" si="580"/>
        <v>1004052.3079080943</v>
      </c>
      <c r="Q931" s="123">
        <f t="shared" si="580"/>
        <v>696142.93348294531</v>
      </c>
      <c r="R931" s="123">
        <f t="shared" si="580"/>
        <v>361994.32541113155</v>
      </c>
      <c r="S931" s="123">
        <f t="shared" si="580"/>
        <v>0</v>
      </c>
      <c r="T931" s="123">
        <f t="shared" si="580"/>
        <v>0</v>
      </c>
      <c r="U931" s="123">
        <f t="shared" si="580"/>
        <v>0</v>
      </c>
      <c r="V931" s="123">
        <f t="shared" si="580"/>
        <v>0</v>
      </c>
      <c r="W931" s="123">
        <f t="shared" si="580"/>
        <v>0</v>
      </c>
      <c r="X931" s="123">
        <f t="shared" si="580"/>
        <v>0</v>
      </c>
      <c r="Y931" s="123">
        <f t="shared" si="580"/>
        <v>0</v>
      </c>
      <c r="Z931" s="123">
        <f t="shared" si="580"/>
        <v>0</v>
      </c>
      <c r="AA931" s="123">
        <f t="shared" si="580"/>
        <v>0</v>
      </c>
      <c r="AB931" s="123">
        <f t="shared" si="580"/>
        <v>0</v>
      </c>
      <c r="AC931" s="123">
        <f t="shared" si="580"/>
        <v>0</v>
      </c>
      <c r="AD931" s="123">
        <f t="shared" si="580"/>
        <v>0</v>
      </c>
      <c r="AE931" s="123">
        <f t="shared" si="580"/>
        <v>0</v>
      </c>
      <c r="AF931" s="123">
        <f t="shared" si="580"/>
        <v>0</v>
      </c>
      <c r="AG931" s="123">
        <f t="shared" si="580"/>
        <v>0</v>
      </c>
      <c r="AH931" s="123">
        <f t="shared" si="580"/>
        <v>0</v>
      </c>
      <c r="AI931" s="123">
        <f t="shared" si="580"/>
        <v>0</v>
      </c>
      <c r="AJ931" s="123">
        <f t="shared" si="580"/>
        <v>0</v>
      </c>
      <c r="AK931" s="123">
        <f t="shared" si="580"/>
        <v>0</v>
      </c>
      <c r="AL931" s="123">
        <f t="shared" si="580"/>
        <v>0</v>
      </c>
      <c r="AM931" s="123">
        <f t="shared" si="580"/>
        <v>0</v>
      </c>
      <c r="AN931" s="123">
        <f t="shared" si="580"/>
        <v>0</v>
      </c>
      <c r="AO931" s="123">
        <f t="shared" si="580"/>
        <v>0</v>
      </c>
      <c r="AP931" s="123">
        <f t="shared" si="580"/>
        <v>0</v>
      </c>
      <c r="AQ931" s="123">
        <f t="shared" si="580"/>
        <v>0</v>
      </c>
      <c r="AR931" s="123">
        <f t="shared" si="580"/>
        <v>0</v>
      </c>
      <c r="AS931" s="123">
        <f t="shared" si="580"/>
        <v>0</v>
      </c>
      <c r="AT931" s="123">
        <f t="shared" si="580"/>
        <v>0</v>
      </c>
      <c r="AU931" s="123">
        <f t="shared" si="580"/>
        <v>0</v>
      </c>
      <c r="AV931" s="123">
        <f t="shared" si="580"/>
        <v>0</v>
      </c>
      <c r="AW931" s="123">
        <f t="shared" si="580"/>
        <v>0</v>
      </c>
      <c r="AX931" s="123">
        <f t="shared" si="580"/>
        <v>0</v>
      </c>
      <c r="AY931" s="123">
        <f t="shared" si="580"/>
        <v>0</v>
      </c>
      <c r="AZ931" s="123">
        <f t="shared" si="580"/>
        <v>0</v>
      </c>
      <c r="BA931" s="123">
        <f t="shared" si="580"/>
        <v>0</v>
      </c>
      <c r="BB931" s="123">
        <f t="shared" si="580"/>
        <v>0</v>
      </c>
      <c r="BC931" s="123">
        <f t="shared" si="580"/>
        <v>0</v>
      </c>
      <c r="BD931" s="123">
        <f t="shared" si="580"/>
        <v>0</v>
      </c>
      <c r="BE931" s="123">
        <f t="shared" si="580"/>
        <v>0</v>
      </c>
      <c r="BF931" s="123">
        <f t="shared" si="580"/>
        <v>0</v>
      </c>
      <c r="BG931" s="123">
        <f t="shared" si="580"/>
        <v>0</v>
      </c>
      <c r="BH931" s="123">
        <f t="shared" si="580"/>
        <v>0</v>
      </c>
      <c r="BI931" s="123">
        <f t="shared" si="580"/>
        <v>0</v>
      </c>
      <c r="BJ931" s="124">
        <f t="shared" si="580"/>
        <v>0</v>
      </c>
    </row>
    <row r="932" spans="1:64" s="125" customFormat="1" ht="12.75">
      <c r="A932" s="120" t="s">
        <v>122</v>
      </c>
      <c r="B932" s="211">
        <f t="shared" si="577"/>
        <v>2042410.0404728241</v>
      </c>
      <c r="C932" s="122">
        <f>C875*(1+$G865)^(C866-1)</f>
        <v>0</v>
      </c>
      <c r="D932" s="123">
        <f>D875*(1+$G865)^(D866-1)</f>
        <v>0</v>
      </c>
      <c r="E932" s="123">
        <f t="shared" ref="E932:BJ932" si="581">E875*(1+$G865)^(E866-1)</f>
        <v>0</v>
      </c>
      <c r="F932" s="123">
        <f t="shared" si="581"/>
        <v>0</v>
      </c>
      <c r="G932" s="123">
        <f t="shared" si="581"/>
        <v>0</v>
      </c>
      <c r="H932" s="123">
        <f t="shared" si="581"/>
        <v>46583.415375123324</v>
      </c>
      <c r="I932" s="123">
        <f t="shared" si="581"/>
        <v>96893.503980256515</v>
      </c>
      <c r="J932" s="123">
        <f t="shared" si="581"/>
        <v>151153.86620920015</v>
      </c>
      <c r="K932" s="123">
        <f t="shared" si="581"/>
        <v>209600.02781009092</v>
      </c>
      <c r="L932" s="123">
        <f t="shared" si="581"/>
        <v>288364.52256563189</v>
      </c>
      <c r="M932" s="123">
        <f t="shared" si="581"/>
        <v>299899.10346825712</v>
      </c>
      <c r="N932" s="123">
        <f t="shared" si="581"/>
        <v>311895.06760698737</v>
      </c>
      <c r="O932" s="123">
        <f t="shared" si="581"/>
        <v>245202.38670987295</v>
      </c>
      <c r="P932" s="123">
        <f t="shared" si="581"/>
        <v>191257.86163370093</v>
      </c>
      <c r="Q932" s="123">
        <f t="shared" si="581"/>
        <v>132605.4507326993</v>
      </c>
      <c r="R932" s="123">
        <f t="shared" si="581"/>
        <v>68954.834381003631</v>
      </c>
      <c r="S932" s="123">
        <f t="shared" si="581"/>
        <v>0</v>
      </c>
      <c r="T932" s="123">
        <f t="shared" si="581"/>
        <v>0</v>
      </c>
      <c r="U932" s="123">
        <f t="shared" si="581"/>
        <v>0</v>
      </c>
      <c r="V932" s="123">
        <f t="shared" si="581"/>
        <v>0</v>
      </c>
      <c r="W932" s="123">
        <f t="shared" si="581"/>
        <v>0</v>
      </c>
      <c r="X932" s="123">
        <f t="shared" si="581"/>
        <v>0</v>
      </c>
      <c r="Y932" s="123">
        <f t="shared" si="581"/>
        <v>0</v>
      </c>
      <c r="Z932" s="123">
        <f t="shared" si="581"/>
        <v>0</v>
      </c>
      <c r="AA932" s="123">
        <f t="shared" si="581"/>
        <v>0</v>
      </c>
      <c r="AB932" s="123">
        <f t="shared" si="581"/>
        <v>0</v>
      </c>
      <c r="AC932" s="123">
        <f t="shared" si="581"/>
        <v>0</v>
      </c>
      <c r="AD932" s="123">
        <f t="shared" si="581"/>
        <v>0</v>
      </c>
      <c r="AE932" s="123">
        <f t="shared" si="581"/>
        <v>0</v>
      </c>
      <c r="AF932" s="123">
        <f t="shared" si="581"/>
        <v>0</v>
      </c>
      <c r="AG932" s="123">
        <f t="shared" si="581"/>
        <v>0</v>
      </c>
      <c r="AH932" s="123">
        <f t="shared" si="581"/>
        <v>0</v>
      </c>
      <c r="AI932" s="123">
        <f t="shared" si="581"/>
        <v>0</v>
      </c>
      <c r="AJ932" s="123">
        <f t="shared" si="581"/>
        <v>0</v>
      </c>
      <c r="AK932" s="123">
        <f t="shared" si="581"/>
        <v>0</v>
      </c>
      <c r="AL932" s="123">
        <f t="shared" si="581"/>
        <v>0</v>
      </c>
      <c r="AM932" s="123">
        <f t="shared" si="581"/>
        <v>0</v>
      </c>
      <c r="AN932" s="123">
        <f t="shared" si="581"/>
        <v>0</v>
      </c>
      <c r="AO932" s="123">
        <f t="shared" si="581"/>
        <v>0</v>
      </c>
      <c r="AP932" s="123">
        <f t="shared" si="581"/>
        <v>0</v>
      </c>
      <c r="AQ932" s="123">
        <f t="shared" si="581"/>
        <v>0</v>
      </c>
      <c r="AR932" s="123">
        <f t="shared" si="581"/>
        <v>0</v>
      </c>
      <c r="AS932" s="123">
        <f t="shared" si="581"/>
        <v>0</v>
      </c>
      <c r="AT932" s="123">
        <f t="shared" si="581"/>
        <v>0</v>
      </c>
      <c r="AU932" s="123">
        <f t="shared" si="581"/>
        <v>0</v>
      </c>
      <c r="AV932" s="123">
        <f t="shared" si="581"/>
        <v>0</v>
      </c>
      <c r="AW932" s="123">
        <f t="shared" si="581"/>
        <v>0</v>
      </c>
      <c r="AX932" s="123">
        <f t="shared" si="581"/>
        <v>0</v>
      </c>
      <c r="AY932" s="123">
        <f t="shared" si="581"/>
        <v>0</v>
      </c>
      <c r="AZ932" s="123">
        <f t="shared" si="581"/>
        <v>0</v>
      </c>
      <c r="BA932" s="123">
        <f t="shared" si="581"/>
        <v>0</v>
      </c>
      <c r="BB932" s="123">
        <f t="shared" si="581"/>
        <v>0</v>
      </c>
      <c r="BC932" s="123">
        <f t="shared" si="581"/>
        <v>0</v>
      </c>
      <c r="BD932" s="123">
        <f t="shared" si="581"/>
        <v>0</v>
      </c>
      <c r="BE932" s="123">
        <f t="shared" si="581"/>
        <v>0</v>
      </c>
      <c r="BF932" s="123">
        <f t="shared" si="581"/>
        <v>0</v>
      </c>
      <c r="BG932" s="123">
        <f t="shared" si="581"/>
        <v>0</v>
      </c>
      <c r="BH932" s="123">
        <f t="shared" si="581"/>
        <v>0</v>
      </c>
      <c r="BI932" s="123">
        <f t="shared" si="581"/>
        <v>0</v>
      </c>
      <c r="BJ932" s="124">
        <f t="shared" si="581"/>
        <v>0</v>
      </c>
    </row>
    <row r="933" spans="1:64" s="116" customFormat="1">
      <c r="A933" s="212" t="s">
        <v>123</v>
      </c>
      <c r="B933" s="197">
        <f t="shared" si="577"/>
        <v>67489773.795883745</v>
      </c>
      <c r="C933" s="133">
        <f>C876*(1+$G865)^(C866-1)</f>
        <v>12460442.126231814</v>
      </c>
      <c r="D933" s="134">
        <f>D876*(1+$G865)^(D866-1)</f>
        <v>12958859.811281087</v>
      </c>
      <c r="E933" s="134">
        <f t="shared" ref="E933:BJ933" si="582">E876*(1+$G865)^(E866-1)</f>
        <v>13477214.20373233</v>
      </c>
      <c r="F933" s="134">
        <f t="shared" si="582"/>
        <v>14016302.771881623</v>
      </c>
      <c r="G933" s="134">
        <f t="shared" si="582"/>
        <v>14576954.882756891</v>
      </c>
      <c r="H933" s="134">
        <f t="shared" si="582"/>
        <v>0</v>
      </c>
      <c r="I933" s="134">
        <f t="shared" si="582"/>
        <v>0</v>
      </c>
      <c r="J933" s="134">
        <f t="shared" si="582"/>
        <v>0</v>
      </c>
      <c r="K933" s="134">
        <f t="shared" si="582"/>
        <v>0</v>
      </c>
      <c r="L933" s="134">
        <f t="shared" si="582"/>
        <v>0</v>
      </c>
      <c r="M933" s="134">
        <f t="shared" si="582"/>
        <v>0</v>
      </c>
      <c r="N933" s="134">
        <f t="shared" si="582"/>
        <v>0</v>
      </c>
      <c r="O933" s="134">
        <f t="shared" si="582"/>
        <v>0</v>
      </c>
      <c r="P933" s="134">
        <f t="shared" si="582"/>
        <v>0</v>
      </c>
      <c r="Q933" s="134">
        <f t="shared" si="582"/>
        <v>0</v>
      </c>
      <c r="R933" s="134">
        <f t="shared" si="582"/>
        <v>0</v>
      </c>
      <c r="S933" s="134">
        <f t="shared" si="582"/>
        <v>0</v>
      </c>
      <c r="T933" s="134">
        <f t="shared" si="582"/>
        <v>0</v>
      </c>
      <c r="U933" s="134">
        <f t="shared" si="582"/>
        <v>0</v>
      </c>
      <c r="V933" s="134">
        <f t="shared" si="582"/>
        <v>0</v>
      </c>
      <c r="W933" s="134">
        <f t="shared" si="582"/>
        <v>0</v>
      </c>
      <c r="X933" s="134">
        <f t="shared" si="582"/>
        <v>0</v>
      </c>
      <c r="Y933" s="134">
        <f t="shared" si="582"/>
        <v>0</v>
      </c>
      <c r="Z933" s="134">
        <f t="shared" si="582"/>
        <v>0</v>
      </c>
      <c r="AA933" s="134">
        <f t="shared" si="582"/>
        <v>0</v>
      </c>
      <c r="AB933" s="134">
        <f t="shared" si="582"/>
        <v>0</v>
      </c>
      <c r="AC933" s="134">
        <f t="shared" si="582"/>
        <v>0</v>
      </c>
      <c r="AD933" s="134">
        <f t="shared" si="582"/>
        <v>0</v>
      </c>
      <c r="AE933" s="134">
        <f t="shared" si="582"/>
        <v>0</v>
      </c>
      <c r="AF933" s="134">
        <f t="shared" si="582"/>
        <v>0</v>
      </c>
      <c r="AG933" s="134">
        <f t="shared" si="582"/>
        <v>0</v>
      </c>
      <c r="AH933" s="134">
        <f t="shared" si="582"/>
        <v>0</v>
      </c>
      <c r="AI933" s="134">
        <f t="shared" si="582"/>
        <v>0</v>
      </c>
      <c r="AJ933" s="134">
        <f t="shared" si="582"/>
        <v>0</v>
      </c>
      <c r="AK933" s="134">
        <f t="shared" si="582"/>
        <v>0</v>
      </c>
      <c r="AL933" s="134">
        <f t="shared" si="582"/>
        <v>0</v>
      </c>
      <c r="AM933" s="134">
        <f t="shared" si="582"/>
        <v>0</v>
      </c>
      <c r="AN933" s="134">
        <f t="shared" si="582"/>
        <v>0</v>
      </c>
      <c r="AO933" s="134">
        <f t="shared" si="582"/>
        <v>0</v>
      </c>
      <c r="AP933" s="134">
        <f t="shared" si="582"/>
        <v>0</v>
      </c>
      <c r="AQ933" s="134">
        <f t="shared" si="582"/>
        <v>0</v>
      </c>
      <c r="AR933" s="134">
        <f t="shared" si="582"/>
        <v>0</v>
      </c>
      <c r="AS933" s="134">
        <f t="shared" si="582"/>
        <v>0</v>
      </c>
      <c r="AT933" s="134">
        <f t="shared" si="582"/>
        <v>0</v>
      </c>
      <c r="AU933" s="134">
        <f t="shared" si="582"/>
        <v>0</v>
      </c>
      <c r="AV933" s="134">
        <f t="shared" si="582"/>
        <v>0</v>
      </c>
      <c r="AW933" s="134">
        <f t="shared" si="582"/>
        <v>0</v>
      </c>
      <c r="AX933" s="134">
        <f t="shared" si="582"/>
        <v>0</v>
      </c>
      <c r="AY933" s="134">
        <f t="shared" si="582"/>
        <v>0</v>
      </c>
      <c r="AZ933" s="134">
        <f t="shared" si="582"/>
        <v>0</v>
      </c>
      <c r="BA933" s="134">
        <f t="shared" si="582"/>
        <v>0</v>
      </c>
      <c r="BB933" s="134">
        <f t="shared" si="582"/>
        <v>0</v>
      </c>
      <c r="BC933" s="134">
        <f t="shared" si="582"/>
        <v>0</v>
      </c>
      <c r="BD933" s="134">
        <f t="shared" si="582"/>
        <v>0</v>
      </c>
      <c r="BE933" s="134">
        <f t="shared" si="582"/>
        <v>0</v>
      </c>
      <c r="BF933" s="134">
        <f t="shared" si="582"/>
        <v>0</v>
      </c>
      <c r="BG933" s="134">
        <f t="shared" si="582"/>
        <v>0</v>
      </c>
      <c r="BH933" s="134">
        <f t="shared" si="582"/>
        <v>0</v>
      </c>
      <c r="BI933" s="134">
        <f t="shared" si="582"/>
        <v>0</v>
      </c>
      <c r="BJ933" s="135">
        <f t="shared" si="582"/>
        <v>0</v>
      </c>
    </row>
    <row r="934" spans="1:64" s="105" customFormat="1" ht="22.5" customHeight="1">
      <c r="A934" s="131" t="s">
        <v>124</v>
      </c>
      <c r="B934" s="132">
        <f t="shared" si="577"/>
        <v>1897195740.4901528</v>
      </c>
      <c r="C934" s="133">
        <f>C925-C927-C928-C933</f>
        <v>2516050.8139506523</v>
      </c>
      <c r="D934" s="134">
        <f>D925-D927-D928-D933</f>
        <v>3239714.9528202713</v>
      </c>
      <c r="E934" s="134">
        <f t="shared" ref="E934:BJ934" si="583">E925-E927-E928-E933</f>
        <v>3369303.5509330817</v>
      </c>
      <c r="F934" s="134">
        <f t="shared" si="583"/>
        <v>3504075.6929704081</v>
      </c>
      <c r="G934" s="134">
        <f t="shared" si="583"/>
        <v>3644238.7206892204</v>
      </c>
      <c r="H934" s="134">
        <f t="shared" si="583"/>
        <v>42900194.229835607</v>
      </c>
      <c r="I934" s="134">
        <f t="shared" si="583"/>
        <v>89232403.998058081</v>
      </c>
      <c r="J934" s="134">
        <f t="shared" si="583"/>
        <v>139202550.23697066</v>
      </c>
      <c r="K934" s="134">
        <f t="shared" si="583"/>
        <v>193027536.32859924</v>
      </c>
      <c r="L934" s="134">
        <f t="shared" si="583"/>
        <v>265564341.46015364</v>
      </c>
      <c r="M934" s="134">
        <f t="shared" si="583"/>
        <v>276186915.11855972</v>
      </c>
      <c r="N934" s="134">
        <f t="shared" si="583"/>
        <v>287234391.72330213</v>
      </c>
      <c r="O934" s="134">
        <f t="shared" si="583"/>
        <v>225814915.68972287</v>
      </c>
      <c r="P934" s="134">
        <f t="shared" si="583"/>
        <v>176135634.23798394</v>
      </c>
      <c r="Q934" s="134">
        <f t="shared" si="583"/>
        <v>122120706.40500212</v>
      </c>
      <c r="R934" s="134">
        <f t="shared" si="583"/>
        <v>63502767.330601104</v>
      </c>
      <c r="S934" s="134">
        <f t="shared" si="583"/>
        <v>0</v>
      </c>
      <c r="T934" s="134">
        <f t="shared" si="583"/>
        <v>0</v>
      </c>
      <c r="U934" s="134">
        <f t="shared" si="583"/>
        <v>0</v>
      </c>
      <c r="V934" s="134">
        <f t="shared" si="583"/>
        <v>0</v>
      </c>
      <c r="W934" s="134">
        <f t="shared" si="583"/>
        <v>0</v>
      </c>
      <c r="X934" s="134">
        <f t="shared" si="583"/>
        <v>0</v>
      </c>
      <c r="Y934" s="134">
        <f t="shared" si="583"/>
        <v>0</v>
      </c>
      <c r="Z934" s="134">
        <f t="shared" si="583"/>
        <v>0</v>
      </c>
      <c r="AA934" s="134">
        <f t="shared" si="583"/>
        <v>0</v>
      </c>
      <c r="AB934" s="134">
        <f t="shared" si="583"/>
        <v>0</v>
      </c>
      <c r="AC934" s="134">
        <f t="shared" si="583"/>
        <v>0</v>
      </c>
      <c r="AD934" s="134">
        <f t="shared" si="583"/>
        <v>0</v>
      </c>
      <c r="AE934" s="134">
        <f t="shared" si="583"/>
        <v>0</v>
      </c>
      <c r="AF934" s="134">
        <f t="shared" si="583"/>
        <v>0</v>
      </c>
      <c r="AG934" s="134">
        <f t="shared" si="583"/>
        <v>0</v>
      </c>
      <c r="AH934" s="134">
        <f t="shared" si="583"/>
        <v>0</v>
      </c>
      <c r="AI934" s="134">
        <f t="shared" si="583"/>
        <v>0</v>
      </c>
      <c r="AJ934" s="134">
        <f t="shared" si="583"/>
        <v>0</v>
      </c>
      <c r="AK934" s="134">
        <f t="shared" si="583"/>
        <v>0</v>
      </c>
      <c r="AL934" s="134">
        <f t="shared" si="583"/>
        <v>0</v>
      </c>
      <c r="AM934" s="134">
        <f t="shared" si="583"/>
        <v>0</v>
      </c>
      <c r="AN934" s="134">
        <f t="shared" si="583"/>
        <v>0</v>
      </c>
      <c r="AO934" s="134">
        <f t="shared" si="583"/>
        <v>0</v>
      </c>
      <c r="AP934" s="134">
        <f t="shared" si="583"/>
        <v>0</v>
      </c>
      <c r="AQ934" s="134">
        <f t="shared" si="583"/>
        <v>0</v>
      </c>
      <c r="AR934" s="134">
        <f t="shared" si="583"/>
        <v>0</v>
      </c>
      <c r="AS934" s="134">
        <f t="shared" si="583"/>
        <v>0</v>
      </c>
      <c r="AT934" s="134">
        <f t="shared" si="583"/>
        <v>0</v>
      </c>
      <c r="AU934" s="134">
        <f t="shared" si="583"/>
        <v>0</v>
      </c>
      <c r="AV934" s="134">
        <f t="shared" si="583"/>
        <v>0</v>
      </c>
      <c r="AW934" s="134">
        <f t="shared" si="583"/>
        <v>0</v>
      </c>
      <c r="AX934" s="134">
        <f t="shared" si="583"/>
        <v>0</v>
      </c>
      <c r="AY934" s="134">
        <f t="shared" si="583"/>
        <v>0</v>
      </c>
      <c r="AZ934" s="134">
        <f t="shared" si="583"/>
        <v>0</v>
      </c>
      <c r="BA934" s="134">
        <f t="shared" si="583"/>
        <v>0</v>
      </c>
      <c r="BB934" s="134">
        <f t="shared" si="583"/>
        <v>0</v>
      </c>
      <c r="BC934" s="134">
        <f t="shared" si="583"/>
        <v>0</v>
      </c>
      <c r="BD934" s="134">
        <f t="shared" si="583"/>
        <v>0</v>
      </c>
      <c r="BE934" s="134">
        <f t="shared" si="583"/>
        <v>0</v>
      </c>
      <c r="BF934" s="134">
        <f t="shared" si="583"/>
        <v>0</v>
      </c>
      <c r="BG934" s="134">
        <f t="shared" si="583"/>
        <v>0</v>
      </c>
      <c r="BH934" s="134">
        <f t="shared" si="583"/>
        <v>0</v>
      </c>
      <c r="BI934" s="134">
        <f t="shared" si="583"/>
        <v>0</v>
      </c>
      <c r="BJ934" s="135">
        <f t="shared" si="583"/>
        <v>0</v>
      </c>
      <c r="BK934" s="109"/>
      <c r="BL934" s="109"/>
    </row>
    <row r="935" spans="1:64" s="116" customFormat="1">
      <c r="A935" s="136" t="s">
        <v>125</v>
      </c>
      <c r="B935" s="137">
        <f t="shared" ref="B935:G935" si="584">SUM(B936:B939)</f>
        <v>119306951.1595085</v>
      </c>
      <c r="C935" s="113">
        <f t="shared" si="584"/>
        <v>20037731.68939089</v>
      </c>
      <c r="D935" s="114">
        <f t="shared" si="584"/>
        <v>23884388.713220522</v>
      </c>
      <c r="E935" s="114">
        <f t="shared" si="584"/>
        <v>24149420.411614906</v>
      </c>
      <c r="F935" s="114">
        <f t="shared" si="584"/>
        <v>25115397.228079498</v>
      </c>
      <c r="G935" s="114">
        <f t="shared" si="584"/>
        <v>26120013.117202684</v>
      </c>
      <c r="H935" s="114"/>
      <c r="I935" s="114"/>
      <c r="J935" s="114"/>
      <c r="K935" s="114"/>
      <c r="L935" s="114"/>
      <c r="M935" s="114"/>
      <c r="N935" s="114"/>
      <c r="O935" s="114"/>
      <c r="P935" s="114"/>
      <c r="Q935" s="114"/>
      <c r="R935" s="114"/>
      <c r="S935" s="114"/>
      <c r="T935" s="114"/>
      <c r="U935" s="114"/>
      <c r="V935" s="114"/>
      <c r="W935" s="114"/>
      <c r="X935" s="114"/>
      <c r="Y935" s="114"/>
      <c r="Z935" s="114"/>
      <c r="AA935" s="114"/>
      <c r="AB935" s="114"/>
      <c r="AC935" s="114"/>
      <c r="AD935" s="114"/>
      <c r="AE935" s="114"/>
      <c r="AF935" s="114"/>
      <c r="AG935" s="114"/>
      <c r="AH935" s="114"/>
      <c r="AI935" s="114"/>
      <c r="AJ935" s="114"/>
      <c r="AK935" s="114"/>
      <c r="AL935" s="114"/>
      <c r="AM935" s="114"/>
      <c r="AN935" s="114"/>
      <c r="AO935" s="114"/>
      <c r="AP935" s="114"/>
      <c r="AQ935" s="114"/>
      <c r="AR935" s="114"/>
      <c r="AS935" s="114"/>
      <c r="AT935" s="114"/>
      <c r="AU935" s="114"/>
      <c r="AV935" s="114"/>
      <c r="AW935" s="114"/>
      <c r="AX935" s="114"/>
      <c r="AY935" s="114"/>
      <c r="AZ935" s="114"/>
      <c r="BA935" s="114"/>
      <c r="BB935" s="114"/>
      <c r="BC935" s="114"/>
      <c r="BD935" s="114"/>
      <c r="BE935" s="114"/>
      <c r="BF935" s="114"/>
      <c r="BG935" s="114"/>
      <c r="BH935" s="114"/>
      <c r="BI935" s="114"/>
      <c r="BJ935" s="115"/>
    </row>
    <row r="936" spans="1:64" s="143" customFormat="1" ht="12.75">
      <c r="A936" s="138" t="s">
        <v>126</v>
      </c>
      <c r="B936" s="139">
        <f>SUM(C936:BJ936)</f>
        <v>17616947.768139075</v>
      </c>
      <c r="C936" s="140">
        <f>C879*(1+$G865)^(C866-1)</f>
        <v>0</v>
      </c>
      <c r="D936" s="141">
        <f>D879*(1+$G865)^(D866-1)</f>
        <v>0</v>
      </c>
      <c r="E936" s="141">
        <f>E879*(1+$G865)^(E866-1)</f>
        <v>5643563.482873871</v>
      </c>
      <c r="F936" s="141">
        <f>F879*(1+$G865)^(F866-1)</f>
        <v>5869306.0221888255</v>
      </c>
      <c r="G936" s="141">
        <f>G879*(1+$G865)^(G866-1)</f>
        <v>6104078.2630763799</v>
      </c>
      <c r="H936" s="141"/>
      <c r="I936" s="141"/>
      <c r="J936" s="141"/>
      <c r="K936" s="141"/>
      <c r="L936" s="141"/>
      <c r="M936" s="141"/>
      <c r="N936" s="141"/>
      <c r="O936" s="141"/>
      <c r="P936" s="141"/>
      <c r="Q936" s="141"/>
      <c r="R936" s="141"/>
      <c r="S936" s="141"/>
      <c r="T936" s="141"/>
      <c r="U936" s="141"/>
      <c r="V936" s="141"/>
      <c r="W936" s="141"/>
      <c r="X936" s="141"/>
      <c r="Y936" s="141"/>
      <c r="Z936" s="141"/>
      <c r="AA936" s="141"/>
      <c r="AB936" s="141"/>
      <c r="AC936" s="141"/>
      <c r="AD936" s="141"/>
      <c r="AE936" s="141"/>
      <c r="AF936" s="141"/>
      <c r="AG936" s="141"/>
      <c r="AH936" s="141"/>
      <c r="AI936" s="141"/>
      <c r="AJ936" s="141"/>
      <c r="AK936" s="141"/>
      <c r="AL936" s="141"/>
      <c r="AM936" s="141"/>
      <c r="AN936" s="141"/>
      <c r="AO936" s="141"/>
      <c r="AP936" s="141"/>
      <c r="AQ936" s="141"/>
      <c r="AR936" s="141"/>
      <c r="AS936" s="141"/>
      <c r="AT936" s="141"/>
      <c r="AU936" s="141"/>
      <c r="AV936" s="141"/>
      <c r="AW936" s="141"/>
      <c r="AX936" s="141"/>
      <c r="AY936" s="141"/>
      <c r="AZ936" s="141"/>
      <c r="BA936" s="141"/>
      <c r="BB936" s="141"/>
      <c r="BC936" s="141"/>
      <c r="BD936" s="141"/>
      <c r="BE936" s="141"/>
      <c r="BF936" s="141"/>
      <c r="BG936" s="141"/>
      <c r="BH936" s="141"/>
      <c r="BI936" s="141"/>
      <c r="BJ936" s="142"/>
      <c r="BK936" s="141"/>
      <c r="BL936" s="141"/>
    </row>
    <row r="937" spans="1:64" s="143" customFormat="1" ht="12.75">
      <c r="A937" s="138" t="s">
        <v>127</v>
      </c>
      <c r="B937" s="139">
        <f>SUM(C937:BJ937)</f>
        <v>0</v>
      </c>
      <c r="C937" s="140">
        <f>C880*(1+$G865)^(C866-1)</f>
        <v>0</v>
      </c>
      <c r="D937" s="141">
        <f>D880*(1+$G865)^(D866-1)</f>
        <v>0</v>
      </c>
      <c r="E937" s="141">
        <f>E880*(1+$G865)^(E866-1)</f>
        <v>0</v>
      </c>
      <c r="F937" s="141">
        <f>F880*(1+$G865)^(F866-1)</f>
        <v>0</v>
      </c>
      <c r="G937" s="141">
        <f>G880*(1+$G865)^(G866-1)</f>
        <v>0</v>
      </c>
      <c r="H937" s="141"/>
      <c r="I937" s="141"/>
      <c r="J937" s="141"/>
      <c r="K937" s="141"/>
      <c r="L937" s="141"/>
      <c r="M937" s="141"/>
      <c r="N937" s="141"/>
      <c r="O937" s="141"/>
      <c r="P937" s="141"/>
      <c r="Q937" s="141"/>
      <c r="R937" s="141"/>
      <c r="S937" s="141"/>
      <c r="T937" s="141"/>
      <c r="U937" s="141"/>
      <c r="V937" s="141"/>
      <c r="W937" s="141"/>
      <c r="X937" s="141"/>
      <c r="Y937" s="141"/>
      <c r="Z937" s="141"/>
      <c r="AA937" s="141"/>
      <c r="AB937" s="141"/>
      <c r="AC937" s="141"/>
      <c r="AD937" s="141"/>
      <c r="AE937" s="141"/>
      <c r="AF937" s="141"/>
      <c r="AG937" s="141"/>
      <c r="AH937" s="141"/>
      <c r="AI937" s="141"/>
      <c r="AJ937" s="141"/>
      <c r="AK937" s="141"/>
      <c r="AL937" s="141"/>
      <c r="AM937" s="141"/>
      <c r="AN937" s="141"/>
      <c r="AO937" s="141"/>
      <c r="AP937" s="141"/>
      <c r="AQ937" s="141"/>
      <c r="AR937" s="141"/>
      <c r="AS937" s="141"/>
      <c r="AT937" s="141"/>
      <c r="AU937" s="141"/>
      <c r="AV937" s="141"/>
      <c r="AW937" s="141"/>
      <c r="AX937" s="141"/>
      <c r="AY937" s="141"/>
      <c r="AZ937" s="141"/>
      <c r="BA937" s="141"/>
      <c r="BB937" s="141"/>
      <c r="BC937" s="141"/>
      <c r="BD937" s="141"/>
      <c r="BE937" s="141"/>
      <c r="BF937" s="141"/>
      <c r="BG937" s="141"/>
      <c r="BH937" s="141"/>
      <c r="BI937" s="141"/>
      <c r="BJ937" s="142"/>
      <c r="BK937" s="141"/>
      <c r="BL937" s="141"/>
    </row>
    <row r="938" spans="1:64" s="143" customFormat="1" ht="12.75">
      <c r="A938" s="138" t="s">
        <v>128</v>
      </c>
      <c r="B938" s="139">
        <f>SUM(C938:BJ938)</f>
        <v>92671681.19015567</v>
      </c>
      <c r="C938" s="140">
        <f>C881*(1+$G865)^(C866-1)</f>
        <v>17109705.000685126</v>
      </c>
      <c r="D938" s="141">
        <f>D881*(1+$G865)^(D866-1)</f>
        <v>17794093.200712532</v>
      </c>
      <c r="E938" s="141">
        <f>E881*(1+$G865)^(E866-1)</f>
        <v>18505856.928741034</v>
      </c>
      <c r="F938" s="141">
        <f>F881*(1+$G865)^(F866-1)</f>
        <v>19246091.205890674</v>
      </c>
      <c r="G938" s="141">
        <f>G881*(1+$G865)^(G866-1)</f>
        <v>20015934.854126304</v>
      </c>
      <c r="H938" s="141"/>
      <c r="I938" s="141"/>
      <c r="J938" s="141"/>
      <c r="K938" s="141"/>
      <c r="L938" s="141"/>
      <c r="M938" s="141"/>
      <c r="N938" s="141"/>
      <c r="O938" s="141"/>
      <c r="P938" s="141"/>
      <c r="Q938" s="141"/>
      <c r="R938" s="141"/>
      <c r="S938" s="141"/>
      <c r="T938" s="141"/>
      <c r="U938" s="141"/>
      <c r="V938" s="141"/>
      <c r="W938" s="141"/>
      <c r="X938" s="141"/>
      <c r="Y938" s="141"/>
      <c r="Z938" s="141"/>
      <c r="AA938" s="141"/>
      <c r="AB938" s="141"/>
      <c r="AC938" s="141"/>
      <c r="AD938" s="141"/>
      <c r="AE938" s="141"/>
      <c r="AF938" s="141"/>
      <c r="AG938" s="141"/>
      <c r="AH938" s="141"/>
      <c r="AI938" s="141"/>
      <c r="AJ938" s="141"/>
      <c r="AK938" s="141"/>
      <c r="AL938" s="141"/>
      <c r="AM938" s="141"/>
      <c r="AN938" s="141"/>
      <c r="AO938" s="141"/>
      <c r="AP938" s="141"/>
      <c r="AQ938" s="141"/>
      <c r="AR938" s="141"/>
      <c r="AS938" s="141"/>
      <c r="AT938" s="141"/>
      <c r="AU938" s="141"/>
      <c r="AV938" s="141"/>
      <c r="AW938" s="141"/>
      <c r="AX938" s="141"/>
      <c r="AY938" s="141"/>
      <c r="AZ938" s="141"/>
      <c r="BA938" s="141"/>
      <c r="BB938" s="141"/>
      <c r="BC938" s="141"/>
      <c r="BD938" s="141"/>
      <c r="BE938" s="141"/>
      <c r="BF938" s="141"/>
      <c r="BG938" s="141"/>
      <c r="BH938" s="141"/>
      <c r="BI938" s="141"/>
      <c r="BJ938" s="142"/>
      <c r="BK938" s="141"/>
      <c r="BL938" s="141"/>
    </row>
    <row r="939" spans="1:64" s="143" customFormat="1" ht="12.75">
      <c r="A939" s="138" t="s">
        <v>129</v>
      </c>
      <c r="B939" s="139">
        <f>SUM(C939:BJ939)</f>
        <v>9018322.201213751</v>
      </c>
      <c r="C939" s="140">
        <f>C882*(1+$G865)^(C866-1)</f>
        <v>2928026.6887057633</v>
      </c>
      <c r="D939" s="141">
        <f>D882*(1+$G865)^(D866-1)</f>
        <v>6090295.5125079881</v>
      </c>
      <c r="E939" s="141">
        <f>E882*(1+$G865)^(E866-1)</f>
        <v>0</v>
      </c>
      <c r="F939" s="141">
        <f>F882*(1+$G865)^(F866-1)</f>
        <v>0</v>
      </c>
      <c r="G939" s="141">
        <f>G882*(1+$G865)^(G866-1)</f>
        <v>0</v>
      </c>
      <c r="H939" s="141"/>
      <c r="I939" s="141"/>
      <c r="J939" s="141"/>
      <c r="K939" s="141"/>
      <c r="L939" s="141"/>
      <c r="M939" s="141"/>
      <c r="N939" s="141"/>
      <c r="O939" s="141"/>
      <c r="P939" s="141"/>
      <c r="Q939" s="141"/>
      <c r="R939" s="141"/>
      <c r="S939" s="141"/>
      <c r="T939" s="141"/>
      <c r="U939" s="141"/>
      <c r="V939" s="141"/>
      <c r="W939" s="141"/>
      <c r="X939" s="141"/>
      <c r="Y939" s="141"/>
      <c r="Z939" s="141"/>
      <c r="AA939" s="141"/>
      <c r="AB939" s="141"/>
      <c r="AC939" s="141"/>
      <c r="AD939" s="141"/>
      <c r="AE939" s="141"/>
      <c r="AF939" s="141"/>
      <c r="AG939" s="141"/>
      <c r="AH939" s="141"/>
      <c r="AI939" s="141"/>
      <c r="AJ939" s="141"/>
      <c r="AK939" s="141"/>
      <c r="AL939" s="141"/>
      <c r="AM939" s="141"/>
      <c r="AN939" s="141"/>
      <c r="AO939" s="141"/>
      <c r="AP939" s="141"/>
      <c r="AQ939" s="141"/>
      <c r="AR939" s="141"/>
      <c r="AS939" s="141"/>
      <c r="AT939" s="141"/>
      <c r="AU939" s="141"/>
      <c r="AV939" s="141"/>
      <c r="AW939" s="141"/>
      <c r="AX939" s="141"/>
      <c r="AY939" s="141"/>
      <c r="AZ939" s="141"/>
      <c r="BA939" s="141"/>
      <c r="BB939" s="141"/>
      <c r="BC939" s="141"/>
      <c r="BD939" s="141"/>
      <c r="BE939" s="141"/>
      <c r="BF939" s="141"/>
      <c r="BG939" s="141"/>
      <c r="BH939" s="141"/>
      <c r="BI939" s="141"/>
      <c r="BJ939" s="142"/>
      <c r="BK939" s="141"/>
      <c r="BL939" s="141"/>
    </row>
    <row r="940" spans="1:64" s="116" customFormat="1">
      <c r="A940" s="111" t="s">
        <v>130</v>
      </c>
      <c r="B940" s="137">
        <f>SUM(B941:B944)</f>
        <v>223044097.6335156</v>
      </c>
      <c r="C940" s="117">
        <f>SUM(C941:C944)</f>
        <v>667924.38964636298</v>
      </c>
      <c r="D940" s="118">
        <f>SUM(D941:D944)</f>
        <v>1490787.6556729018</v>
      </c>
      <c r="E940" s="118">
        <f t="shared" ref="E940:BJ940" si="585">SUM(E941:E944)</f>
        <v>2355399.8422869812</v>
      </c>
      <c r="F940" s="118">
        <f t="shared" si="585"/>
        <v>3286795.7435811106</v>
      </c>
      <c r="G940" s="118">
        <f t="shared" si="585"/>
        <v>4288934.6772311116</v>
      </c>
      <c r="H940" s="118">
        <f t="shared" si="585"/>
        <v>4460492.0643203566</v>
      </c>
      <c r="I940" s="118">
        <f t="shared" si="585"/>
        <v>4638911.7468931703</v>
      </c>
      <c r="J940" s="118">
        <f t="shared" si="585"/>
        <v>4824468.2167688962</v>
      </c>
      <c r="K940" s="118">
        <f t="shared" si="585"/>
        <v>5017446.9454396535</v>
      </c>
      <c r="L940" s="118">
        <f t="shared" si="585"/>
        <v>5218144.8232572405</v>
      </c>
      <c r="M940" s="118">
        <f t="shared" si="585"/>
        <v>5426870.6161875296</v>
      </c>
      <c r="N940" s="118">
        <f t="shared" si="585"/>
        <v>5643945.4408350307</v>
      </c>
      <c r="O940" s="118">
        <f t="shared" si="585"/>
        <v>5869703.2584684333</v>
      </c>
      <c r="P940" s="118">
        <f t="shared" si="585"/>
        <v>6104491.388807171</v>
      </c>
      <c r="Q940" s="118">
        <f t="shared" si="585"/>
        <v>6348671.0443594567</v>
      </c>
      <c r="R940" s="118">
        <f t="shared" si="585"/>
        <v>6602617.8861338347</v>
      </c>
      <c r="S940" s="118">
        <f t="shared" si="585"/>
        <v>6866722.6015791902</v>
      </c>
      <c r="T940" s="118">
        <f t="shared" si="585"/>
        <v>7141391.5056423573</v>
      </c>
      <c r="U940" s="118">
        <f t="shared" si="585"/>
        <v>7427047.1658680532</v>
      </c>
      <c r="V940" s="118">
        <f t="shared" si="585"/>
        <v>7724129.0525027746</v>
      </c>
      <c r="W940" s="118">
        <f t="shared" si="585"/>
        <v>8033094.2146028867</v>
      </c>
      <c r="X940" s="118">
        <f t="shared" si="585"/>
        <v>8354417.9831870031</v>
      </c>
      <c r="Y940" s="118">
        <f t="shared" si="585"/>
        <v>8688594.7025144827</v>
      </c>
      <c r="Z940" s="118">
        <f t="shared" si="585"/>
        <v>9036138.4906150624</v>
      </c>
      <c r="AA940" s="118">
        <f t="shared" si="585"/>
        <v>9397584.030239664</v>
      </c>
      <c r="AB940" s="118">
        <f t="shared" si="585"/>
        <v>9773487.391449254</v>
      </c>
      <c r="AC940" s="118">
        <f t="shared" si="585"/>
        <v>10164426.887107223</v>
      </c>
      <c r="AD940" s="118">
        <f t="shared" si="585"/>
        <v>10571003.962591512</v>
      </c>
      <c r="AE940" s="118">
        <f t="shared" si="585"/>
        <v>10993844.121095175</v>
      </c>
      <c r="AF940" s="118">
        <f t="shared" si="585"/>
        <v>11433597.885938982</v>
      </c>
      <c r="AG940" s="118">
        <f t="shared" si="585"/>
        <v>9724597.4991108608</v>
      </c>
      <c r="AH940" s="118">
        <f t="shared" si="585"/>
        <v>7531362.503042317</v>
      </c>
      <c r="AI940" s="118">
        <f t="shared" si="585"/>
        <v>5221744.6687760055</v>
      </c>
      <c r="AJ940" s="118">
        <f t="shared" si="585"/>
        <v>2715307.2277635233</v>
      </c>
      <c r="AK940" s="118">
        <f t="shared" si="585"/>
        <v>0</v>
      </c>
      <c r="AL940" s="118">
        <f t="shared" si="585"/>
        <v>0</v>
      </c>
      <c r="AM940" s="118">
        <f t="shared" si="585"/>
        <v>0</v>
      </c>
      <c r="AN940" s="118">
        <f t="shared" si="585"/>
        <v>0</v>
      </c>
      <c r="AO940" s="118">
        <f t="shared" si="585"/>
        <v>0</v>
      </c>
      <c r="AP940" s="118">
        <f t="shared" si="585"/>
        <v>0</v>
      </c>
      <c r="AQ940" s="118">
        <f t="shared" si="585"/>
        <v>0</v>
      </c>
      <c r="AR940" s="118">
        <f t="shared" si="585"/>
        <v>0</v>
      </c>
      <c r="AS940" s="118">
        <f t="shared" si="585"/>
        <v>0</v>
      </c>
      <c r="AT940" s="118">
        <f t="shared" si="585"/>
        <v>0</v>
      </c>
      <c r="AU940" s="118">
        <f t="shared" si="585"/>
        <v>0</v>
      </c>
      <c r="AV940" s="118">
        <f t="shared" si="585"/>
        <v>0</v>
      </c>
      <c r="AW940" s="118">
        <f t="shared" si="585"/>
        <v>0</v>
      </c>
      <c r="AX940" s="118">
        <f t="shared" si="585"/>
        <v>0</v>
      </c>
      <c r="AY940" s="118">
        <f t="shared" si="585"/>
        <v>0</v>
      </c>
      <c r="AZ940" s="118">
        <f t="shared" si="585"/>
        <v>0</v>
      </c>
      <c r="BA940" s="118">
        <f t="shared" si="585"/>
        <v>0</v>
      </c>
      <c r="BB940" s="118">
        <f t="shared" si="585"/>
        <v>0</v>
      </c>
      <c r="BC940" s="118">
        <f t="shared" si="585"/>
        <v>0</v>
      </c>
      <c r="BD940" s="118">
        <f t="shared" si="585"/>
        <v>0</v>
      </c>
      <c r="BE940" s="118">
        <f t="shared" si="585"/>
        <v>0</v>
      </c>
      <c r="BF940" s="118">
        <f t="shared" si="585"/>
        <v>0</v>
      </c>
      <c r="BG940" s="118">
        <f t="shared" si="585"/>
        <v>0</v>
      </c>
      <c r="BH940" s="118">
        <f t="shared" si="585"/>
        <v>0</v>
      </c>
      <c r="BI940" s="118">
        <f t="shared" si="585"/>
        <v>0</v>
      </c>
      <c r="BJ940" s="119">
        <f t="shared" si="585"/>
        <v>0</v>
      </c>
      <c r="BK940" s="118"/>
      <c r="BL940" s="118"/>
    </row>
    <row r="941" spans="1:64" s="143" customFormat="1" ht="12.75">
      <c r="A941" s="138" t="s">
        <v>126</v>
      </c>
      <c r="B941" s="139">
        <f>SUM(C941:BJ941)</f>
        <v>32934847.297773689</v>
      </c>
      <c r="C941" s="140">
        <f>C884*(1+$G865)^(C866-1)</f>
        <v>0</v>
      </c>
      <c r="D941" s="141">
        <f t="shared" ref="D941:AJ941" si="586">D884*(1+$G865)^(D866-1)</f>
        <v>0</v>
      </c>
      <c r="E941" s="141">
        <f t="shared" si="586"/>
        <v>188118.78276246236</v>
      </c>
      <c r="F941" s="141">
        <f t="shared" si="586"/>
        <v>391287.06814592174</v>
      </c>
      <c r="G941" s="141">
        <f t="shared" si="586"/>
        <v>610407.82630763797</v>
      </c>
      <c r="H941" s="141">
        <f t="shared" si="586"/>
        <v>634824.13935994357</v>
      </c>
      <c r="I941" s="141">
        <f t="shared" si="586"/>
        <v>660217.10493434127</v>
      </c>
      <c r="J941" s="141">
        <f t="shared" si="586"/>
        <v>686625.78913171485</v>
      </c>
      <c r="K941" s="141">
        <f t="shared" si="586"/>
        <v>714090.8206969836</v>
      </c>
      <c r="L941" s="141">
        <f t="shared" si="586"/>
        <v>742654.453524863</v>
      </c>
      <c r="M941" s="141">
        <f t="shared" si="586"/>
        <v>772360.63166585751</v>
      </c>
      <c r="N941" s="141">
        <f t="shared" si="586"/>
        <v>803255.05693249172</v>
      </c>
      <c r="O941" s="141">
        <f t="shared" si="586"/>
        <v>835385.25920979166</v>
      </c>
      <c r="P941" s="141">
        <f t="shared" si="586"/>
        <v>868800.66957818333</v>
      </c>
      <c r="Q941" s="141">
        <f t="shared" si="586"/>
        <v>903552.69636131066</v>
      </c>
      <c r="R941" s="141">
        <f t="shared" si="586"/>
        <v>939694.804215763</v>
      </c>
      <c r="S941" s="141">
        <f t="shared" si="586"/>
        <v>977282.59638439375</v>
      </c>
      <c r="T941" s="141">
        <f t="shared" si="586"/>
        <v>1016373.9002397695</v>
      </c>
      <c r="U941" s="141">
        <f t="shared" si="586"/>
        <v>1057028.8562493604</v>
      </c>
      <c r="V941" s="141">
        <f t="shared" si="586"/>
        <v>1099310.0104993347</v>
      </c>
      <c r="W941" s="141">
        <f t="shared" si="586"/>
        <v>1143282.4109193082</v>
      </c>
      <c r="X941" s="141">
        <f t="shared" si="586"/>
        <v>1189013.7073560809</v>
      </c>
      <c r="Y941" s="141">
        <f t="shared" si="586"/>
        <v>1236574.255650324</v>
      </c>
      <c r="Z941" s="141">
        <f t="shared" si="586"/>
        <v>1286037.2258763367</v>
      </c>
      <c r="AA941" s="141">
        <f t="shared" si="586"/>
        <v>1337478.7149113903</v>
      </c>
      <c r="AB941" s="141">
        <f t="shared" si="586"/>
        <v>1390977.8635078464</v>
      </c>
      <c r="AC941" s="141">
        <f t="shared" si="586"/>
        <v>1446616.97804816</v>
      </c>
      <c r="AD941" s="141">
        <f t="shared" si="586"/>
        <v>1504481.6571700864</v>
      </c>
      <c r="AE941" s="141">
        <f t="shared" si="586"/>
        <v>1564660.9234568903</v>
      </c>
      <c r="AF941" s="141">
        <f t="shared" si="586"/>
        <v>1627247.3603951659</v>
      </c>
      <c r="AG941" s="141">
        <f t="shared" si="586"/>
        <v>1692337.2548109724</v>
      </c>
      <c r="AH941" s="141">
        <f t="shared" si="586"/>
        <v>1760030.7450034113</v>
      </c>
      <c r="AI941" s="141">
        <f t="shared" si="586"/>
        <v>1220287.9832023652</v>
      </c>
      <c r="AJ941" s="141">
        <f t="shared" si="586"/>
        <v>634549.75126522989</v>
      </c>
      <c r="AK941" s="141"/>
      <c r="AL941" s="141"/>
      <c r="AM941" s="141"/>
      <c r="AN941" s="141"/>
      <c r="AO941" s="141"/>
      <c r="AP941" s="141"/>
      <c r="AQ941" s="141"/>
      <c r="AR941" s="141"/>
      <c r="AS941" s="141"/>
      <c r="AT941" s="141"/>
      <c r="AU941" s="141"/>
      <c r="AV941" s="141"/>
      <c r="AW941" s="141"/>
      <c r="AX941" s="141"/>
      <c r="AY941" s="141"/>
      <c r="AZ941" s="141"/>
      <c r="BA941" s="141"/>
      <c r="BB941" s="141"/>
      <c r="BC941" s="141"/>
      <c r="BD941" s="141"/>
      <c r="BE941" s="141"/>
      <c r="BF941" s="141"/>
      <c r="BG941" s="141"/>
      <c r="BH941" s="141"/>
      <c r="BI941" s="141"/>
      <c r="BJ941" s="142"/>
      <c r="BK941" s="141"/>
      <c r="BL941" s="141"/>
    </row>
    <row r="942" spans="1:64" s="143" customFormat="1" ht="12.75">
      <c r="A942" s="138" t="s">
        <v>127</v>
      </c>
      <c r="B942" s="139">
        <f>SUM(C942:BJ942)</f>
        <v>0</v>
      </c>
      <c r="C942" s="140">
        <f>C885*(1+$G865)^(C866-1)</f>
        <v>0</v>
      </c>
      <c r="D942" s="141">
        <f t="shared" ref="D942:AJ942" si="587">D885*(1+$G865)^(D866-1)</f>
        <v>0</v>
      </c>
      <c r="E942" s="141">
        <f t="shared" si="587"/>
        <v>0</v>
      </c>
      <c r="F942" s="141">
        <f t="shared" si="587"/>
        <v>0</v>
      </c>
      <c r="G942" s="141">
        <f t="shared" si="587"/>
        <v>0</v>
      </c>
      <c r="H942" s="141">
        <f t="shared" si="587"/>
        <v>0</v>
      </c>
      <c r="I942" s="141">
        <f t="shared" si="587"/>
        <v>0</v>
      </c>
      <c r="J942" s="141">
        <f t="shared" si="587"/>
        <v>0</v>
      </c>
      <c r="K942" s="141">
        <f t="shared" si="587"/>
        <v>0</v>
      </c>
      <c r="L942" s="141">
        <f t="shared" si="587"/>
        <v>0</v>
      </c>
      <c r="M942" s="141">
        <f t="shared" si="587"/>
        <v>0</v>
      </c>
      <c r="N942" s="141">
        <f t="shared" si="587"/>
        <v>0</v>
      </c>
      <c r="O942" s="141">
        <f t="shared" si="587"/>
        <v>0</v>
      </c>
      <c r="P942" s="141">
        <f t="shared" si="587"/>
        <v>0</v>
      </c>
      <c r="Q942" s="141">
        <f t="shared" si="587"/>
        <v>0</v>
      </c>
      <c r="R942" s="141">
        <f t="shared" si="587"/>
        <v>0</v>
      </c>
      <c r="S942" s="141">
        <f t="shared" si="587"/>
        <v>0</v>
      </c>
      <c r="T942" s="141">
        <f t="shared" si="587"/>
        <v>0</v>
      </c>
      <c r="U942" s="141">
        <f t="shared" si="587"/>
        <v>0</v>
      </c>
      <c r="V942" s="141">
        <f t="shared" si="587"/>
        <v>0</v>
      </c>
      <c r="W942" s="141">
        <f t="shared" si="587"/>
        <v>0</v>
      </c>
      <c r="X942" s="141">
        <f t="shared" si="587"/>
        <v>0</v>
      </c>
      <c r="Y942" s="141">
        <f t="shared" si="587"/>
        <v>0</v>
      </c>
      <c r="Z942" s="141">
        <f t="shared" si="587"/>
        <v>0</v>
      </c>
      <c r="AA942" s="141">
        <f t="shared" si="587"/>
        <v>0</v>
      </c>
      <c r="AB942" s="141">
        <f t="shared" si="587"/>
        <v>0</v>
      </c>
      <c r="AC942" s="141">
        <f t="shared" si="587"/>
        <v>0</v>
      </c>
      <c r="AD942" s="141">
        <f t="shared" si="587"/>
        <v>0</v>
      </c>
      <c r="AE942" s="141">
        <f t="shared" si="587"/>
        <v>0</v>
      </c>
      <c r="AF942" s="141">
        <f t="shared" si="587"/>
        <v>0</v>
      </c>
      <c r="AG942" s="141">
        <f t="shared" si="587"/>
        <v>0</v>
      </c>
      <c r="AH942" s="141">
        <f t="shared" si="587"/>
        <v>0</v>
      </c>
      <c r="AI942" s="141">
        <f t="shared" si="587"/>
        <v>0</v>
      </c>
      <c r="AJ942" s="141">
        <f t="shared" si="587"/>
        <v>0</v>
      </c>
      <c r="AK942" s="141"/>
      <c r="AL942" s="141"/>
      <c r="AM942" s="141"/>
      <c r="AN942" s="141"/>
      <c r="AO942" s="141"/>
      <c r="AP942" s="141"/>
      <c r="AQ942" s="141"/>
      <c r="AR942" s="141"/>
      <c r="AS942" s="141"/>
      <c r="AT942" s="141"/>
      <c r="AU942" s="141"/>
      <c r="AV942" s="141"/>
      <c r="AW942" s="141"/>
      <c r="AX942" s="141"/>
      <c r="AY942" s="141"/>
      <c r="AZ942" s="141"/>
      <c r="BA942" s="141"/>
      <c r="BB942" s="141"/>
      <c r="BC942" s="141"/>
      <c r="BD942" s="141"/>
      <c r="BE942" s="141"/>
      <c r="BF942" s="141"/>
      <c r="BG942" s="141"/>
      <c r="BH942" s="141"/>
      <c r="BI942" s="141"/>
      <c r="BJ942" s="142"/>
      <c r="BK942" s="141"/>
      <c r="BL942" s="141"/>
    </row>
    <row r="943" spans="1:64" s="143" customFormat="1" ht="12.75">
      <c r="A943" s="138" t="s">
        <v>128</v>
      </c>
      <c r="B943" s="139">
        <f>SUM(C943:BJ943)</f>
        <v>173249515.69338438</v>
      </c>
      <c r="C943" s="140">
        <f>C886*(1+$G865)^(C866-1)</f>
        <v>570323.50002283754</v>
      </c>
      <c r="D943" s="141">
        <f t="shared" ref="D943:AJ943" si="588">D886*(1+$G865)^(D866-1)</f>
        <v>1186272.8800475022</v>
      </c>
      <c r="E943" s="141">
        <f t="shared" si="588"/>
        <v>1850585.6928741036</v>
      </c>
      <c r="F943" s="141">
        <f t="shared" si="588"/>
        <v>2566145.4941187566</v>
      </c>
      <c r="G943" s="141">
        <f t="shared" si="588"/>
        <v>3335989.1423543841</v>
      </c>
      <c r="H943" s="141">
        <f t="shared" si="588"/>
        <v>3469428.7080485597</v>
      </c>
      <c r="I943" s="141">
        <f t="shared" si="588"/>
        <v>3608205.8563705022</v>
      </c>
      <c r="J943" s="141">
        <f t="shared" si="588"/>
        <v>3752534.090625322</v>
      </c>
      <c r="K943" s="141">
        <f t="shared" si="588"/>
        <v>3902635.4542503352</v>
      </c>
      <c r="L943" s="141">
        <f t="shared" si="588"/>
        <v>4058740.8724203492</v>
      </c>
      <c r="M943" s="141">
        <f t="shared" si="588"/>
        <v>4221090.5073171631</v>
      </c>
      <c r="N943" s="141">
        <f t="shared" si="588"/>
        <v>4389934.127609849</v>
      </c>
      <c r="O943" s="141">
        <f t="shared" si="588"/>
        <v>4565531.4927142439</v>
      </c>
      <c r="P943" s="141">
        <f t="shared" si="588"/>
        <v>4748152.7524228143</v>
      </c>
      <c r="Q943" s="141">
        <f t="shared" si="588"/>
        <v>4938078.8625197262</v>
      </c>
      <c r="R943" s="141">
        <f t="shared" si="588"/>
        <v>5135602.0170205152</v>
      </c>
      <c r="S943" s="141">
        <f t="shared" si="588"/>
        <v>5341026.0977013372</v>
      </c>
      <c r="T943" s="141">
        <f t="shared" si="588"/>
        <v>5554667.1416093903</v>
      </c>
      <c r="U943" s="141">
        <f t="shared" si="588"/>
        <v>5776853.8272737674</v>
      </c>
      <c r="V943" s="141">
        <f t="shared" si="588"/>
        <v>6007927.9803647175</v>
      </c>
      <c r="W943" s="141">
        <f t="shared" si="588"/>
        <v>6248245.0995793063</v>
      </c>
      <c r="X943" s="141">
        <f t="shared" si="588"/>
        <v>6498174.9035624797</v>
      </c>
      <c r="Y943" s="141">
        <f t="shared" si="588"/>
        <v>6758101.8997049788</v>
      </c>
      <c r="Z943" s="141">
        <f t="shared" si="588"/>
        <v>7028425.9756931774</v>
      </c>
      <c r="AA943" s="141">
        <f t="shared" si="588"/>
        <v>7309563.0147209056</v>
      </c>
      <c r="AB943" s="141">
        <f t="shared" si="588"/>
        <v>7601945.5353097431</v>
      </c>
      <c r="AC943" s="141">
        <f t="shared" si="588"/>
        <v>7906023.3567221314</v>
      </c>
      <c r="AD943" s="141">
        <f t="shared" si="588"/>
        <v>8222264.2909910176</v>
      </c>
      <c r="AE943" s="141">
        <f t="shared" si="588"/>
        <v>8551154.8626306597</v>
      </c>
      <c r="AF943" s="141">
        <f t="shared" si="588"/>
        <v>8893201.0571358874</v>
      </c>
      <c r="AG943" s="141">
        <f t="shared" si="588"/>
        <v>7399143.2795370566</v>
      </c>
      <c r="AH943" s="141">
        <f t="shared" si="588"/>
        <v>5771331.7580389054</v>
      </c>
      <c r="AI943" s="141">
        <f t="shared" si="588"/>
        <v>4001456.6855736407</v>
      </c>
      <c r="AJ943" s="141">
        <f t="shared" si="588"/>
        <v>2080757.4764982932</v>
      </c>
      <c r="AK943" s="141"/>
      <c r="AL943" s="141"/>
      <c r="AM943" s="141"/>
      <c r="AN943" s="141"/>
      <c r="AO943" s="141"/>
      <c r="AP943" s="141"/>
      <c r="AQ943" s="141"/>
      <c r="AR943" s="141"/>
      <c r="AS943" s="141"/>
      <c r="AT943" s="141"/>
      <c r="AU943" s="141"/>
      <c r="AV943" s="141"/>
      <c r="AW943" s="141"/>
      <c r="AX943" s="141"/>
      <c r="AY943" s="141"/>
      <c r="AZ943" s="141"/>
      <c r="BA943" s="141"/>
      <c r="BB943" s="141"/>
      <c r="BC943" s="141"/>
      <c r="BD943" s="141"/>
      <c r="BE943" s="141"/>
      <c r="BF943" s="141"/>
      <c r="BG943" s="141"/>
      <c r="BH943" s="141"/>
      <c r="BI943" s="141"/>
      <c r="BJ943" s="142"/>
      <c r="BK943" s="141"/>
      <c r="BL943" s="141"/>
    </row>
    <row r="944" spans="1:64" s="143" customFormat="1" ht="12.75">
      <c r="A944" s="138" t="s">
        <v>129</v>
      </c>
      <c r="B944" s="139">
        <f>SUM(C944:BJ944)</f>
        <v>16859734.642357513</v>
      </c>
      <c r="C944" s="140">
        <f>C887*(1+$G865)^(C866-1)</f>
        <v>97600.889623525451</v>
      </c>
      <c r="D944" s="141">
        <f t="shared" ref="D944:AJ944" si="589">D887*(1+$G865)^(D866-1)</f>
        <v>304514.77562539943</v>
      </c>
      <c r="E944" s="141">
        <f t="shared" si="589"/>
        <v>316695.36665041541</v>
      </c>
      <c r="F944" s="141">
        <f t="shared" si="589"/>
        <v>329363.18131643202</v>
      </c>
      <c r="G944" s="141">
        <f t="shared" si="589"/>
        <v>342537.70856908936</v>
      </c>
      <c r="H944" s="141">
        <f t="shared" si="589"/>
        <v>356239.21691185294</v>
      </c>
      <c r="I944" s="141">
        <f t="shared" si="589"/>
        <v>370488.7855883271</v>
      </c>
      <c r="J944" s="141">
        <f t="shared" si="589"/>
        <v>385308.33701186016</v>
      </c>
      <c r="K944" s="141">
        <f t="shared" si="589"/>
        <v>400720.67049233458</v>
      </c>
      <c r="L944" s="141">
        <f t="shared" si="589"/>
        <v>416749.49731202802</v>
      </c>
      <c r="M944" s="141">
        <f t="shared" si="589"/>
        <v>433419.47720450914</v>
      </c>
      <c r="N944" s="141">
        <f t="shared" si="589"/>
        <v>450756.25629268948</v>
      </c>
      <c r="O944" s="141">
        <f t="shared" si="589"/>
        <v>468786.50654439715</v>
      </c>
      <c r="P944" s="141">
        <f t="shared" si="589"/>
        <v>487537.96680617309</v>
      </c>
      <c r="Q944" s="141">
        <f t="shared" si="589"/>
        <v>507039.48547841999</v>
      </c>
      <c r="R944" s="141">
        <f t="shared" si="589"/>
        <v>527321.06489755679</v>
      </c>
      <c r="S944" s="141">
        <f t="shared" si="589"/>
        <v>548413.90749345918</v>
      </c>
      <c r="T944" s="141">
        <f t="shared" si="589"/>
        <v>570350.46379319753</v>
      </c>
      <c r="U944" s="141">
        <f t="shared" si="589"/>
        <v>593164.48234492552</v>
      </c>
      <c r="V944" s="141">
        <f t="shared" si="589"/>
        <v>616891.06163872243</v>
      </c>
      <c r="W944" s="141">
        <f t="shared" si="589"/>
        <v>641566.70410427137</v>
      </c>
      <c r="X944" s="141">
        <f t="shared" si="589"/>
        <v>667229.37226844241</v>
      </c>
      <c r="Y944" s="141">
        <f t="shared" si="589"/>
        <v>693918.54715918005</v>
      </c>
      <c r="Z944" s="141">
        <f t="shared" si="589"/>
        <v>721675.28904554725</v>
      </c>
      <c r="AA944" s="141">
        <f t="shared" si="589"/>
        <v>750542.30060736916</v>
      </c>
      <c r="AB944" s="141">
        <f t="shared" si="589"/>
        <v>780563.99263166403</v>
      </c>
      <c r="AC944" s="141">
        <f t="shared" si="589"/>
        <v>811786.55233693053</v>
      </c>
      <c r="AD944" s="141">
        <f t="shared" si="589"/>
        <v>844258.01443040778</v>
      </c>
      <c r="AE944" s="141">
        <f t="shared" si="589"/>
        <v>878028.33500762435</v>
      </c>
      <c r="AF944" s="141">
        <f t="shared" si="589"/>
        <v>913149.46840792929</v>
      </c>
      <c r="AG944" s="141">
        <f t="shared" si="589"/>
        <v>633116.96476283099</v>
      </c>
      <c r="AH944" s="141">
        <f t="shared" si="589"/>
        <v>0</v>
      </c>
      <c r="AI944" s="141">
        <f t="shared" si="589"/>
        <v>0</v>
      </c>
      <c r="AJ944" s="141">
        <f t="shared" si="589"/>
        <v>0</v>
      </c>
      <c r="AK944" s="141"/>
      <c r="AL944" s="141"/>
      <c r="AM944" s="141"/>
      <c r="AN944" s="141"/>
      <c r="AO944" s="141"/>
      <c r="AP944" s="141"/>
      <c r="AQ944" s="141"/>
      <c r="AR944" s="141"/>
      <c r="AS944" s="141"/>
      <c r="AT944" s="141"/>
      <c r="AU944" s="141"/>
      <c r="AV944" s="141"/>
      <c r="AW944" s="141"/>
      <c r="AX944" s="141"/>
      <c r="AY944" s="141"/>
      <c r="AZ944" s="141"/>
      <c r="BA944" s="141"/>
      <c r="BB944" s="141"/>
      <c r="BC944" s="141"/>
      <c r="BD944" s="141"/>
      <c r="BE944" s="141"/>
      <c r="BF944" s="141"/>
      <c r="BG944" s="141"/>
      <c r="BH944" s="141"/>
      <c r="BI944" s="141"/>
      <c r="BJ944" s="142"/>
      <c r="BK944" s="141"/>
      <c r="BL944" s="141"/>
    </row>
    <row r="945" spans="1:64" s="148" customFormat="1">
      <c r="A945" s="111" t="s">
        <v>131</v>
      </c>
      <c r="B945" s="144"/>
      <c r="C945" s="140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  <c r="AF945" s="146"/>
      <c r="AG945" s="146"/>
      <c r="AH945" s="146"/>
      <c r="AI945" s="146"/>
      <c r="AJ945" s="146"/>
      <c r="AK945" s="146"/>
      <c r="AL945" s="146"/>
      <c r="AM945" s="146"/>
      <c r="AN945" s="146"/>
      <c r="AO945" s="146"/>
      <c r="AP945" s="146"/>
      <c r="AQ945" s="146"/>
      <c r="AR945" s="146"/>
      <c r="AS945" s="146"/>
      <c r="AT945" s="146"/>
      <c r="AU945" s="146"/>
      <c r="AV945" s="146"/>
      <c r="AW945" s="146"/>
      <c r="AX945" s="146"/>
      <c r="AY945" s="146"/>
      <c r="AZ945" s="146"/>
      <c r="BA945" s="146"/>
      <c r="BB945" s="146"/>
      <c r="BC945" s="146"/>
      <c r="BD945" s="146"/>
      <c r="BE945" s="146"/>
      <c r="BF945" s="146"/>
      <c r="BG945" s="146"/>
      <c r="BH945" s="146"/>
      <c r="BI945" s="146"/>
      <c r="BJ945" s="147"/>
      <c r="BK945" s="146"/>
      <c r="BL945" s="146"/>
    </row>
    <row r="946" spans="1:64" s="153" customFormat="1" ht="12.75">
      <c r="A946" s="138" t="s">
        <v>126</v>
      </c>
      <c r="B946" s="144"/>
      <c r="C946" s="140">
        <f>C889*(1+$G865)^(C866-1)</f>
        <v>0</v>
      </c>
      <c r="D946" s="141">
        <f t="shared" ref="D946:AJ946" si="590">D889*(1+$G865)^(D866-1)</f>
        <v>0</v>
      </c>
      <c r="E946" s="141">
        <f t="shared" si="590"/>
        <v>16742571.665859152</v>
      </c>
      <c r="F946" s="141">
        <f t="shared" si="590"/>
        <v>17020987.464347593</v>
      </c>
      <c r="G946" s="141">
        <f t="shared" si="590"/>
        <v>17091419.136613864</v>
      </c>
      <c r="H946" s="141">
        <f t="shared" si="590"/>
        <v>17140251.762718476</v>
      </c>
      <c r="I946" s="141">
        <f t="shared" si="590"/>
        <v>17165644.728292875</v>
      </c>
      <c r="J946" s="141">
        <f t="shared" si="590"/>
        <v>17165644.728292871</v>
      </c>
      <c r="K946" s="141">
        <f t="shared" si="590"/>
        <v>17138179.696727607</v>
      </c>
      <c r="L946" s="141">
        <f t="shared" si="590"/>
        <v>17081052.431071848</v>
      </c>
      <c r="M946" s="141">
        <f t="shared" si="590"/>
        <v>16991933.896648865</v>
      </c>
      <c r="N946" s="141">
        <f t="shared" si="590"/>
        <v>16868356.195582327</v>
      </c>
      <c r="O946" s="141">
        <f t="shared" si="590"/>
        <v>16707705.184195831</v>
      </c>
      <c r="P946" s="141">
        <f t="shared" si="590"/>
        <v>16507212.721985482</v>
      </c>
      <c r="Q946" s="141">
        <f t="shared" si="590"/>
        <v>16263948.53450359</v>
      </c>
      <c r="R946" s="141">
        <f t="shared" si="590"/>
        <v>15974811.671667971</v>
      </c>
      <c r="S946" s="141">
        <f t="shared" si="590"/>
        <v>15636521.5421503</v>
      </c>
      <c r="T946" s="141">
        <f t="shared" si="590"/>
        <v>15245608.503596542</v>
      </c>
      <c r="U946" s="141">
        <f t="shared" si="590"/>
        <v>14798403.987491045</v>
      </c>
      <c r="V946" s="141">
        <f t="shared" si="590"/>
        <v>14291030.136491353</v>
      </c>
      <c r="W946" s="141">
        <f t="shared" si="590"/>
        <v>13719388.931031698</v>
      </c>
      <c r="X946" s="141">
        <f t="shared" si="590"/>
        <v>13079150.780916888</v>
      </c>
      <c r="Y946" s="141">
        <f t="shared" si="590"/>
        <v>12365742.55650324</v>
      </c>
      <c r="Z946" s="141">
        <f t="shared" si="590"/>
        <v>11574335.03288703</v>
      </c>
      <c r="AA946" s="141">
        <f t="shared" si="590"/>
        <v>10699829.719291123</v>
      </c>
      <c r="AB946" s="141">
        <f t="shared" si="590"/>
        <v>9736845.0445549246</v>
      </c>
      <c r="AC946" s="141">
        <f t="shared" si="590"/>
        <v>8679701.8682889603</v>
      </c>
      <c r="AD946" s="141">
        <f t="shared" si="590"/>
        <v>7522408.2858504318</v>
      </c>
      <c r="AE946" s="141">
        <f t="shared" si="590"/>
        <v>6258643.6938275611</v>
      </c>
      <c r="AF946" s="141">
        <f t="shared" si="590"/>
        <v>4881742.0811854973</v>
      </c>
      <c r="AG946" s="141">
        <f t="shared" si="590"/>
        <v>3384674.5096219447</v>
      </c>
      <c r="AH946" s="141">
        <f t="shared" si="590"/>
        <v>1760030.7450034113</v>
      </c>
      <c r="AI946" s="141">
        <f t="shared" si="590"/>
        <v>610143.99160118261</v>
      </c>
      <c r="AJ946" s="141">
        <f t="shared" si="590"/>
        <v>0</v>
      </c>
      <c r="AK946" s="151"/>
      <c r="AL946" s="151"/>
      <c r="AM946" s="151"/>
      <c r="AN946" s="151"/>
      <c r="AO946" s="151"/>
      <c r="AP946" s="151"/>
      <c r="AQ946" s="151"/>
      <c r="AR946" s="151"/>
      <c r="AS946" s="151"/>
      <c r="AT946" s="151"/>
      <c r="AU946" s="151"/>
      <c r="AV946" s="151"/>
      <c r="AW946" s="151"/>
      <c r="AX946" s="151"/>
      <c r="AY946" s="151"/>
      <c r="AZ946" s="151"/>
      <c r="BA946" s="151"/>
      <c r="BB946" s="151"/>
      <c r="BC946" s="151"/>
      <c r="BD946" s="151"/>
      <c r="BE946" s="151"/>
      <c r="BF946" s="151"/>
      <c r="BG946" s="151"/>
      <c r="BH946" s="151"/>
      <c r="BI946" s="151"/>
      <c r="BJ946" s="152"/>
      <c r="BK946" s="151"/>
      <c r="BL946" s="151"/>
    </row>
    <row r="947" spans="1:64" s="153" customFormat="1" ht="12.75">
      <c r="A947" s="138" t="s">
        <v>127</v>
      </c>
      <c r="B947" s="144"/>
      <c r="C947" s="140">
        <f>C890*(1+$G865)^(C866-1)</f>
        <v>0</v>
      </c>
      <c r="D947" s="141">
        <f t="shared" ref="D947:AJ947" si="591">D890*(1+$G865)^(D866-1)</f>
        <v>0</v>
      </c>
      <c r="E947" s="141">
        <f t="shared" si="591"/>
        <v>0</v>
      </c>
      <c r="F947" s="141">
        <f t="shared" si="591"/>
        <v>0</v>
      </c>
      <c r="G947" s="141">
        <f t="shared" si="591"/>
        <v>0</v>
      </c>
      <c r="H947" s="141">
        <f t="shared" si="591"/>
        <v>0</v>
      </c>
      <c r="I947" s="141">
        <f t="shared" si="591"/>
        <v>0</v>
      </c>
      <c r="J947" s="141">
        <f t="shared" si="591"/>
        <v>0</v>
      </c>
      <c r="K947" s="141">
        <f t="shared" si="591"/>
        <v>0</v>
      </c>
      <c r="L947" s="141">
        <f t="shared" si="591"/>
        <v>0</v>
      </c>
      <c r="M947" s="141">
        <f t="shared" si="591"/>
        <v>0</v>
      </c>
      <c r="N947" s="141">
        <f t="shared" si="591"/>
        <v>0</v>
      </c>
      <c r="O947" s="141">
        <f t="shared" si="591"/>
        <v>0</v>
      </c>
      <c r="P947" s="141">
        <f t="shared" si="591"/>
        <v>0</v>
      </c>
      <c r="Q947" s="141">
        <f t="shared" si="591"/>
        <v>0</v>
      </c>
      <c r="R947" s="141">
        <f t="shared" si="591"/>
        <v>0</v>
      </c>
      <c r="S947" s="141">
        <f t="shared" si="591"/>
        <v>0</v>
      </c>
      <c r="T947" s="141">
        <f t="shared" si="591"/>
        <v>0</v>
      </c>
      <c r="U947" s="141">
        <f t="shared" si="591"/>
        <v>0</v>
      </c>
      <c r="V947" s="141">
        <f t="shared" si="591"/>
        <v>0</v>
      </c>
      <c r="W947" s="141">
        <f t="shared" si="591"/>
        <v>0</v>
      </c>
      <c r="X947" s="141">
        <f t="shared" si="591"/>
        <v>0</v>
      </c>
      <c r="Y947" s="141">
        <f t="shared" si="591"/>
        <v>0</v>
      </c>
      <c r="Z947" s="141">
        <f t="shared" si="591"/>
        <v>0</v>
      </c>
      <c r="AA947" s="141">
        <f t="shared" si="591"/>
        <v>0</v>
      </c>
      <c r="AB947" s="141">
        <f t="shared" si="591"/>
        <v>0</v>
      </c>
      <c r="AC947" s="141">
        <f t="shared" si="591"/>
        <v>0</v>
      </c>
      <c r="AD947" s="141">
        <f t="shared" si="591"/>
        <v>0</v>
      </c>
      <c r="AE947" s="141">
        <f t="shared" si="591"/>
        <v>0</v>
      </c>
      <c r="AF947" s="141">
        <f t="shared" si="591"/>
        <v>0</v>
      </c>
      <c r="AG947" s="141">
        <f t="shared" si="591"/>
        <v>0</v>
      </c>
      <c r="AH947" s="141">
        <f t="shared" si="591"/>
        <v>0</v>
      </c>
      <c r="AI947" s="141">
        <f t="shared" si="591"/>
        <v>0</v>
      </c>
      <c r="AJ947" s="141">
        <f t="shared" si="591"/>
        <v>0</v>
      </c>
      <c r="AK947" s="151"/>
      <c r="AL947" s="151"/>
      <c r="AM947" s="151"/>
      <c r="AN947" s="151"/>
      <c r="AO947" s="151"/>
      <c r="AP947" s="151"/>
      <c r="AQ947" s="151"/>
      <c r="AR947" s="151"/>
      <c r="AS947" s="151"/>
      <c r="AT947" s="151"/>
      <c r="AU947" s="151"/>
      <c r="AV947" s="151"/>
      <c r="AW947" s="151"/>
      <c r="AX947" s="151"/>
      <c r="AY947" s="151"/>
      <c r="AZ947" s="151"/>
      <c r="BA947" s="151"/>
      <c r="BB947" s="151"/>
      <c r="BC947" s="151"/>
      <c r="BD947" s="151"/>
      <c r="BE947" s="151"/>
      <c r="BF947" s="151"/>
      <c r="BG947" s="151"/>
      <c r="BH947" s="151"/>
      <c r="BI947" s="151"/>
      <c r="BJ947" s="152"/>
      <c r="BK947" s="151"/>
      <c r="BL947" s="151"/>
    </row>
    <row r="948" spans="1:64" s="153" customFormat="1" ht="12.75">
      <c r="A948" s="138" t="s">
        <v>128</v>
      </c>
      <c r="B948" s="144"/>
      <c r="C948" s="140">
        <f>C891*(1+$G865)^(C866-1)</f>
        <v>84978201.503402784</v>
      </c>
      <c r="D948" s="141">
        <f t="shared" ref="D948:AJ948" si="592">D891*(1+$G865)^(D866-1)</f>
        <v>87191056.683491394</v>
      </c>
      <c r="E948" s="141">
        <f t="shared" si="592"/>
        <v>88828113.257956952</v>
      </c>
      <c r="F948" s="141">
        <f t="shared" si="592"/>
        <v>89815092.294156477</v>
      </c>
      <c r="G948" s="141">
        <f t="shared" si="592"/>
        <v>90071706.84356837</v>
      </c>
      <c r="H948" s="141">
        <f t="shared" si="592"/>
        <v>90205146.409262553</v>
      </c>
      <c r="I948" s="141">
        <f t="shared" si="592"/>
        <v>90205146.409262553</v>
      </c>
      <c r="J948" s="141">
        <f t="shared" si="592"/>
        <v>90060818.175007716</v>
      </c>
      <c r="K948" s="141">
        <f t="shared" si="592"/>
        <v>89760615.447757706</v>
      </c>
      <c r="L948" s="141">
        <f t="shared" si="592"/>
        <v>89292299.193247676</v>
      </c>
      <c r="M948" s="141">
        <f t="shared" si="592"/>
        <v>88642900.653660417</v>
      </c>
      <c r="N948" s="141">
        <f t="shared" si="592"/>
        <v>87798682.55219698</v>
      </c>
      <c r="O948" s="141">
        <f t="shared" si="592"/>
        <v>86745098.361570641</v>
      </c>
      <c r="P948" s="141">
        <f t="shared" si="592"/>
        <v>85466749.543610647</v>
      </c>
      <c r="Q948" s="141">
        <f t="shared" si="592"/>
        <v>83947340.66283536</v>
      </c>
      <c r="R948" s="141">
        <f t="shared" si="592"/>
        <v>82169632.272328243</v>
      </c>
      <c r="S948" s="141">
        <f t="shared" si="592"/>
        <v>80115391.465520054</v>
      </c>
      <c r="T948" s="141">
        <f t="shared" si="592"/>
        <v>77765339.982531473</v>
      </c>
      <c r="U948" s="141">
        <f t="shared" si="592"/>
        <v>75099099.754558966</v>
      </c>
      <c r="V948" s="141">
        <f t="shared" si="592"/>
        <v>72095135.764376611</v>
      </c>
      <c r="W948" s="141">
        <f t="shared" si="592"/>
        <v>68730696.095372364</v>
      </c>
      <c r="X948" s="141">
        <f t="shared" si="592"/>
        <v>64981749.035624802</v>
      </c>
      <c r="Y948" s="141">
        <f t="shared" si="592"/>
        <v>60822917.097344808</v>
      </c>
      <c r="Z948" s="141">
        <f t="shared" si="592"/>
        <v>56227407.805545419</v>
      </c>
      <c r="AA948" s="141">
        <f t="shared" si="592"/>
        <v>51166941.103046335</v>
      </c>
      <c r="AB948" s="141">
        <f t="shared" si="592"/>
        <v>45611673.211858459</v>
      </c>
      <c r="AC948" s="141">
        <f t="shared" si="592"/>
        <v>39530116.783610657</v>
      </c>
      <c r="AD948" s="141">
        <f t="shared" si="592"/>
        <v>32889057.16396407</v>
      </c>
      <c r="AE948" s="141">
        <f t="shared" si="592"/>
        <v>25653464.587891981</v>
      </c>
      <c r="AF948" s="141">
        <f t="shared" si="592"/>
        <v>17786402.114271775</v>
      </c>
      <c r="AG948" s="141">
        <f t="shared" si="592"/>
        <v>11098714.919305585</v>
      </c>
      <c r="AH948" s="141">
        <f t="shared" si="592"/>
        <v>5771331.7580389036</v>
      </c>
      <c r="AI948" s="141">
        <f t="shared" si="592"/>
        <v>2000728.3427868192</v>
      </c>
      <c r="AJ948" s="141">
        <f t="shared" si="592"/>
        <v>0</v>
      </c>
      <c r="AK948" s="151"/>
      <c r="AL948" s="151"/>
      <c r="AM948" s="151"/>
      <c r="AN948" s="151"/>
      <c r="AO948" s="151"/>
      <c r="AP948" s="151"/>
      <c r="AQ948" s="151"/>
      <c r="AR948" s="151"/>
      <c r="AS948" s="151"/>
      <c r="AT948" s="151"/>
      <c r="AU948" s="151"/>
      <c r="AV948" s="151"/>
      <c r="AW948" s="151"/>
      <c r="AX948" s="151"/>
      <c r="AY948" s="151"/>
      <c r="AZ948" s="151"/>
      <c r="BA948" s="151"/>
      <c r="BB948" s="151"/>
      <c r="BC948" s="151"/>
      <c r="BD948" s="151"/>
      <c r="BE948" s="151"/>
      <c r="BF948" s="151"/>
      <c r="BG948" s="151"/>
      <c r="BH948" s="151"/>
      <c r="BI948" s="151"/>
      <c r="BJ948" s="152"/>
      <c r="BK948" s="151"/>
      <c r="BL948" s="151"/>
    </row>
    <row r="949" spans="1:64" s="153" customFormat="1" ht="12.75">
      <c r="A949" s="138" t="s">
        <v>129</v>
      </c>
      <c r="B949" s="144"/>
      <c r="C949" s="140">
        <f>C892*(1+$G865)^(C866-1)</f>
        <v>8686479.1764937658</v>
      </c>
      <c r="D949" s="141">
        <f t="shared" ref="D949:AJ949" si="593">D892*(1+$G865)^(D866-1)</f>
        <v>8729423.5679281186</v>
      </c>
      <c r="E949" s="141">
        <f t="shared" si="593"/>
        <v>8761905.1439948268</v>
      </c>
      <c r="F949" s="141">
        <f t="shared" si="593"/>
        <v>8783018.1684381887</v>
      </c>
      <c r="G949" s="141">
        <f t="shared" si="593"/>
        <v>8791801.186606627</v>
      </c>
      <c r="H949" s="141">
        <f t="shared" si="593"/>
        <v>8787234.0171590392</v>
      </c>
      <c r="I949" s="141">
        <f t="shared" si="593"/>
        <v>8768234.5922570731</v>
      </c>
      <c r="J949" s="141">
        <f t="shared" si="593"/>
        <v>8733655.6389354952</v>
      </c>
      <c r="K949" s="141">
        <f t="shared" si="593"/>
        <v>8682281.1940005813</v>
      </c>
      <c r="L949" s="141">
        <f t="shared" si="593"/>
        <v>8612822.9444485772</v>
      </c>
      <c r="M949" s="141">
        <f t="shared" si="593"/>
        <v>8523916.3850220107</v>
      </c>
      <c r="N949" s="141">
        <f t="shared" si="593"/>
        <v>8414116.7841302007</v>
      </c>
      <c r="O949" s="141">
        <f t="shared" si="593"/>
        <v>8281894.9489510125</v>
      </c>
      <c r="P949" s="141">
        <f t="shared" si="593"/>
        <v>8125632.7801028797</v>
      </c>
      <c r="Q949" s="141">
        <f t="shared" si="593"/>
        <v>7943618.6058285749</v>
      </c>
      <c r="R949" s="141">
        <f t="shared" si="593"/>
        <v>7734042.2851641597</v>
      </c>
      <c r="S949" s="141">
        <f t="shared" si="593"/>
        <v>7494990.0690772692</v>
      </c>
      <c r="T949" s="141">
        <f t="shared" si="593"/>
        <v>7224439.2080471627</v>
      </c>
      <c r="U949" s="141">
        <f t="shared" si="593"/>
        <v>6920252.2940241257</v>
      </c>
      <c r="V949" s="141">
        <f t="shared" si="593"/>
        <v>6580171.3241463676</v>
      </c>
      <c r="W949" s="141">
        <f t="shared" si="593"/>
        <v>6201811.4730079519</v>
      </c>
      <c r="X949" s="141">
        <f t="shared" si="593"/>
        <v>5782654.5596598294</v>
      </c>
      <c r="Y949" s="141">
        <f t="shared" si="593"/>
        <v>5320042.194887042</v>
      </c>
      <c r="Z949" s="141">
        <f t="shared" si="593"/>
        <v>4811168.5936369766</v>
      </c>
      <c r="AA949" s="141">
        <f t="shared" si="593"/>
        <v>4253073.036775087</v>
      </c>
      <c r="AB949" s="141">
        <f t="shared" si="593"/>
        <v>3642631.9656144269</v>
      </c>
      <c r="AC949" s="141">
        <f t="shared" si="593"/>
        <v>2976550.6919020726</v>
      </c>
      <c r="AD949" s="141">
        <f t="shared" si="593"/>
        <v>2251354.7051477474</v>
      </c>
      <c r="AE949" s="141">
        <f t="shared" si="593"/>
        <v>1463380.5583460338</v>
      </c>
      <c r="AF949" s="141">
        <f t="shared" si="593"/>
        <v>608766.31227194588</v>
      </c>
      <c r="AG949" s="141">
        <f t="shared" si="593"/>
        <v>-7.36283271637944E-9</v>
      </c>
      <c r="AH949" s="141">
        <f t="shared" si="593"/>
        <v>-7.6573460250346177E-9</v>
      </c>
      <c r="AI949" s="141">
        <f t="shared" si="593"/>
        <v>-7.9636398660360025E-9</v>
      </c>
      <c r="AJ949" s="141">
        <f t="shared" si="593"/>
        <v>-8.2821854606774423E-9</v>
      </c>
      <c r="AK949" s="151"/>
      <c r="AL949" s="151"/>
      <c r="AM949" s="151"/>
      <c r="AN949" s="151"/>
      <c r="AO949" s="151"/>
      <c r="AP949" s="151"/>
      <c r="AQ949" s="151"/>
      <c r="AR949" s="151"/>
      <c r="AS949" s="151"/>
      <c r="AT949" s="151"/>
      <c r="AU949" s="151"/>
      <c r="AV949" s="151"/>
      <c r="AW949" s="151"/>
      <c r="AX949" s="151"/>
      <c r="AY949" s="151"/>
      <c r="AZ949" s="151"/>
      <c r="BA949" s="151"/>
      <c r="BB949" s="151"/>
      <c r="BC949" s="151"/>
      <c r="BD949" s="151"/>
      <c r="BE949" s="151"/>
      <c r="BF949" s="151"/>
      <c r="BG949" s="151"/>
      <c r="BH949" s="151"/>
      <c r="BI949" s="151"/>
      <c r="BJ949" s="152"/>
      <c r="BK949" s="151"/>
      <c r="BL949" s="151"/>
    </row>
    <row r="950" spans="1:64" s="116" customFormat="1">
      <c r="A950" s="111" t="s">
        <v>132</v>
      </c>
      <c r="B950" s="155">
        <f>SUM(B951:B954)</f>
        <v>184964400.32411751</v>
      </c>
      <c r="C950" s="117">
        <f>SUM(C951:C954)</f>
        <v>9433260.5069542918</v>
      </c>
      <c r="D950" s="118">
        <f t="shared" ref="D950:AJ950" si="594">SUM(D951:D954)</f>
        <v>9741126.7907092441</v>
      </c>
      <c r="E950" s="118">
        <f t="shared" si="594"/>
        <v>11668798.991009794</v>
      </c>
      <c r="F950" s="118">
        <f t="shared" si="594"/>
        <v>11890589.367052337</v>
      </c>
      <c r="G950" s="118">
        <f t="shared" si="594"/>
        <v>12024386.184401998</v>
      </c>
      <c r="H950" s="118">
        <f t="shared" si="594"/>
        <v>12059312.425346045</v>
      </c>
      <c r="I950" s="118">
        <f t="shared" si="594"/>
        <v>12077793.747670569</v>
      </c>
      <c r="J950" s="118">
        <f t="shared" si="594"/>
        <v>12078458.675900498</v>
      </c>
      <c r="K950" s="118">
        <f t="shared" si="594"/>
        <v>12059852.328392556</v>
      </c>
      <c r="L950" s="118">
        <f t="shared" si="594"/>
        <v>12020431.939202536</v>
      </c>
      <c r="M950" s="118">
        <f t="shared" si="594"/>
        <v>11958562.155151885</v>
      </c>
      <c r="N950" s="118">
        <f t="shared" si="594"/>
        <v>11872510.097274454</v>
      </c>
      <c r="O950" s="118">
        <f t="shared" si="594"/>
        <v>11760440.175318591</v>
      </c>
      <c r="P950" s="118">
        <f t="shared" si="594"/>
        <v>11620408.643450622</v>
      </c>
      <c r="Q950" s="118">
        <f t="shared" si="594"/>
        <v>11450357.884752698</v>
      </c>
      <c r="R950" s="118">
        <f t="shared" si="594"/>
        <v>11248110.411529424</v>
      </c>
      <c r="S950" s="118">
        <f t="shared" si="594"/>
        <v>0</v>
      </c>
      <c r="T950" s="118">
        <f t="shared" si="594"/>
        <v>0</v>
      </c>
      <c r="U950" s="118">
        <f t="shared" si="594"/>
        <v>0</v>
      </c>
      <c r="V950" s="118">
        <f t="shared" si="594"/>
        <v>0</v>
      </c>
      <c r="W950" s="118">
        <f t="shared" si="594"/>
        <v>0</v>
      </c>
      <c r="X950" s="118">
        <f t="shared" si="594"/>
        <v>0</v>
      </c>
      <c r="Y950" s="118">
        <f t="shared" si="594"/>
        <v>0</v>
      </c>
      <c r="Z950" s="118">
        <f t="shared" si="594"/>
        <v>0</v>
      </c>
      <c r="AA950" s="118">
        <f t="shared" si="594"/>
        <v>0</v>
      </c>
      <c r="AB950" s="118">
        <f t="shared" si="594"/>
        <v>0</v>
      </c>
      <c r="AC950" s="118">
        <f t="shared" si="594"/>
        <v>0</v>
      </c>
      <c r="AD950" s="118">
        <f t="shared" si="594"/>
        <v>0</v>
      </c>
      <c r="AE950" s="118">
        <f t="shared" si="594"/>
        <v>0</v>
      </c>
      <c r="AF950" s="118">
        <f t="shared" si="594"/>
        <v>0</v>
      </c>
      <c r="AG950" s="118">
        <f t="shared" si="594"/>
        <v>0</v>
      </c>
      <c r="AH950" s="118">
        <f t="shared" si="594"/>
        <v>0</v>
      </c>
      <c r="AI950" s="118">
        <f t="shared" si="594"/>
        <v>0</v>
      </c>
      <c r="AJ950" s="118">
        <f t="shared" si="594"/>
        <v>0</v>
      </c>
      <c r="AK950" s="118"/>
      <c r="AL950" s="118"/>
      <c r="AM950" s="118"/>
      <c r="AN950" s="118"/>
      <c r="AO950" s="118"/>
      <c r="AP950" s="118"/>
      <c r="AQ950" s="118"/>
      <c r="AR950" s="118"/>
      <c r="AS950" s="118"/>
      <c r="AT950" s="118"/>
      <c r="AU950" s="118"/>
      <c r="AV950" s="118"/>
      <c r="AW950" s="118"/>
      <c r="AX950" s="118"/>
      <c r="AY950" s="118"/>
      <c r="AZ950" s="118"/>
      <c r="BA950" s="118"/>
      <c r="BB950" s="118"/>
      <c r="BC950" s="118"/>
      <c r="BD950" s="118"/>
      <c r="BE950" s="118"/>
      <c r="BF950" s="118"/>
      <c r="BG950" s="118"/>
      <c r="BH950" s="118"/>
      <c r="BI950" s="118"/>
      <c r="BJ950" s="119"/>
      <c r="BK950" s="118"/>
      <c r="BL950" s="118"/>
    </row>
    <row r="951" spans="1:64" s="143" customFormat="1" ht="12.75">
      <c r="A951" s="138" t="s">
        <v>126</v>
      </c>
      <c r="B951" s="139">
        <f>SUM(C951:BJ951)</f>
        <v>24561099.492133562</v>
      </c>
      <c r="C951" s="140">
        <f>C894*(1+$G865)^(C866-1)</f>
        <v>0</v>
      </c>
      <c r="D951" s="141">
        <f t="shared" ref="D951:BJ951" si="595">D894*(1+$G865)^(D866-1)</f>
        <v>0</v>
      </c>
      <c r="E951" s="141">
        <f t="shared" si="595"/>
        <v>1693069.0448621614</v>
      </c>
      <c r="F951" s="141">
        <f t="shared" si="595"/>
        <v>1741227.4532493518</v>
      </c>
      <c r="G951" s="141">
        <f t="shared" si="595"/>
        <v>1770182.6962921503</v>
      </c>
      <c r="H951" s="141">
        <f t="shared" si="595"/>
        <v>1777507.5902078422</v>
      </c>
      <c r="I951" s="141">
        <f t="shared" si="595"/>
        <v>1782586.1833227216</v>
      </c>
      <c r="J951" s="141">
        <f t="shared" si="595"/>
        <v>1785227.0517424587</v>
      </c>
      <c r="K951" s="141">
        <f t="shared" si="595"/>
        <v>1785227.0517424589</v>
      </c>
      <c r="L951" s="141">
        <f t="shared" si="595"/>
        <v>1782370.6884596711</v>
      </c>
      <c r="M951" s="141">
        <f t="shared" si="595"/>
        <v>1776429.4528314725</v>
      </c>
      <c r="N951" s="141">
        <f t="shared" si="595"/>
        <v>1767161.125251482</v>
      </c>
      <c r="O951" s="141">
        <f t="shared" si="595"/>
        <v>1754309.0443405625</v>
      </c>
      <c r="P951" s="141">
        <f t="shared" si="595"/>
        <v>1737601.3391563667</v>
      </c>
      <c r="Q951" s="141">
        <f t="shared" si="595"/>
        <v>1716750.1230864902</v>
      </c>
      <c r="R951" s="141">
        <f t="shared" si="595"/>
        <v>1691450.6475883734</v>
      </c>
      <c r="S951" s="141">
        <f t="shared" si="595"/>
        <v>0</v>
      </c>
      <c r="T951" s="141">
        <f t="shared" si="595"/>
        <v>0</v>
      </c>
      <c r="U951" s="141">
        <f t="shared" si="595"/>
        <v>0</v>
      </c>
      <c r="V951" s="141">
        <f t="shared" si="595"/>
        <v>0</v>
      </c>
      <c r="W951" s="141">
        <f t="shared" si="595"/>
        <v>0</v>
      </c>
      <c r="X951" s="141">
        <f t="shared" si="595"/>
        <v>0</v>
      </c>
      <c r="Y951" s="141">
        <f t="shared" si="595"/>
        <v>0</v>
      </c>
      <c r="Z951" s="141">
        <f t="shared" si="595"/>
        <v>0</v>
      </c>
      <c r="AA951" s="141">
        <f t="shared" si="595"/>
        <v>0</v>
      </c>
      <c r="AB951" s="141">
        <f t="shared" si="595"/>
        <v>0</v>
      </c>
      <c r="AC951" s="141">
        <f t="shared" si="595"/>
        <v>0</v>
      </c>
      <c r="AD951" s="141">
        <f t="shared" si="595"/>
        <v>0</v>
      </c>
      <c r="AE951" s="141">
        <f t="shared" si="595"/>
        <v>0</v>
      </c>
      <c r="AF951" s="141">
        <f t="shared" si="595"/>
        <v>0</v>
      </c>
      <c r="AG951" s="141">
        <f t="shared" si="595"/>
        <v>0</v>
      </c>
      <c r="AH951" s="141">
        <f t="shared" si="595"/>
        <v>0</v>
      </c>
      <c r="AI951" s="141">
        <f t="shared" si="595"/>
        <v>0</v>
      </c>
      <c r="AJ951" s="141">
        <f t="shared" si="595"/>
        <v>0</v>
      </c>
      <c r="AK951" s="141">
        <f t="shared" si="595"/>
        <v>0</v>
      </c>
      <c r="AL951" s="141">
        <f t="shared" si="595"/>
        <v>0</v>
      </c>
      <c r="AM951" s="141">
        <f t="shared" si="595"/>
        <v>0</v>
      </c>
      <c r="AN951" s="141">
        <f t="shared" si="595"/>
        <v>0</v>
      </c>
      <c r="AO951" s="141">
        <f t="shared" si="595"/>
        <v>0</v>
      </c>
      <c r="AP951" s="141">
        <f t="shared" si="595"/>
        <v>0</v>
      </c>
      <c r="AQ951" s="141">
        <f t="shared" si="595"/>
        <v>0</v>
      </c>
      <c r="AR951" s="141">
        <f t="shared" si="595"/>
        <v>0</v>
      </c>
      <c r="AS951" s="141">
        <f t="shared" si="595"/>
        <v>0</v>
      </c>
      <c r="AT951" s="141">
        <f t="shared" si="595"/>
        <v>0</v>
      </c>
      <c r="AU951" s="141">
        <f t="shared" si="595"/>
        <v>0</v>
      </c>
      <c r="AV951" s="141">
        <f t="shared" si="595"/>
        <v>0</v>
      </c>
      <c r="AW951" s="141">
        <f t="shared" si="595"/>
        <v>0</v>
      </c>
      <c r="AX951" s="141">
        <f t="shared" si="595"/>
        <v>0</v>
      </c>
      <c r="AY951" s="141">
        <f t="shared" si="595"/>
        <v>0</v>
      </c>
      <c r="AZ951" s="141">
        <f t="shared" si="595"/>
        <v>0</v>
      </c>
      <c r="BA951" s="141">
        <f t="shared" si="595"/>
        <v>0</v>
      </c>
      <c r="BB951" s="141">
        <f t="shared" si="595"/>
        <v>0</v>
      </c>
      <c r="BC951" s="141">
        <f t="shared" si="595"/>
        <v>0</v>
      </c>
      <c r="BD951" s="141">
        <f t="shared" si="595"/>
        <v>0</v>
      </c>
      <c r="BE951" s="141">
        <f t="shared" si="595"/>
        <v>0</v>
      </c>
      <c r="BF951" s="141">
        <f t="shared" si="595"/>
        <v>0</v>
      </c>
      <c r="BG951" s="141">
        <f t="shared" si="595"/>
        <v>0</v>
      </c>
      <c r="BH951" s="141">
        <f t="shared" si="595"/>
        <v>0</v>
      </c>
      <c r="BI951" s="141">
        <f t="shared" si="595"/>
        <v>0</v>
      </c>
      <c r="BJ951" s="142">
        <f t="shared" si="595"/>
        <v>0</v>
      </c>
      <c r="BK951" s="141"/>
      <c r="BL951" s="141"/>
    </row>
    <row r="952" spans="1:64" s="143" customFormat="1" ht="12.75">
      <c r="A952" s="138" t="s">
        <v>127</v>
      </c>
      <c r="B952" s="139">
        <f>SUM(C952:BJ952)</f>
        <v>0</v>
      </c>
      <c r="C952" s="140">
        <f>C895*(1+$G865)^(C866-1)</f>
        <v>0</v>
      </c>
      <c r="D952" s="141">
        <f t="shared" ref="D952:BJ952" si="596">D895*(1+$G865)^(D866-1)</f>
        <v>0</v>
      </c>
      <c r="E952" s="141">
        <f t="shared" si="596"/>
        <v>0</v>
      </c>
      <c r="F952" s="141">
        <f t="shared" si="596"/>
        <v>0</v>
      </c>
      <c r="G952" s="141">
        <f t="shared" si="596"/>
        <v>0</v>
      </c>
      <c r="H952" s="141">
        <f t="shared" si="596"/>
        <v>0</v>
      </c>
      <c r="I952" s="141">
        <f t="shared" si="596"/>
        <v>0</v>
      </c>
      <c r="J952" s="141">
        <f t="shared" si="596"/>
        <v>0</v>
      </c>
      <c r="K952" s="141">
        <f t="shared" si="596"/>
        <v>0</v>
      </c>
      <c r="L952" s="141">
        <f t="shared" si="596"/>
        <v>0</v>
      </c>
      <c r="M952" s="141">
        <f t="shared" si="596"/>
        <v>0</v>
      </c>
      <c r="N952" s="141">
        <f t="shared" si="596"/>
        <v>0</v>
      </c>
      <c r="O952" s="141">
        <f t="shared" si="596"/>
        <v>0</v>
      </c>
      <c r="P952" s="141">
        <f t="shared" si="596"/>
        <v>0</v>
      </c>
      <c r="Q952" s="141">
        <f t="shared" si="596"/>
        <v>0</v>
      </c>
      <c r="R952" s="141">
        <f t="shared" si="596"/>
        <v>0</v>
      </c>
      <c r="S952" s="141">
        <f t="shared" si="596"/>
        <v>0</v>
      </c>
      <c r="T952" s="141">
        <f t="shared" si="596"/>
        <v>0</v>
      </c>
      <c r="U952" s="141">
        <f t="shared" si="596"/>
        <v>0</v>
      </c>
      <c r="V952" s="141">
        <f t="shared" si="596"/>
        <v>0</v>
      </c>
      <c r="W952" s="141">
        <f t="shared" si="596"/>
        <v>0</v>
      </c>
      <c r="X952" s="141">
        <f t="shared" si="596"/>
        <v>0</v>
      </c>
      <c r="Y952" s="141">
        <f t="shared" si="596"/>
        <v>0</v>
      </c>
      <c r="Z952" s="141">
        <f t="shared" si="596"/>
        <v>0</v>
      </c>
      <c r="AA952" s="141">
        <f t="shared" si="596"/>
        <v>0</v>
      </c>
      <c r="AB952" s="141">
        <f t="shared" si="596"/>
        <v>0</v>
      </c>
      <c r="AC952" s="141">
        <f t="shared" si="596"/>
        <v>0</v>
      </c>
      <c r="AD952" s="141">
        <f t="shared" si="596"/>
        <v>0</v>
      </c>
      <c r="AE952" s="141">
        <f t="shared" si="596"/>
        <v>0</v>
      </c>
      <c r="AF952" s="141">
        <f t="shared" si="596"/>
        <v>0</v>
      </c>
      <c r="AG952" s="141">
        <f t="shared" si="596"/>
        <v>0</v>
      </c>
      <c r="AH952" s="141">
        <f t="shared" si="596"/>
        <v>0</v>
      </c>
      <c r="AI952" s="141">
        <f t="shared" si="596"/>
        <v>0</v>
      </c>
      <c r="AJ952" s="141">
        <f t="shared" si="596"/>
        <v>0</v>
      </c>
      <c r="AK952" s="141">
        <f t="shared" si="596"/>
        <v>0</v>
      </c>
      <c r="AL952" s="141">
        <f t="shared" si="596"/>
        <v>0</v>
      </c>
      <c r="AM952" s="141">
        <f t="shared" si="596"/>
        <v>0</v>
      </c>
      <c r="AN952" s="141">
        <f t="shared" si="596"/>
        <v>0</v>
      </c>
      <c r="AO952" s="141">
        <f t="shared" si="596"/>
        <v>0</v>
      </c>
      <c r="AP952" s="141">
        <f t="shared" si="596"/>
        <v>0</v>
      </c>
      <c r="AQ952" s="141">
        <f t="shared" si="596"/>
        <v>0</v>
      </c>
      <c r="AR952" s="141">
        <f t="shared" si="596"/>
        <v>0</v>
      </c>
      <c r="AS952" s="141">
        <f t="shared" si="596"/>
        <v>0</v>
      </c>
      <c r="AT952" s="141">
        <f t="shared" si="596"/>
        <v>0</v>
      </c>
      <c r="AU952" s="141">
        <f t="shared" si="596"/>
        <v>0</v>
      </c>
      <c r="AV952" s="141">
        <f t="shared" si="596"/>
        <v>0</v>
      </c>
      <c r="AW952" s="141">
        <f t="shared" si="596"/>
        <v>0</v>
      </c>
      <c r="AX952" s="141">
        <f t="shared" si="596"/>
        <v>0</v>
      </c>
      <c r="AY952" s="141">
        <f t="shared" si="596"/>
        <v>0</v>
      </c>
      <c r="AZ952" s="141">
        <f t="shared" si="596"/>
        <v>0</v>
      </c>
      <c r="BA952" s="141">
        <f t="shared" si="596"/>
        <v>0</v>
      </c>
      <c r="BB952" s="141">
        <f t="shared" si="596"/>
        <v>0</v>
      </c>
      <c r="BC952" s="141">
        <f t="shared" si="596"/>
        <v>0</v>
      </c>
      <c r="BD952" s="141">
        <f t="shared" si="596"/>
        <v>0</v>
      </c>
      <c r="BE952" s="141">
        <f t="shared" si="596"/>
        <v>0</v>
      </c>
      <c r="BF952" s="141">
        <f t="shared" si="596"/>
        <v>0</v>
      </c>
      <c r="BG952" s="141">
        <f t="shared" si="596"/>
        <v>0</v>
      </c>
      <c r="BH952" s="141">
        <f t="shared" si="596"/>
        <v>0</v>
      </c>
      <c r="BI952" s="141">
        <f t="shared" si="596"/>
        <v>0</v>
      </c>
      <c r="BJ952" s="142">
        <f t="shared" si="596"/>
        <v>0</v>
      </c>
      <c r="BK952" s="141"/>
      <c r="BL952" s="141"/>
    </row>
    <row r="953" spans="1:64" s="143" customFormat="1" ht="12.75">
      <c r="A953" s="138" t="s">
        <v>128</v>
      </c>
      <c r="B953" s="139">
        <f>SUM(C953:BJ953)</f>
        <v>146147785.17140535</v>
      </c>
      <c r="C953" s="140">
        <f>C896*(1+$G865)^(C866-1)</f>
        <v>8554852.5003425628</v>
      </c>
      <c r="D953" s="141">
        <f t="shared" ref="D953:BJ953" si="597">D896*(1+$G865)^(D866-1)</f>
        <v>8837732.9563538916</v>
      </c>
      <c r="E953" s="141">
        <f t="shared" si="597"/>
        <v>9067869.8950831071</v>
      </c>
      <c r="F953" s="141">
        <f t="shared" si="597"/>
        <v>9238123.7788275238</v>
      </c>
      <c r="G953" s="141">
        <f t="shared" si="597"/>
        <v>9340769.5985922758</v>
      </c>
      <c r="H953" s="141">
        <f t="shared" si="597"/>
        <v>9367457.5117311124</v>
      </c>
      <c r="I953" s="141">
        <f t="shared" si="597"/>
        <v>9381335.2265633065</v>
      </c>
      <c r="J953" s="141">
        <f t="shared" si="597"/>
        <v>9381335.2265633047</v>
      </c>
      <c r="K953" s="141">
        <f t="shared" si="597"/>
        <v>9366325.090200806</v>
      </c>
      <c r="L953" s="141">
        <f t="shared" si="597"/>
        <v>9335104.0065668039</v>
      </c>
      <c r="M953" s="141">
        <f t="shared" si="597"/>
        <v>9286399.1160977595</v>
      </c>
      <c r="N953" s="141">
        <f t="shared" si="597"/>
        <v>9218861.667980684</v>
      </c>
      <c r="O953" s="141">
        <f t="shared" si="597"/>
        <v>9131062.9854284879</v>
      </c>
      <c r="P953" s="141">
        <f t="shared" si="597"/>
        <v>9021490.2296033483</v>
      </c>
      <c r="Q953" s="141">
        <f t="shared" si="597"/>
        <v>8888541.9525355082</v>
      </c>
      <c r="R953" s="141">
        <f t="shared" si="597"/>
        <v>8730523.4289348777</v>
      </c>
      <c r="S953" s="141">
        <f t="shared" si="597"/>
        <v>0</v>
      </c>
      <c r="T953" s="141">
        <f t="shared" si="597"/>
        <v>0</v>
      </c>
      <c r="U953" s="141">
        <f t="shared" si="597"/>
        <v>0</v>
      </c>
      <c r="V953" s="141">
        <f t="shared" si="597"/>
        <v>0</v>
      </c>
      <c r="W953" s="141">
        <f t="shared" si="597"/>
        <v>0</v>
      </c>
      <c r="X953" s="141">
        <f t="shared" si="597"/>
        <v>0</v>
      </c>
      <c r="Y953" s="141">
        <f t="shared" si="597"/>
        <v>0</v>
      </c>
      <c r="Z953" s="141">
        <f t="shared" si="597"/>
        <v>0</v>
      </c>
      <c r="AA953" s="141">
        <f t="shared" si="597"/>
        <v>0</v>
      </c>
      <c r="AB953" s="141">
        <f t="shared" si="597"/>
        <v>0</v>
      </c>
      <c r="AC953" s="141">
        <f t="shared" si="597"/>
        <v>0</v>
      </c>
      <c r="AD953" s="141">
        <f t="shared" si="597"/>
        <v>0</v>
      </c>
      <c r="AE953" s="141">
        <f t="shared" si="597"/>
        <v>0</v>
      </c>
      <c r="AF953" s="141">
        <f t="shared" si="597"/>
        <v>0</v>
      </c>
      <c r="AG953" s="141">
        <f t="shared" si="597"/>
        <v>0</v>
      </c>
      <c r="AH953" s="141">
        <f t="shared" si="597"/>
        <v>0</v>
      </c>
      <c r="AI953" s="141">
        <f t="shared" si="597"/>
        <v>0</v>
      </c>
      <c r="AJ953" s="141">
        <f t="shared" si="597"/>
        <v>0</v>
      </c>
      <c r="AK953" s="141">
        <f t="shared" si="597"/>
        <v>0</v>
      </c>
      <c r="AL953" s="141">
        <f t="shared" si="597"/>
        <v>0</v>
      </c>
      <c r="AM953" s="141">
        <f t="shared" si="597"/>
        <v>0</v>
      </c>
      <c r="AN953" s="141">
        <f t="shared" si="597"/>
        <v>0</v>
      </c>
      <c r="AO953" s="141">
        <f t="shared" si="597"/>
        <v>0</v>
      </c>
      <c r="AP953" s="141">
        <f t="shared" si="597"/>
        <v>0</v>
      </c>
      <c r="AQ953" s="141">
        <f t="shared" si="597"/>
        <v>0</v>
      </c>
      <c r="AR953" s="141">
        <f t="shared" si="597"/>
        <v>0</v>
      </c>
      <c r="AS953" s="141">
        <f t="shared" si="597"/>
        <v>0</v>
      </c>
      <c r="AT953" s="141">
        <f t="shared" si="597"/>
        <v>0</v>
      </c>
      <c r="AU953" s="141">
        <f t="shared" si="597"/>
        <v>0</v>
      </c>
      <c r="AV953" s="141">
        <f t="shared" si="597"/>
        <v>0</v>
      </c>
      <c r="AW953" s="141">
        <f t="shared" si="597"/>
        <v>0</v>
      </c>
      <c r="AX953" s="141">
        <f t="shared" si="597"/>
        <v>0</v>
      </c>
      <c r="AY953" s="141">
        <f t="shared" si="597"/>
        <v>0</v>
      </c>
      <c r="AZ953" s="141">
        <f t="shared" si="597"/>
        <v>0</v>
      </c>
      <c r="BA953" s="141">
        <f t="shared" si="597"/>
        <v>0</v>
      </c>
      <c r="BB953" s="141">
        <f t="shared" si="597"/>
        <v>0</v>
      </c>
      <c r="BC953" s="141">
        <f t="shared" si="597"/>
        <v>0</v>
      </c>
      <c r="BD953" s="141">
        <f t="shared" si="597"/>
        <v>0</v>
      </c>
      <c r="BE953" s="141">
        <f t="shared" si="597"/>
        <v>0</v>
      </c>
      <c r="BF953" s="141">
        <f t="shared" si="597"/>
        <v>0</v>
      </c>
      <c r="BG953" s="141">
        <f t="shared" si="597"/>
        <v>0</v>
      </c>
      <c r="BH953" s="141">
        <f t="shared" si="597"/>
        <v>0</v>
      </c>
      <c r="BI953" s="141">
        <f t="shared" si="597"/>
        <v>0</v>
      </c>
      <c r="BJ953" s="142">
        <f t="shared" si="597"/>
        <v>0</v>
      </c>
      <c r="BK953" s="141"/>
      <c r="BL953" s="141"/>
    </row>
    <row r="954" spans="1:64" s="143" customFormat="1" ht="12.75">
      <c r="A954" s="138" t="s">
        <v>129</v>
      </c>
      <c r="B954" s="139">
        <f>SUM(C954:BJ954)</f>
        <v>14255515.660578616</v>
      </c>
      <c r="C954" s="140">
        <f>C897*(1+$G865)^(C866-1)</f>
        <v>878408.00661172904</v>
      </c>
      <c r="D954" s="141">
        <f t="shared" ref="D954:BJ954" si="598">D897*(1+$G865)^(D866-1)</f>
        <v>903393.83435535175</v>
      </c>
      <c r="E954" s="141">
        <f t="shared" si="598"/>
        <v>907860.05106452445</v>
      </c>
      <c r="F954" s="141">
        <f t="shared" si="598"/>
        <v>911238.1349754621</v>
      </c>
      <c r="G954" s="141">
        <f t="shared" si="598"/>
        <v>913433.88951757166</v>
      </c>
      <c r="H954" s="141">
        <f t="shared" si="598"/>
        <v>914347.32340708934</v>
      </c>
      <c r="I954" s="141">
        <f t="shared" si="598"/>
        <v>913872.33778454014</v>
      </c>
      <c r="J954" s="141">
        <f t="shared" si="598"/>
        <v>911896.39759473572</v>
      </c>
      <c r="K954" s="141">
        <f t="shared" si="598"/>
        <v>908300.18644929177</v>
      </c>
      <c r="L954" s="141">
        <f t="shared" si="598"/>
        <v>902957.24417606066</v>
      </c>
      <c r="M954" s="141">
        <f t="shared" si="598"/>
        <v>895733.58622265211</v>
      </c>
      <c r="N954" s="141">
        <f t="shared" si="598"/>
        <v>886487.30404228903</v>
      </c>
      <c r="O954" s="141">
        <f t="shared" si="598"/>
        <v>875068.14554954099</v>
      </c>
      <c r="P954" s="141">
        <f t="shared" si="598"/>
        <v>861317.0746909054</v>
      </c>
      <c r="Q954" s="141">
        <f t="shared" si="598"/>
        <v>845065.80913069961</v>
      </c>
      <c r="R954" s="141">
        <f t="shared" si="598"/>
        <v>826136.33500617184</v>
      </c>
      <c r="S954" s="141">
        <f t="shared" si="598"/>
        <v>0</v>
      </c>
      <c r="T954" s="141">
        <f t="shared" si="598"/>
        <v>0</v>
      </c>
      <c r="U954" s="141">
        <f t="shared" si="598"/>
        <v>0</v>
      </c>
      <c r="V954" s="141">
        <f t="shared" si="598"/>
        <v>0</v>
      </c>
      <c r="W954" s="141">
        <f t="shared" si="598"/>
        <v>0</v>
      </c>
      <c r="X954" s="141">
        <f t="shared" si="598"/>
        <v>0</v>
      </c>
      <c r="Y954" s="141">
        <f t="shared" si="598"/>
        <v>0</v>
      </c>
      <c r="Z954" s="141">
        <f t="shared" si="598"/>
        <v>0</v>
      </c>
      <c r="AA954" s="141">
        <f t="shared" si="598"/>
        <v>0</v>
      </c>
      <c r="AB954" s="141">
        <f t="shared" si="598"/>
        <v>0</v>
      </c>
      <c r="AC954" s="141">
        <f t="shared" si="598"/>
        <v>0</v>
      </c>
      <c r="AD954" s="141">
        <f t="shared" si="598"/>
        <v>0</v>
      </c>
      <c r="AE954" s="141">
        <f t="shared" si="598"/>
        <v>0</v>
      </c>
      <c r="AF954" s="141">
        <f t="shared" si="598"/>
        <v>0</v>
      </c>
      <c r="AG954" s="141">
        <f t="shared" si="598"/>
        <v>0</v>
      </c>
      <c r="AH954" s="141">
        <f t="shared" si="598"/>
        <v>0</v>
      </c>
      <c r="AI954" s="141">
        <f t="shared" si="598"/>
        <v>0</v>
      </c>
      <c r="AJ954" s="141">
        <f t="shared" si="598"/>
        <v>0</v>
      </c>
      <c r="AK954" s="141">
        <f t="shared" si="598"/>
        <v>0</v>
      </c>
      <c r="AL954" s="141">
        <f t="shared" si="598"/>
        <v>0</v>
      </c>
      <c r="AM954" s="141">
        <f t="shared" si="598"/>
        <v>0</v>
      </c>
      <c r="AN954" s="141">
        <f t="shared" si="598"/>
        <v>0</v>
      </c>
      <c r="AO954" s="141">
        <f t="shared" si="598"/>
        <v>0</v>
      </c>
      <c r="AP954" s="141">
        <f t="shared" si="598"/>
        <v>0</v>
      </c>
      <c r="AQ954" s="141">
        <f t="shared" si="598"/>
        <v>0</v>
      </c>
      <c r="AR954" s="141">
        <f t="shared" si="598"/>
        <v>0</v>
      </c>
      <c r="AS954" s="141">
        <f t="shared" si="598"/>
        <v>0</v>
      </c>
      <c r="AT954" s="141">
        <f t="shared" si="598"/>
        <v>0</v>
      </c>
      <c r="AU954" s="141">
        <f t="shared" si="598"/>
        <v>0</v>
      </c>
      <c r="AV954" s="141">
        <f t="shared" si="598"/>
        <v>0</v>
      </c>
      <c r="AW954" s="141">
        <f t="shared" si="598"/>
        <v>0</v>
      </c>
      <c r="AX954" s="141">
        <f t="shared" si="598"/>
        <v>0</v>
      </c>
      <c r="AY954" s="141">
        <f t="shared" si="598"/>
        <v>0</v>
      </c>
      <c r="AZ954" s="141">
        <f t="shared" si="598"/>
        <v>0</v>
      </c>
      <c r="BA954" s="141">
        <f t="shared" si="598"/>
        <v>0</v>
      </c>
      <c r="BB954" s="141">
        <f t="shared" si="598"/>
        <v>0</v>
      </c>
      <c r="BC954" s="141">
        <f t="shared" si="598"/>
        <v>0</v>
      </c>
      <c r="BD954" s="141">
        <f t="shared" si="598"/>
        <v>0</v>
      </c>
      <c r="BE954" s="141">
        <f t="shared" si="598"/>
        <v>0</v>
      </c>
      <c r="BF954" s="141">
        <f t="shared" si="598"/>
        <v>0</v>
      </c>
      <c r="BG954" s="141">
        <f t="shared" si="598"/>
        <v>0</v>
      </c>
      <c r="BH954" s="141">
        <f t="shared" si="598"/>
        <v>0</v>
      </c>
      <c r="BI954" s="141">
        <f t="shared" si="598"/>
        <v>0</v>
      </c>
      <c r="BJ954" s="142">
        <f t="shared" si="598"/>
        <v>0</v>
      </c>
      <c r="BK954" s="141"/>
      <c r="BL954" s="141"/>
    </row>
    <row r="955" spans="1:64" s="116" customFormat="1">
      <c r="A955" s="111" t="s">
        <v>133</v>
      </c>
      <c r="B955" s="155">
        <f>SUM(B956:B959)</f>
        <v>72245605.739889249</v>
      </c>
      <c r="C955" s="117">
        <f>SUM(C956:C959)</f>
        <v>667924.38964636298</v>
      </c>
      <c r="D955" s="118">
        <f>SUM(D956:D959)</f>
        <v>1490787.6556729018</v>
      </c>
      <c r="E955" s="118">
        <f>SUM(E956:E959)</f>
        <v>2355399.8422869812</v>
      </c>
      <c r="F955" s="118">
        <f t="shared" ref="F955:AJ955" si="599">SUM(F956:F959)</f>
        <v>3286795.7435811106</v>
      </c>
      <c r="G955" s="118">
        <f t="shared" si="599"/>
        <v>4288934.6772311116</v>
      </c>
      <c r="H955" s="118">
        <f t="shared" si="599"/>
        <v>4460492.0643203566</v>
      </c>
      <c r="I955" s="118">
        <f t="shared" si="599"/>
        <v>4638911.7468931703</v>
      </c>
      <c r="J955" s="118">
        <f t="shared" si="599"/>
        <v>4824468.2167688962</v>
      </c>
      <c r="K955" s="118">
        <f t="shared" si="599"/>
        <v>5017446.9454396535</v>
      </c>
      <c r="L955" s="118">
        <f t="shared" si="599"/>
        <v>5218144.8232572405</v>
      </c>
      <c r="M955" s="118">
        <f t="shared" si="599"/>
        <v>5426870.6161875296</v>
      </c>
      <c r="N955" s="118">
        <f t="shared" si="599"/>
        <v>5643945.4408350307</v>
      </c>
      <c r="O955" s="118">
        <f t="shared" si="599"/>
        <v>5869703.2584684333</v>
      </c>
      <c r="P955" s="118">
        <f t="shared" si="599"/>
        <v>6104491.388807171</v>
      </c>
      <c r="Q955" s="118">
        <f t="shared" si="599"/>
        <v>6348671.0443594567</v>
      </c>
      <c r="R955" s="118">
        <f t="shared" si="599"/>
        <v>6602617.8861338347</v>
      </c>
      <c r="S955" s="118">
        <f t="shared" si="599"/>
        <v>0</v>
      </c>
      <c r="T955" s="118">
        <f t="shared" si="599"/>
        <v>0</v>
      </c>
      <c r="U955" s="118">
        <f t="shared" si="599"/>
        <v>0</v>
      </c>
      <c r="V955" s="118">
        <f t="shared" si="599"/>
        <v>0</v>
      </c>
      <c r="W955" s="118">
        <f t="shared" si="599"/>
        <v>0</v>
      </c>
      <c r="X955" s="118">
        <f t="shared" si="599"/>
        <v>0</v>
      </c>
      <c r="Y955" s="118">
        <f t="shared" si="599"/>
        <v>0</v>
      </c>
      <c r="Z955" s="118">
        <f t="shared" si="599"/>
        <v>0</v>
      </c>
      <c r="AA955" s="118">
        <f t="shared" si="599"/>
        <v>0</v>
      </c>
      <c r="AB955" s="118">
        <f t="shared" si="599"/>
        <v>0</v>
      </c>
      <c r="AC955" s="118">
        <f t="shared" si="599"/>
        <v>0</v>
      </c>
      <c r="AD955" s="118">
        <f t="shared" si="599"/>
        <v>0</v>
      </c>
      <c r="AE955" s="118">
        <f t="shared" si="599"/>
        <v>0</v>
      </c>
      <c r="AF955" s="118">
        <f t="shared" si="599"/>
        <v>0</v>
      </c>
      <c r="AG955" s="118">
        <f t="shared" si="599"/>
        <v>0</v>
      </c>
      <c r="AH955" s="118">
        <f t="shared" si="599"/>
        <v>0</v>
      </c>
      <c r="AI955" s="118">
        <f t="shared" si="599"/>
        <v>0</v>
      </c>
      <c r="AJ955" s="118">
        <f t="shared" si="599"/>
        <v>0</v>
      </c>
      <c r="AK955" s="118"/>
      <c r="AL955" s="118"/>
      <c r="AM955" s="118"/>
      <c r="AN955" s="118"/>
      <c r="AO955" s="118"/>
      <c r="AP955" s="118"/>
      <c r="AQ955" s="118"/>
      <c r="AR955" s="118"/>
      <c r="AS955" s="118"/>
      <c r="AT955" s="118"/>
      <c r="AU955" s="118"/>
      <c r="AV955" s="118"/>
      <c r="AW955" s="118"/>
      <c r="AX955" s="118"/>
      <c r="AY955" s="118"/>
      <c r="AZ955" s="118"/>
      <c r="BA955" s="118"/>
      <c r="BB955" s="118"/>
      <c r="BC955" s="118"/>
      <c r="BD955" s="118"/>
      <c r="BE955" s="118"/>
      <c r="BF955" s="118"/>
      <c r="BG955" s="118"/>
      <c r="BH955" s="118"/>
      <c r="BI955" s="118"/>
      <c r="BJ955" s="119"/>
      <c r="BK955" s="118"/>
      <c r="BL955" s="118"/>
    </row>
    <row r="956" spans="1:64" s="143" customFormat="1" ht="12.75">
      <c r="A956" s="138" t="s">
        <v>126</v>
      </c>
      <c r="B956" s="139">
        <f t="shared" ref="B956:B962" si="600">SUM(C956:BJ956)</f>
        <v>9751275.1028272659</v>
      </c>
      <c r="C956" s="140">
        <f>C899*(1+$G865)^(C866-1)</f>
        <v>0</v>
      </c>
      <c r="D956" s="141">
        <f>D899*(1+$G865)^(D866-1)</f>
        <v>0</v>
      </c>
      <c r="E956" s="141">
        <f t="shared" ref="E956:BJ956" si="601">E899*(1+$G865)^(E866-1)</f>
        <v>188118.78276246236</v>
      </c>
      <c r="F956" s="141">
        <f t="shared" si="601"/>
        <v>391287.06814592174</v>
      </c>
      <c r="G956" s="141">
        <f t="shared" si="601"/>
        <v>610407.82630763797</v>
      </c>
      <c r="H956" s="141">
        <f t="shared" si="601"/>
        <v>634824.13935994357</v>
      </c>
      <c r="I956" s="141">
        <f t="shared" si="601"/>
        <v>660217.10493434127</v>
      </c>
      <c r="J956" s="141">
        <f t="shared" si="601"/>
        <v>686625.78913171485</v>
      </c>
      <c r="K956" s="141">
        <f t="shared" si="601"/>
        <v>714090.8206969836</v>
      </c>
      <c r="L956" s="141">
        <f t="shared" si="601"/>
        <v>742654.453524863</v>
      </c>
      <c r="M956" s="141">
        <f t="shared" si="601"/>
        <v>772360.63166585751</v>
      </c>
      <c r="N956" s="141">
        <f t="shared" si="601"/>
        <v>803255.05693249172</v>
      </c>
      <c r="O956" s="141">
        <f t="shared" si="601"/>
        <v>835385.25920979166</v>
      </c>
      <c r="P956" s="141">
        <f t="shared" si="601"/>
        <v>868800.66957818333</v>
      </c>
      <c r="Q956" s="141">
        <f t="shared" si="601"/>
        <v>903552.69636131066</v>
      </c>
      <c r="R956" s="141">
        <f t="shared" si="601"/>
        <v>939694.804215763</v>
      </c>
      <c r="S956" s="141">
        <f t="shared" si="601"/>
        <v>0</v>
      </c>
      <c r="T956" s="141">
        <f t="shared" si="601"/>
        <v>0</v>
      </c>
      <c r="U956" s="141">
        <f t="shared" si="601"/>
        <v>0</v>
      </c>
      <c r="V956" s="141">
        <f t="shared" si="601"/>
        <v>0</v>
      </c>
      <c r="W956" s="141">
        <f t="shared" si="601"/>
        <v>0</v>
      </c>
      <c r="X956" s="141">
        <f t="shared" si="601"/>
        <v>0</v>
      </c>
      <c r="Y956" s="141">
        <f t="shared" si="601"/>
        <v>0</v>
      </c>
      <c r="Z956" s="141">
        <f t="shared" si="601"/>
        <v>0</v>
      </c>
      <c r="AA956" s="141">
        <f t="shared" si="601"/>
        <v>0</v>
      </c>
      <c r="AB956" s="141">
        <f t="shared" si="601"/>
        <v>0</v>
      </c>
      <c r="AC956" s="141">
        <f t="shared" si="601"/>
        <v>0</v>
      </c>
      <c r="AD956" s="141">
        <f t="shared" si="601"/>
        <v>0</v>
      </c>
      <c r="AE956" s="141">
        <f t="shared" si="601"/>
        <v>0</v>
      </c>
      <c r="AF956" s="141">
        <f t="shared" si="601"/>
        <v>0</v>
      </c>
      <c r="AG956" s="141">
        <f t="shared" si="601"/>
        <v>0</v>
      </c>
      <c r="AH956" s="141">
        <f t="shared" si="601"/>
        <v>0</v>
      </c>
      <c r="AI956" s="141">
        <f t="shared" si="601"/>
        <v>0</v>
      </c>
      <c r="AJ956" s="141">
        <f t="shared" si="601"/>
        <v>0</v>
      </c>
      <c r="AK956" s="141">
        <f t="shared" si="601"/>
        <v>0</v>
      </c>
      <c r="AL956" s="141">
        <f t="shared" si="601"/>
        <v>0</v>
      </c>
      <c r="AM956" s="141">
        <f t="shared" si="601"/>
        <v>0</v>
      </c>
      <c r="AN956" s="141">
        <f t="shared" si="601"/>
        <v>0</v>
      </c>
      <c r="AO956" s="141">
        <f t="shared" si="601"/>
        <v>0</v>
      </c>
      <c r="AP956" s="141">
        <f t="shared" si="601"/>
        <v>0</v>
      </c>
      <c r="AQ956" s="141">
        <f t="shared" si="601"/>
        <v>0</v>
      </c>
      <c r="AR956" s="141">
        <f t="shared" si="601"/>
        <v>0</v>
      </c>
      <c r="AS956" s="141">
        <f t="shared" si="601"/>
        <v>0</v>
      </c>
      <c r="AT956" s="141">
        <f t="shared" si="601"/>
        <v>0</v>
      </c>
      <c r="AU956" s="141">
        <f t="shared" si="601"/>
        <v>0</v>
      </c>
      <c r="AV956" s="141">
        <f t="shared" si="601"/>
        <v>0</v>
      </c>
      <c r="AW956" s="141">
        <f t="shared" si="601"/>
        <v>0</v>
      </c>
      <c r="AX956" s="141">
        <f t="shared" si="601"/>
        <v>0</v>
      </c>
      <c r="AY956" s="141">
        <f t="shared" si="601"/>
        <v>0</v>
      </c>
      <c r="AZ956" s="141">
        <f t="shared" si="601"/>
        <v>0</v>
      </c>
      <c r="BA956" s="141">
        <f t="shared" si="601"/>
        <v>0</v>
      </c>
      <c r="BB956" s="141">
        <f t="shared" si="601"/>
        <v>0</v>
      </c>
      <c r="BC956" s="141">
        <f t="shared" si="601"/>
        <v>0</v>
      </c>
      <c r="BD956" s="141">
        <f t="shared" si="601"/>
        <v>0</v>
      </c>
      <c r="BE956" s="141">
        <f t="shared" si="601"/>
        <v>0</v>
      </c>
      <c r="BF956" s="141">
        <f t="shared" si="601"/>
        <v>0</v>
      </c>
      <c r="BG956" s="141">
        <f t="shared" si="601"/>
        <v>0</v>
      </c>
      <c r="BH956" s="141">
        <f t="shared" si="601"/>
        <v>0</v>
      </c>
      <c r="BI956" s="141">
        <f t="shared" si="601"/>
        <v>0</v>
      </c>
      <c r="BJ956" s="142">
        <f t="shared" si="601"/>
        <v>0</v>
      </c>
      <c r="BK956" s="141"/>
      <c r="BL956" s="141"/>
    </row>
    <row r="957" spans="1:64" s="143" customFormat="1" ht="12.75">
      <c r="A957" s="138" t="s">
        <v>127</v>
      </c>
      <c r="B957" s="139">
        <f t="shared" si="600"/>
        <v>0</v>
      </c>
      <c r="C957" s="140">
        <f>C900*(1+$G865)^(C866-1)</f>
        <v>0</v>
      </c>
      <c r="D957" s="141">
        <f>D900*(1+$G865)^(D866-1)</f>
        <v>0</v>
      </c>
      <c r="E957" s="141">
        <f t="shared" ref="E957:BJ957" si="602">E900*(1+$G865)^(E866-1)</f>
        <v>0</v>
      </c>
      <c r="F957" s="141">
        <f t="shared" si="602"/>
        <v>0</v>
      </c>
      <c r="G957" s="141">
        <f t="shared" si="602"/>
        <v>0</v>
      </c>
      <c r="H957" s="141">
        <f t="shared" si="602"/>
        <v>0</v>
      </c>
      <c r="I957" s="141">
        <f t="shared" si="602"/>
        <v>0</v>
      </c>
      <c r="J957" s="141">
        <f t="shared" si="602"/>
        <v>0</v>
      </c>
      <c r="K957" s="141">
        <f t="shared" si="602"/>
        <v>0</v>
      </c>
      <c r="L957" s="141">
        <f t="shared" si="602"/>
        <v>0</v>
      </c>
      <c r="M957" s="141">
        <f t="shared" si="602"/>
        <v>0</v>
      </c>
      <c r="N957" s="141">
        <f t="shared" si="602"/>
        <v>0</v>
      </c>
      <c r="O957" s="141">
        <f t="shared" si="602"/>
        <v>0</v>
      </c>
      <c r="P957" s="141">
        <f t="shared" si="602"/>
        <v>0</v>
      </c>
      <c r="Q957" s="141">
        <f t="shared" si="602"/>
        <v>0</v>
      </c>
      <c r="R957" s="141">
        <f t="shared" si="602"/>
        <v>0</v>
      </c>
      <c r="S957" s="141">
        <f t="shared" si="602"/>
        <v>0</v>
      </c>
      <c r="T957" s="141">
        <f t="shared" si="602"/>
        <v>0</v>
      </c>
      <c r="U957" s="141">
        <f t="shared" si="602"/>
        <v>0</v>
      </c>
      <c r="V957" s="141">
        <f t="shared" si="602"/>
        <v>0</v>
      </c>
      <c r="W957" s="141">
        <f t="shared" si="602"/>
        <v>0</v>
      </c>
      <c r="X957" s="141">
        <f t="shared" si="602"/>
        <v>0</v>
      </c>
      <c r="Y957" s="141">
        <f t="shared" si="602"/>
        <v>0</v>
      </c>
      <c r="Z957" s="141">
        <f t="shared" si="602"/>
        <v>0</v>
      </c>
      <c r="AA957" s="141">
        <f t="shared" si="602"/>
        <v>0</v>
      </c>
      <c r="AB957" s="141">
        <f t="shared" si="602"/>
        <v>0</v>
      </c>
      <c r="AC957" s="141">
        <f t="shared" si="602"/>
        <v>0</v>
      </c>
      <c r="AD957" s="141">
        <f t="shared" si="602"/>
        <v>0</v>
      </c>
      <c r="AE957" s="141">
        <f t="shared" si="602"/>
        <v>0</v>
      </c>
      <c r="AF957" s="141">
        <f t="shared" si="602"/>
        <v>0</v>
      </c>
      <c r="AG957" s="141">
        <f t="shared" si="602"/>
        <v>0</v>
      </c>
      <c r="AH957" s="141">
        <f t="shared" si="602"/>
        <v>0</v>
      </c>
      <c r="AI957" s="141">
        <f t="shared" si="602"/>
        <v>0</v>
      </c>
      <c r="AJ957" s="141">
        <f t="shared" si="602"/>
        <v>0</v>
      </c>
      <c r="AK957" s="141">
        <f t="shared" si="602"/>
        <v>0</v>
      </c>
      <c r="AL957" s="141">
        <f t="shared" si="602"/>
        <v>0</v>
      </c>
      <c r="AM957" s="141">
        <f t="shared" si="602"/>
        <v>0</v>
      </c>
      <c r="AN957" s="141">
        <f t="shared" si="602"/>
        <v>0</v>
      </c>
      <c r="AO957" s="141">
        <f t="shared" si="602"/>
        <v>0</v>
      </c>
      <c r="AP957" s="141">
        <f t="shared" si="602"/>
        <v>0</v>
      </c>
      <c r="AQ957" s="141">
        <f t="shared" si="602"/>
        <v>0</v>
      </c>
      <c r="AR957" s="141">
        <f t="shared" si="602"/>
        <v>0</v>
      </c>
      <c r="AS957" s="141">
        <f t="shared" si="602"/>
        <v>0</v>
      </c>
      <c r="AT957" s="141">
        <f t="shared" si="602"/>
        <v>0</v>
      </c>
      <c r="AU957" s="141">
        <f t="shared" si="602"/>
        <v>0</v>
      </c>
      <c r="AV957" s="141">
        <f t="shared" si="602"/>
        <v>0</v>
      </c>
      <c r="AW957" s="141">
        <f t="shared" si="602"/>
        <v>0</v>
      </c>
      <c r="AX957" s="141">
        <f t="shared" si="602"/>
        <v>0</v>
      </c>
      <c r="AY957" s="141">
        <f t="shared" si="602"/>
        <v>0</v>
      </c>
      <c r="AZ957" s="141">
        <f t="shared" si="602"/>
        <v>0</v>
      </c>
      <c r="BA957" s="141">
        <f t="shared" si="602"/>
        <v>0</v>
      </c>
      <c r="BB957" s="141">
        <f t="shared" si="602"/>
        <v>0</v>
      </c>
      <c r="BC957" s="141">
        <f t="shared" si="602"/>
        <v>0</v>
      </c>
      <c r="BD957" s="141">
        <f t="shared" si="602"/>
        <v>0</v>
      </c>
      <c r="BE957" s="141">
        <f t="shared" si="602"/>
        <v>0</v>
      </c>
      <c r="BF957" s="141">
        <f t="shared" si="602"/>
        <v>0</v>
      </c>
      <c r="BG957" s="141">
        <f t="shared" si="602"/>
        <v>0</v>
      </c>
      <c r="BH957" s="141">
        <f t="shared" si="602"/>
        <v>0</v>
      </c>
      <c r="BI957" s="141">
        <f t="shared" si="602"/>
        <v>0</v>
      </c>
      <c r="BJ957" s="142">
        <f t="shared" si="602"/>
        <v>0</v>
      </c>
      <c r="BK957" s="141"/>
      <c r="BL957" s="141"/>
    </row>
    <row r="958" spans="1:64" s="143" customFormat="1" ht="12.75">
      <c r="A958" s="138" t="s">
        <v>128</v>
      </c>
      <c r="B958" s="139">
        <f t="shared" si="600"/>
        <v>56299251.45073697</v>
      </c>
      <c r="C958" s="140">
        <f>C901*(1+$G865)^(C866-1)</f>
        <v>570323.50002283754</v>
      </c>
      <c r="D958" s="141">
        <f>D901*(1+$G865)^(D866-1)</f>
        <v>1186272.8800475022</v>
      </c>
      <c r="E958" s="141">
        <f t="shared" ref="E958:BJ958" si="603">E901*(1+$G865)^(E866-1)</f>
        <v>1850585.6928741036</v>
      </c>
      <c r="F958" s="141">
        <f t="shared" si="603"/>
        <v>2566145.4941187566</v>
      </c>
      <c r="G958" s="141">
        <f t="shared" si="603"/>
        <v>3335989.1423543841</v>
      </c>
      <c r="H958" s="141">
        <f t="shared" si="603"/>
        <v>3469428.7080485597</v>
      </c>
      <c r="I958" s="141">
        <f t="shared" si="603"/>
        <v>3608205.8563705022</v>
      </c>
      <c r="J958" s="141">
        <f t="shared" si="603"/>
        <v>3752534.090625322</v>
      </c>
      <c r="K958" s="141">
        <f t="shared" si="603"/>
        <v>3902635.4542503352</v>
      </c>
      <c r="L958" s="141">
        <f t="shared" si="603"/>
        <v>4058740.8724203492</v>
      </c>
      <c r="M958" s="141">
        <f t="shared" si="603"/>
        <v>4221090.5073171631</v>
      </c>
      <c r="N958" s="141">
        <f t="shared" si="603"/>
        <v>4389934.127609849</v>
      </c>
      <c r="O958" s="141">
        <f t="shared" si="603"/>
        <v>4565531.4927142439</v>
      </c>
      <c r="P958" s="141">
        <f t="shared" si="603"/>
        <v>4748152.7524228143</v>
      </c>
      <c r="Q958" s="141">
        <f t="shared" si="603"/>
        <v>4938078.8625197262</v>
      </c>
      <c r="R958" s="141">
        <f t="shared" si="603"/>
        <v>5135602.0170205152</v>
      </c>
      <c r="S958" s="141">
        <f t="shared" si="603"/>
        <v>0</v>
      </c>
      <c r="T958" s="141">
        <f t="shared" si="603"/>
        <v>0</v>
      </c>
      <c r="U958" s="141">
        <f t="shared" si="603"/>
        <v>0</v>
      </c>
      <c r="V958" s="141">
        <f t="shared" si="603"/>
        <v>0</v>
      </c>
      <c r="W958" s="141">
        <f t="shared" si="603"/>
        <v>0</v>
      </c>
      <c r="X958" s="141">
        <f t="shared" si="603"/>
        <v>0</v>
      </c>
      <c r="Y958" s="141">
        <f t="shared" si="603"/>
        <v>0</v>
      </c>
      <c r="Z958" s="141">
        <f t="shared" si="603"/>
        <v>0</v>
      </c>
      <c r="AA958" s="141">
        <f t="shared" si="603"/>
        <v>0</v>
      </c>
      <c r="AB958" s="141">
        <f t="shared" si="603"/>
        <v>0</v>
      </c>
      <c r="AC958" s="141">
        <f t="shared" si="603"/>
        <v>0</v>
      </c>
      <c r="AD958" s="141">
        <f t="shared" si="603"/>
        <v>0</v>
      </c>
      <c r="AE958" s="141">
        <f t="shared" si="603"/>
        <v>0</v>
      </c>
      <c r="AF958" s="141">
        <f t="shared" si="603"/>
        <v>0</v>
      </c>
      <c r="AG958" s="141">
        <f t="shared" si="603"/>
        <v>0</v>
      </c>
      <c r="AH958" s="141">
        <f t="shared" si="603"/>
        <v>0</v>
      </c>
      <c r="AI958" s="141">
        <f t="shared" si="603"/>
        <v>0</v>
      </c>
      <c r="AJ958" s="141">
        <f t="shared" si="603"/>
        <v>0</v>
      </c>
      <c r="AK958" s="141">
        <f t="shared" si="603"/>
        <v>0</v>
      </c>
      <c r="AL958" s="141">
        <f t="shared" si="603"/>
        <v>0</v>
      </c>
      <c r="AM958" s="141">
        <f t="shared" si="603"/>
        <v>0</v>
      </c>
      <c r="AN958" s="141">
        <f t="shared" si="603"/>
        <v>0</v>
      </c>
      <c r="AO958" s="141">
        <f t="shared" si="603"/>
        <v>0</v>
      </c>
      <c r="AP958" s="141">
        <f t="shared" si="603"/>
        <v>0</v>
      </c>
      <c r="AQ958" s="141">
        <f t="shared" si="603"/>
        <v>0</v>
      </c>
      <c r="AR958" s="141">
        <f t="shared" si="603"/>
        <v>0</v>
      </c>
      <c r="AS958" s="141">
        <f t="shared" si="603"/>
        <v>0</v>
      </c>
      <c r="AT958" s="141">
        <f t="shared" si="603"/>
        <v>0</v>
      </c>
      <c r="AU958" s="141">
        <f t="shared" si="603"/>
        <v>0</v>
      </c>
      <c r="AV958" s="141">
        <f t="shared" si="603"/>
        <v>0</v>
      </c>
      <c r="AW958" s="141">
        <f t="shared" si="603"/>
        <v>0</v>
      </c>
      <c r="AX958" s="141">
        <f t="shared" si="603"/>
        <v>0</v>
      </c>
      <c r="AY958" s="141">
        <f t="shared" si="603"/>
        <v>0</v>
      </c>
      <c r="AZ958" s="141">
        <f t="shared" si="603"/>
        <v>0</v>
      </c>
      <c r="BA958" s="141">
        <f t="shared" si="603"/>
        <v>0</v>
      </c>
      <c r="BB958" s="141">
        <f t="shared" si="603"/>
        <v>0</v>
      </c>
      <c r="BC958" s="141">
        <f t="shared" si="603"/>
        <v>0</v>
      </c>
      <c r="BD958" s="141">
        <f t="shared" si="603"/>
        <v>0</v>
      </c>
      <c r="BE958" s="141">
        <f t="shared" si="603"/>
        <v>0</v>
      </c>
      <c r="BF958" s="141">
        <f t="shared" si="603"/>
        <v>0</v>
      </c>
      <c r="BG958" s="141">
        <f t="shared" si="603"/>
        <v>0</v>
      </c>
      <c r="BH958" s="141">
        <f t="shared" si="603"/>
        <v>0</v>
      </c>
      <c r="BI958" s="141">
        <f t="shared" si="603"/>
        <v>0</v>
      </c>
      <c r="BJ958" s="142">
        <f t="shared" si="603"/>
        <v>0</v>
      </c>
      <c r="BK958" s="141"/>
      <c r="BL958" s="141"/>
    </row>
    <row r="959" spans="1:64" s="143" customFormat="1" ht="12.75">
      <c r="A959" s="138" t="s">
        <v>129</v>
      </c>
      <c r="B959" s="139">
        <f t="shared" si="600"/>
        <v>6195079.1863250108</v>
      </c>
      <c r="C959" s="213">
        <f>C902*(1+$G865)^(C866-1)</f>
        <v>97600.889623525451</v>
      </c>
      <c r="D959" s="214">
        <f>D902*(1+$G865)^(D866-1)</f>
        <v>304514.77562539943</v>
      </c>
      <c r="E959" s="214">
        <f t="shared" ref="E959:BJ959" si="604">E902*(1+$G865)^(E866-1)</f>
        <v>316695.36665041541</v>
      </c>
      <c r="F959" s="214">
        <f t="shared" si="604"/>
        <v>329363.18131643202</v>
      </c>
      <c r="G959" s="214">
        <f t="shared" si="604"/>
        <v>342537.70856908936</v>
      </c>
      <c r="H959" s="214">
        <f t="shared" si="604"/>
        <v>356239.21691185294</v>
      </c>
      <c r="I959" s="214">
        <f t="shared" si="604"/>
        <v>370488.7855883271</v>
      </c>
      <c r="J959" s="214">
        <f t="shared" si="604"/>
        <v>385308.33701186016</v>
      </c>
      <c r="K959" s="214">
        <f t="shared" si="604"/>
        <v>400720.67049233458</v>
      </c>
      <c r="L959" s="214">
        <f t="shared" si="604"/>
        <v>416749.49731202802</v>
      </c>
      <c r="M959" s="214">
        <f t="shared" si="604"/>
        <v>433419.47720450914</v>
      </c>
      <c r="N959" s="214">
        <f t="shared" si="604"/>
        <v>450756.25629268948</v>
      </c>
      <c r="O959" s="214">
        <f t="shared" si="604"/>
        <v>468786.50654439715</v>
      </c>
      <c r="P959" s="214">
        <f t="shared" si="604"/>
        <v>487537.96680617309</v>
      </c>
      <c r="Q959" s="214">
        <f t="shared" si="604"/>
        <v>507039.48547841999</v>
      </c>
      <c r="R959" s="214">
        <f t="shared" si="604"/>
        <v>527321.06489755679</v>
      </c>
      <c r="S959" s="214">
        <f t="shared" si="604"/>
        <v>0</v>
      </c>
      <c r="T959" s="214">
        <f t="shared" si="604"/>
        <v>0</v>
      </c>
      <c r="U959" s="214">
        <f t="shared" si="604"/>
        <v>0</v>
      </c>
      <c r="V959" s="214">
        <f t="shared" si="604"/>
        <v>0</v>
      </c>
      <c r="W959" s="214">
        <f t="shared" si="604"/>
        <v>0</v>
      </c>
      <c r="X959" s="214">
        <f t="shared" si="604"/>
        <v>0</v>
      </c>
      <c r="Y959" s="214">
        <f t="shared" si="604"/>
        <v>0</v>
      </c>
      <c r="Z959" s="214">
        <f t="shared" si="604"/>
        <v>0</v>
      </c>
      <c r="AA959" s="214">
        <f t="shared" si="604"/>
        <v>0</v>
      </c>
      <c r="AB959" s="214">
        <f t="shared" si="604"/>
        <v>0</v>
      </c>
      <c r="AC959" s="214">
        <f t="shared" si="604"/>
        <v>0</v>
      </c>
      <c r="AD959" s="214">
        <f t="shared" si="604"/>
        <v>0</v>
      </c>
      <c r="AE959" s="214">
        <f t="shared" si="604"/>
        <v>0</v>
      </c>
      <c r="AF959" s="214">
        <f t="shared" si="604"/>
        <v>0</v>
      </c>
      <c r="AG959" s="214">
        <f t="shared" si="604"/>
        <v>0</v>
      </c>
      <c r="AH959" s="214">
        <f t="shared" si="604"/>
        <v>0</v>
      </c>
      <c r="AI959" s="214">
        <f t="shared" si="604"/>
        <v>0</v>
      </c>
      <c r="AJ959" s="214">
        <f t="shared" si="604"/>
        <v>0</v>
      </c>
      <c r="AK959" s="214">
        <f t="shared" si="604"/>
        <v>0</v>
      </c>
      <c r="AL959" s="214">
        <f t="shared" si="604"/>
        <v>0</v>
      </c>
      <c r="AM959" s="214">
        <f t="shared" si="604"/>
        <v>0</v>
      </c>
      <c r="AN959" s="214">
        <f t="shared" si="604"/>
        <v>0</v>
      </c>
      <c r="AO959" s="214">
        <f t="shared" si="604"/>
        <v>0</v>
      </c>
      <c r="AP959" s="214">
        <f t="shared" si="604"/>
        <v>0</v>
      </c>
      <c r="AQ959" s="214">
        <f t="shared" si="604"/>
        <v>0</v>
      </c>
      <c r="AR959" s="214">
        <f t="shared" si="604"/>
        <v>0</v>
      </c>
      <c r="AS959" s="214">
        <f t="shared" si="604"/>
        <v>0</v>
      </c>
      <c r="AT959" s="214">
        <f t="shared" si="604"/>
        <v>0</v>
      </c>
      <c r="AU959" s="214">
        <f t="shared" si="604"/>
        <v>0</v>
      </c>
      <c r="AV959" s="214">
        <f t="shared" si="604"/>
        <v>0</v>
      </c>
      <c r="AW959" s="214">
        <f t="shared" si="604"/>
        <v>0</v>
      </c>
      <c r="AX959" s="214">
        <f t="shared" si="604"/>
        <v>0</v>
      </c>
      <c r="AY959" s="214">
        <f t="shared" si="604"/>
        <v>0</v>
      </c>
      <c r="AZ959" s="214">
        <f t="shared" si="604"/>
        <v>0</v>
      </c>
      <c r="BA959" s="214">
        <f t="shared" si="604"/>
        <v>0</v>
      </c>
      <c r="BB959" s="214">
        <f t="shared" si="604"/>
        <v>0</v>
      </c>
      <c r="BC959" s="214">
        <f t="shared" si="604"/>
        <v>0</v>
      </c>
      <c r="BD959" s="214">
        <f t="shared" si="604"/>
        <v>0</v>
      </c>
      <c r="BE959" s="214">
        <f t="shared" si="604"/>
        <v>0</v>
      </c>
      <c r="BF959" s="214">
        <f t="shared" si="604"/>
        <v>0</v>
      </c>
      <c r="BG959" s="214">
        <f t="shared" si="604"/>
        <v>0</v>
      </c>
      <c r="BH959" s="214">
        <f t="shared" si="604"/>
        <v>0</v>
      </c>
      <c r="BI959" s="214">
        <f t="shared" si="604"/>
        <v>0</v>
      </c>
      <c r="BJ959" s="215">
        <f t="shared" si="604"/>
        <v>0</v>
      </c>
      <c r="BK959" s="141"/>
      <c r="BL959" s="141"/>
    </row>
    <row r="960" spans="1:64" s="160" customFormat="1">
      <c r="A960" s="131" t="s">
        <v>134</v>
      </c>
      <c r="B960" s="156">
        <f t="shared" si="600"/>
        <v>1705643183.590755</v>
      </c>
      <c r="C960" s="161">
        <f>C934-C935-C955</f>
        <v>-18189605.265086602</v>
      </c>
      <c r="D960" s="162">
        <f>D934-D935-D955</f>
        <v>-22135461.416073151</v>
      </c>
      <c r="E960" s="162">
        <f>E934-E935-E955</f>
        <v>-23135516.702968806</v>
      </c>
      <c r="F960" s="162">
        <f>F934-F935-F955</f>
        <v>-24898117.278690197</v>
      </c>
      <c r="G960" s="162">
        <f t="shared" ref="G960:BJ960" si="605">G934-G935-G955</f>
        <v>-26764709.073744573</v>
      </c>
      <c r="H960" s="162">
        <f t="shared" si="605"/>
        <v>38439702.165515251</v>
      </c>
      <c r="I960" s="162">
        <f t="shared" si="605"/>
        <v>84593492.251164913</v>
      </c>
      <c r="J960" s="162">
        <f t="shared" si="605"/>
        <v>134378082.02020177</v>
      </c>
      <c r="K960" s="162">
        <f t="shared" si="605"/>
        <v>188010089.38315958</v>
      </c>
      <c r="L960" s="162">
        <f t="shared" si="605"/>
        <v>260346196.6368964</v>
      </c>
      <c r="M960" s="162">
        <f t="shared" si="605"/>
        <v>270760044.50237221</v>
      </c>
      <c r="N960" s="162">
        <f t="shared" si="605"/>
        <v>281590446.28246707</v>
      </c>
      <c r="O960" s="162">
        <f t="shared" si="605"/>
        <v>219945212.43125445</v>
      </c>
      <c r="P960" s="162">
        <f t="shared" si="605"/>
        <v>170031142.84917676</v>
      </c>
      <c r="Q960" s="162">
        <f t="shared" si="605"/>
        <v>115772035.36064266</v>
      </c>
      <c r="R960" s="162">
        <f t="shared" si="605"/>
        <v>56900149.444467269</v>
      </c>
      <c r="S960" s="162">
        <f t="shared" si="605"/>
        <v>0</v>
      </c>
      <c r="T960" s="162">
        <f t="shared" si="605"/>
        <v>0</v>
      </c>
      <c r="U960" s="162">
        <f t="shared" si="605"/>
        <v>0</v>
      </c>
      <c r="V960" s="162">
        <f t="shared" si="605"/>
        <v>0</v>
      </c>
      <c r="W960" s="162">
        <f t="shared" si="605"/>
        <v>0</v>
      </c>
      <c r="X960" s="162">
        <f t="shared" si="605"/>
        <v>0</v>
      </c>
      <c r="Y960" s="162">
        <f t="shared" si="605"/>
        <v>0</v>
      </c>
      <c r="Z960" s="162">
        <f t="shared" si="605"/>
        <v>0</v>
      </c>
      <c r="AA960" s="162">
        <f t="shared" si="605"/>
        <v>0</v>
      </c>
      <c r="AB960" s="162">
        <f t="shared" si="605"/>
        <v>0</v>
      </c>
      <c r="AC960" s="162">
        <f t="shared" si="605"/>
        <v>0</v>
      </c>
      <c r="AD960" s="162">
        <f t="shared" si="605"/>
        <v>0</v>
      </c>
      <c r="AE960" s="162">
        <f t="shared" si="605"/>
        <v>0</v>
      </c>
      <c r="AF960" s="162">
        <f t="shared" si="605"/>
        <v>0</v>
      </c>
      <c r="AG960" s="162">
        <f t="shared" si="605"/>
        <v>0</v>
      </c>
      <c r="AH960" s="162">
        <f t="shared" si="605"/>
        <v>0</v>
      </c>
      <c r="AI960" s="162">
        <f t="shared" si="605"/>
        <v>0</v>
      </c>
      <c r="AJ960" s="162">
        <f t="shared" si="605"/>
        <v>0</v>
      </c>
      <c r="AK960" s="162">
        <f t="shared" si="605"/>
        <v>0</v>
      </c>
      <c r="AL960" s="162">
        <f t="shared" si="605"/>
        <v>0</v>
      </c>
      <c r="AM960" s="162">
        <f t="shared" si="605"/>
        <v>0</v>
      </c>
      <c r="AN960" s="162">
        <f t="shared" si="605"/>
        <v>0</v>
      </c>
      <c r="AO960" s="162">
        <f t="shared" si="605"/>
        <v>0</v>
      </c>
      <c r="AP960" s="162">
        <f t="shared" si="605"/>
        <v>0</v>
      </c>
      <c r="AQ960" s="162">
        <f t="shared" si="605"/>
        <v>0</v>
      </c>
      <c r="AR960" s="162">
        <f t="shared" si="605"/>
        <v>0</v>
      </c>
      <c r="AS960" s="162">
        <f t="shared" si="605"/>
        <v>0</v>
      </c>
      <c r="AT960" s="162">
        <f t="shared" si="605"/>
        <v>0</v>
      </c>
      <c r="AU960" s="162">
        <f t="shared" si="605"/>
        <v>0</v>
      </c>
      <c r="AV960" s="162">
        <f t="shared" si="605"/>
        <v>0</v>
      </c>
      <c r="AW960" s="162">
        <f t="shared" si="605"/>
        <v>0</v>
      </c>
      <c r="AX960" s="162">
        <f t="shared" si="605"/>
        <v>0</v>
      </c>
      <c r="AY960" s="162">
        <f t="shared" si="605"/>
        <v>0</v>
      </c>
      <c r="AZ960" s="162">
        <f t="shared" si="605"/>
        <v>0</v>
      </c>
      <c r="BA960" s="162">
        <f t="shared" si="605"/>
        <v>0</v>
      </c>
      <c r="BB960" s="162">
        <f t="shared" si="605"/>
        <v>0</v>
      </c>
      <c r="BC960" s="162">
        <f t="shared" si="605"/>
        <v>0</v>
      </c>
      <c r="BD960" s="162">
        <f t="shared" si="605"/>
        <v>0</v>
      </c>
      <c r="BE960" s="162">
        <f t="shared" si="605"/>
        <v>0</v>
      </c>
      <c r="BF960" s="162">
        <f t="shared" si="605"/>
        <v>0</v>
      </c>
      <c r="BG960" s="162">
        <f t="shared" si="605"/>
        <v>0</v>
      </c>
      <c r="BH960" s="162">
        <f t="shared" si="605"/>
        <v>0</v>
      </c>
      <c r="BI960" s="162">
        <f t="shared" si="605"/>
        <v>0</v>
      </c>
      <c r="BJ960" s="163">
        <f t="shared" si="605"/>
        <v>0</v>
      </c>
      <c r="BK960" s="159"/>
      <c r="BL960" s="159"/>
    </row>
    <row r="961" spans="1:64" s="160" customFormat="1">
      <c r="A961" s="131" t="s">
        <v>135</v>
      </c>
      <c r="B961" s="156">
        <f t="shared" si="600"/>
        <v>364153318.66546369</v>
      </c>
      <c r="C961" s="161">
        <f>IF(C960&lt;=0,0,C960*$K865)</f>
        <v>0</v>
      </c>
      <c r="D961" s="162">
        <f>IF(D960&lt;=0,0,D960*$K865)</f>
        <v>0</v>
      </c>
      <c r="E961" s="162">
        <f t="shared" ref="E961:BJ961" si="606">IF(E960&lt;=0,0,E960*$K865)</f>
        <v>0</v>
      </c>
      <c r="F961" s="162">
        <f t="shared" si="606"/>
        <v>0</v>
      </c>
      <c r="G961" s="162">
        <f t="shared" si="606"/>
        <v>0</v>
      </c>
      <c r="H961" s="162">
        <f t="shared" si="606"/>
        <v>7687940.433103051</v>
      </c>
      <c r="I961" s="162">
        <f t="shared" si="606"/>
        <v>16918698.450232983</v>
      </c>
      <c r="J961" s="162">
        <f t="shared" si="606"/>
        <v>26875616.404040355</v>
      </c>
      <c r="K961" s="162">
        <f t="shared" si="606"/>
        <v>37602017.876631916</v>
      </c>
      <c r="L961" s="162">
        <f t="shared" si="606"/>
        <v>52069239.327379286</v>
      </c>
      <c r="M961" s="162">
        <f t="shared" si="606"/>
        <v>54152008.900474444</v>
      </c>
      <c r="N961" s="162">
        <f t="shared" si="606"/>
        <v>56318089.256493419</v>
      </c>
      <c r="O961" s="162">
        <f t="shared" si="606"/>
        <v>43989042.486250892</v>
      </c>
      <c r="P961" s="162">
        <f t="shared" si="606"/>
        <v>34006228.569835357</v>
      </c>
      <c r="Q961" s="162">
        <f t="shared" si="606"/>
        <v>23154407.072128534</v>
      </c>
      <c r="R961" s="162">
        <f t="shared" si="606"/>
        <v>11380029.888893455</v>
      </c>
      <c r="S961" s="162">
        <f t="shared" si="606"/>
        <v>0</v>
      </c>
      <c r="T961" s="162">
        <f t="shared" si="606"/>
        <v>0</v>
      </c>
      <c r="U961" s="162">
        <f t="shared" si="606"/>
        <v>0</v>
      </c>
      <c r="V961" s="162">
        <f t="shared" si="606"/>
        <v>0</v>
      </c>
      <c r="W961" s="162">
        <f t="shared" si="606"/>
        <v>0</v>
      </c>
      <c r="X961" s="162">
        <f t="shared" si="606"/>
        <v>0</v>
      </c>
      <c r="Y961" s="162">
        <f t="shared" si="606"/>
        <v>0</v>
      </c>
      <c r="Z961" s="162">
        <f t="shared" si="606"/>
        <v>0</v>
      </c>
      <c r="AA961" s="162">
        <f t="shared" si="606"/>
        <v>0</v>
      </c>
      <c r="AB961" s="162">
        <f t="shared" si="606"/>
        <v>0</v>
      </c>
      <c r="AC961" s="162">
        <f t="shared" si="606"/>
        <v>0</v>
      </c>
      <c r="AD961" s="162">
        <f t="shared" si="606"/>
        <v>0</v>
      </c>
      <c r="AE961" s="162">
        <f t="shared" si="606"/>
        <v>0</v>
      </c>
      <c r="AF961" s="162">
        <f t="shared" si="606"/>
        <v>0</v>
      </c>
      <c r="AG961" s="162">
        <f t="shared" si="606"/>
        <v>0</v>
      </c>
      <c r="AH961" s="162">
        <f t="shared" si="606"/>
        <v>0</v>
      </c>
      <c r="AI961" s="162">
        <f t="shared" si="606"/>
        <v>0</v>
      </c>
      <c r="AJ961" s="162">
        <f t="shared" si="606"/>
        <v>0</v>
      </c>
      <c r="AK961" s="162">
        <f t="shared" si="606"/>
        <v>0</v>
      </c>
      <c r="AL961" s="162">
        <f t="shared" si="606"/>
        <v>0</v>
      </c>
      <c r="AM961" s="162">
        <f t="shared" si="606"/>
        <v>0</v>
      </c>
      <c r="AN961" s="162">
        <f t="shared" si="606"/>
        <v>0</v>
      </c>
      <c r="AO961" s="162">
        <f t="shared" si="606"/>
        <v>0</v>
      </c>
      <c r="AP961" s="162">
        <f t="shared" si="606"/>
        <v>0</v>
      </c>
      <c r="AQ961" s="162">
        <f t="shared" si="606"/>
        <v>0</v>
      </c>
      <c r="AR961" s="162">
        <f t="shared" si="606"/>
        <v>0</v>
      </c>
      <c r="AS961" s="162">
        <f t="shared" si="606"/>
        <v>0</v>
      </c>
      <c r="AT961" s="162">
        <f t="shared" si="606"/>
        <v>0</v>
      </c>
      <c r="AU961" s="162">
        <f t="shared" si="606"/>
        <v>0</v>
      </c>
      <c r="AV961" s="162">
        <f t="shared" si="606"/>
        <v>0</v>
      </c>
      <c r="AW961" s="162">
        <f t="shared" si="606"/>
        <v>0</v>
      </c>
      <c r="AX961" s="162">
        <f t="shared" si="606"/>
        <v>0</v>
      </c>
      <c r="AY961" s="162">
        <f t="shared" si="606"/>
        <v>0</v>
      </c>
      <c r="AZ961" s="162">
        <f t="shared" si="606"/>
        <v>0</v>
      </c>
      <c r="BA961" s="162">
        <f t="shared" si="606"/>
        <v>0</v>
      </c>
      <c r="BB961" s="162">
        <f t="shared" si="606"/>
        <v>0</v>
      </c>
      <c r="BC961" s="162">
        <f t="shared" si="606"/>
        <v>0</v>
      </c>
      <c r="BD961" s="162">
        <f t="shared" si="606"/>
        <v>0</v>
      </c>
      <c r="BE961" s="162">
        <f t="shared" si="606"/>
        <v>0</v>
      </c>
      <c r="BF961" s="162">
        <f t="shared" si="606"/>
        <v>0</v>
      </c>
      <c r="BG961" s="162">
        <f t="shared" si="606"/>
        <v>0</v>
      </c>
      <c r="BH961" s="162">
        <f t="shared" si="606"/>
        <v>0</v>
      </c>
      <c r="BI961" s="162">
        <f t="shared" si="606"/>
        <v>0</v>
      </c>
      <c r="BJ961" s="163">
        <f t="shared" si="606"/>
        <v>0</v>
      </c>
      <c r="BK961" s="159"/>
      <c r="BL961" s="159"/>
    </row>
    <row r="962" spans="1:64" s="105" customFormat="1">
      <c r="A962" s="164" t="s">
        <v>136</v>
      </c>
      <c r="B962" s="161">
        <f t="shared" si="600"/>
        <v>1341489864.9252913</v>
      </c>
      <c r="C962" s="133">
        <f>C960-C961</f>
        <v>-18189605.265086602</v>
      </c>
      <c r="D962" s="134">
        <f>D960-D961</f>
        <v>-22135461.416073151</v>
      </c>
      <c r="E962" s="134">
        <f>E960-E961</f>
        <v>-23135516.702968806</v>
      </c>
      <c r="F962" s="134">
        <f>F960-F961</f>
        <v>-24898117.278690197</v>
      </c>
      <c r="G962" s="134">
        <f t="shared" ref="G962:BJ962" si="607">G960-G961</f>
        <v>-26764709.073744573</v>
      </c>
      <c r="H962" s="134">
        <f t="shared" si="607"/>
        <v>30751761.7324122</v>
      </c>
      <c r="I962" s="134">
        <f t="shared" si="607"/>
        <v>67674793.800931931</v>
      </c>
      <c r="J962" s="134">
        <f t="shared" si="607"/>
        <v>107502465.61616142</v>
      </c>
      <c r="K962" s="134">
        <f t="shared" si="607"/>
        <v>150408071.50652766</v>
      </c>
      <c r="L962" s="134">
        <f t="shared" si="607"/>
        <v>208276957.30951712</v>
      </c>
      <c r="M962" s="134">
        <f t="shared" si="607"/>
        <v>216608035.60189778</v>
      </c>
      <c r="N962" s="134">
        <f t="shared" si="607"/>
        <v>225272357.02597365</v>
      </c>
      <c r="O962" s="134">
        <f t="shared" si="607"/>
        <v>175956169.94500357</v>
      </c>
      <c r="P962" s="134">
        <f t="shared" si="607"/>
        <v>136024914.2793414</v>
      </c>
      <c r="Q962" s="134">
        <f t="shared" si="607"/>
        <v>92617628.288514122</v>
      </c>
      <c r="R962" s="134">
        <f t="shared" si="607"/>
        <v>45520119.555573814</v>
      </c>
      <c r="S962" s="134">
        <f t="shared" si="607"/>
        <v>0</v>
      </c>
      <c r="T962" s="134">
        <f t="shared" si="607"/>
        <v>0</v>
      </c>
      <c r="U962" s="134">
        <f t="shared" si="607"/>
        <v>0</v>
      </c>
      <c r="V962" s="134">
        <f t="shared" si="607"/>
        <v>0</v>
      </c>
      <c r="W962" s="134">
        <f t="shared" si="607"/>
        <v>0</v>
      </c>
      <c r="X962" s="134">
        <f t="shared" si="607"/>
        <v>0</v>
      </c>
      <c r="Y962" s="134">
        <f t="shared" si="607"/>
        <v>0</v>
      </c>
      <c r="Z962" s="134">
        <f t="shared" si="607"/>
        <v>0</v>
      </c>
      <c r="AA962" s="134">
        <f t="shared" si="607"/>
        <v>0</v>
      </c>
      <c r="AB962" s="134">
        <f t="shared" si="607"/>
        <v>0</v>
      </c>
      <c r="AC962" s="134">
        <f t="shared" si="607"/>
        <v>0</v>
      </c>
      <c r="AD962" s="134">
        <f t="shared" si="607"/>
        <v>0</v>
      </c>
      <c r="AE962" s="134">
        <f t="shared" si="607"/>
        <v>0</v>
      </c>
      <c r="AF962" s="134">
        <f t="shared" si="607"/>
        <v>0</v>
      </c>
      <c r="AG962" s="134">
        <f t="shared" si="607"/>
        <v>0</v>
      </c>
      <c r="AH962" s="134">
        <f t="shared" si="607"/>
        <v>0</v>
      </c>
      <c r="AI962" s="134">
        <f t="shared" si="607"/>
        <v>0</v>
      </c>
      <c r="AJ962" s="134">
        <f t="shared" si="607"/>
        <v>0</v>
      </c>
      <c r="AK962" s="134">
        <f t="shared" si="607"/>
        <v>0</v>
      </c>
      <c r="AL962" s="134">
        <f t="shared" si="607"/>
        <v>0</v>
      </c>
      <c r="AM962" s="134">
        <f t="shared" si="607"/>
        <v>0</v>
      </c>
      <c r="AN962" s="134">
        <f t="shared" si="607"/>
        <v>0</v>
      </c>
      <c r="AO962" s="134">
        <f t="shared" si="607"/>
        <v>0</v>
      </c>
      <c r="AP962" s="134">
        <f t="shared" si="607"/>
        <v>0</v>
      </c>
      <c r="AQ962" s="134">
        <f t="shared" si="607"/>
        <v>0</v>
      </c>
      <c r="AR962" s="134">
        <f t="shared" si="607"/>
        <v>0</v>
      </c>
      <c r="AS962" s="134">
        <f t="shared" si="607"/>
        <v>0</v>
      </c>
      <c r="AT962" s="134">
        <f t="shared" si="607"/>
        <v>0</v>
      </c>
      <c r="AU962" s="134">
        <f t="shared" si="607"/>
        <v>0</v>
      </c>
      <c r="AV962" s="134">
        <f t="shared" si="607"/>
        <v>0</v>
      </c>
      <c r="AW962" s="134">
        <f t="shared" si="607"/>
        <v>0</v>
      </c>
      <c r="AX962" s="134">
        <f t="shared" si="607"/>
        <v>0</v>
      </c>
      <c r="AY962" s="134">
        <f t="shared" si="607"/>
        <v>0</v>
      </c>
      <c r="AZ962" s="134">
        <f t="shared" si="607"/>
        <v>0</v>
      </c>
      <c r="BA962" s="134">
        <f t="shared" si="607"/>
        <v>0</v>
      </c>
      <c r="BB962" s="134">
        <f t="shared" si="607"/>
        <v>0</v>
      </c>
      <c r="BC962" s="134">
        <f t="shared" si="607"/>
        <v>0</v>
      </c>
      <c r="BD962" s="134">
        <f t="shared" si="607"/>
        <v>0</v>
      </c>
      <c r="BE962" s="134">
        <f t="shared" si="607"/>
        <v>0</v>
      </c>
      <c r="BF962" s="134">
        <f t="shared" si="607"/>
        <v>0</v>
      </c>
      <c r="BG962" s="134">
        <f t="shared" si="607"/>
        <v>0</v>
      </c>
      <c r="BH962" s="134">
        <f t="shared" si="607"/>
        <v>0</v>
      </c>
      <c r="BI962" s="134">
        <f t="shared" si="607"/>
        <v>0</v>
      </c>
      <c r="BJ962" s="135">
        <f t="shared" si="607"/>
        <v>0</v>
      </c>
      <c r="BK962" s="109"/>
      <c r="BL962" s="109"/>
    </row>
    <row r="963" spans="1:64">
      <c r="A963" s="165" t="s">
        <v>137</v>
      </c>
      <c r="B963" s="161"/>
      <c r="C963" s="166"/>
      <c r="D963" s="167"/>
      <c r="E963" s="168"/>
      <c r="F963" s="168"/>
      <c r="G963" s="168"/>
      <c r="H963" s="168"/>
      <c r="I963" s="168"/>
      <c r="J963" s="168"/>
      <c r="K963" s="168"/>
      <c r="L963" s="168"/>
      <c r="M963" s="168"/>
      <c r="N963" s="168"/>
      <c r="O963" s="168"/>
      <c r="P963" s="168"/>
      <c r="Q963" s="168"/>
      <c r="R963" s="168"/>
      <c r="S963" s="168"/>
      <c r="T963" s="168"/>
      <c r="U963" s="168"/>
      <c r="V963" s="168"/>
      <c r="W963" s="168"/>
      <c r="X963" s="168"/>
      <c r="Y963" s="168"/>
      <c r="Z963" s="168"/>
      <c r="AA963" s="168"/>
      <c r="AB963" s="168"/>
      <c r="AC963" s="168"/>
      <c r="AD963" s="168"/>
      <c r="AE963" s="168"/>
      <c r="AF963" s="168"/>
      <c r="AG963" s="168"/>
      <c r="AH963" s="168"/>
      <c r="AI963" s="168"/>
      <c r="AJ963" s="168"/>
      <c r="AK963" s="168"/>
      <c r="AL963" s="168"/>
      <c r="AM963" s="168"/>
      <c r="AN963" s="168"/>
      <c r="AO963" s="168"/>
      <c r="AP963" s="168"/>
      <c r="AQ963" s="168"/>
      <c r="AR963" s="168"/>
      <c r="AS963" s="168"/>
      <c r="AT963" s="168"/>
      <c r="AU963" s="168"/>
      <c r="AV963" s="168"/>
      <c r="AW963" s="168"/>
      <c r="AX963" s="168"/>
      <c r="AY963" s="168"/>
      <c r="AZ963" s="168"/>
      <c r="BA963" s="168"/>
      <c r="BB963" s="168"/>
      <c r="BC963" s="168"/>
      <c r="BD963" s="168"/>
      <c r="BE963" s="168"/>
      <c r="BF963" s="168"/>
      <c r="BG963" s="168"/>
      <c r="BH963" s="168"/>
      <c r="BI963" s="168"/>
      <c r="BJ963" s="169"/>
    </row>
    <row r="964" spans="1:64" s="174" customFormat="1" ht="12.75">
      <c r="A964" s="120" t="s">
        <v>138</v>
      </c>
      <c r="B964" s="170">
        <f>SUM(C964:BJ964)</f>
        <v>47061345.419619262</v>
      </c>
      <c r="C964" s="171">
        <f>C935-C940</f>
        <v>19369807.299744528</v>
      </c>
      <c r="D964" s="172">
        <f t="shared" ref="D964:BJ964" si="608">IF(AND(D923&gt;5,D924=0),0,D935-D940)</f>
        <v>22393601.057547621</v>
      </c>
      <c r="E964" s="172">
        <f t="shared" si="608"/>
        <v>21794020.569327924</v>
      </c>
      <c r="F964" s="172">
        <f t="shared" si="608"/>
        <v>21828601.484498389</v>
      </c>
      <c r="G964" s="172">
        <f t="shared" si="608"/>
        <v>21831078.439971574</v>
      </c>
      <c r="H964" s="172">
        <f t="shared" si="608"/>
        <v>-4460492.0643203566</v>
      </c>
      <c r="I964" s="172">
        <f t="shared" si="608"/>
        <v>-4638911.7468931703</v>
      </c>
      <c r="J964" s="172">
        <f t="shared" si="608"/>
        <v>-4824468.2167688962</v>
      </c>
      <c r="K964" s="172">
        <f t="shared" si="608"/>
        <v>-5017446.9454396535</v>
      </c>
      <c r="L964" s="172">
        <f t="shared" si="608"/>
        <v>-5218144.8232572405</v>
      </c>
      <c r="M964" s="172">
        <f t="shared" si="608"/>
        <v>-5426870.6161875296</v>
      </c>
      <c r="N964" s="172">
        <f t="shared" si="608"/>
        <v>-5643945.4408350307</v>
      </c>
      <c r="O964" s="172">
        <f t="shared" si="608"/>
        <v>-5869703.2584684333</v>
      </c>
      <c r="P964" s="172">
        <f t="shared" si="608"/>
        <v>-6104491.388807171</v>
      </c>
      <c r="Q964" s="172">
        <f t="shared" si="608"/>
        <v>-6348671.0443594567</v>
      </c>
      <c r="R964" s="172">
        <f t="shared" si="608"/>
        <v>-6602617.8861338347</v>
      </c>
      <c r="S964" s="172">
        <f t="shared" si="608"/>
        <v>0</v>
      </c>
      <c r="T964" s="172">
        <f t="shared" si="608"/>
        <v>0</v>
      </c>
      <c r="U964" s="172">
        <f t="shared" si="608"/>
        <v>0</v>
      </c>
      <c r="V964" s="172">
        <f t="shared" si="608"/>
        <v>0</v>
      </c>
      <c r="W964" s="172">
        <f t="shared" si="608"/>
        <v>0</v>
      </c>
      <c r="X964" s="172">
        <f t="shared" si="608"/>
        <v>0</v>
      </c>
      <c r="Y964" s="172">
        <f t="shared" si="608"/>
        <v>0</v>
      </c>
      <c r="Z964" s="172">
        <f t="shared" si="608"/>
        <v>0</v>
      </c>
      <c r="AA964" s="172">
        <f t="shared" si="608"/>
        <v>0</v>
      </c>
      <c r="AB964" s="172">
        <f t="shared" si="608"/>
        <v>0</v>
      </c>
      <c r="AC964" s="172">
        <f t="shared" si="608"/>
        <v>0</v>
      </c>
      <c r="AD964" s="172">
        <f t="shared" si="608"/>
        <v>0</v>
      </c>
      <c r="AE964" s="172">
        <f t="shared" si="608"/>
        <v>0</v>
      </c>
      <c r="AF964" s="172">
        <f t="shared" si="608"/>
        <v>0</v>
      </c>
      <c r="AG964" s="172">
        <f t="shared" si="608"/>
        <v>0</v>
      </c>
      <c r="AH964" s="172">
        <f t="shared" si="608"/>
        <v>0</v>
      </c>
      <c r="AI964" s="172">
        <f t="shared" si="608"/>
        <v>0</v>
      </c>
      <c r="AJ964" s="172">
        <f t="shared" si="608"/>
        <v>0</v>
      </c>
      <c r="AK964" s="172">
        <f t="shared" si="608"/>
        <v>0</v>
      </c>
      <c r="AL964" s="172">
        <f t="shared" si="608"/>
        <v>0</v>
      </c>
      <c r="AM964" s="172">
        <f t="shared" si="608"/>
        <v>0</v>
      </c>
      <c r="AN964" s="172">
        <f t="shared" si="608"/>
        <v>0</v>
      </c>
      <c r="AO964" s="172">
        <f t="shared" si="608"/>
        <v>0</v>
      </c>
      <c r="AP964" s="172">
        <f t="shared" si="608"/>
        <v>0</v>
      </c>
      <c r="AQ964" s="172">
        <f t="shared" si="608"/>
        <v>0</v>
      </c>
      <c r="AR964" s="172">
        <f t="shared" si="608"/>
        <v>0</v>
      </c>
      <c r="AS964" s="172">
        <f t="shared" si="608"/>
        <v>0</v>
      </c>
      <c r="AT964" s="172">
        <f t="shared" si="608"/>
        <v>0</v>
      </c>
      <c r="AU964" s="172">
        <f t="shared" si="608"/>
        <v>0</v>
      </c>
      <c r="AV964" s="172">
        <f t="shared" si="608"/>
        <v>0</v>
      </c>
      <c r="AW964" s="172">
        <f t="shared" si="608"/>
        <v>0</v>
      </c>
      <c r="AX964" s="172">
        <f t="shared" si="608"/>
        <v>0</v>
      </c>
      <c r="AY964" s="172">
        <f t="shared" si="608"/>
        <v>0</v>
      </c>
      <c r="AZ964" s="172">
        <f t="shared" si="608"/>
        <v>0</v>
      </c>
      <c r="BA964" s="172">
        <f t="shared" si="608"/>
        <v>0</v>
      </c>
      <c r="BB964" s="172">
        <f t="shared" si="608"/>
        <v>0</v>
      </c>
      <c r="BC964" s="172">
        <f t="shared" si="608"/>
        <v>0</v>
      </c>
      <c r="BD964" s="172">
        <f t="shared" si="608"/>
        <v>0</v>
      </c>
      <c r="BE964" s="172">
        <f t="shared" si="608"/>
        <v>0</v>
      </c>
      <c r="BF964" s="172">
        <f t="shared" si="608"/>
        <v>0</v>
      </c>
      <c r="BG964" s="172">
        <f t="shared" si="608"/>
        <v>0</v>
      </c>
      <c r="BH964" s="172">
        <f t="shared" si="608"/>
        <v>0</v>
      </c>
      <c r="BI964" s="172">
        <f t="shared" si="608"/>
        <v>0</v>
      </c>
      <c r="BJ964" s="173">
        <f t="shared" si="608"/>
        <v>0</v>
      </c>
      <c r="BK964" s="172"/>
      <c r="BL964" s="172"/>
    </row>
    <row r="965" spans="1:64" s="174" customFormat="1" ht="12.75">
      <c r="A965" s="120" t="s">
        <v>139</v>
      </c>
      <c r="B965" s="170">
        <f>SUM(C965:BJ965)</f>
        <v>72245605.739889234</v>
      </c>
      <c r="C965" s="171">
        <f>C955</f>
        <v>667924.38964636298</v>
      </c>
      <c r="D965" s="172">
        <f>D955</f>
        <v>1490787.6556729018</v>
      </c>
      <c r="E965" s="172">
        <f t="shared" ref="E965:BJ965" si="609">E955</f>
        <v>2355399.8422869812</v>
      </c>
      <c r="F965" s="172">
        <f t="shared" si="609"/>
        <v>3286795.7435811106</v>
      </c>
      <c r="G965" s="172">
        <f t="shared" si="609"/>
        <v>4288934.6772311116</v>
      </c>
      <c r="H965" s="172">
        <f t="shared" si="609"/>
        <v>4460492.0643203566</v>
      </c>
      <c r="I965" s="172">
        <f t="shared" si="609"/>
        <v>4638911.7468931703</v>
      </c>
      <c r="J965" s="172">
        <f t="shared" si="609"/>
        <v>4824468.2167688962</v>
      </c>
      <c r="K965" s="172">
        <f t="shared" si="609"/>
        <v>5017446.9454396535</v>
      </c>
      <c r="L965" s="172">
        <f t="shared" si="609"/>
        <v>5218144.8232572405</v>
      </c>
      <c r="M965" s="172">
        <f t="shared" si="609"/>
        <v>5426870.6161875296</v>
      </c>
      <c r="N965" s="172">
        <f t="shared" si="609"/>
        <v>5643945.4408350307</v>
      </c>
      <c r="O965" s="172">
        <f t="shared" si="609"/>
        <v>5869703.2584684333</v>
      </c>
      <c r="P965" s="172">
        <f t="shared" si="609"/>
        <v>6104491.388807171</v>
      </c>
      <c r="Q965" s="172">
        <f t="shared" si="609"/>
        <v>6348671.0443594567</v>
      </c>
      <c r="R965" s="172">
        <f t="shared" si="609"/>
        <v>6602617.8861338347</v>
      </c>
      <c r="S965" s="172">
        <f t="shared" si="609"/>
        <v>0</v>
      </c>
      <c r="T965" s="172">
        <f t="shared" si="609"/>
        <v>0</v>
      </c>
      <c r="U965" s="172">
        <f t="shared" si="609"/>
        <v>0</v>
      </c>
      <c r="V965" s="172">
        <f t="shared" si="609"/>
        <v>0</v>
      </c>
      <c r="W965" s="172">
        <f t="shared" si="609"/>
        <v>0</v>
      </c>
      <c r="X965" s="172">
        <f t="shared" si="609"/>
        <v>0</v>
      </c>
      <c r="Y965" s="172">
        <f t="shared" si="609"/>
        <v>0</v>
      </c>
      <c r="Z965" s="172">
        <f t="shared" si="609"/>
        <v>0</v>
      </c>
      <c r="AA965" s="172">
        <f t="shared" si="609"/>
        <v>0</v>
      </c>
      <c r="AB965" s="172">
        <f t="shared" si="609"/>
        <v>0</v>
      </c>
      <c r="AC965" s="172">
        <f t="shared" si="609"/>
        <v>0</v>
      </c>
      <c r="AD965" s="172">
        <f t="shared" si="609"/>
        <v>0</v>
      </c>
      <c r="AE965" s="172">
        <f t="shared" si="609"/>
        <v>0</v>
      </c>
      <c r="AF965" s="172">
        <f t="shared" si="609"/>
        <v>0</v>
      </c>
      <c r="AG965" s="172">
        <f t="shared" si="609"/>
        <v>0</v>
      </c>
      <c r="AH965" s="172">
        <f t="shared" si="609"/>
        <v>0</v>
      </c>
      <c r="AI965" s="172">
        <f t="shared" si="609"/>
        <v>0</v>
      </c>
      <c r="AJ965" s="172">
        <f t="shared" si="609"/>
        <v>0</v>
      </c>
      <c r="AK965" s="172">
        <f t="shared" si="609"/>
        <v>0</v>
      </c>
      <c r="AL965" s="172">
        <f t="shared" si="609"/>
        <v>0</v>
      </c>
      <c r="AM965" s="172">
        <f t="shared" si="609"/>
        <v>0</v>
      </c>
      <c r="AN965" s="172">
        <f t="shared" si="609"/>
        <v>0</v>
      </c>
      <c r="AO965" s="172">
        <f t="shared" si="609"/>
        <v>0</v>
      </c>
      <c r="AP965" s="172">
        <f t="shared" si="609"/>
        <v>0</v>
      </c>
      <c r="AQ965" s="172">
        <f t="shared" si="609"/>
        <v>0</v>
      </c>
      <c r="AR965" s="172">
        <f t="shared" si="609"/>
        <v>0</v>
      </c>
      <c r="AS965" s="172">
        <f t="shared" si="609"/>
        <v>0</v>
      </c>
      <c r="AT965" s="172">
        <f t="shared" si="609"/>
        <v>0</v>
      </c>
      <c r="AU965" s="172">
        <f t="shared" si="609"/>
        <v>0</v>
      </c>
      <c r="AV965" s="172">
        <f t="shared" si="609"/>
        <v>0</v>
      </c>
      <c r="AW965" s="172">
        <f t="shared" si="609"/>
        <v>0</v>
      </c>
      <c r="AX965" s="172">
        <f t="shared" si="609"/>
        <v>0</v>
      </c>
      <c r="AY965" s="172">
        <f t="shared" si="609"/>
        <v>0</v>
      </c>
      <c r="AZ965" s="172">
        <f t="shared" si="609"/>
        <v>0</v>
      </c>
      <c r="BA965" s="172">
        <f t="shared" si="609"/>
        <v>0</v>
      </c>
      <c r="BB965" s="172">
        <f t="shared" si="609"/>
        <v>0</v>
      </c>
      <c r="BC965" s="172">
        <f t="shared" si="609"/>
        <v>0</v>
      </c>
      <c r="BD965" s="172">
        <f t="shared" si="609"/>
        <v>0</v>
      </c>
      <c r="BE965" s="172">
        <f t="shared" si="609"/>
        <v>0</v>
      </c>
      <c r="BF965" s="172">
        <f t="shared" si="609"/>
        <v>0</v>
      </c>
      <c r="BG965" s="172">
        <f t="shared" si="609"/>
        <v>0</v>
      </c>
      <c r="BH965" s="172">
        <f t="shared" si="609"/>
        <v>0</v>
      </c>
      <c r="BI965" s="172">
        <f t="shared" si="609"/>
        <v>0</v>
      </c>
      <c r="BJ965" s="173">
        <f t="shared" si="609"/>
        <v>0</v>
      </c>
      <c r="BK965" s="172"/>
      <c r="BL965" s="172"/>
    </row>
    <row r="966" spans="1:64" s="174" customFormat="1" ht="12.75">
      <c r="A966" s="120" t="s">
        <v>140</v>
      </c>
      <c r="B966" s="170" t="e">
        <f>SUM(C966:BJ966)</f>
        <v>#REF!</v>
      </c>
      <c r="C966" s="171">
        <f>-C935</f>
        <v>-20037731.68939089</v>
      </c>
      <c r="D966" s="172">
        <f>IF(AND(D923&gt;5,E924=0,D924&lt;&gt;0),SUM(D$71:$BJ940)-D935,-D935)</f>
        <v>-23884388.713220522</v>
      </c>
      <c r="E966" s="172">
        <f>IF(AND(E923&gt;5,F924=0,E924&lt;&gt;0),SUM(E$71:$BJ940)-E935,-E935)</f>
        <v>-24149420.411614906</v>
      </c>
      <c r="F966" s="172">
        <f>IF(AND(F923&gt;5,G924=0,F924&lt;&gt;0),SUM(F$71:$BJ940)-F935,-F935)</f>
        <v>-25115397.228079498</v>
      </c>
      <c r="G966" s="172">
        <f>IF(AND(G923&gt;5,H924=0,G924&lt;&gt;0),SUM(G$71:$BJ940)-G935,-G935)</f>
        <v>-26120013.117202684</v>
      </c>
      <c r="H966" s="172">
        <f>IF(AND(H923&gt;5,I924=0,H924&lt;&gt;0),SUM(H$71:$BJ940)-H935,-H935)</f>
        <v>0</v>
      </c>
      <c r="I966" s="172">
        <f>IF(AND(I923&gt;5,J924=0,I924&lt;&gt;0),SUM(I$71:$BJ940)-I935,-I935)</f>
        <v>0</v>
      </c>
      <c r="J966" s="172">
        <f>IF(AND(J923&gt;5,K924=0,J924&lt;&gt;0),SUM(J$71:$BJ940)-J935,-J935)</f>
        <v>0</v>
      </c>
      <c r="K966" s="172">
        <f>IF(AND(K923&gt;5,L924=0,K924&lt;&gt;0),SUM(K$71:$BJ940)-K935,-K935)</f>
        <v>0</v>
      </c>
      <c r="L966" s="172">
        <f>IF(AND(L923&gt;5,M924=0,L924&lt;&gt;0),SUM(L$71:$BJ940)-L935,-L935)</f>
        <v>0</v>
      </c>
      <c r="M966" s="172">
        <f>IF(AND(M923&gt;5,N924=0,M924&lt;&gt;0),SUM(M$71:$BJ940)-M935,-M935)</f>
        <v>0</v>
      </c>
      <c r="N966" s="172">
        <f>IF(AND(N923&gt;5,O924=0,N924&lt;&gt;0),SUM(N$71:$BJ940)-N935,-N935)</f>
        <v>0</v>
      </c>
      <c r="O966" s="172">
        <f>IF(AND(O923&gt;5,P924=0,O924&lt;&gt;0),SUM(O$71:$BJ940)-O935,-O935)</f>
        <v>0</v>
      </c>
      <c r="P966" s="172">
        <f>IF(AND(P923&gt;5,Q924=0,P924&lt;&gt;0),SUM(P$71:$BJ940)-P935,-P935)</f>
        <v>0</v>
      </c>
      <c r="Q966" s="172">
        <f>IF(AND(Q923&gt;5,R924=0,Q924&lt;&gt;0),SUM(Q$71:$BJ940)-Q935,-Q935)</f>
        <v>0</v>
      </c>
      <c r="R966" s="172" t="e">
        <f>IF(AND(R923&gt;5,S924=0,R924&lt;&gt;0),SUM(R$71:$BJ940)-R935,-R935)</f>
        <v>#REF!</v>
      </c>
      <c r="S966" s="172">
        <f>IF(AND(S923&gt;5,T924=0,S924&lt;&gt;0),SUM(S$71:$BJ940)-S935,-S935)</f>
        <v>0</v>
      </c>
      <c r="T966" s="172">
        <f>IF(AND(T923&gt;5,U924=0,T924&lt;&gt;0),SUM(T$71:$BJ940)-T935,-T935)</f>
        <v>0</v>
      </c>
      <c r="U966" s="172">
        <f>IF(AND(U923&gt;5,V924=0,U924&lt;&gt;0),SUM(U$71:$BJ940)-U935,-U935)</f>
        <v>0</v>
      </c>
      <c r="V966" s="172">
        <f>IF(AND(V923&gt;5,W924=0,V924&lt;&gt;0),SUM(V$71:$BJ940)-V935,-V935)</f>
        <v>0</v>
      </c>
      <c r="W966" s="172">
        <f>IF(AND(W923&gt;5,X924=0,W924&lt;&gt;0),SUM(W$71:$BJ940)-W935,-W935)</f>
        <v>0</v>
      </c>
      <c r="X966" s="172">
        <f>IF(AND(X923&gt;5,Y924=0,X924&lt;&gt;0),SUM(X$71:$BJ940)-X935,-X935)</f>
        <v>0</v>
      </c>
      <c r="Y966" s="172">
        <f>IF(AND(Y923&gt;5,Z924=0,Y924&lt;&gt;0),SUM(Y$71:$BJ940)-Y935,-Y935)</f>
        <v>0</v>
      </c>
      <c r="Z966" s="175">
        <f>IF(AND(Z923&gt;5,AA924=0,Z924&lt;&gt;0),SUM(Z$71:$BJ940)-Z935,-Z935)</f>
        <v>0</v>
      </c>
      <c r="AA966" s="172">
        <f>IF(AND(AA923&gt;5,AB924=0,AA924&lt;&gt;0),SUM(AA$71:$BJ940)-AA935,-AA935)</f>
        <v>0</v>
      </c>
      <c r="AB966" s="172">
        <f>IF(AND(AB923&gt;5,AC924=0,AB924&lt;&gt;0),SUM(AB$71:$BJ940)-AB935,-AB935)</f>
        <v>0</v>
      </c>
      <c r="AC966" s="172">
        <f>IF(AND(AC923&gt;5,AD924=0,AC924&lt;&gt;0),SUM(AC$71:$BJ940)-AC935,-AC935)</f>
        <v>0</v>
      </c>
      <c r="AD966" s="172">
        <f>IF(AND(AD923&gt;5,AE924=0,AD924&lt;&gt;0),SUM(AD$71:$BJ940)-AD935,-AD935)</f>
        <v>0</v>
      </c>
      <c r="AE966" s="172">
        <f>IF(AND(AE923&gt;5,AF924=0,AE924&lt;&gt;0),SUM(AE$71:$BJ940)-AE935,-AE935)</f>
        <v>0</v>
      </c>
      <c r="AF966" s="172">
        <f>IF(AND(AF923&gt;5,AG924=0,AF924&lt;&gt;0),SUM(AF$71:$BJ940)-AF935,-AF935)</f>
        <v>0</v>
      </c>
      <c r="AG966" s="172">
        <f>IF(AND(AG923&gt;5,AH924=0,AG924&lt;&gt;0),SUM(AG$71:$BJ940)-AG935,-AG935)</f>
        <v>0</v>
      </c>
      <c r="AH966" s="172">
        <f>IF(AND(AH923&gt;5,AI924=0,AH924&lt;&gt;0),SUM(AH$71:$BJ940)-AH935,-AH935)</f>
        <v>0</v>
      </c>
      <c r="AI966" s="172">
        <f>IF(AND(AI923&gt;5,AJ924=0,AI924&lt;&gt;0),SUM(AI$71:$BJ940)-AI935,-AI935)</f>
        <v>0</v>
      </c>
      <c r="AJ966" s="172">
        <f>IF(AND(AJ923&gt;5,AK924=0,AJ924&lt;&gt;0),SUM(AJ$71:$BJ940)-AJ935,-AJ935)</f>
        <v>0</v>
      </c>
      <c r="AK966" s="172">
        <f>IF(AND(AK923&gt;5,AL924=0,AK924&lt;&gt;0),SUM(AK$71:$BJ940)-AK935,-AK935)</f>
        <v>0</v>
      </c>
      <c r="AL966" s="172">
        <f>IF(AND(AL923&gt;5,AM924=0,AL924&lt;&gt;0),SUM(AL$71:$BJ940)-AL935,-AL935)</f>
        <v>0</v>
      </c>
      <c r="AM966" s="172">
        <f>IF(AND(AM923&gt;5,AN924=0,AM924&lt;&gt;0),SUM(AM$71:$BJ940)-AM935,-AM935)</f>
        <v>0</v>
      </c>
      <c r="AN966" s="172">
        <f>IF(AND(AN923&gt;5,AO924=0,AN924&lt;&gt;0),SUM(AN$71:$BJ940)-AN935,-AN935)</f>
        <v>0</v>
      </c>
      <c r="AO966" s="172">
        <f>IF(AND(AO923&gt;5,AP924=0,AO924&lt;&gt;0),SUM(AO$71:$BJ940)-AO935,-AO935)</f>
        <v>0</v>
      </c>
      <c r="AP966" s="172">
        <f>IF(AND(AP923&gt;5,AQ924=0,AP924&lt;&gt;0),SUM(AP$71:$BJ940)-AP935,-AP935)</f>
        <v>0</v>
      </c>
      <c r="AQ966" s="172">
        <f>IF(AND(AQ923&gt;5,AR924=0,AQ924&lt;&gt;0),SUM(AQ$71:$BJ940)-AQ935,-AQ935)</f>
        <v>0</v>
      </c>
      <c r="AR966" s="172">
        <f>IF(AND(AR923&gt;5,AS924=0,AR924&lt;&gt;0),SUM(AR$71:$BJ940)-AR935,-AR935)</f>
        <v>0</v>
      </c>
      <c r="AS966" s="172">
        <f>IF(AND(AS923&gt;5,AT924=0,AS924&lt;&gt;0),SUM(AS$71:$BJ940)-AS935,-AS935)</f>
        <v>0</v>
      </c>
      <c r="AT966" s="172">
        <f>IF(AND(AT923&gt;5,AU924=0,AT924&lt;&gt;0),SUM(AT$71:$BJ940)-AT935,-AT935)</f>
        <v>0</v>
      </c>
      <c r="AU966" s="172">
        <f>IF(AND(AU923&gt;5,AV924=0,AU924&lt;&gt;0),SUM(AU$71:$BJ940)-AU935,-AU935)</f>
        <v>0</v>
      </c>
      <c r="AV966" s="172">
        <f>IF(AND(AV923&gt;5,AW924=0,AV924&lt;&gt;0),SUM(AV$71:$BJ940)-AV935,-AV935)</f>
        <v>0</v>
      </c>
      <c r="AW966" s="172">
        <f>IF(AND(AW923&gt;5,AX924=0,AW924&lt;&gt;0),SUM(AW$71:$BJ940)-AW935,-AW935)</f>
        <v>0</v>
      </c>
      <c r="AX966" s="172">
        <f>IF(AND(AX923&gt;5,AY924=0,AX924&lt;&gt;0),SUM(AX$71:$BJ940)-AX935,-AX935)</f>
        <v>0</v>
      </c>
      <c r="AY966" s="172">
        <f>IF(AND(AY923&gt;5,AZ924=0,AY924&lt;&gt;0),SUM(AY$71:$BJ940)-AY935,-AY935)</f>
        <v>0</v>
      </c>
      <c r="AZ966" s="172">
        <f>IF(AND(AZ923&gt;5,BA924=0,AZ924&lt;&gt;0),SUM(AZ$71:$BJ940)-AZ935,-AZ935)</f>
        <v>0</v>
      </c>
      <c r="BA966" s="172">
        <f>IF(AND(BA923&gt;5,BB924=0,BA924&lt;&gt;0),SUM(BA$71:$BJ940)-BA935,-BA935)</f>
        <v>0</v>
      </c>
      <c r="BB966" s="172">
        <f>IF(AND(BB923&gt;5,BC924=0,BB924&lt;&gt;0),SUM(BB$71:$BJ940)-BB935,-BB935)</f>
        <v>0</v>
      </c>
      <c r="BC966" s="172">
        <f>IF(AND(BC923&gt;5,BD924=0,BC924&lt;&gt;0),SUM(BC$71:$BJ940)-BC935,-BC935)</f>
        <v>0</v>
      </c>
      <c r="BD966" s="172">
        <f>IF(AND(BD923&gt;5,BE924=0,BD924&lt;&gt;0),SUM(BD$71:$BJ940)-BD935,-BD935)</f>
        <v>0</v>
      </c>
      <c r="BE966" s="172">
        <f>IF(AND(BE923&gt;5,BF924=0,BE924&lt;&gt;0),SUM(BE$71:$BJ940)-BE935,-BE935)</f>
        <v>0</v>
      </c>
      <c r="BF966" s="172">
        <f>IF(AND(BF923&gt;5,BG924=0,BF924&lt;&gt;0),SUM(BF$71:$BJ940)-BF935,-BF935)</f>
        <v>0</v>
      </c>
      <c r="BG966" s="172">
        <f>IF(AND(BG923&gt;5,BH924=0,BG924&lt;&gt;0),SUM(BG$71:$BJ940)-BG935,-BG935)</f>
        <v>0</v>
      </c>
      <c r="BH966" s="172">
        <f>IF(AND(BH923&gt;5,BI924=0,BH924&lt;&gt;0),SUM(BH$71:$BJ940)-BH935,-BH935)</f>
        <v>0</v>
      </c>
      <c r="BI966" s="172">
        <f>IF(AND(BI923&gt;5,BJ924=0,BI924&lt;&gt;0),SUM(BI$71:$BJ940)-BI935,-BI935)</f>
        <v>0</v>
      </c>
      <c r="BJ966" s="173">
        <f>IF(AND(BJ923&gt;5,BK924=0,BJ924&lt;&gt;0),SUM(BJ$71:$BJ940)-BJ935,-BJ935)</f>
        <v>0</v>
      </c>
      <c r="BK966" s="172"/>
      <c r="BL966" s="172"/>
    </row>
    <row r="967" spans="1:64" s="160" customFormat="1">
      <c r="A967" s="176" t="s">
        <v>141</v>
      </c>
      <c r="B967" s="177">
        <f>SUM(C967:BJ967)</f>
        <v>1413735470.6651804</v>
      </c>
      <c r="C967" s="178">
        <f>C962+C965</f>
        <v>-17521680.87544024</v>
      </c>
      <c r="D967" s="179">
        <f t="shared" ref="D967:BJ967" si="610">D962+D965</f>
        <v>-20644673.760400251</v>
      </c>
      <c r="E967" s="179">
        <f t="shared" si="610"/>
        <v>-20780116.860681824</v>
      </c>
      <c r="F967" s="179">
        <f t="shared" si="610"/>
        <v>-21611321.535109088</v>
      </c>
      <c r="G967" s="179">
        <f t="shared" si="610"/>
        <v>-22475774.396513462</v>
      </c>
      <c r="H967" s="179">
        <f t="shared" si="610"/>
        <v>35212253.79673256</v>
      </c>
      <c r="I967" s="179">
        <f t="shared" si="610"/>
        <v>72313705.547825098</v>
      </c>
      <c r="J967" s="179">
        <f t="shared" si="610"/>
        <v>112326933.83293031</v>
      </c>
      <c r="K967" s="179">
        <f t="shared" si="610"/>
        <v>155425518.45196733</v>
      </c>
      <c r="L967" s="179">
        <f t="shared" si="610"/>
        <v>213495102.13277435</v>
      </c>
      <c r="M967" s="179">
        <f t="shared" si="610"/>
        <v>222034906.21808532</v>
      </c>
      <c r="N967" s="179">
        <f t="shared" si="610"/>
        <v>230916302.46680868</v>
      </c>
      <c r="O967" s="179">
        <f t="shared" si="610"/>
        <v>181825873.20347199</v>
      </c>
      <c r="P967" s="179">
        <f t="shared" si="610"/>
        <v>142129405.66814858</v>
      </c>
      <c r="Q967" s="179">
        <f t="shared" si="610"/>
        <v>98966299.332873583</v>
      </c>
      <c r="R967" s="179">
        <f t="shared" si="610"/>
        <v>52122737.441707648</v>
      </c>
      <c r="S967" s="179">
        <f t="shared" si="610"/>
        <v>0</v>
      </c>
      <c r="T967" s="179">
        <f t="shared" si="610"/>
        <v>0</v>
      </c>
      <c r="U967" s="179">
        <f t="shared" si="610"/>
        <v>0</v>
      </c>
      <c r="V967" s="179">
        <f t="shared" si="610"/>
        <v>0</v>
      </c>
      <c r="W967" s="179">
        <f t="shared" si="610"/>
        <v>0</v>
      </c>
      <c r="X967" s="179">
        <f t="shared" si="610"/>
        <v>0</v>
      </c>
      <c r="Y967" s="179">
        <f t="shared" si="610"/>
        <v>0</v>
      </c>
      <c r="Z967" s="179">
        <f t="shared" si="610"/>
        <v>0</v>
      </c>
      <c r="AA967" s="179">
        <f t="shared" si="610"/>
        <v>0</v>
      </c>
      <c r="AB967" s="179">
        <f t="shared" si="610"/>
        <v>0</v>
      </c>
      <c r="AC967" s="179">
        <f t="shared" si="610"/>
        <v>0</v>
      </c>
      <c r="AD967" s="179">
        <f t="shared" si="610"/>
        <v>0</v>
      </c>
      <c r="AE967" s="179">
        <f t="shared" si="610"/>
        <v>0</v>
      </c>
      <c r="AF967" s="179">
        <f t="shared" si="610"/>
        <v>0</v>
      </c>
      <c r="AG967" s="179">
        <f t="shared" si="610"/>
        <v>0</v>
      </c>
      <c r="AH967" s="179">
        <f t="shared" si="610"/>
        <v>0</v>
      </c>
      <c r="AI967" s="179">
        <f t="shared" si="610"/>
        <v>0</v>
      </c>
      <c r="AJ967" s="179">
        <f t="shared" si="610"/>
        <v>0</v>
      </c>
      <c r="AK967" s="179">
        <f t="shared" si="610"/>
        <v>0</v>
      </c>
      <c r="AL967" s="179">
        <f t="shared" si="610"/>
        <v>0</v>
      </c>
      <c r="AM967" s="179">
        <f t="shared" si="610"/>
        <v>0</v>
      </c>
      <c r="AN967" s="179">
        <f t="shared" si="610"/>
        <v>0</v>
      </c>
      <c r="AO967" s="179">
        <f t="shared" si="610"/>
        <v>0</v>
      </c>
      <c r="AP967" s="179">
        <f t="shared" si="610"/>
        <v>0</v>
      </c>
      <c r="AQ967" s="179">
        <f t="shared" si="610"/>
        <v>0</v>
      </c>
      <c r="AR967" s="179">
        <f t="shared" si="610"/>
        <v>0</v>
      </c>
      <c r="AS967" s="179">
        <f t="shared" si="610"/>
        <v>0</v>
      </c>
      <c r="AT967" s="179">
        <f t="shared" si="610"/>
        <v>0</v>
      </c>
      <c r="AU967" s="179">
        <f t="shared" si="610"/>
        <v>0</v>
      </c>
      <c r="AV967" s="179">
        <f t="shared" si="610"/>
        <v>0</v>
      </c>
      <c r="AW967" s="179">
        <f t="shared" si="610"/>
        <v>0</v>
      </c>
      <c r="AX967" s="179">
        <f t="shared" si="610"/>
        <v>0</v>
      </c>
      <c r="AY967" s="179">
        <f t="shared" si="610"/>
        <v>0</v>
      </c>
      <c r="AZ967" s="179">
        <f t="shared" si="610"/>
        <v>0</v>
      </c>
      <c r="BA967" s="179">
        <f t="shared" si="610"/>
        <v>0</v>
      </c>
      <c r="BB967" s="179">
        <f t="shared" si="610"/>
        <v>0</v>
      </c>
      <c r="BC967" s="179">
        <f t="shared" si="610"/>
        <v>0</v>
      </c>
      <c r="BD967" s="179">
        <f t="shared" si="610"/>
        <v>0</v>
      </c>
      <c r="BE967" s="179">
        <f t="shared" si="610"/>
        <v>0</v>
      </c>
      <c r="BF967" s="179">
        <f t="shared" si="610"/>
        <v>0</v>
      </c>
      <c r="BG967" s="179">
        <f t="shared" si="610"/>
        <v>0</v>
      </c>
      <c r="BH967" s="179">
        <f t="shared" si="610"/>
        <v>0</v>
      </c>
      <c r="BI967" s="179">
        <f t="shared" si="610"/>
        <v>0</v>
      </c>
      <c r="BJ967" s="180">
        <f t="shared" si="610"/>
        <v>0</v>
      </c>
    </row>
    <row r="968" spans="1:64" s="80" customFormat="1">
      <c r="A968" s="176" t="s">
        <v>142</v>
      </c>
      <c r="B968" s="177">
        <f>SUM(C968:BJ968)</f>
        <v>411891382.39763623</v>
      </c>
      <c r="C968" s="181">
        <f>C967*(1+$C865)^-(C923-1)</f>
        <v>-17521680.87544024</v>
      </c>
      <c r="D968" s="182">
        <f>D967*(1+$C865)^-(D923-1)</f>
        <v>-18432744.428928792</v>
      </c>
      <c r="E968" s="182">
        <f t="shared" ref="E968:BJ968" si="611">E967*(1+$C865)^-(E923-1)</f>
        <v>-16565781.93613028</v>
      </c>
      <c r="F968" s="182">
        <f t="shared" si="611"/>
        <v>-15382511.797835249</v>
      </c>
      <c r="G968" s="182">
        <f t="shared" si="611"/>
        <v>-14283760.95513274</v>
      </c>
      <c r="H968" s="182">
        <f t="shared" si="611"/>
        <v>19980378.454645261</v>
      </c>
      <c r="I968" s="182">
        <f t="shared" si="611"/>
        <v>36636373.718181267</v>
      </c>
      <c r="J968" s="182">
        <f t="shared" si="611"/>
        <v>50811000.380525172</v>
      </c>
      <c r="K968" s="182">
        <f t="shared" si="611"/>
        <v>62773760.10274756</v>
      </c>
      <c r="L968" s="182">
        <f t="shared" si="611"/>
        <v>76988474.113544643</v>
      </c>
      <c r="M968" s="182">
        <f t="shared" si="611"/>
        <v>71489297.391148582</v>
      </c>
      <c r="N968" s="182">
        <f t="shared" si="611"/>
        <v>66382919.006066516</v>
      </c>
      <c r="O968" s="182">
        <f t="shared" si="611"/>
        <v>46670172.904377691</v>
      </c>
      <c r="P968" s="182">
        <f t="shared" si="611"/>
        <v>32572391.437629402</v>
      </c>
      <c r="Q968" s="182">
        <f t="shared" si="611"/>
        <v>20250465.624781977</v>
      </c>
      <c r="R968" s="182">
        <f t="shared" si="611"/>
        <v>9522629.2574554812</v>
      </c>
      <c r="S968" s="182">
        <f t="shared" si="611"/>
        <v>0</v>
      </c>
      <c r="T968" s="182">
        <f t="shared" si="611"/>
        <v>0</v>
      </c>
      <c r="U968" s="182">
        <f t="shared" si="611"/>
        <v>0</v>
      </c>
      <c r="V968" s="182">
        <f t="shared" si="611"/>
        <v>0</v>
      </c>
      <c r="W968" s="182">
        <f t="shared" si="611"/>
        <v>0</v>
      </c>
      <c r="X968" s="182">
        <f t="shared" si="611"/>
        <v>0</v>
      </c>
      <c r="Y968" s="182">
        <f t="shared" si="611"/>
        <v>0</v>
      </c>
      <c r="Z968" s="182">
        <f t="shared" si="611"/>
        <v>0</v>
      </c>
      <c r="AA968" s="182">
        <f t="shared" si="611"/>
        <v>0</v>
      </c>
      <c r="AB968" s="182">
        <f t="shared" si="611"/>
        <v>0</v>
      </c>
      <c r="AC968" s="182">
        <f t="shared" si="611"/>
        <v>0</v>
      </c>
      <c r="AD968" s="182">
        <f t="shared" si="611"/>
        <v>0</v>
      </c>
      <c r="AE968" s="182">
        <f t="shared" si="611"/>
        <v>0</v>
      </c>
      <c r="AF968" s="182">
        <f t="shared" si="611"/>
        <v>0</v>
      </c>
      <c r="AG968" s="182">
        <f t="shared" si="611"/>
        <v>0</v>
      </c>
      <c r="AH968" s="182">
        <f t="shared" si="611"/>
        <v>0</v>
      </c>
      <c r="AI968" s="182">
        <f t="shared" si="611"/>
        <v>0</v>
      </c>
      <c r="AJ968" s="182">
        <f t="shared" si="611"/>
        <v>0</v>
      </c>
      <c r="AK968" s="182">
        <f t="shared" si="611"/>
        <v>0</v>
      </c>
      <c r="AL968" s="182">
        <f t="shared" si="611"/>
        <v>0</v>
      </c>
      <c r="AM968" s="182">
        <f t="shared" si="611"/>
        <v>0</v>
      </c>
      <c r="AN968" s="182">
        <f t="shared" si="611"/>
        <v>0</v>
      </c>
      <c r="AO968" s="182">
        <f t="shared" si="611"/>
        <v>0</v>
      </c>
      <c r="AP968" s="182">
        <f t="shared" si="611"/>
        <v>0</v>
      </c>
      <c r="AQ968" s="182">
        <f t="shared" si="611"/>
        <v>0</v>
      </c>
      <c r="AR968" s="182">
        <f t="shared" si="611"/>
        <v>0</v>
      </c>
      <c r="AS968" s="182">
        <f t="shared" si="611"/>
        <v>0</v>
      </c>
      <c r="AT968" s="182">
        <f t="shared" si="611"/>
        <v>0</v>
      </c>
      <c r="AU968" s="182">
        <f t="shared" si="611"/>
        <v>0</v>
      </c>
      <c r="AV968" s="182">
        <f t="shared" si="611"/>
        <v>0</v>
      </c>
      <c r="AW968" s="182">
        <f t="shared" si="611"/>
        <v>0</v>
      </c>
      <c r="AX968" s="182">
        <f t="shared" si="611"/>
        <v>0</v>
      </c>
      <c r="AY968" s="182">
        <f t="shared" si="611"/>
        <v>0</v>
      </c>
      <c r="AZ968" s="182">
        <f t="shared" si="611"/>
        <v>0</v>
      </c>
      <c r="BA968" s="182">
        <f t="shared" si="611"/>
        <v>0</v>
      </c>
      <c r="BB968" s="182">
        <f t="shared" si="611"/>
        <v>0</v>
      </c>
      <c r="BC968" s="182">
        <f t="shared" si="611"/>
        <v>0</v>
      </c>
      <c r="BD968" s="182">
        <f t="shared" si="611"/>
        <v>0</v>
      </c>
      <c r="BE968" s="182">
        <f t="shared" si="611"/>
        <v>0</v>
      </c>
      <c r="BF968" s="182">
        <f t="shared" si="611"/>
        <v>0</v>
      </c>
      <c r="BG968" s="182">
        <f t="shared" si="611"/>
        <v>0</v>
      </c>
      <c r="BH968" s="182">
        <f t="shared" si="611"/>
        <v>0</v>
      </c>
      <c r="BI968" s="182">
        <f t="shared" si="611"/>
        <v>0</v>
      </c>
      <c r="BJ968" s="183">
        <f t="shared" si="611"/>
        <v>0</v>
      </c>
    </row>
    <row r="969" spans="1:64" s="80" customFormat="1">
      <c r="A969" s="184" t="s">
        <v>143</v>
      </c>
      <c r="B969" s="177"/>
      <c r="C969" s="181">
        <f>C968</f>
        <v>-17521680.87544024</v>
      </c>
      <c r="D969" s="182">
        <f t="shared" ref="D969:BJ969" si="612">IF(D968=0, 0, C969+D968)</f>
        <v>-35954425.304369032</v>
      </c>
      <c r="E969" s="182">
        <f t="shared" si="612"/>
        <v>-52520207.24049931</v>
      </c>
      <c r="F969" s="182">
        <f t="shared" si="612"/>
        <v>-67902719.038334563</v>
      </c>
      <c r="G969" s="182">
        <f t="shared" si="612"/>
        <v>-82186479.993467301</v>
      </c>
      <c r="H969" s="182">
        <f t="shared" si="612"/>
        <v>-62206101.53882204</v>
      </c>
      <c r="I969" s="182">
        <f t="shared" si="612"/>
        <v>-25569727.820640773</v>
      </c>
      <c r="J969" s="182">
        <f t="shared" si="612"/>
        <v>25241272.559884399</v>
      </c>
      <c r="K969" s="182">
        <f t="shared" si="612"/>
        <v>88015032.662631959</v>
      </c>
      <c r="L969" s="182">
        <f t="shared" si="612"/>
        <v>165003506.7761766</v>
      </c>
      <c r="M969" s="182">
        <f t="shared" si="612"/>
        <v>236492804.1673252</v>
      </c>
      <c r="N969" s="182">
        <f t="shared" si="612"/>
        <v>302875723.1733917</v>
      </c>
      <c r="O969" s="182">
        <f t="shared" si="612"/>
        <v>349545896.0777694</v>
      </c>
      <c r="P969" s="182">
        <f t="shared" si="612"/>
        <v>382118287.5153988</v>
      </c>
      <c r="Q969" s="182">
        <f t="shared" si="612"/>
        <v>402368753.14018077</v>
      </c>
      <c r="R969" s="182">
        <f t="shared" si="612"/>
        <v>411891382.39763623</v>
      </c>
      <c r="S969" s="182">
        <f t="shared" si="612"/>
        <v>0</v>
      </c>
      <c r="T969" s="182">
        <f t="shared" si="612"/>
        <v>0</v>
      </c>
      <c r="U969" s="182">
        <f t="shared" si="612"/>
        <v>0</v>
      </c>
      <c r="V969" s="182">
        <f t="shared" si="612"/>
        <v>0</v>
      </c>
      <c r="W969" s="182">
        <f t="shared" si="612"/>
        <v>0</v>
      </c>
      <c r="X969" s="182">
        <f t="shared" si="612"/>
        <v>0</v>
      </c>
      <c r="Y969" s="182">
        <f t="shared" si="612"/>
        <v>0</v>
      </c>
      <c r="Z969" s="182">
        <f t="shared" si="612"/>
        <v>0</v>
      </c>
      <c r="AA969" s="182">
        <f t="shared" si="612"/>
        <v>0</v>
      </c>
      <c r="AB969" s="182">
        <f t="shared" si="612"/>
        <v>0</v>
      </c>
      <c r="AC969" s="182">
        <f t="shared" si="612"/>
        <v>0</v>
      </c>
      <c r="AD969" s="182">
        <f t="shared" si="612"/>
        <v>0</v>
      </c>
      <c r="AE969" s="182">
        <f t="shared" si="612"/>
        <v>0</v>
      </c>
      <c r="AF969" s="182">
        <f t="shared" si="612"/>
        <v>0</v>
      </c>
      <c r="AG969" s="182">
        <f t="shared" si="612"/>
        <v>0</v>
      </c>
      <c r="AH969" s="182">
        <f t="shared" si="612"/>
        <v>0</v>
      </c>
      <c r="AI969" s="182">
        <f t="shared" si="612"/>
        <v>0</v>
      </c>
      <c r="AJ969" s="182">
        <f t="shared" si="612"/>
        <v>0</v>
      </c>
      <c r="AK969" s="182">
        <f t="shared" si="612"/>
        <v>0</v>
      </c>
      <c r="AL969" s="182">
        <f t="shared" si="612"/>
        <v>0</v>
      </c>
      <c r="AM969" s="182">
        <f t="shared" si="612"/>
        <v>0</v>
      </c>
      <c r="AN969" s="182">
        <f t="shared" si="612"/>
        <v>0</v>
      </c>
      <c r="AO969" s="182">
        <f t="shared" si="612"/>
        <v>0</v>
      </c>
      <c r="AP969" s="182">
        <f t="shared" si="612"/>
        <v>0</v>
      </c>
      <c r="AQ969" s="182">
        <f t="shared" si="612"/>
        <v>0</v>
      </c>
      <c r="AR969" s="182">
        <f t="shared" si="612"/>
        <v>0</v>
      </c>
      <c r="AS969" s="182">
        <f t="shared" si="612"/>
        <v>0</v>
      </c>
      <c r="AT969" s="182">
        <f t="shared" si="612"/>
        <v>0</v>
      </c>
      <c r="AU969" s="182">
        <f t="shared" si="612"/>
        <v>0</v>
      </c>
      <c r="AV969" s="182">
        <f t="shared" si="612"/>
        <v>0</v>
      </c>
      <c r="AW969" s="182">
        <f t="shared" si="612"/>
        <v>0</v>
      </c>
      <c r="AX969" s="182">
        <f t="shared" si="612"/>
        <v>0</v>
      </c>
      <c r="AY969" s="182">
        <f t="shared" si="612"/>
        <v>0</v>
      </c>
      <c r="AZ969" s="182">
        <f t="shared" si="612"/>
        <v>0</v>
      </c>
      <c r="BA969" s="182">
        <f t="shared" si="612"/>
        <v>0</v>
      </c>
      <c r="BB969" s="182">
        <f t="shared" si="612"/>
        <v>0</v>
      </c>
      <c r="BC969" s="182">
        <f t="shared" si="612"/>
        <v>0</v>
      </c>
      <c r="BD969" s="182">
        <f t="shared" si="612"/>
        <v>0</v>
      </c>
      <c r="BE969" s="182">
        <f t="shared" si="612"/>
        <v>0</v>
      </c>
      <c r="BF969" s="182">
        <f t="shared" si="612"/>
        <v>0</v>
      </c>
      <c r="BG969" s="182">
        <f t="shared" si="612"/>
        <v>0</v>
      </c>
      <c r="BH969" s="182">
        <f t="shared" si="612"/>
        <v>0</v>
      </c>
      <c r="BI969" s="182">
        <f t="shared" si="612"/>
        <v>0</v>
      </c>
      <c r="BJ969" s="183">
        <f t="shared" si="612"/>
        <v>0</v>
      </c>
    </row>
    <row r="970" spans="1:64" s="83" customFormat="1">
      <c r="A970" s="78"/>
      <c r="B970" s="81"/>
      <c r="C970" s="82"/>
      <c r="D970" s="82"/>
      <c r="E970" s="82"/>
      <c r="F970" s="82"/>
      <c r="G970" s="82"/>
      <c r="H970" s="82"/>
      <c r="I970" s="82"/>
      <c r="J970" s="82"/>
      <c r="K970" s="82"/>
      <c r="L970" s="82"/>
      <c r="M970" s="82"/>
      <c r="N970" s="82"/>
      <c r="O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2"/>
      <c r="AD970" s="82"/>
      <c r="AE970" s="82"/>
      <c r="AF970" s="82"/>
      <c r="AG970" s="82"/>
      <c r="AH970" s="82"/>
      <c r="AI970" s="82"/>
      <c r="AJ970" s="82"/>
      <c r="AK970" s="82"/>
      <c r="AL970" s="82"/>
      <c r="AM970" s="82"/>
      <c r="AN970" s="82"/>
      <c r="AO970" s="82"/>
      <c r="AP970" s="82"/>
      <c r="AQ970" s="82"/>
      <c r="AR970" s="82"/>
      <c r="AS970" s="82"/>
      <c r="AT970" s="82"/>
      <c r="AU970" s="82"/>
      <c r="AV970" s="82"/>
      <c r="AW970" s="82"/>
      <c r="AX970" s="82"/>
      <c r="AY970" s="82"/>
      <c r="AZ970" s="82"/>
      <c r="BA970" s="82"/>
      <c r="BB970" s="82"/>
      <c r="BC970" s="82"/>
      <c r="BD970" s="82"/>
      <c r="BE970" s="82"/>
      <c r="BF970" s="82"/>
      <c r="BG970" s="82"/>
      <c r="BH970" s="82"/>
      <c r="BI970" s="82"/>
      <c r="BJ970" s="82"/>
    </row>
    <row r="971" spans="1:64" ht="21">
      <c r="A971" s="185" t="s">
        <v>163</v>
      </c>
      <c r="B971" s="93"/>
      <c r="C971" s="186"/>
      <c r="D971" s="186"/>
      <c r="E971" s="186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86"/>
      <c r="AD971" s="186"/>
      <c r="AE971" s="186"/>
      <c r="AF971" s="186"/>
      <c r="AG971" s="186"/>
      <c r="AH971" s="186"/>
      <c r="AI971" s="186"/>
      <c r="AJ971" s="186"/>
      <c r="AK971" s="186"/>
      <c r="AL971" s="186"/>
      <c r="AM971" s="186"/>
      <c r="AN971" s="186"/>
      <c r="AO971" s="186"/>
      <c r="AP971" s="186"/>
      <c r="AQ971" s="186"/>
      <c r="AR971" s="186"/>
      <c r="AS971" s="186"/>
      <c r="AT971" s="186"/>
      <c r="AU971" s="186"/>
      <c r="AV971" s="186"/>
      <c r="AW971" s="186"/>
      <c r="AX971" s="186"/>
      <c r="AY971" s="186"/>
      <c r="AZ971" s="186"/>
      <c r="BA971" s="186"/>
      <c r="BB971" s="186"/>
      <c r="BC971" s="186"/>
      <c r="BD971" s="186"/>
      <c r="BE971" s="186"/>
      <c r="BF971" s="186"/>
      <c r="BG971" s="186"/>
      <c r="BH971" s="186"/>
      <c r="BI971" s="186"/>
      <c r="BJ971" s="186"/>
    </row>
    <row r="972" spans="1:64">
      <c r="A972" s="187" t="s">
        <v>158</v>
      </c>
      <c r="B972" s="188">
        <f>SUM(C972:BJ972)</f>
        <v>1069.7290414291851</v>
      </c>
      <c r="C972" s="189">
        <f>(C924*(1-$K865))/(1+$C865)^(C923-1)</f>
        <v>0</v>
      </c>
      <c r="D972" s="190">
        <f>(D924*(1-$K865))/(1+$C865)^(D923-1)</f>
        <v>0</v>
      </c>
      <c r="E972" s="190">
        <f t="shared" ref="E972:BJ972" si="613">(E924*(1-$K865))/(1+$C865)^(E923-1)</f>
        <v>0</v>
      </c>
      <c r="F972" s="190">
        <f t="shared" si="613"/>
        <v>0</v>
      </c>
      <c r="G972" s="190">
        <f t="shared" si="613"/>
        <v>0</v>
      </c>
      <c r="H972" s="190">
        <f t="shared" si="613"/>
        <v>50.61447553009905</v>
      </c>
      <c r="I972" s="190">
        <f t="shared" si="613"/>
        <v>90.382992018034017</v>
      </c>
      <c r="J972" s="190">
        <f t="shared" si="613"/>
        <v>121.04865002415269</v>
      </c>
      <c r="K972" s="190">
        <f t="shared" si="613"/>
        <v>144.1055357430389</v>
      </c>
      <c r="L972" s="190">
        <f t="shared" si="613"/>
        <v>170.20793179130555</v>
      </c>
      <c r="M972" s="190">
        <f t="shared" si="613"/>
        <v>151.97136767080852</v>
      </c>
      <c r="N972" s="190">
        <f t="shared" si="613"/>
        <v>135.68872113465045</v>
      </c>
      <c r="O972" s="190">
        <f t="shared" si="613"/>
        <v>91.581673162914797</v>
      </c>
      <c r="P972" s="190">
        <f t="shared" si="613"/>
        <v>61.327013278737581</v>
      </c>
      <c r="Q972" s="190">
        <f t="shared" si="613"/>
        <v>36.504174570677129</v>
      </c>
      <c r="R972" s="190">
        <f t="shared" si="613"/>
        <v>16.296506504766576</v>
      </c>
      <c r="S972" s="190">
        <f t="shared" si="613"/>
        <v>0</v>
      </c>
      <c r="T972" s="190">
        <f t="shared" si="613"/>
        <v>0</v>
      </c>
      <c r="U972" s="190">
        <f t="shared" si="613"/>
        <v>0</v>
      </c>
      <c r="V972" s="190">
        <f t="shared" si="613"/>
        <v>0</v>
      </c>
      <c r="W972" s="190">
        <f t="shared" si="613"/>
        <v>0</v>
      </c>
      <c r="X972" s="190">
        <f t="shared" si="613"/>
        <v>0</v>
      </c>
      <c r="Y972" s="190">
        <f t="shared" si="613"/>
        <v>0</v>
      </c>
      <c r="Z972" s="190">
        <f t="shared" si="613"/>
        <v>0</v>
      </c>
      <c r="AA972" s="190">
        <f t="shared" si="613"/>
        <v>0</v>
      </c>
      <c r="AB972" s="190">
        <f t="shared" si="613"/>
        <v>0</v>
      </c>
      <c r="AC972" s="190">
        <f t="shared" si="613"/>
        <v>0</v>
      </c>
      <c r="AD972" s="190">
        <f t="shared" si="613"/>
        <v>0</v>
      </c>
      <c r="AE972" s="190">
        <f t="shared" si="613"/>
        <v>0</v>
      </c>
      <c r="AF972" s="190">
        <f t="shared" si="613"/>
        <v>0</v>
      </c>
      <c r="AG972" s="190">
        <f t="shared" si="613"/>
        <v>0</v>
      </c>
      <c r="AH972" s="190">
        <f t="shared" si="613"/>
        <v>0</v>
      </c>
      <c r="AI972" s="190">
        <f t="shared" si="613"/>
        <v>0</v>
      </c>
      <c r="AJ972" s="190">
        <f t="shared" si="613"/>
        <v>0</v>
      </c>
      <c r="AK972" s="190">
        <f t="shared" si="613"/>
        <v>0</v>
      </c>
      <c r="AL972" s="190">
        <f t="shared" si="613"/>
        <v>0</v>
      </c>
      <c r="AM972" s="190">
        <f t="shared" si="613"/>
        <v>0</v>
      </c>
      <c r="AN972" s="190">
        <f t="shared" si="613"/>
        <v>0</v>
      </c>
      <c r="AO972" s="190">
        <f t="shared" si="613"/>
        <v>0</v>
      </c>
      <c r="AP972" s="190">
        <f t="shared" si="613"/>
        <v>0</v>
      </c>
      <c r="AQ972" s="190">
        <f t="shared" si="613"/>
        <v>0</v>
      </c>
      <c r="AR972" s="190">
        <f t="shared" si="613"/>
        <v>0</v>
      </c>
      <c r="AS972" s="190">
        <f t="shared" si="613"/>
        <v>0</v>
      </c>
      <c r="AT972" s="190">
        <f t="shared" si="613"/>
        <v>0</v>
      </c>
      <c r="AU972" s="190">
        <f t="shared" si="613"/>
        <v>0</v>
      </c>
      <c r="AV972" s="190">
        <f t="shared" si="613"/>
        <v>0</v>
      </c>
      <c r="AW972" s="190">
        <f t="shared" si="613"/>
        <v>0</v>
      </c>
      <c r="AX972" s="190">
        <f t="shared" si="613"/>
        <v>0</v>
      </c>
      <c r="AY972" s="190">
        <f t="shared" si="613"/>
        <v>0</v>
      </c>
      <c r="AZ972" s="190">
        <f t="shared" si="613"/>
        <v>0</v>
      </c>
      <c r="BA972" s="190">
        <f t="shared" si="613"/>
        <v>0</v>
      </c>
      <c r="BB972" s="190">
        <f t="shared" si="613"/>
        <v>0</v>
      </c>
      <c r="BC972" s="190">
        <f t="shared" si="613"/>
        <v>0</v>
      </c>
      <c r="BD972" s="190">
        <f t="shared" si="613"/>
        <v>0</v>
      </c>
      <c r="BE972" s="190">
        <f t="shared" si="613"/>
        <v>0</v>
      </c>
      <c r="BF972" s="190">
        <f t="shared" si="613"/>
        <v>0</v>
      </c>
      <c r="BG972" s="190">
        <f t="shared" si="613"/>
        <v>0</v>
      </c>
      <c r="BH972" s="190">
        <f t="shared" si="613"/>
        <v>0</v>
      </c>
      <c r="BI972" s="190">
        <f t="shared" si="613"/>
        <v>0</v>
      </c>
      <c r="BJ972" s="191">
        <f t="shared" si="613"/>
        <v>0</v>
      </c>
    </row>
    <row r="973" spans="1:64">
      <c r="A973" s="192" t="s">
        <v>159</v>
      </c>
      <c r="B973" s="193">
        <f>SUM(C973:BJ973)</f>
        <v>433133317.58967549</v>
      </c>
      <c r="C973" s="194">
        <f>(((C926+C955)*(1-$K865))-(C965-C935))/(1+$C865)^(C923-1)</f>
        <v>29872500.51244707</v>
      </c>
      <c r="D973" s="186">
        <f>(((D926+D955)*(1-$K865))-(D965-D935))/(1+$C865)^(D923-1)</f>
        <v>30315463.420634653</v>
      </c>
      <c r="E973" s="186">
        <f t="shared" ref="E973:BJ973" si="614">(((E926+E955)*(1-$K865))-(E965-E935))/(1+$C865)^(E923-1)</f>
        <v>27471390.151581127</v>
      </c>
      <c r="F973" s="186">
        <f t="shared" si="614"/>
        <v>25389970.373477194</v>
      </c>
      <c r="G973" s="186">
        <f t="shared" si="614"/>
        <v>23465736.124124948</v>
      </c>
      <c r="H973" s="186">
        <f t="shared" si="614"/>
        <v>11436265.355546804</v>
      </c>
      <c r="I973" s="186">
        <f t="shared" si="614"/>
        <v>21708821.92931829</v>
      </c>
      <c r="J973" s="186">
        <f t="shared" si="614"/>
        <v>30455522.128492072</v>
      </c>
      <c r="K973" s="186">
        <f t="shared" si="614"/>
        <v>37841934.432226159</v>
      </c>
      <c r="L973" s="186">
        <f t="shared" si="614"/>
        <v>46605756.681338206</v>
      </c>
      <c r="M973" s="186">
        <f t="shared" si="614"/>
        <v>43276774.061242618</v>
      </c>
      <c r="N973" s="186">
        <f t="shared" si="614"/>
        <v>40185575.914010994</v>
      </c>
      <c r="O973" s="186">
        <f t="shared" si="614"/>
        <v>28134201.61700362</v>
      </c>
      <c r="P973" s="186">
        <f t="shared" si="614"/>
        <v>19523512.246904019</v>
      </c>
      <c r="Q973" s="186">
        <f t="shared" si="614"/>
        <v>11999379.513262508</v>
      </c>
      <c r="R973" s="186">
        <f t="shared" si="614"/>
        <v>5450513.1280651717</v>
      </c>
      <c r="S973" s="186">
        <f t="shared" si="614"/>
        <v>0</v>
      </c>
      <c r="T973" s="186">
        <f t="shared" si="614"/>
        <v>0</v>
      </c>
      <c r="U973" s="186">
        <f t="shared" si="614"/>
        <v>0</v>
      </c>
      <c r="V973" s="186">
        <f t="shared" si="614"/>
        <v>0</v>
      </c>
      <c r="W973" s="186">
        <f t="shared" si="614"/>
        <v>0</v>
      </c>
      <c r="X973" s="186">
        <f t="shared" si="614"/>
        <v>0</v>
      </c>
      <c r="Y973" s="186">
        <f t="shared" si="614"/>
        <v>0</v>
      </c>
      <c r="Z973" s="186">
        <f t="shared" si="614"/>
        <v>0</v>
      </c>
      <c r="AA973" s="186">
        <f t="shared" si="614"/>
        <v>0</v>
      </c>
      <c r="AB973" s="186">
        <f t="shared" si="614"/>
        <v>0</v>
      </c>
      <c r="AC973" s="186">
        <f t="shared" si="614"/>
        <v>0</v>
      </c>
      <c r="AD973" s="186">
        <f t="shared" si="614"/>
        <v>0</v>
      </c>
      <c r="AE973" s="186">
        <f t="shared" si="614"/>
        <v>0</v>
      </c>
      <c r="AF973" s="186">
        <f t="shared" si="614"/>
        <v>0</v>
      </c>
      <c r="AG973" s="186">
        <f t="shared" si="614"/>
        <v>0</v>
      </c>
      <c r="AH973" s="186">
        <f t="shared" si="614"/>
        <v>0</v>
      </c>
      <c r="AI973" s="186">
        <f t="shared" si="614"/>
        <v>0</v>
      </c>
      <c r="AJ973" s="186">
        <f t="shared" si="614"/>
        <v>0</v>
      </c>
      <c r="AK973" s="186">
        <f t="shared" si="614"/>
        <v>0</v>
      </c>
      <c r="AL973" s="186">
        <f t="shared" si="614"/>
        <v>0</v>
      </c>
      <c r="AM973" s="186">
        <f t="shared" si="614"/>
        <v>0</v>
      </c>
      <c r="AN973" s="186">
        <f t="shared" si="614"/>
        <v>0</v>
      </c>
      <c r="AO973" s="186">
        <f t="shared" si="614"/>
        <v>0</v>
      </c>
      <c r="AP973" s="186">
        <f t="shared" si="614"/>
        <v>0</v>
      </c>
      <c r="AQ973" s="186">
        <f t="shared" si="614"/>
        <v>0</v>
      </c>
      <c r="AR973" s="186">
        <f t="shared" si="614"/>
        <v>0</v>
      </c>
      <c r="AS973" s="186">
        <f t="shared" si="614"/>
        <v>0</v>
      </c>
      <c r="AT973" s="186">
        <f t="shared" si="614"/>
        <v>0</v>
      </c>
      <c r="AU973" s="186">
        <f t="shared" si="614"/>
        <v>0</v>
      </c>
      <c r="AV973" s="186">
        <f t="shared" si="614"/>
        <v>0</v>
      </c>
      <c r="AW973" s="186">
        <f t="shared" si="614"/>
        <v>0</v>
      </c>
      <c r="AX973" s="186">
        <f t="shared" si="614"/>
        <v>0</v>
      </c>
      <c r="AY973" s="186">
        <f t="shared" si="614"/>
        <v>0</v>
      </c>
      <c r="AZ973" s="186">
        <f t="shared" si="614"/>
        <v>0</v>
      </c>
      <c r="BA973" s="186">
        <f t="shared" si="614"/>
        <v>0</v>
      </c>
      <c r="BB973" s="186">
        <f t="shared" si="614"/>
        <v>0</v>
      </c>
      <c r="BC973" s="186">
        <f t="shared" si="614"/>
        <v>0</v>
      </c>
      <c r="BD973" s="186">
        <f t="shared" si="614"/>
        <v>0</v>
      </c>
      <c r="BE973" s="186">
        <f t="shared" si="614"/>
        <v>0</v>
      </c>
      <c r="BF973" s="186">
        <f t="shared" si="614"/>
        <v>0</v>
      </c>
      <c r="BG973" s="186">
        <f t="shared" si="614"/>
        <v>0</v>
      </c>
      <c r="BH973" s="186">
        <f t="shared" si="614"/>
        <v>0</v>
      </c>
      <c r="BI973" s="186">
        <f t="shared" si="614"/>
        <v>0</v>
      </c>
      <c r="BJ973" s="195">
        <f t="shared" si="614"/>
        <v>0</v>
      </c>
    </row>
    <row r="974" spans="1:64">
      <c r="A974" s="196" t="s">
        <v>160</v>
      </c>
      <c r="B974" s="197">
        <f>B973/B972</f>
        <v>404900.02684324468</v>
      </c>
      <c r="C974" s="166"/>
      <c r="D974" s="167"/>
      <c r="E974" s="167"/>
      <c r="F974" s="167"/>
      <c r="G974" s="167"/>
      <c r="H974" s="167"/>
      <c r="I974" s="167"/>
      <c r="J974" s="167"/>
      <c r="K974" s="167"/>
      <c r="L974" s="167"/>
      <c r="M974" s="167"/>
      <c r="N974" s="167"/>
      <c r="O974" s="167"/>
      <c r="P974" s="167"/>
      <c r="Q974" s="167"/>
      <c r="R974" s="167"/>
      <c r="S974" s="167"/>
      <c r="T974" s="167"/>
      <c r="U974" s="167"/>
      <c r="V974" s="167"/>
      <c r="W974" s="167"/>
      <c r="X974" s="167"/>
      <c r="Y974" s="167"/>
      <c r="Z974" s="167"/>
      <c r="AA974" s="167"/>
      <c r="AB974" s="167"/>
      <c r="AC974" s="167"/>
      <c r="AD974" s="167"/>
      <c r="AE974" s="167"/>
      <c r="AF974" s="167"/>
      <c r="AG974" s="167"/>
      <c r="AH974" s="167"/>
      <c r="AI974" s="167"/>
      <c r="AJ974" s="167"/>
      <c r="AK974" s="167"/>
      <c r="AL974" s="167"/>
      <c r="AM974" s="167"/>
      <c r="AN974" s="167"/>
      <c r="AO974" s="167"/>
      <c r="AP974" s="167"/>
      <c r="AQ974" s="167"/>
      <c r="AR974" s="167"/>
      <c r="AS974" s="167"/>
      <c r="AT974" s="167"/>
      <c r="AU974" s="167"/>
      <c r="AV974" s="167"/>
      <c r="AW974" s="167"/>
      <c r="AX974" s="167"/>
      <c r="AY974" s="167"/>
      <c r="AZ974" s="167"/>
      <c r="BA974" s="167"/>
      <c r="BB974" s="167"/>
      <c r="BC974" s="167"/>
      <c r="BD974" s="167"/>
      <c r="BE974" s="167"/>
      <c r="BF974" s="167"/>
      <c r="BG974" s="167"/>
      <c r="BH974" s="167"/>
      <c r="BI974" s="167"/>
      <c r="BJ974" s="198"/>
    </row>
    <row r="975" spans="1:64">
      <c r="A975" s="187" t="s">
        <v>158</v>
      </c>
      <c r="B975" s="188">
        <f>SUM(C975:BJ975)</f>
        <v>3200</v>
      </c>
      <c r="C975" s="189">
        <f>(C924*(1-$K865))/(1)^(C923-1)</f>
        <v>0</v>
      </c>
      <c r="D975" s="190">
        <f>(D924*(1-$K865))/(1)^(D923-1)</f>
        <v>0</v>
      </c>
      <c r="E975" s="190">
        <f t="shared" ref="E975:BJ975" si="615">(E924*(1-$K865))/(1)^(E923-1)</f>
        <v>0</v>
      </c>
      <c r="F975" s="190">
        <f t="shared" si="615"/>
        <v>0</v>
      </c>
      <c r="G975" s="190">
        <f t="shared" si="615"/>
        <v>0</v>
      </c>
      <c r="H975" s="190">
        <f t="shared" si="615"/>
        <v>89.2</v>
      </c>
      <c r="I975" s="190">
        <f t="shared" si="615"/>
        <v>178.4</v>
      </c>
      <c r="J975" s="190">
        <f t="shared" si="615"/>
        <v>267.60000000000002</v>
      </c>
      <c r="K975" s="190">
        <f t="shared" si="615"/>
        <v>356.8</v>
      </c>
      <c r="L975" s="190">
        <f t="shared" si="615"/>
        <v>472</v>
      </c>
      <c r="M975" s="190">
        <f t="shared" si="615"/>
        <v>472</v>
      </c>
      <c r="N975" s="190">
        <f t="shared" si="615"/>
        <v>472</v>
      </c>
      <c r="O975" s="190">
        <f t="shared" si="615"/>
        <v>356.8</v>
      </c>
      <c r="P975" s="190">
        <f t="shared" si="615"/>
        <v>267.60000000000002</v>
      </c>
      <c r="Q975" s="190">
        <f t="shared" si="615"/>
        <v>178.4</v>
      </c>
      <c r="R975" s="190">
        <f t="shared" si="615"/>
        <v>89.2</v>
      </c>
      <c r="S975" s="190">
        <f t="shared" si="615"/>
        <v>0</v>
      </c>
      <c r="T975" s="190">
        <f t="shared" si="615"/>
        <v>0</v>
      </c>
      <c r="U975" s="190">
        <f t="shared" si="615"/>
        <v>0</v>
      </c>
      <c r="V975" s="190">
        <f t="shared" si="615"/>
        <v>0</v>
      </c>
      <c r="W975" s="190">
        <f t="shared" si="615"/>
        <v>0</v>
      </c>
      <c r="X975" s="190">
        <f t="shared" si="615"/>
        <v>0</v>
      </c>
      <c r="Y975" s="190">
        <f t="shared" si="615"/>
        <v>0</v>
      </c>
      <c r="Z975" s="190">
        <f t="shared" si="615"/>
        <v>0</v>
      </c>
      <c r="AA975" s="190">
        <f t="shared" si="615"/>
        <v>0</v>
      </c>
      <c r="AB975" s="190">
        <f t="shared" si="615"/>
        <v>0</v>
      </c>
      <c r="AC975" s="190">
        <f t="shared" si="615"/>
        <v>0</v>
      </c>
      <c r="AD975" s="190">
        <f t="shared" si="615"/>
        <v>0</v>
      </c>
      <c r="AE975" s="190">
        <f t="shared" si="615"/>
        <v>0</v>
      </c>
      <c r="AF975" s="190">
        <f t="shared" si="615"/>
        <v>0</v>
      </c>
      <c r="AG975" s="190">
        <f t="shared" si="615"/>
        <v>0</v>
      </c>
      <c r="AH975" s="190">
        <f t="shared" si="615"/>
        <v>0</v>
      </c>
      <c r="AI975" s="190">
        <f t="shared" si="615"/>
        <v>0</v>
      </c>
      <c r="AJ975" s="190">
        <f t="shared" si="615"/>
        <v>0</v>
      </c>
      <c r="AK975" s="190">
        <f t="shared" si="615"/>
        <v>0</v>
      </c>
      <c r="AL975" s="190">
        <f t="shared" si="615"/>
        <v>0</v>
      </c>
      <c r="AM975" s="190">
        <f t="shared" si="615"/>
        <v>0</v>
      </c>
      <c r="AN975" s="190">
        <f t="shared" si="615"/>
        <v>0</v>
      </c>
      <c r="AO975" s="190">
        <f t="shared" si="615"/>
        <v>0</v>
      </c>
      <c r="AP975" s="190">
        <f t="shared" si="615"/>
        <v>0</v>
      </c>
      <c r="AQ975" s="190">
        <f t="shared" si="615"/>
        <v>0</v>
      </c>
      <c r="AR975" s="190">
        <f t="shared" si="615"/>
        <v>0</v>
      </c>
      <c r="AS975" s="190">
        <f t="shared" si="615"/>
        <v>0</v>
      </c>
      <c r="AT975" s="190">
        <f t="shared" si="615"/>
        <v>0</v>
      </c>
      <c r="AU975" s="190">
        <f t="shared" si="615"/>
        <v>0</v>
      </c>
      <c r="AV975" s="190">
        <f t="shared" si="615"/>
        <v>0</v>
      </c>
      <c r="AW975" s="190">
        <f t="shared" si="615"/>
        <v>0</v>
      </c>
      <c r="AX975" s="190">
        <f t="shared" si="615"/>
        <v>0</v>
      </c>
      <c r="AY975" s="190">
        <f t="shared" si="615"/>
        <v>0</v>
      </c>
      <c r="AZ975" s="190">
        <f t="shared" si="615"/>
        <v>0</v>
      </c>
      <c r="BA975" s="190">
        <f t="shared" si="615"/>
        <v>0</v>
      </c>
      <c r="BB975" s="190">
        <f t="shared" si="615"/>
        <v>0</v>
      </c>
      <c r="BC975" s="190">
        <f t="shared" si="615"/>
        <v>0</v>
      </c>
      <c r="BD975" s="190">
        <f t="shared" si="615"/>
        <v>0</v>
      </c>
      <c r="BE975" s="190">
        <f t="shared" si="615"/>
        <v>0</v>
      </c>
      <c r="BF975" s="190">
        <f t="shared" si="615"/>
        <v>0</v>
      </c>
      <c r="BG975" s="190">
        <f t="shared" si="615"/>
        <v>0</v>
      </c>
      <c r="BH975" s="190">
        <f t="shared" si="615"/>
        <v>0</v>
      </c>
      <c r="BI975" s="190">
        <f t="shared" si="615"/>
        <v>0</v>
      </c>
      <c r="BJ975" s="191">
        <f t="shared" si="615"/>
        <v>0</v>
      </c>
    </row>
    <row r="976" spans="1:64">
      <c r="A976" s="192" t="s">
        <v>159</v>
      </c>
      <c r="B976" s="193">
        <f>SUM(C976:BJ976)</f>
        <v>1081624468.9312863</v>
      </c>
      <c r="C976" s="194">
        <f>(((C926+C955)*(1-$K865))-(C965-C935))/(1)^(C923-1)</f>
        <v>29872500.51244707</v>
      </c>
      <c r="D976" s="186">
        <f>(((D926+D955)*(1-$K865))-(D965-D935))/(1)^(D923-1)</f>
        <v>33953319.031110816</v>
      </c>
      <c r="E976" s="186">
        <f t="shared" ref="E976:BJ976" si="616">(((E926+E955)*(1-$K865))-(E965-E935))/(1)^(E923-1)</f>
        <v>34460111.806143373</v>
      </c>
      <c r="F976" s="186">
        <f t="shared" si="616"/>
        <v>35671080.296868578</v>
      </c>
      <c r="G976" s="186">
        <f t="shared" si="616"/>
        <v>36923790.087961979</v>
      </c>
      <c r="H976" s="186">
        <f t="shared" si="616"/>
        <v>20154607.136216208</v>
      </c>
      <c r="I976" s="186">
        <f t="shared" si="616"/>
        <v>42849365.192708351</v>
      </c>
      <c r="J976" s="186">
        <f t="shared" si="616"/>
        <v>67327456.522301897</v>
      </c>
      <c r="K976" s="186">
        <f t="shared" si="616"/>
        <v>93695236.173954651</v>
      </c>
      <c r="L976" s="186">
        <f t="shared" si="616"/>
        <v>129241433.82791117</v>
      </c>
      <c r="M976" s="186">
        <f t="shared" si="616"/>
        <v>134411091.18102762</v>
      </c>
      <c r="N976" s="186">
        <f t="shared" si="616"/>
        <v>139787534.82826871</v>
      </c>
      <c r="O976" s="186">
        <f t="shared" si="616"/>
        <v>109610174.0693225</v>
      </c>
      <c r="P976" s="186">
        <f t="shared" si="616"/>
        <v>85190711.204631194</v>
      </c>
      <c r="Q976" s="186">
        <f t="shared" si="616"/>
        <v>58642315.032253668</v>
      </c>
      <c r="R976" s="186">
        <f t="shared" si="616"/>
        <v>29833742.028158523</v>
      </c>
      <c r="S976" s="186">
        <f t="shared" si="616"/>
        <v>0</v>
      </c>
      <c r="T976" s="186">
        <f t="shared" si="616"/>
        <v>0</v>
      </c>
      <c r="U976" s="186">
        <f t="shared" si="616"/>
        <v>0</v>
      </c>
      <c r="V976" s="186">
        <f t="shared" si="616"/>
        <v>0</v>
      </c>
      <c r="W976" s="186">
        <f t="shared" si="616"/>
        <v>0</v>
      </c>
      <c r="X976" s="186">
        <f t="shared" si="616"/>
        <v>0</v>
      </c>
      <c r="Y976" s="186">
        <f t="shared" si="616"/>
        <v>0</v>
      </c>
      <c r="Z976" s="186">
        <f t="shared" si="616"/>
        <v>0</v>
      </c>
      <c r="AA976" s="186">
        <f t="shared" si="616"/>
        <v>0</v>
      </c>
      <c r="AB976" s="186">
        <f t="shared" si="616"/>
        <v>0</v>
      </c>
      <c r="AC976" s="186">
        <f t="shared" si="616"/>
        <v>0</v>
      </c>
      <c r="AD976" s="186">
        <f t="shared" si="616"/>
        <v>0</v>
      </c>
      <c r="AE976" s="186">
        <f t="shared" si="616"/>
        <v>0</v>
      </c>
      <c r="AF976" s="186">
        <f t="shared" si="616"/>
        <v>0</v>
      </c>
      <c r="AG976" s="186">
        <f t="shared" si="616"/>
        <v>0</v>
      </c>
      <c r="AH976" s="186">
        <f t="shared" si="616"/>
        <v>0</v>
      </c>
      <c r="AI976" s="186">
        <f t="shared" si="616"/>
        <v>0</v>
      </c>
      <c r="AJ976" s="186">
        <f t="shared" si="616"/>
        <v>0</v>
      </c>
      <c r="AK976" s="186">
        <f t="shared" si="616"/>
        <v>0</v>
      </c>
      <c r="AL976" s="186">
        <f t="shared" si="616"/>
        <v>0</v>
      </c>
      <c r="AM976" s="186">
        <f t="shared" si="616"/>
        <v>0</v>
      </c>
      <c r="AN976" s="186">
        <f t="shared" si="616"/>
        <v>0</v>
      </c>
      <c r="AO976" s="186">
        <f t="shared" si="616"/>
        <v>0</v>
      </c>
      <c r="AP976" s="186">
        <f t="shared" si="616"/>
        <v>0</v>
      </c>
      <c r="AQ976" s="186">
        <f t="shared" si="616"/>
        <v>0</v>
      </c>
      <c r="AR976" s="186">
        <f t="shared" si="616"/>
        <v>0</v>
      </c>
      <c r="AS976" s="186">
        <f t="shared" si="616"/>
        <v>0</v>
      </c>
      <c r="AT976" s="186">
        <f t="shared" si="616"/>
        <v>0</v>
      </c>
      <c r="AU976" s="186">
        <f t="shared" si="616"/>
        <v>0</v>
      </c>
      <c r="AV976" s="186">
        <f t="shared" si="616"/>
        <v>0</v>
      </c>
      <c r="AW976" s="186">
        <f t="shared" si="616"/>
        <v>0</v>
      </c>
      <c r="AX976" s="186">
        <f t="shared" si="616"/>
        <v>0</v>
      </c>
      <c r="AY976" s="186">
        <f t="shared" si="616"/>
        <v>0</v>
      </c>
      <c r="AZ976" s="186">
        <f t="shared" si="616"/>
        <v>0</v>
      </c>
      <c r="BA976" s="186">
        <f t="shared" si="616"/>
        <v>0</v>
      </c>
      <c r="BB976" s="186">
        <f t="shared" si="616"/>
        <v>0</v>
      </c>
      <c r="BC976" s="186">
        <f t="shared" si="616"/>
        <v>0</v>
      </c>
      <c r="BD976" s="186">
        <f t="shared" si="616"/>
        <v>0</v>
      </c>
      <c r="BE976" s="186">
        <f t="shared" si="616"/>
        <v>0</v>
      </c>
      <c r="BF976" s="186">
        <f t="shared" si="616"/>
        <v>0</v>
      </c>
      <c r="BG976" s="186">
        <f t="shared" si="616"/>
        <v>0</v>
      </c>
      <c r="BH976" s="186">
        <f t="shared" si="616"/>
        <v>0</v>
      </c>
      <c r="BI976" s="186">
        <f t="shared" si="616"/>
        <v>0</v>
      </c>
      <c r="BJ976" s="195">
        <f t="shared" si="616"/>
        <v>0</v>
      </c>
      <c r="BK976" s="186"/>
    </row>
    <row r="977" spans="1:67">
      <c r="A977" s="196" t="s">
        <v>161</v>
      </c>
      <c r="B977" s="197">
        <f>B976/B975</f>
        <v>338007.646541027</v>
      </c>
      <c r="C977" s="166"/>
      <c r="D977" s="167"/>
      <c r="E977" s="167"/>
      <c r="F977" s="167"/>
      <c r="G977" s="167"/>
      <c r="H977" s="167"/>
      <c r="I977" s="167"/>
      <c r="J977" s="167"/>
      <c r="K977" s="167"/>
      <c r="L977" s="167"/>
      <c r="M977" s="167"/>
      <c r="N977" s="167"/>
      <c r="O977" s="167"/>
      <c r="P977" s="167"/>
      <c r="Q977" s="167"/>
      <c r="R977" s="167"/>
      <c r="S977" s="167"/>
      <c r="T977" s="167"/>
      <c r="U977" s="167"/>
      <c r="V977" s="167"/>
      <c r="W977" s="167"/>
      <c r="X977" s="167"/>
      <c r="Y977" s="167"/>
      <c r="Z977" s="167"/>
      <c r="AA977" s="167"/>
      <c r="AB977" s="167"/>
      <c r="AC977" s="167"/>
      <c r="AD977" s="167"/>
      <c r="AE977" s="167"/>
      <c r="AF977" s="167"/>
      <c r="AG977" s="167"/>
      <c r="AH977" s="167"/>
      <c r="AI977" s="167"/>
      <c r="AJ977" s="167"/>
      <c r="AK977" s="167"/>
      <c r="AL977" s="167"/>
      <c r="AM977" s="167"/>
      <c r="AN977" s="167"/>
      <c r="AO977" s="167"/>
      <c r="AP977" s="167"/>
      <c r="AQ977" s="167"/>
      <c r="AR977" s="167"/>
      <c r="AS977" s="167"/>
      <c r="AT977" s="167"/>
      <c r="AU977" s="167"/>
      <c r="AV977" s="167"/>
      <c r="AW977" s="167"/>
      <c r="AX977" s="167"/>
      <c r="AY977" s="167"/>
      <c r="AZ977" s="167"/>
      <c r="BA977" s="167"/>
      <c r="BB977" s="167"/>
      <c r="BC977" s="167"/>
      <c r="BD977" s="167"/>
      <c r="BE977" s="167"/>
      <c r="BF977" s="167"/>
      <c r="BG977" s="167"/>
      <c r="BH977" s="167"/>
      <c r="BI977" s="167"/>
      <c r="BJ977" s="198"/>
    </row>
    <row r="978" spans="1:67">
      <c r="A978" s="216" t="s">
        <v>164</v>
      </c>
      <c r="B978" s="235">
        <v>8</v>
      </c>
      <c r="C978" s="218"/>
      <c r="D978" s="186"/>
      <c r="E978" s="186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86"/>
      <c r="AD978" s="186"/>
      <c r="AE978" s="186"/>
      <c r="AF978" s="186"/>
      <c r="AG978" s="186"/>
      <c r="AH978" s="186"/>
      <c r="AI978" s="186"/>
      <c r="AJ978" s="186"/>
      <c r="AK978" s="186"/>
      <c r="AL978" s="186"/>
      <c r="AM978" s="186"/>
      <c r="AN978" s="186"/>
      <c r="AO978" s="186"/>
      <c r="AP978" s="186"/>
      <c r="AQ978" s="186"/>
      <c r="AR978" s="186"/>
      <c r="AS978" s="186"/>
      <c r="AT978" s="186"/>
      <c r="AU978" s="186"/>
      <c r="AV978" s="186"/>
      <c r="AW978" s="186"/>
      <c r="AX978" s="186"/>
      <c r="AY978" s="186"/>
      <c r="AZ978" s="186"/>
      <c r="BA978" s="186"/>
      <c r="BB978" s="186"/>
      <c r="BC978" s="186"/>
      <c r="BD978" s="186"/>
      <c r="BE978" s="186"/>
      <c r="BF978" s="186"/>
      <c r="BG978" s="186"/>
      <c r="BH978" s="186"/>
      <c r="BI978" s="186"/>
      <c r="BJ978" s="186"/>
    </row>
    <row r="981" spans="1:67" ht="28.5">
      <c r="A981" s="84">
        <v>9</v>
      </c>
      <c r="B981" s="85" t="s">
        <v>147</v>
      </c>
      <c r="C981" s="86">
        <v>0.12</v>
      </c>
      <c r="D981" s="85" t="s">
        <v>148</v>
      </c>
      <c r="E981" s="86">
        <v>0.25</v>
      </c>
      <c r="F981" s="85" t="s">
        <v>149</v>
      </c>
      <c r="G981" s="86">
        <v>0.04</v>
      </c>
      <c r="H981" s="85" t="s">
        <v>150</v>
      </c>
      <c r="I981" s="87">
        <v>0.1</v>
      </c>
      <c r="J981" s="85" t="s">
        <v>151</v>
      </c>
      <c r="K981" s="86">
        <v>0.3</v>
      </c>
      <c r="L981" s="85" t="s">
        <v>152</v>
      </c>
      <c r="M981" s="87">
        <v>0.26</v>
      </c>
      <c r="N981" s="85" t="s">
        <v>153</v>
      </c>
      <c r="O981" s="88">
        <v>30</v>
      </c>
    </row>
    <row r="982" spans="1:67" s="94" customFormat="1">
      <c r="A982" s="90" t="s">
        <v>154</v>
      </c>
      <c r="B982" s="91" t="s">
        <v>155</v>
      </c>
      <c r="C982" s="91">
        <v>1</v>
      </c>
      <c r="D982" s="92">
        <v>2</v>
      </c>
      <c r="E982" s="92">
        <v>3</v>
      </c>
      <c r="F982" s="92">
        <v>4</v>
      </c>
      <c r="G982" s="92">
        <v>5</v>
      </c>
      <c r="H982" s="92">
        <v>6</v>
      </c>
      <c r="I982" s="92">
        <v>7</v>
      </c>
      <c r="J982" s="92">
        <v>8</v>
      </c>
      <c r="K982" s="92">
        <v>9</v>
      </c>
      <c r="L982" s="92">
        <v>10</v>
      </c>
      <c r="M982" s="92">
        <v>11</v>
      </c>
      <c r="N982" s="92">
        <v>12</v>
      </c>
      <c r="O982" s="92">
        <v>13</v>
      </c>
      <c r="P982" s="92">
        <v>14</v>
      </c>
      <c r="Q982" s="92">
        <v>15</v>
      </c>
      <c r="R982" s="92">
        <v>16</v>
      </c>
      <c r="S982" s="92">
        <v>17</v>
      </c>
      <c r="T982" s="92">
        <v>18</v>
      </c>
      <c r="U982" s="92">
        <v>19</v>
      </c>
      <c r="V982" s="92">
        <v>20</v>
      </c>
      <c r="W982" s="92">
        <v>21</v>
      </c>
      <c r="X982" s="92">
        <v>22</v>
      </c>
      <c r="Y982" s="92">
        <v>23</v>
      </c>
      <c r="Z982" s="92">
        <v>24</v>
      </c>
      <c r="AA982" s="92">
        <v>25</v>
      </c>
      <c r="AB982" s="92">
        <v>26</v>
      </c>
      <c r="AC982" s="92">
        <v>27</v>
      </c>
      <c r="AD982" s="92">
        <v>28</v>
      </c>
      <c r="AE982" s="92">
        <v>29</v>
      </c>
      <c r="AF982" s="92">
        <v>30</v>
      </c>
      <c r="AG982" s="92">
        <v>31</v>
      </c>
      <c r="AH982" s="92">
        <v>32</v>
      </c>
      <c r="AI982" s="92">
        <v>33</v>
      </c>
      <c r="AJ982" s="92">
        <v>34</v>
      </c>
      <c r="AK982" s="92">
        <v>35</v>
      </c>
      <c r="AL982" s="92">
        <v>36</v>
      </c>
      <c r="AM982" s="92">
        <v>37</v>
      </c>
      <c r="AN982" s="92">
        <v>38</v>
      </c>
      <c r="AO982" s="92">
        <v>39</v>
      </c>
      <c r="AP982" s="92">
        <v>40</v>
      </c>
      <c r="AQ982" s="92">
        <v>41</v>
      </c>
      <c r="AR982" s="92">
        <v>42</v>
      </c>
      <c r="AS982" s="92">
        <v>43</v>
      </c>
      <c r="AT982" s="92">
        <v>44</v>
      </c>
      <c r="AU982" s="92">
        <v>45</v>
      </c>
      <c r="AV982" s="92">
        <v>46</v>
      </c>
      <c r="AW982" s="92">
        <v>47</v>
      </c>
      <c r="AX982" s="92">
        <v>48</v>
      </c>
      <c r="AY982" s="92">
        <v>49</v>
      </c>
      <c r="AZ982" s="92">
        <v>50</v>
      </c>
      <c r="BA982" s="92">
        <v>51</v>
      </c>
      <c r="BB982" s="92">
        <v>52</v>
      </c>
      <c r="BC982" s="92">
        <v>53</v>
      </c>
      <c r="BD982" s="92">
        <v>54</v>
      </c>
      <c r="BE982" s="92">
        <v>55</v>
      </c>
      <c r="BF982" s="92">
        <v>56</v>
      </c>
      <c r="BG982" s="92">
        <v>57</v>
      </c>
      <c r="BH982" s="92">
        <v>58</v>
      </c>
      <c r="BI982" s="92">
        <v>59</v>
      </c>
      <c r="BJ982" s="93">
        <v>60</v>
      </c>
    </row>
    <row r="983" spans="1:67" s="100" customFormat="1">
      <c r="A983" s="95" t="s">
        <v>156</v>
      </c>
      <c r="B983" s="97">
        <f>SUM(C983:BJ983)</f>
        <v>4000</v>
      </c>
      <c r="C983" s="97">
        <v>0</v>
      </c>
      <c r="D983" s="98">
        <v>0</v>
      </c>
      <c r="E983" s="98">
        <v>0</v>
      </c>
      <c r="F983" s="98">
        <v>0</v>
      </c>
      <c r="G983" s="98">
        <v>0</v>
      </c>
      <c r="H983" s="98">
        <v>68.749999999999986</v>
      </c>
      <c r="I983" s="98">
        <v>137.49999999999997</v>
      </c>
      <c r="J983" s="98">
        <v>206.24999999999997</v>
      </c>
      <c r="K983" s="98">
        <v>274.99999999999994</v>
      </c>
      <c r="L983" s="98">
        <v>375</v>
      </c>
      <c r="M983" s="98">
        <v>375</v>
      </c>
      <c r="N983" s="98">
        <v>375</v>
      </c>
      <c r="O983" s="98">
        <v>375</v>
      </c>
      <c r="P983" s="98">
        <v>375</v>
      </c>
      <c r="Q983" s="98">
        <v>375</v>
      </c>
      <c r="R983" s="98">
        <v>375</v>
      </c>
      <c r="S983" s="98">
        <v>274.99999999999994</v>
      </c>
      <c r="T983" s="98">
        <v>206.24999999999997</v>
      </c>
      <c r="U983" s="98">
        <v>137.49999999999997</v>
      </c>
      <c r="V983" s="98">
        <v>68.749999999999986</v>
      </c>
      <c r="W983" s="98">
        <v>0</v>
      </c>
      <c r="X983" s="98">
        <v>0</v>
      </c>
      <c r="Y983" s="98">
        <v>0</v>
      </c>
      <c r="Z983" s="98">
        <v>0</v>
      </c>
      <c r="AA983" s="98">
        <v>0</v>
      </c>
      <c r="AB983" s="98">
        <v>0</v>
      </c>
      <c r="AC983" s="98">
        <v>0</v>
      </c>
      <c r="AD983" s="98">
        <v>0</v>
      </c>
      <c r="AE983" s="98">
        <v>0</v>
      </c>
      <c r="AF983" s="98">
        <v>0</v>
      </c>
      <c r="AG983" s="98">
        <v>0</v>
      </c>
      <c r="AH983" s="98">
        <v>0</v>
      </c>
      <c r="AI983" s="98">
        <v>0</v>
      </c>
      <c r="AJ983" s="98">
        <v>0</v>
      </c>
      <c r="AK983" s="98">
        <v>0</v>
      </c>
      <c r="AL983" s="98">
        <v>0</v>
      </c>
      <c r="AM983" s="98">
        <v>0</v>
      </c>
      <c r="AN983" s="98">
        <v>0</v>
      </c>
      <c r="AO983" s="98">
        <v>0</v>
      </c>
      <c r="AP983" s="98">
        <v>0</v>
      </c>
      <c r="AQ983" s="98">
        <v>0</v>
      </c>
      <c r="AR983" s="98">
        <v>0</v>
      </c>
      <c r="AS983" s="98">
        <v>0</v>
      </c>
      <c r="AT983" s="98">
        <v>0</v>
      </c>
      <c r="AU983" s="98">
        <v>0</v>
      </c>
      <c r="AV983" s="98">
        <v>0</v>
      </c>
      <c r="AW983" s="98">
        <v>0</v>
      </c>
      <c r="AX983" s="98">
        <v>0</v>
      </c>
      <c r="AY983" s="98">
        <v>0</v>
      </c>
      <c r="AZ983" s="98">
        <v>0</v>
      </c>
      <c r="BA983" s="98">
        <v>0</v>
      </c>
      <c r="BB983" s="98">
        <v>0</v>
      </c>
      <c r="BC983" s="98">
        <v>0</v>
      </c>
      <c r="BD983" s="98">
        <v>0</v>
      </c>
      <c r="BE983" s="98">
        <v>0</v>
      </c>
      <c r="BF983" s="98">
        <v>0</v>
      </c>
      <c r="BG983" s="98">
        <v>0</v>
      </c>
      <c r="BH983" s="98">
        <v>0</v>
      </c>
      <c r="BI983" s="98">
        <v>0</v>
      </c>
      <c r="BJ983" s="99">
        <v>0</v>
      </c>
    </row>
    <row r="984" spans="1:67" s="105" customFormat="1">
      <c r="A984" s="101" t="s">
        <v>115</v>
      </c>
      <c r="B984" s="102">
        <f>SUM(C984:BJ984)</f>
        <v>4523264183.8781824</v>
      </c>
      <c r="C984" s="222">
        <f>(C992*(1+$E981))+(C983*$B1090)+(C983*$B1090*$M981)</f>
        <v>17398909.704628356</v>
      </c>
      <c r="D984" s="103">
        <f>(D992*(1+$E981))+(D983*$B1090)+(D983*$B1090*$M981)</f>
        <v>17398909.704628356</v>
      </c>
      <c r="E984" s="103">
        <f t="shared" ref="E984:BJ984" si="617">(E992*(1+$E981))+(E983*$B1090)+(E983*$B1090*$M981)</f>
        <v>17398909.704628356</v>
      </c>
      <c r="F984" s="103">
        <f t="shared" si="617"/>
        <v>17398909.704628356</v>
      </c>
      <c r="G984" s="103">
        <f t="shared" si="617"/>
        <v>17398909.704628356</v>
      </c>
      <c r="H984" s="103">
        <f t="shared" si="617"/>
        <v>76248384.357664749</v>
      </c>
      <c r="I984" s="103">
        <f t="shared" si="617"/>
        <v>152496768.7153295</v>
      </c>
      <c r="J984" s="103">
        <f t="shared" si="617"/>
        <v>228745153.07299426</v>
      </c>
      <c r="K984" s="103">
        <f t="shared" si="617"/>
        <v>304993537.430659</v>
      </c>
      <c r="L984" s="103">
        <f t="shared" si="617"/>
        <v>415900278.31453508</v>
      </c>
      <c r="M984" s="103">
        <f t="shared" si="617"/>
        <v>415900278.31453508</v>
      </c>
      <c r="N984" s="103">
        <f t="shared" si="617"/>
        <v>415900278.31453508</v>
      </c>
      <c r="O984" s="103">
        <f t="shared" si="617"/>
        <v>415900278.31453508</v>
      </c>
      <c r="P984" s="103">
        <f t="shared" si="617"/>
        <v>415900278.31453508</v>
      </c>
      <c r="Q984" s="103">
        <f t="shared" si="617"/>
        <v>415900278.31453508</v>
      </c>
      <c r="R984" s="103">
        <f t="shared" si="617"/>
        <v>415900278.31453508</v>
      </c>
      <c r="S984" s="103">
        <f t="shared" si="617"/>
        <v>304993537.430659</v>
      </c>
      <c r="T984" s="103">
        <f t="shared" si="617"/>
        <v>228745153.07299426</v>
      </c>
      <c r="U984" s="103">
        <f t="shared" si="617"/>
        <v>152496768.7153295</v>
      </c>
      <c r="V984" s="103">
        <f t="shared" si="617"/>
        <v>76248384.357664749</v>
      </c>
      <c r="W984" s="103">
        <f t="shared" si="617"/>
        <v>0</v>
      </c>
      <c r="X984" s="103">
        <f t="shared" si="617"/>
        <v>0</v>
      </c>
      <c r="Y984" s="103">
        <f t="shared" si="617"/>
        <v>0</v>
      </c>
      <c r="Z984" s="103">
        <f t="shared" si="617"/>
        <v>0</v>
      </c>
      <c r="AA984" s="103">
        <f t="shared" si="617"/>
        <v>0</v>
      </c>
      <c r="AB984" s="103">
        <f t="shared" si="617"/>
        <v>0</v>
      </c>
      <c r="AC984" s="103">
        <f t="shared" si="617"/>
        <v>0</v>
      </c>
      <c r="AD984" s="103">
        <f t="shared" si="617"/>
        <v>0</v>
      </c>
      <c r="AE984" s="103">
        <f t="shared" si="617"/>
        <v>0</v>
      </c>
      <c r="AF984" s="103">
        <f t="shared" si="617"/>
        <v>0</v>
      </c>
      <c r="AG984" s="103">
        <f t="shared" si="617"/>
        <v>0</v>
      </c>
      <c r="AH984" s="103">
        <f t="shared" si="617"/>
        <v>0</v>
      </c>
      <c r="AI984" s="103">
        <f t="shared" si="617"/>
        <v>0</v>
      </c>
      <c r="AJ984" s="103">
        <f t="shared" si="617"/>
        <v>0</v>
      </c>
      <c r="AK984" s="103">
        <f t="shared" si="617"/>
        <v>0</v>
      </c>
      <c r="AL984" s="103">
        <f t="shared" si="617"/>
        <v>0</v>
      </c>
      <c r="AM984" s="103">
        <f t="shared" si="617"/>
        <v>0</v>
      </c>
      <c r="AN984" s="103">
        <f t="shared" si="617"/>
        <v>0</v>
      </c>
      <c r="AO984" s="103">
        <f t="shared" si="617"/>
        <v>0</v>
      </c>
      <c r="AP984" s="103">
        <f t="shared" si="617"/>
        <v>0</v>
      </c>
      <c r="AQ984" s="103">
        <f t="shared" si="617"/>
        <v>0</v>
      </c>
      <c r="AR984" s="103">
        <f t="shared" si="617"/>
        <v>0</v>
      </c>
      <c r="AS984" s="103">
        <f t="shared" si="617"/>
        <v>0</v>
      </c>
      <c r="AT984" s="103">
        <f t="shared" si="617"/>
        <v>0</v>
      </c>
      <c r="AU984" s="103">
        <f t="shared" si="617"/>
        <v>0</v>
      </c>
      <c r="AV984" s="103">
        <f t="shared" si="617"/>
        <v>0</v>
      </c>
      <c r="AW984" s="103">
        <f t="shared" si="617"/>
        <v>0</v>
      </c>
      <c r="AX984" s="103">
        <f t="shared" si="617"/>
        <v>0</v>
      </c>
      <c r="AY984" s="103">
        <f t="shared" si="617"/>
        <v>0</v>
      </c>
      <c r="AZ984" s="103">
        <f t="shared" si="617"/>
        <v>0</v>
      </c>
      <c r="BA984" s="103">
        <f t="shared" si="617"/>
        <v>0</v>
      </c>
      <c r="BB984" s="103">
        <f t="shared" si="617"/>
        <v>0</v>
      </c>
      <c r="BC984" s="103">
        <f t="shared" si="617"/>
        <v>0</v>
      </c>
      <c r="BD984" s="103">
        <f t="shared" si="617"/>
        <v>0</v>
      </c>
      <c r="BE984" s="103">
        <f t="shared" si="617"/>
        <v>0</v>
      </c>
      <c r="BF984" s="103">
        <f t="shared" si="617"/>
        <v>0</v>
      </c>
      <c r="BG984" s="103">
        <f t="shared" si="617"/>
        <v>0</v>
      </c>
      <c r="BH984" s="103">
        <f t="shared" si="617"/>
        <v>0</v>
      </c>
      <c r="BI984" s="103">
        <f t="shared" si="617"/>
        <v>0</v>
      </c>
      <c r="BJ984" s="104">
        <f t="shared" si="617"/>
        <v>0</v>
      </c>
    </row>
    <row r="985" spans="1:67" s="105" customFormat="1">
      <c r="A985" s="106" t="s">
        <v>116</v>
      </c>
      <c r="B985" s="107">
        <f>SUM(B992,B986:B987)</f>
        <v>1434998604.7392623</v>
      </c>
      <c r="C985" s="133">
        <f>SUM(C986,C987,C992)</f>
        <v>13919127.763702685</v>
      </c>
      <c r="D985" s="134">
        <f>D986+D987+D992</f>
        <v>13919127.763702685</v>
      </c>
      <c r="E985" s="134">
        <f t="shared" ref="E985:BJ985" si="618">E986+E987+E992</f>
        <v>13919127.763702685</v>
      </c>
      <c r="F985" s="134">
        <f t="shared" si="618"/>
        <v>13919127.763702685</v>
      </c>
      <c r="G985" s="134">
        <f t="shared" si="618"/>
        <v>13919127.763702685</v>
      </c>
      <c r="H985" s="134">
        <f t="shared" si="618"/>
        <v>23467863.476762868</v>
      </c>
      <c r="I985" s="134">
        <f t="shared" si="618"/>
        <v>46935726.953525737</v>
      </c>
      <c r="J985" s="134">
        <f t="shared" si="618"/>
        <v>70403590.430288613</v>
      </c>
      <c r="K985" s="134">
        <f t="shared" si="618"/>
        <v>93871453.907051474</v>
      </c>
      <c r="L985" s="134">
        <f t="shared" si="618"/>
        <v>128006528.05507022</v>
      </c>
      <c r="M985" s="134">
        <f t="shared" si="618"/>
        <v>128006528.05507022</v>
      </c>
      <c r="N985" s="134">
        <f t="shared" si="618"/>
        <v>128006528.05507022</v>
      </c>
      <c r="O985" s="134">
        <f t="shared" si="618"/>
        <v>128006528.05507022</v>
      </c>
      <c r="P985" s="134">
        <f t="shared" si="618"/>
        <v>128006528.05507022</v>
      </c>
      <c r="Q985" s="134">
        <f t="shared" si="618"/>
        <v>128006528.05507022</v>
      </c>
      <c r="R985" s="134">
        <f t="shared" si="618"/>
        <v>128006528.05507022</v>
      </c>
      <c r="S985" s="134">
        <f t="shared" si="618"/>
        <v>93871453.907051474</v>
      </c>
      <c r="T985" s="134">
        <f t="shared" si="618"/>
        <v>70403590.430288613</v>
      </c>
      <c r="U985" s="134">
        <f t="shared" si="618"/>
        <v>46935726.953525737</v>
      </c>
      <c r="V985" s="134">
        <f t="shared" si="618"/>
        <v>23467863.476762868</v>
      </c>
      <c r="W985" s="134">
        <f t="shared" si="618"/>
        <v>0</v>
      </c>
      <c r="X985" s="134">
        <f t="shared" si="618"/>
        <v>0</v>
      </c>
      <c r="Y985" s="134">
        <f t="shared" si="618"/>
        <v>0</v>
      </c>
      <c r="Z985" s="134">
        <f t="shared" si="618"/>
        <v>0</v>
      </c>
      <c r="AA985" s="134">
        <f t="shared" si="618"/>
        <v>0</v>
      </c>
      <c r="AB985" s="134">
        <f t="shared" si="618"/>
        <v>0</v>
      </c>
      <c r="AC985" s="134">
        <f t="shared" si="618"/>
        <v>0</v>
      </c>
      <c r="AD985" s="134">
        <f t="shared" si="618"/>
        <v>0</v>
      </c>
      <c r="AE985" s="134">
        <f t="shared" si="618"/>
        <v>0</v>
      </c>
      <c r="AF985" s="134">
        <f t="shared" si="618"/>
        <v>0</v>
      </c>
      <c r="AG985" s="134">
        <f t="shared" si="618"/>
        <v>0</v>
      </c>
      <c r="AH985" s="134">
        <f t="shared" si="618"/>
        <v>0</v>
      </c>
      <c r="AI985" s="134">
        <f t="shared" si="618"/>
        <v>0</v>
      </c>
      <c r="AJ985" s="134">
        <f t="shared" si="618"/>
        <v>0</v>
      </c>
      <c r="AK985" s="134">
        <f t="shared" si="618"/>
        <v>0</v>
      </c>
      <c r="AL985" s="134">
        <f t="shared" si="618"/>
        <v>0</v>
      </c>
      <c r="AM985" s="134">
        <f t="shared" si="618"/>
        <v>0</v>
      </c>
      <c r="AN985" s="134">
        <f t="shared" si="618"/>
        <v>0</v>
      </c>
      <c r="AO985" s="134">
        <f t="shared" si="618"/>
        <v>0</v>
      </c>
      <c r="AP985" s="134">
        <f t="shared" si="618"/>
        <v>0</v>
      </c>
      <c r="AQ985" s="134">
        <f t="shared" si="618"/>
        <v>0</v>
      </c>
      <c r="AR985" s="134">
        <f t="shared" si="618"/>
        <v>0</v>
      </c>
      <c r="AS985" s="134">
        <f t="shared" si="618"/>
        <v>0</v>
      </c>
      <c r="AT985" s="134">
        <f t="shared" si="618"/>
        <v>0</v>
      </c>
      <c r="AU985" s="134">
        <f t="shared" si="618"/>
        <v>0</v>
      </c>
      <c r="AV985" s="134">
        <f t="shared" si="618"/>
        <v>0</v>
      </c>
      <c r="AW985" s="134">
        <f t="shared" si="618"/>
        <v>0</v>
      </c>
      <c r="AX985" s="134">
        <f t="shared" si="618"/>
        <v>0</v>
      </c>
      <c r="AY985" s="134">
        <f t="shared" si="618"/>
        <v>0</v>
      </c>
      <c r="AZ985" s="134">
        <f t="shared" si="618"/>
        <v>0</v>
      </c>
      <c r="BA985" s="134">
        <f t="shared" si="618"/>
        <v>0</v>
      </c>
      <c r="BB985" s="134">
        <f t="shared" si="618"/>
        <v>0</v>
      </c>
      <c r="BC985" s="134">
        <f t="shared" si="618"/>
        <v>0</v>
      </c>
      <c r="BD985" s="134">
        <f t="shared" si="618"/>
        <v>0</v>
      </c>
      <c r="BE985" s="134">
        <f t="shared" si="618"/>
        <v>0</v>
      </c>
      <c r="BF985" s="134">
        <f t="shared" si="618"/>
        <v>0</v>
      </c>
      <c r="BG985" s="134">
        <f t="shared" si="618"/>
        <v>0</v>
      </c>
      <c r="BH985" s="134">
        <f t="shared" si="618"/>
        <v>0</v>
      </c>
      <c r="BI985" s="134">
        <f t="shared" si="618"/>
        <v>0</v>
      </c>
      <c r="BJ985" s="135">
        <f t="shared" si="618"/>
        <v>0</v>
      </c>
    </row>
    <row r="986" spans="1:67" s="116" customFormat="1">
      <c r="A986" s="111" t="s">
        <v>117</v>
      </c>
      <c r="B986" s="112">
        <f>SUM(C986:BJ986)</f>
        <v>1073915629.4890933</v>
      </c>
      <c r="C986" s="223">
        <v>0</v>
      </c>
      <c r="D986" s="118">
        <v>0</v>
      </c>
      <c r="E986" s="118">
        <v>0</v>
      </c>
      <c r="F986" s="118">
        <v>0</v>
      </c>
      <c r="G986" s="118">
        <v>0</v>
      </c>
      <c r="H986" s="118">
        <v>18457924.881843787</v>
      </c>
      <c r="I986" s="118">
        <v>36915849.763687573</v>
      </c>
      <c r="J986" s="118">
        <v>55373774.645531364</v>
      </c>
      <c r="K986" s="118">
        <v>73831699.527375147</v>
      </c>
      <c r="L986" s="118">
        <v>100679590.2646025</v>
      </c>
      <c r="M986" s="118">
        <v>100679590.2646025</v>
      </c>
      <c r="N986" s="118">
        <v>100679590.2646025</v>
      </c>
      <c r="O986" s="118">
        <v>100679590.2646025</v>
      </c>
      <c r="P986" s="118">
        <v>100679590.2646025</v>
      </c>
      <c r="Q986" s="118">
        <v>100679590.2646025</v>
      </c>
      <c r="R986" s="118">
        <v>100679590.2646025</v>
      </c>
      <c r="S986" s="118">
        <v>73831699.527375147</v>
      </c>
      <c r="T986" s="118">
        <v>55373774.645531364</v>
      </c>
      <c r="U986" s="118">
        <v>36915849.763687573</v>
      </c>
      <c r="V986" s="118">
        <v>18457924.881843787</v>
      </c>
      <c r="W986" s="118">
        <v>0</v>
      </c>
      <c r="X986" s="118">
        <v>0</v>
      </c>
      <c r="Y986" s="118">
        <v>0</v>
      </c>
      <c r="Z986" s="118">
        <v>0</v>
      </c>
      <c r="AA986" s="118">
        <v>0</v>
      </c>
      <c r="AB986" s="118">
        <v>0</v>
      </c>
      <c r="AC986" s="118">
        <v>0</v>
      </c>
      <c r="AD986" s="118">
        <v>0</v>
      </c>
      <c r="AE986" s="118">
        <v>0</v>
      </c>
      <c r="AF986" s="118">
        <v>0</v>
      </c>
      <c r="AG986" s="118">
        <v>0</v>
      </c>
      <c r="AH986" s="118">
        <v>0</v>
      </c>
      <c r="AI986" s="118">
        <v>0</v>
      </c>
      <c r="AJ986" s="118">
        <v>0</v>
      </c>
      <c r="AK986" s="118">
        <v>0</v>
      </c>
      <c r="AL986" s="118">
        <v>0</v>
      </c>
      <c r="AM986" s="118">
        <v>0</v>
      </c>
      <c r="AN986" s="118">
        <v>0</v>
      </c>
      <c r="AO986" s="118">
        <v>0</v>
      </c>
      <c r="AP986" s="118">
        <v>0</v>
      </c>
      <c r="AQ986" s="118">
        <v>0</v>
      </c>
      <c r="AR986" s="118">
        <v>0</v>
      </c>
      <c r="AS986" s="118">
        <v>0</v>
      </c>
      <c r="AT986" s="118">
        <v>0</v>
      </c>
      <c r="AU986" s="118">
        <v>0</v>
      </c>
      <c r="AV986" s="118">
        <v>0</v>
      </c>
      <c r="AW986" s="118">
        <v>0</v>
      </c>
      <c r="AX986" s="118">
        <v>0</v>
      </c>
      <c r="AY986" s="118">
        <v>0</v>
      </c>
      <c r="AZ986" s="118">
        <v>0</v>
      </c>
      <c r="BA986" s="118">
        <v>0</v>
      </c>
      <c r="BB986" s="118">
        <v>0</v>
      </c>
      <c r="BC986" s="118">
        <v>0</v>
      </c>
      <c r="BD986" s="118">
        <v>0</v>
      </c>
      <c r="BE986" s="118">
        <v>0</v>
      </c>
      <c r="BF986" s="118">
        <v>0</v>
      </c>
      <c r="BG986" s="118">
        <v>0</v>
      </c>
      <c r="BH986" s="118">
        <v>0</v>
      </c>
      <c r="BI986" s="118">
        <v>0</v>
      </c>
      <c r="BJ986" s="119">
        <v>0</v>
      </c>
    </row>
    <row r="987" spans="1:67" s="116" customFormat="1">
      <c r="A987" s="111" t="s">
        <v>118</v>
      </c>
      <c r="B987" s="112">
        <f>SUM(B988:B991)</f>
        <v>291487336.43165559</v>
      </c>
      <c r="C987" s="117">
        <f>SUM(C988:C991)</f>
        <v>0</v>
      </c>
      <c r="D987" s="118">
        <f>SUM(D988:D991)</f>
        <v>0</v>
      </c>
      <c r="E987" s="118">
        <f t="shared" ref="E987:BJ987" si="619">SUM(E988:E991)</f>
        <v>0</v>
      </c>
      <c r="F987" s="118">
        <f t="shared" si="619"/>
        <v>0</v>
      </c>
      <c r="G987" s="118">
        <f t="shared" si="619"/>
        <v>0</v>
      </c>
      <c r="H987" s="118">
        <f t="shared" si="619"/>
        <v>5009938.5949190799</v>
      </c>
      <c r="I987" s="118">
        <f t="shared" si="619"/>
        <v>10019877.18983816</v>
      </c>
      <c r="J987" s="118">
        <f t="shared" si="619"/>
        <v>15029815.784757242</v>
      </c>
      <c r="K987" s="118">
        <f t="shared" si="619"/>
        <v>20039754.37967632</v>
      </c>
      <c r="L987" s="118">
        <f t="shared" si="619"/>
        <v>27326937.790467717</v>
      </c>
      <c r="M987" s="118">
        <f t="shared" si="619"/>
        <v>27326937.790467717</v>
      </c>
      <c r="N987" s="118">
        <f t="shared" si="619"/>
        <v>27326937.790467717</v>
      </c>
      <c r="O987" s="118">
        <f t="shared" si="619"/>
        <v>27326937.790467717</v>
      </c>
      <c r="P987" s="118">
        <f t="shared" si="619"/>
        <v>27326937.790467717</v>
      </c>
      <c r="Q987" s="118">
        <f t="shared" si="619"/>
        <v>27326937.790467717</v>
      </c>
      <c r="R987" s="118">
        <f t="shared" si="619"/>
        <v>27326937.790467717</v>
      </c>
      <c r="S987" s="118">
        <f t="shared" si="619"/>
        <v>20039754.37967632</v>
      </c>
      <c r="T987" s="118">
        <f t="shared" si="619"/>
        <v>15029815.784757242</v>
      </c>
      <c r="U987" s="118">
        <f t="shared" si="619"/>
        <v>10019877.18983816</v>
      </c>
      <c r="V987" s="118">
        <f t="shared" si="619"/>
        <v>5009938.5949190799</v>
      </c>
      <c r="W987" s="118">
        <f t="shared" si="619"/>
        <v>0</v>
      </c>
      <c r="X987" s="118">
        <f t="shared" si="619"/>
        <v>0</v>
      </c>
      <c r="Y987" s="118">
        <f t="shared" si="619"/>
        <v>0</v>
      </c>
      <c r="Z987" s="118">
        <f t="shared" si="619"/>
        <v>0</v>
      </c>
      <c r="AA987" s="118">
        <f t="shared" si="619"/>
        <v>0</v>
      </c>
      <c r="AB987" s="118">
        <f t="shared" si="619"/>
        <v>0</v>
      </c>
      <c r="AC987" s="118">
        <f t="shared" si="619"/>
        <v>0</v>
      </c>
      <c r="AD987" s="118">
        <f t="shared" si="619"/>
        <v>0</v>
      </c>
      <c r="AE987" s="118">
        <f t="shared" si="619"/>
        <v>0</v>
      </c>
      <c r="AF987" s="118">
        <f t="shared" si="619"/>
        <v>0</v>
      </c>
      <c r="AG987" s="118">
        <f t="shared" si="619"/>
        <v>0</v>
      </c>
      <c r="AH987" s="118">
        <f t="shared" si="619"/>
        <v>0</v>
      </c>
      <c r="AI987" s="118">
        <f t="shared" si="619"/>
        <v>0</v>
      </c>
      <c r="AJ987" s="118">
        <f t="shared" si="619"/>
        <v>0</v>
      </c>
      <c r="AK987" s="118">
        <f t="shared" si="619"/>
        <v>0</v>
      </c>
      <c r="AL987" s="118">
        <f t="shared" si="619"/>
        <v>0</v>
      </c>
      <c r="AM987" s="118">
        <f t="shared" si="619"/>
        <v>0</v>
      </c>
      <c r="AN987" s="118">
        <f t="shared" si="619"/>
        <v>0</v>
      </c>
      <c r="AO987" s="118">
        <f t="shared" si="619"/>
        <v>0</v>
      </c>
      <c r="AP987" s="118">
        <f t="shared" si="619"/>
        <v>0</v>
      </c>
      <c r="AQ987" s="118">
        <f t="shared" si="619"/>
        <v>0</v>
      </c>
      <c r="AR987" s="118">
        <f t="shared" si="619"/>
        <v>0</v>
      </c>
      <c r="AS987" s="118">
        <f t="shared" si="619"/>
        <v>0</v>
      </c>
      <c r="AT987" s="118">
        <f t="shared" si="619"/>
        <v>0</v>
      </c>
      <c r="AU987" s="118">
        <f t="shared" si="619"/>
        <v>0</v>
      </c>
      <c r="AV987" s="118">
        <f t="shared" si="619"/>
        <v>0</v>
      </c>
      <c r="AW987" s="118">
        <f t="shared" si="619"/>
        <v>0</v>
      </c>
      <c r="AX987" s="118">
        <f t="shared" si="619"/>
        <v>0</v>
      </c>
      <c r="AY987" s="118">
        <f t="shared" si="619"/>
        <v>0</v>
      </c>
      <c r="AZ987" s="118">
        <f t="shared" si="619"/>
        <v>0</v>
      </c>
      <c r="BA987" s="118">
        <f t="shared" si="619"/>
        <v>0</v>
      </c>
      <c r="BB987" s="118">
        <f t="shared" si="619"/>
        <v>0</v>
      </c>
      <c r="BC987" s="118">
        <f t="shared" si="619"/>
        <v>0</v>
      </c>
      <c r="BD987" s="118">
        <f t="shared" si="619"/>
        <v>0</v>
      </c>
      <c r="BE987" s="118">
        <f t="shared" si="619"/>
        <v>0</v>
      </c>
      <c r="BF987" s="118">
        <f t="shared" si="619"/>
        <v>0</v>
      </c>
      <c r="BG987" s="118">
        <f t="shared" si="619"/>
        <v>0</v>
      </c>
      <c r="BH987" s="118">
        <f t="shared" si="619"/>
        <v>0</v>
      </c>
      <c r="BI987" s="118">
        <f t="shared" si="619"/>
        <v>0</v>
      </c>
      <c r="BJ987" s="119">
        <f t="shared" si="619"/>
        <v>0</v>
      </c>
    </row>
    <row r="988" spans="1:67" s="125" customFormat="1" ht="12.75">
      <c r="A988" s="120" t="s">
        <v>119</v>
      </c>
      <c r="B988" s="121">
        <f t="shared" ref="B988:B993" si="620">SUM(C988:BJ988)</f>
        <v>127620633.66750881</v>
      </c>
      <c r="C988" s="224">
        <v>0</v>
      </c>
      <c r="D988" s="123">
        <v>0</v>
      </c>
      <c r="E988" s="123">
        <v>0</v>
      </c>
      <c r="F988" s="123">
        <v>0</v>
      </c>
      <c r="G988" s="123">
        <v>0</v>
      </c>
      <c r="H988" s="123">
        <v>2193479.6411603075</v>
      </c>
      <c r="I988" s="123">
        <v>4386959.2823206149</v>
      </c>
      <c r="J988" s="123">
        <v>6580438.9234809233</v>
      </c>
      <c r="K988" s="123">
        <v>8773918.5646412298</v>
      </c>
      <c r="L988" s="123">
        <v>11964434.406328952</v>
      </c>
      <c r="M988" s="123">
        <v>11964434.406328952</v>
      </c>
      <c r="N988" s="123">
        <v>11964434.406328952</v>
      </c>
      <c r="O988" s="123">
        <v>11964434.406328952</v>
      </c>
      <c r="P988" s="123">
        <v>11964434.406328952</v>
      </c>
      <c r="Q988" s="123">
        <v>11964434.406328952</v>
      </c>
      <c r="R988" s="123">
        <v>11964434.406328952</v>
      </c>
      <c r="S988" s="123">
        <v>8773918.5646412298</v>
      </c>
      <c r="T988" s="123">
        <v>6580438.9234809233</v>
      </c>
      <c r="U988" s="123">
        <v>4386959.2823206149</v>
      </c>
      <c r="V988" s="123">
        <v>2193479.6411603075</v>
      </c>
      <c r="W988" s="123">
        <v>0</v>
      </c>
      <c r="X988" s="123">
        <v>0</v>
      </c>
      <c r="Y988" s="123">
        <v>0</v>
      </c>
      <c r="Z988" s="123">
        <v>0</v>
      </c>
      <c r="AA988" s="123">
        <v>0</v>
      </c>
      <c r="AB988" s="123">
        <v>0</v>
      </c>
      <c r="AC988" s="123">
        <v>0</v>
      </c>
      <c r="AD988" s="123">
        <v>0</v>
      </c>
      <c r="AE988" s="123">
        <v>0</v>
      </c>
      <c r="AF988" s="123">
        <v>0</v>
      </c>
      <c r="AG988" s="123">
        <v>0</v>
      </c>
      <c r="AH988" s="123">
        <v>0</v>
      </c>
      <c r="AI988" s="123">
        <v>0</v>
      </c>
      <c r="AJ988" s="123">
        <v>0</v>
      </c>
      <c r="AK988" s="123">
        <v>0</v>
      </c>
      <c r="AL988" s="123">
        <v>0</v>
      </c>
      <c r="AM988" s="123">
        <v>0</v>
      </c>
      <c r="AN988" s="123">
        <v>0</v>
      </c>
      <c r="AO988" s="123">
        <v>0</v>
      </c>
      <c r="AP988" s="123">
        <v>0</v>
      </c>
      <c r="AQ988" s="123">
        <v>0</v>
      </c>
      <c r="AR988" s="123">
        <v>0</v>
      </c>
      <c r="AS988" s="123">
        <v>0</v>
      </c>
      <c r="AT988" s="123">
        <v>0</v>
      </c>
      <c r="AU988" s="123">
        <v>0</v>
      </c>
      <c r="AV988" s="123">
        <v>0</v>
      </c>
      <c r="AW988" s="123">
        <v>0</v>
      </c>
      <c r="AX988" s="123">
        <v>0</v>
      </c>
      <c r="AY988" s="123">
        <v>0</v>
      </c>
      <c r="AZ988" s="123">
        <v>0</v>
      </c>
      <c r="BA988" s="123">
        <v>0</v>
      </c>
      <c r="BB988" s="123">
        <v>0</v>
      </c>
      <c r="BC988" s="123">
        <v>0</v>
      </c>
      <c r="BD988" s="123">
        <v>0</v>
      </c>
      <c r="BE988" s="123">
        <v>0</v>
      </c>
      <c r="BF988" s="123">
        <v>0</v>
      </c>
      <c r="BG988" s="123">
        <v>0</v>
      </c>
      <c r="BH988" s="123">
        <v>0</v>
      </c>
      <c r="BI988" s="123">
        <v>0</v>
      </c>
      <c r="BJ988" s="124">
        <v>0</v>
      </c>
    </row>
    <row r="989" spans="1:67" s="125" customFormat="1" ht="12.75">
      <c r="A989" s="120" t="s">
        <v>120</v>
      </c>
      <c r="B989" s="121">
        <f t="shared" si="620"/>
        <v>127989798.79252069</v>
      </c>
      <c r="C989" s="224">
        <v>0</v>
      </c>
      <c r="D989" s="123">
        <v>0</v>
      </c>
      <c r="E989" s="123">
        <v>0</v>
      </c>
      <c r="F989" s="123">
        <v>0</v>
      </c>
      <c r="G989" s="123">
        <v>0</v>
      </c>
      <c r="H989" s="123">
        <v>2199824.6667464492</v>
      </c>
      <c r="I989" s="123">
        <v>4399649.3334928984</v>
      </c>
      <c r="J989" s="123">
        <v>6599474.000239348</v>
      </c>
      <c r="K989" s="123">
        <v>8799298.6669857968</v>
      </c>
      <c r="L989" s="123">
        <v>11999043.636798816</v>
      </c>
      <c r="M989" s="123">
        <v>11999043.636798816</v>
      </c>
      <c r="N989" s="123">
        <v>11999043.636798816</v>
      </c>
      <c r="O989" s="123">
        <v>11999043.636798816</v>
      </c>
      <c r="P989" s="123">
        <v>11999043.636798816</v>
      </c>
      <c r="Q989" s="123">
        <v>11999043.636798816</v>
      </c>
      <c r="R989" s="123">
        <v>11999043.636798816</v>
      </c>
      <c r="S989" s="123">
        <v>8799298.6669857968</v>
      </c>
      <c r="T989" s="123">
        <v>6599474.000239348</v>
      </c>
      <c r="U989" s="123">
        <v>4399649.3334928984</v>
      </c>
      <c r="V989" s="123">
        <v>2199824.6667464492</v>
      </c>
      <c r="W989" s="123">
        <v>0</v>
      </c>
      <c r="X989" s="123">
        <v>0</v>
      </c>
      <c r="Y989" s="123">
        <v>0</v>
      </c>
      <c r="Z989" s="123">
        <v>0</v>
      </c>
      <c r="AA989" s="123">
        <v>0</v>
      </c>
      <c r="AB989" s="123">
        <v>0</v>
      </c>
      <c r="AC989" s="123">
        <v>0</v>
      </c>
      <c r="AD989" s="123">
        <v>0</v>
      </c>
      <c r="AE989" s="123">
        <v>0</v>
      </c>
      <c r="AF989" s="123">
        <v>0</v>
      </c>
      <c r="AG989" s="123">
        <v>0</v>
      </c>
      <c r="AH989" s="123">
        <v>0</v>
      </c>
      <c r="AI989" s="123">
        <v>0</v>
      </c>
      <c r="AJ989" s="123">
        <v>0</v>
      </c>
      <c r="AK989" s="123">
        <v>0</v>
      </c>
      <c r="AL989" s="123">
        <v>0</v>
      </c>
      <c r="AM989" s="123">
        <v>0</v>
      </c>
      <c r="AN989" s="123">
        <v>0</v>
      </c>
      <c r="AO989" s="123">
        <v>0</v>
      </c>
      <c r="AP989" s="123">
        <v>0</v>
      </c>
      <c r="AQ989" s="123">
        <v>0</v>
      </c>
      <c r="AR989" s="123">
        <v>0</v>
      </c>
      <c r="AS989" s="123">
        <v>0</v>
      </c>
      <c r="AT989" s="123">
        <v>0</v>
      </c>
      <c r="AU989" s="123">
        <v>0</v>
      </c>
      <c r="AV989" s="123">
        <v>0</v>
      </c>
      <c r="AW989" s="123">
        <v>0</v>
      </c>
      <c r="AX989" s="123">
        <v>0</v>
      </c>
      <c r="AY989" s="123">
        <v>0</v>
      </c>
      <c r="AZ989" s="123">
        <v>0</v>
      </c>
      <c r="BA989" s="123">
        <v>0</v>
      </c>
      <c r="BB989" s="123">
        <v>0</v>
      </c>
      <c r="BC989" s="123">
        <v>0</v>
      </c>
      <c r="BD989" s="123">
        <v>0</v>
      </c>
      <c r="BE989" s="123">
        <v>0</v>
      </c>
      <c r="BF989" s="123">
        <v>0</v>
      </c>
      <c r="BG989" s="123">
        <v>0</v>
      </c>
      <c r="BH989" s="123">
        <v>0</v>
      </c>
      <c r="BI989" s="123">
        <v>0</v>
      </c>
      <c r="BJ989" s="124">
        <v>0</v>
      </c>
      <c r="BO989" s="126"/>
    </row>
    <row r="990" spans="1:67" s="125" customFormat="1" ht="12.75">
      <c r="A990" s="120" t="s">
        <v>121</v>
      </c>
      <c r="B990" s="121">
        <f t="shared" si="620"/>
        <v>30443266.729692619</v>
      </c>
      <c r="C990" s="224">
        <v>0</v>
      </c>
      <c r="D990" s="123">
        <v>0</v>
      </c>
      <c r="E990" s="123">
        <v>0</v>
      </c>
      <c r="F990" s="123">
        <v>0</v>
      </c>
      <c r="G990" s="123">
        <v>0</v>
      </c>
      <c r="H990" s="123">
        <v>523243.64691659197</v>
      </c>
      <c r="I990" s="123">
        <v>1046487.2938331839</v>
      </c>
      <c r="J990" s="123">
        <v>1569730.9407497761</v>
      </c>
      <c r="K990" s="123">
        <v>2092974.5876663679</v>
      </c>
      <c r="L990" s="123">
        <v>2854056.2559086839</v>
      </c>
      <c r="M990" s="123">
        <v>2854056.2559086839</v>
      </c>
      <c r="N990" s="123">
        <v>2854056.2559086839</v>
      </c>
      <c r="O990" s="123">
        <v>2854056.2559086839</v>
      </c>
      <c r="P990" s="123">
        <v>2854056.2559086839</v>
      </c>
      <c r="Q990" s="123">
        <v>2854056.2559086839</v>
      </c>
      <c r="R990" s="123">
        <v>2854056.2559086839</v>
      </c>
      <c r="S990" s="123">
        <v>2092974.5876663679</v>
      </c>
      <c r="T990" s="123">
        <v>1569730.9407497761</v>
      </c>
      <c r="U990" s="123">
        <v>1046487.2938331839</v>
      </c>
      <c r="V990" s="123">
        <v>523243.64691659197</v>
      </c>
      <c r="W990" s="123">
        <v>0</v>
      </c>
      <c r="X990" s="123">
        <v>0</v>
      </c>
      <c r="Y990" s="123">
        <v>0</v>
      </c>
      <c r="Z990" s="123">
        <v>0</v>
      </c>
      <c r="AA990" s="123">
        <v>0</v>
      </c>
      <c r="AB990" s="123">
        <v>0</v>
      </c>
      <c r="AC990" s="123">
        <v>0</v>
      </c>
      <c r="AD990" s="123">
        <v>0</v>
      </c>
      <c r="AE990" s="123">
        <v>0</v>
      </c>
      <c r="AF990" s="123">
        <v>0</v>
      </c>
      <c r="AG990" s="123">
        <v>0</v>
      </c>
      <c r="AH990" s="123">
        <v>0</v>
      </c>
      <c r="AI990" s="123">
        <v>0</v>
      </c>
      <c r="AJ990" s="123">
        <v>0</v>
      </c>
      <c r="AK990" s="123">
        <v>0</v>
      </c>
      <c r="AL990" s="123">
        <v>0</v>
      </c>
      <c r="AM990" s="123">
        <v>0</v>
      </c>
      <c r="AN990" s="123">
        <v>0</v>
      </c>
      <c r="AO990" s="123">
        <v>0</v>
      </c>
      <c r="AP990" s="123">
        <v>0</v>
      </c>
      <c r="AQ990" s="123">
        <v>0</v>
      </c>
      <c r="AR990" s="123">
        <v>0</v>
      </c>
      <c r="AS990" s="123">
        <v>0</v>
      </c>
      <c r="AT990" s="123">
        <v>0</v>
      </c>
      <c r="AU990" s="123">
        <v>0</v>
      </c>
      <c r="AV990" s="123">
        <v>0</v>
      </c>
      <c r="AW990" s="123">
        <v>0</v>
      </c>
      <c r="AX990" s="123">
        <v>0</v>
      </c>
      <c r="AY990" s="123">
        <v>0</v>
      </c>
      <c r="AZ990" s="123">
        <v>0</v>
      </c>
      <c r="BA990" s="123">
        <v>0</v>
      </c>
      <c r="BB990" s="123">
        <v>0</v>
      </c>
      <c r="BC990" s="123">
        <v>0</v>
      </c>
      <c r="BD990" s="123">
        <v>0</v>
      </c>
      <c r="BE990" s="123">
        <v>0</v>
      </c>
      <c r="BF990" s="123">
        <v>0</v>
      </c>
      <c r="BG990" s="123">
        <v>0</v>
      </c>
      <c r="BH990" s="123">
        <v>0</v>
      </c>
      <c r="BI990" s="123">
        <v>0</v>
      </c>
      <c r="BJ990" s="124">
        <v>0</v>
      </c>
    </row>
    <row r="991" spans="1:67" s="125" customFormat="1" ht="12.75">
      <c r="A991" s="120" t="s">
        <v>122</v>
      </c>
      <c r="B991" s="121">
        <f t="shared" si="620"/>
        <v>5433637.2419334883</v>
      </c>
      <c r="C991" s="224">
        <v>0</v>
      </c>
      <c r="D991" s="123">
        <v>0</v>
      </c>
      <c r="E991" s="123">
        <v>0</v>
      </c>
      <c r="F991" s="123">
        <v>0</v>
      </c>
      <c r="G991" s="123">
        <v>0</v>
      </c>
      <c r="H991" s="123">
        <v>93390.640095731811</v>
      </c>
      <c r="I991" s="123">
        <v>186781.28019146362</v>
      </c>
      <c r="J991" s="123">
        <v>280171.92028719548</v>
      </c>
      <c r="K991" s="123">
        <v>373562.56038292724</v>
      </c>
      <c r="L991" s="123">
        <v>509403.49143126456</v>
      </c>
      <c r="M991" s="123">
        <v>509403.49143126456</v>
      </c>
      <c r="N991" s="123">
        <v>509403.49143126456</v>
      </c>
      <c r="O991" s="123">
        <v>509403.49143126456</v>
      </c>
      <c r="P991" s="123">
        <v>509403.49143126456</v>
      </c>
      <c r="Q991" s="123">
        <v>509403.49143126456</v>
      </c>
      <c r="R991" s="123">
        <v>509403.49143126456</v>
      </c>
      <c r="S991" s="123">
        <v>373562.56038292724</v>
      </c>
      <c r="T991" s="123">
        <v>280171.92028719548</v>
      </c>
      <c r="U991" s="123">
        <v>186781.28019146362</v>
      </c>
      <c r="V991" s="123">
        <v>93390.640095731811</v>
      </c>
      <c r="W991" s="123">
        <v>0</v>
      </c>
      <c r="X991" s="123">
        <v>0</v>
      </c>
      <c r="Y991" s="123">
        <v>0</v>
      </c>
      <c r="Z991" s="123">
        <v>0</v>
      </c>
      <c r="AA991" s="123">
        <v>0</v>
      </c>
      <c r="AB991" s="123">
        <v>0</v>
      </c>
      <c r="AC991" s="123">
        <v>0</v>
      </c>
      <c r="AD991" s="123">
        <v>0</v>
      </c>
      <c r="AE991" s="123">
        <v>0</v>
      </c>
      <c r="AF991" s="123">
        <v>0</v>
      </c>
      <c r="AG991" s="123">
        <v>0</v>
      </c>
      <c r="AH991" s="123">
        <v>0</v>
      </c>
      <c r="AI991" s="123">
        <v>0</v>
      </c>
      <c r="AJ991" s="123">
        <v>0</v>
      </c>
      <c r="AK991" s="123">
        <v>0</v>
      </c>
      <c r="AL991" s="123">
        <v>0</v>
      </c>
      <c r="AM991" s="123">
        <v>0</v>
      </c>
      <c r="AN991" s="123">
        <v>0</v>
      </c>
      <c r="AO991" s="123">
        <v>0</v>
      </c>
      <c r="AP991" s="123">
        <v>0</v>
      </c>
      <c r="AQ991" s="123">
        <v>0</v>
      </c>
      <c r="AR991" s="123">
        <v>0</v>
      </c>
      <c r="AS991" s="123">
        <v>0</v>
      </c>
      <c r="AT991" s="123">
        <v>0</v>
      </c>
      <c r="AU991" s="123">
        <v>0</v>
      </c>
      <c r="AV991" s="123">
        <v>0</v>
      </c>
      <c r="AW991" s="123">
        <v>0</v>
      </c>
      <c r="AX991" s="123">
        <v>0</v>
      </c>
      <c r="AY991" s="123">
        <v>0</v>
      </c>
      <c r="AZ991" s="123">
        <v>0</v>
      </c>
      <c r="BA991" s="123">
        <v>0</v>
      </c>
      <c r="BB991" s="123">
        <v>0</v>
      </c>
      <c r="BC991" s="123">
        <v>0</v>
      </c>
      <c r="BD991" s="123">
        <v>0</v>
      </c>
      <c r="BE991" s="123">
        <v>0</v>
      </c>
      <c r="BF991" s="123">
        <v>0</v>
      </c>
      <c r="BG991" s="123">
        <v>0</v>
      </c>
      <c r="BH991" s="123">
        <v>0</v>
      </c>
      <c r="BI991" s="123">
        <v>0</v>
      </c>
      <c r="BJ991" s="124">
        <v>0</v>
      </c>
    </row>
    <row r="992" spans="1:67" s="116" customFormat="1">
      <c r="A992" s="127" t="s">
        <v>123</v>
      </c>
      <c r="B992" s="112">
        <f t="shared" si="620"/>
        <v>69595638.818513423</v>
      </c>
      <c r="C992" s="225">
        <v>13919127.763702685</v>
      </c>
      <c r="D992" s="129">
        <f>C992</f>
        <v>13919127.763702685</v>
      </c>
      <c r="E992" s="129">
        <f>D992</f>
        <v>13919127.763702685</v>
      </c>
      <c r="F992" s="129">
        <f>E992</f>
        <v>13919127.763702685</v>
      </c>
      <c r="G992" s="129">
        <f>F992</f>
        <v>13919127.763702685</v>
      </c>
      <c r="H992" s="129"/>
      <c r="I992" s="129"/>
      <c r="J992" s="129"/>
      <c r="K992" s="129"/>
      <c r="L992" s="129"/>
      <c r="M992" s="129"/>
      <c r="N992" s="129"/>
      <c r="O992" s="129"/>
      <c r="P992" s="129"/>
      <c r="Q992" s="129"/>
      <c r="R992" s="129"/>
      <c r="S992" s="129"/>
      <c r="T992" s="129"/>
      <c r="U992" s="129"/>
      <c r="V992" s="129"/>
      <c r="W992" s="129"/>
      <c r="X992" s="129"/>
      <c r="Y992" s="129"/>
      <c r="Z992" s="129"/>
      <c r="AA992" s="129"/>
      <c r="AB992" s="129"/>
      <c r="AC992" s="129"/>
      <c r="AD992" s="129"/>
      <c r="AE992" s="129"/>
      <c r="AF992" s="129"/>
      <c r="AG992" s="129"/>
      <c r="AH992" s="129"/>
      <c r="AI992" s="129"/>
      <c r="AJ992" s="129"/>
      <c r="AK992" s="129"/>
      <c r="AL992" s="129"/>
      <c r="AM992" s="129"/>
      <c r="AN992" s="129"/>
      <c r="AO992" s="129"/>
      <c r="AP992" s="129"/>
      <c r="AQ992" s="129"/>
      <c r="AR992" s="129"/>
      <c r="AS992" s="129"/>
      <c r="AT992" s="129"/>
      <c r="AU992" s="129"/>
      <c r="AV992" s="129"/>
      <c r="AW992" s="129"/>
      <c r="AX992" s="129"/>
      <c r="AY992" s="129"/>
      <c r="AZ992" s="129"/>
      <c r="BA992" s="129"/>
      <c r="BB992" s="129"/>
      <c r="BC992" s="129"/>
      <c r="BD992" s="129"/>
      <c r="BE992" s="129"/>
      <c r="BF992" s="129"/>
      <c r="BG992" s="129"/>
      <c r="BH992" s="129"/>
      <c r="BI992" s="129"/>
      <c r="BJ992" s="130"/>
    </row>
    <row r="993" spans="1:64" s="105" customFormat="1" ht="22.5" customHeight="1">
      <c r="A993" s="131" t="s">
        <v>124</v>
      </c>
      <c r="B993" s="132">
        <f t="shared" si="620"/>
        <v>3088265579.1389194</v>
      </c>
      <c r="C993" s="102">
        <f>C984-C986-C987-C992</f>
        <v>3479781.9409256708</v>
      </c>
      <c r="D993" s="103">
        <f>D984-D986-D987-D992</f>
        <v>3479781.9409256708</v>
      </c>
      <c r="E993" s="103">
        <f t="shared" ref="E993:BJ993" si="621">E984-E986-E987-E992</f>
        <v>3479781.9409256708</v>
      </c>
      <c r="F993" s="103">
        <f t="shared" si="621"/>
        <v>3479781.9409256708</v>
      </c>
      <c r="G993" s="103">
        <f t="shared" si="621"/>
        <v>3479781.9409256708</v>
      </c>
      <c r="H993" s="103">
        <f t="shared" si="621"/>
        <v>52780520.880901881</v>
      </c>
      <c r="I993" s="103">
        <f t="shared" si="621"/>
        <v>105561041.76180376</v>
      </c>
      <c r="J993" s="103">
        <f t="shared" si="621"/>
        <v>158341562.64270568</v>
      </c>
      <c r="K993" s="103">
        <f t="shared" si="621"/>
        <v>211122083.52360752</v>
      </c>
      <c r="L993" s="103">
        <f t="shared" si="621"/>
        <v>287893750.25946486</v>
      </c>
      <c r="M993" s="103">
        <f t="shared" si="621"/>
        <v>287893750.25946486</v>
      </c>
      <c r="N993" s="103">
        <f t="shared" si="621"/>
        <v>287893750.25946486</v>
      </c>
      <c r="O993" s="103">
        <f t="shared" si="621"/>
        <v>287893750.25946486</v>
      </c>
      <c r="P993" s="103">
        <f t="shared" si="621"/>
        <v>287893750.25946486</v>
      </c>
      <c r="Q993" s="103">
        <f t="shared" si="621"/>
        <v>287893750.25946486</v>
      </c>
      <c r="R993" s="103">
        <f t="shared" si="621"/>
        <v>287893750.25946486</v>
      </c>
      <c r="S993" s="103">
        <f t="shared" si="621"/>
        <v>211122083.52360752</v>
      </c>
      <c r="T993" s="103">
        <f t="shared" si="621"/>
        <v>158341562.64270568</v>
      </c>
      <c r="U993" s="103">
        <f t="shared" si="621"/>
        <v>105561041.76180376</v>
      </c>
      <c r="V993" s="103">
        <f t="shared" si="621"/>
        <v>52780520.880901881</v>
      </c>
      <c r="W993" s="103">
        <f t="shared" si="621"/>
        <v>0</v>
      </c>
      <c r="X993" s="103">
        <f t="shared" si="621"/>
        <v>0</v>
      </c>
      <c r="Y993" s="103">
        <f t="shared" si="621"/>
        <v>0</v>
      </c>
      <c r="Z993" s="103">
        <f t="shared" si="621"/>
        <v>0</v>
      </c>
      <c r="AA993" s="103">
        <f t="shared" si="621"/>
        <v>0</v>
      </c>
      <c r="AB993" s="103">
        <f t="shared" si="621"/>
        <v>0</v>
      </c>
      <c r="AC993" s="103">
        <f t="shared" si="621"/>
        <v>0</v>
      </c>
      <c r="AD993" s="103">
        <f t="shared" si="621"/>
        <v>0</v>
      </c>
      <c r="AE993" s="103">
        <f t="shared" si="621"/>
        <v>0</v>
      </c>
      <c r="AF993" s="103">
        <f t="shared" si="621"/>
        <v>0</v>
      </c>
      <c r="AG993" s="103">
        <f t="shared" si="621"/>
        <v>0</v>
      </c>
      <c r="AH993" s="103">
        <f t="shared" si="621"/>
        <v>0</v>
      </c>
      <c r="AI993" s="103">
        <f t="shared" si="621"/>
        <v>0</v>
      </c>
      <c r="AJ993" s="103">
        <f t="shared" si="621"/>
        <v>0</v>
      </c>
      <c r="AK993" s="103">
        <f t="shared" si="621"/>
        <v>0</v>
      </c>
      <c r="AL993" s="103">
        <f t="shared" si="621"/>
        <v>0</v>
      </c>
      <c r="AM993" s="103">
        <f t="shared" si="621"/>
        <v>0</v>
      </c>
      <c r="AN993" s="103">
        <f t="shared" si="621"/>
        <v>0</v>
      </c>
      <c r="AO993" s="103">
        <f t="shared" si="621"/>
        <v>0</v>
      </c>
      <c r="AP993" s="103">
        <f t="shared" si="621"/>
        <v>0</v>
      </c>
      <c r="AQ993" s="103">
        <f t="shared" si="621"/>
        <v>0</v>
      </c>
      <c r="AR993" s="103">
        <f t="shared" si="621"/>
        <v>0</v>
      </c>
      <c r="AS993" s="103">
        <f t="shared" si="621"/>
        <v>0</v>
      </c>
      <c r="AT993" s="103">
        <f t="shared" si="621"/>
        <v>0</v>
      </c>
      <c r="AU993" s="103">
        <f t="shared" si="621"/>
        <v>0</v>
      </c>
      <c r="AV993" s="103">
        <f t="shared" si="621"/>
        <v>0</v>
      </c>
      <c r="AW993" s="103">
        <f t="shared" si="621"/>
        <v>0</v>
      </c>
      <c r="AX993" s="103">
        <f t="shared" si="621"/>
        <v>0</v>
      </c>
      <c r="AY993" s="103">
        <f t="shared" si="621"/>
        <v>0</v>
      </c>
      <c r="AZ993" s="103">
        <f t="shared" si="621"/>
        <v>0</v>
      </c>
      <c r="BA993" s="103">
        <f t="shared" si="621"/>
        <v>0</v>
      </c>
      <c r="BB993" s="103">
        <f t="shared" si="621"/>
        <v>0</v>
      </c>
      <c r="BC993" s="103">
        <f t="shared" si="621"/>
        <v>0</v>
      </c>
      <c r="BD993" s="103">
        <f t="shared" si="621"/>
        <v>0</v>
      </c>
      <c r="BE993" s="103">
        <f t="shared" si="621"/>
        <v>0</v>
      </c>
      <c r="BF993" s="103">
        <f t="shared" si="621"/>
        <v>0</v>
      </c>
      <c r="BG993" s="103">
        <f t="shared" si="621"/>
        <v>0</v>
      </c>
      <c r="BH993" s="103">
        <f t="shared" si="621"/>
        <v>0</v>
      </c>
      <c r="BI993" s="103">
        <f t="shared" si="621"/>
        <v>0</v>
      </c>
      <c r="BJ993" s="104">
        <f t="shared" si="621"/>
        <v>0</v>
      </c>
      <c r="BK993" s="109"/>
      <c r="BL993" s="109"/>
    </row>
    <row r="994" spans="1:64" s="116" customFormat="1">
      <c r="A994" s="136" t="s">
        <v>125</v>
      </c>
      <c r="B994" s="137">
        <f t="shared" ref="B994:G994" si="622">SUM(B995:B998)</f>
        <v>303629007.12870204</v>
      </c>
      <c r="C994" s="113">
        <f t="shared" si="622"/>
        <v>49062204.728678733</v>
      </c>
      <c r="D994" s="114">
        <f t="shared" si="622"/>
        <v>53033336.658842444</v>
      </c>
      <c r="E994" s="114">
        <f t="shared" si="622"/>
        <v>67177821.913726956</v>
      </c>
      <c r="F994" s="114">
        <f t="shared" si="622"/>
        <v>67177821.913726956</v>
      </c>
      <c r="G994" s="114">
        <f t="shared" si="622"/>
        <v>67177821.913726956</v>
      </c>
      <c r="H994" s="114"/>
      <c r="I994" s="114"/>
      <c r="J994" s="114"/>
      <c r="K994" s="114"/>
      <c r="L994" s="114"/>
      <c r="M994" s="114"/>
      <c r="N994" s="114"/>
      <c r="O994" s="114"/>
      <c r="P994" s="114"/>
      <c r="Q994" s="114"/>
      <c r="R994" s="114"/>
      <c r="S994" s="114"/>
      <c r="T994" s="114"/>
      <c r="U994" s="114"/>
      <c r="V994" s="114"/>
      <c r="W994" s="114"/>
      <c r="X994" s="114"/>
      <c r="Y994" s="114"/>
      <c r="Z994" s="114"/>
      <c r="AA994" s="114"/>
      <c r="AB994" s="114"/>
      <c r="AC994" s="114"/>
      <c r="AD994" s="114"/>
      <c r="AE994" s="114"/>
      <c r="AF994" s="114"/>
      <c r="AG994" s="114"/>
      <c r="AH994" s="114"/>
      <c r="AI994" s="114"/>
      <c r="AJ994" s="114"/>
      <c r="AK994" s="114"/>
      <c r="AL994" s="114"/>
      <c r="AM994" s="114"/>
      <c r="AN994" s="114"/>
      <c r="AO994" s="114"/>
      <c r="AP994" s="114"/>
      <c r="AQ994" s="114"/>
      <c r="AR994" s="114"/>
      <c r="AS994" s="114"/>
      <c r="AT994" s="114"/>
      <c r="AU994" s="114"/>
      <c r="AV994" s="114"/>
      <c r="AW994" s="114"/>
      <c r="AX994" s="114"/>
      <c r="AY994" s="114"/>
      <c r="AZ994" s="114"/>
      <c r="BA994" s="114"/>
      <c r="BB994" s="114"/>
      <c r="BC994" s="114"/>
      <c r="BD994" s="114"/>
      <c r="BE994" s="114"/>
      <c r="BF994" s="114"/>
      <c r="BG994" s="114"/>
      <c r="BH994" s="114"/>
      <c r="BI994" s="114"/>
      <c r="BJ994" s="115"/>
    </row>
    <row r="995" spans="1:64" s="143" customFormat="1" ht="12.75">
      <c r="A995" s="138" t="s">
        <v>126</v>
      </c>
      <c r="B995" s="139">
        <f>SUM(C995:BJ995)</f>
        <v>58260247.345635802</v>
      </c>
      <c r="C995" s="140"/>
      <c r="D995" s="141"/>
      <c r="E995" s="141">
        <v>19420082.448545266</v>
      </c>
      <c r="F995" s="141">
        <f t="shared" ref="F995:G997" si="623">E995</f>
        <v>19420082.448545266</v>
      </c>
      <c r="G995" s="141">
        <f t="shared" si="623"/>
        <v>19420082.448545266</v>
      </c>
      <c r="H995" s="141"/>
      <c r="I995" s="141"/>
      <c r="J995" s="141"/>
      <c r="K995" s="141"/>
      <c r="L995" s="141"/>
      <c r="M995" s="141"/>
      <c r="N995" s="141"/>
      <c r="O995" s="141"/>
      <c r="P995" s="141"/>
      <c r="Q995" s="141"/>
      <c r="R995" s="141"/>
      <c r="S995" s="141"/>
      <c r="T995" s="141"/>
      <c r="U995" s="141"/>
      <c r="V995" s="141"/>
      <c r="W995" s="141"/>
      <c r="X995" s="141"/>
      <c r="Y995" s="141"/>
      <c r="Z995" s="141"/>
      <c r="AA995" s="141"/>
      <c r="AB995" s="141"/>
      <c r="AC995" s="141"/>
      <c r="AD995" s="141"/>
      <c r="AE995" s="141"/>
      <c r="AF995" s="141"/>
      <c r="AG995" s="141"/>
      <c r="AH995" s="141"/>
      <c r="AI995" s="141"/>
      <c r="AJ995" s="141"/>
      <c r="AK995" s="141"/>
      <c r="AL995" s="141"/>
      <c r="AM995" s="141"/>
      <c r="AN995" s="141"/>
      <c r="AO995" s="141"/>
      <c r="AP995" s="141"/>
      <c r="AQ995" s="141"/>
      <c r="AR995" s="141"/>
      <c r="AS995" s="141"/>
      <c r="AT995" s="141"/>
      <c r="AU995" s="141"/>
      <c r="AV995" s="141"/>
      <c r="AW995" s="141"/>
      <c r="AX995" s="141"/>
      <c r="AY995" s="141"/>
      <c r="AZ995" s="141"/>
      <c r="BA995" s="141"/>
      <c r="BB995" s="141"/>
      <c r="BC995" s="141"/>
      <c r="BD995" s="141"/>
      <c r="BE995" s="141"/>
      <c r="BF995" s="141"/>
      <c r="BG995" s="141"/>
      <c r="BH995" s="141"/>
      <c r="BI995" s="141"/>
      <c r="BJ995" s="142"/>
      <c r="BK995" s="141"/>
      <c r="BL995" s="141"/>
    </row>
    <row r="996" spans="1:64" s="143" customFormat="1" ht="12.75">
      <c r="A996" s="138" t="s">
        <v>127</v>
      </c>
      <c r="B996" s="139">
        <f>SUM(C996:BJ996)</f>
        <v>8000000</v>
      </c>
      <c r="C996" s="140"/>
      <c r="D996" s="141"/>
      <c r="E996" s="141">
        <v>2666666.6666666665</v>
      </c>
      <c r="F996" s="141">
        <f t="shared" si="623"/>
        <v>2666666.6666666665</v>
      </c>
      <c r="G996" s="141">
        <f t="shared" si="623"/>
        <v>2666666.6666666665</v>
      </c>
      <c r="H996" s="141"/>
      <c r="I996" s="141"/>
      <c r="J996" s="141"/>
      <c r="K996" s="141"/>
      <c r="L996" s="141"/>
      <c r="M996" s="141"/>
      <c r="N996" s="141"/>
      <c r="O996" s="141"/>
      <c r="P996" s="141"/>
      <c r="Q996" s="141"/>
      <c r="R996" s="141"/>
      <c r="S996" s="141"/>
      <c r="T996" s="141"/>
      <c r="U996" s="141"/>
      <c r="V996" s="141"/>
      <c r="W996" s="141"/>
      <c r="X996" s="141"/>
      <c r="Y996" s="141"/>
      <c r="Z996" s="141"/>
      <c r="AA996" s="141"/>
      <c r="AB996" s="141"/>
      <c r="AC996" s="141"/>
      <c r="AD996" s="141"/>
      <c r="AE996" s="141"/>
      <c r="AF996" s="141"/>
      <c r="AG996" s="141"/>
      <c r="AH996" s="141"/>
      <c r="AI996" s="141"/>
      <c r="AJ996" s="141"/>
      <c r="AK996" s="141"/>
      <c r="AL996" s="141"/>
      <c r="AM996" s="141"/>
      <c r="AN996" s="141"/>
      <c r="AO996" s="141"/>
      <c r="AP996" s="141"/>
      <c r="AQ996" s="141"/>
      <c r="AR996" s="141"/>
      <c r="AS996" s="141"/>
      <c r="AT996" s="141"/>
      <c r="AU996" s="141"/>
      <c r="AV996" s="141"/>
      <c r="AW996" s="141"/>
      <c r="AX996" s="141"/>
      <c r="AY996" s="141"/>
      <c r="AZ996" s="141"/>
      <c r="BA996" s="141"/>
      <c r="BB996" s="141"/>
      <c r="BC996" s="141"/>
      <c r="BD996" s="141"/>
      <c r="BE996" s="141"/>
      <c r="BF996" s="141"/>
      <c r="BG996" s="141"/>
      <c r="BH996" s="141"/>
      <c r="BI996" s="141"/>
      <c r="BJ996" s="142"/>
      <c r="BK996" s="141"/>
      <c r="BL996" s="141"/>
    </row>
    <row r="997" spans="1:64" s="143" customFormat="1" ht="12.75">
      <c r="A997" s="138" t="s">
        <v>128</v>
      </c>
      <c r="B997" s="139">
        <f>SUM(C997:BJ997)</f>
        <v>225455363.99257511</v>
      </c>
      <c r="C997" s="140">
        <v>45091072.798515022</v>
      </c>
      <c r="D997" s="141">
        <f>C997</f>
        <v>45091072.798515022</v>
      </c>
      <c r="E997" s="141">
        <f>D997</f>
        <v>45091072.798515022</v>
      </c>
      <c r="F997" s="141">
        <f t="shared" si="623"/>
        <v>45091072.798515022</v>
      </c>
      <c r="G997" s="141">
        <f t="shared" si="623"/>
        <v>45091072.798515022</v>
      </c>
      <c r="H997" s="141"/>
      <c r="I997" s="141"/>
      <c r="J997" s="141"/>
      <c r="K997" s="141"/>
      <c r="L997" s="141"/>
      <c r="M997" s="141"/>
      <c r="N997" s="141"/>
      <c r="O997" s="141"/>
      <c r="P997" s="141"/>
      <c r="Q997" s="141"/>
      <c r="R997" s="141"/>
      <c r="S997" s="141"/>
      <c r="T997" s="141"/>
      <c r="U997" s="141"/>
      <c r="V997" s="141"/>
      <c r="W997" s="141"/>
      <c r="X997" s="141"/>
      <c r="Y997" s="141"/>
      <c r="Z997" s="141"/>
      <c r="AA997" s="141"/>
      <c r="AB997" s="141"/>
      <c r="AC997" s="141"/>
      <c r="AD997" s="141"/>
      <c r="AE997" s="141"/>
      <c r="AF997" s="141"/>
      <c r="AG997" s="141"/>
      <c r="AH997" s="141"/>
      <c r="AI997" s="141"/>
      <c r="AJ997" s="141"/>
      <c r="AK997" s="141"/>
      <c r="AL997" s="141"/>
      <c r="AM997" s="141"/>
      <c r="AN997" s="141"/>
      <c r="AO997" s="141"/>
      <c r="AP997" s="141"/>
      <c r="AQ997" s="141"/>
      <c r="AR997" s="141"/>
      <c r="AS997" s="141"/>
      <c r="AT997" s="141"/>
      <c r="AU997" s="141"/>
      <c r="AV997" s="141"/>
      <c r="AW997" s="141"/>
      <c r="AX997" s="141"/>
      <c r="AY997" s="141"/>
      <c r="AZ997" s="141"/>
      <c r="BA997" s="141"/>
      <c r="BB997" s="141"/>
      <c r="BC997" s="141"/>
      <c r="BD997" s="141"/>
      <c r="BE997" s="141"/>
      <c r="BF997" s="141"/>
      <c r="BG997" s="141"/>
      <c r="BH997" s="141"/>
      <c r="BI997" s="141"/>
      <c r="BJ997" s="142"/>
      <c r="BK997" s="141"/>
      <c r="BL997" s="141"/>
    </row>
    <row r="998" spans="1:64" s="143" customFormat="1" ht="12.75">
      <c r="A998" s="138" t="s">
        <v>129</v>
      </c>
      <c r="B998" s="139">
        <f>SUM(C998:BJ998)</f>
        <v>11913395.79049113</v>
      </c>
      <c r="C998" s="140">
        <v>3971131.9301637104</v>
      </c>
      <c r="D998" s="141">
        <v>7942263.8603274208</v>
      </c>
      <c r="E998" s="141"/>
      <c r="F998" s="141"/>
      <c r="G998" s="141"/>
      <c r="H998" s="141"/>
      <c r="I998" s="141"/>
      <c r="J998" s="141"/>
      <c r="K998" s="141"/>
      <c r="L998" s="141"/>
      <c r="M998" s="141"/>
      <c r="N998" s="141"/>
      <c r="O998" s="141"/>
      <c r="P998" s="141"/>
      <c r="Q998" s="141"/>
      <c r="R998" s="141"/>
      <c r="S998" s="141"/>
      <c r="T998" s="141"/>
      <c r="U998" s="141"/>
      <c r="V998" s="141"/>
      <c r="W998" s="141"/>
      <c r="X998" s="141"/>
      <c r="Y998" s="141"/>
      <c r="Z998" s="141"/>
      <c r="AA998" s="141"/>
      <c r="AB998" s="141"/>
      <c r="AC998" s="141"/>
      <c r="AD998" s="141"/>
      <c r="AE998" s="141"/>
      <c r="AF998" s="141"/>
      <c r="AG998" s="141"/>
      <c r="AH998" s="141"/>
      <c r="AI998" s="141"/>
      <c r="AJ998" s="141"/>
      <c r="AK998" s="141"/>
      <c r="AL998" s="141"/>
      <c r="AM998" s="141"/>
      <c r="AN998" s="141"/>
      <c r="AO998" s="141"/>
      <c r="AP998" s="141"/>
      <c r="AQ998" s="141"/>
      <c r="AR998" s="141"/>
      <c r="AS998" s="141"/>
      <c r="AT998" s="141"/>
      <c r="AU998" s="141"/>
      <c r="AV998" s="141"/>
      <c r="AW998" s="141"/>
      <c r="AX998" s="141"/>
      <c r="AY998" s="141"/>
      <c r="AZ998" s="141"/>
      <c r="BA998" s="141"/>
      <c r="BB998" s="141"/>
      <c r="BC998" s="141"/>
      <c r="BD998" s="141"/>
      <c r="BE998" s="141"/>
      <c r="BF998" s="141"/>
      <c r="BG998" s="141"/>
      <c r="BH998" s="141"/>
      <c r="BI998" s="141"/>
      <c r="BJ998" s="142"/>
      <c r="BK998" s="141"/>
      <c r="BL998" s="141"/>
    </row>
    <row r="999" spans="1:64" s="116" customFormat="1">
      <c r="A999" s="111" t="s">
        <v>130</v>
      </c>
      <c r="B999" s="137">
        <f>SUM(B1000:B1003)</f>
        <v>303629007.12870198</v>
      </c>
      <c r="C999" s="117">
        <f>SUM(C1000:C1003)</f>
        <v>1635406.8242892909</v>
      </c>
      <c r="D999" s="118">
        <f>SUM(D1000:D1003)</f>
        <v>3403184.7129173726</v>
      </c>
      <c r="E999" s="118">
        <f t="shared" ref="E999:BJ999" si="624">SUM(E1000:E1003)</f>
        <v>5642445.4433749374</v>
      </c>
      <c r="F999" s="118">
        <f t="shared" si="624"/>
        <v>7881706.1738325022</v>
      </c>
      <c r="G999" s="118">
        <f t="shared" si="624"/>
        <v>10120966.904290067</v>
      </c>
      <c r="H999" s="118">
        <f t="shared" si="624"/>
        <v>10120966.904290067</v>
      </c>
      <c r="I999" s="118">
        <f t="shared" si="624"/>
        <v>10120966.904290067</v>
      </c>
      <c r="J999" s="118">
        <f t="shared" si="624"/>
        <v>10120966.904290067</v>
      </c>
      <c r="K999" s="118">
        <f t="shared" si="624"/>
        <v>10120966.904290067</v>
      </c>
      <c r="L999" s="118">
        <f t="shared" si="624"/>
        <v>10120966.904290067</v>
      </c>
      <c r="M999" s="118">
        <f t="shared" si="624"/>
        <v>10120966.904290067</v>
      </c>
      <c r="N999" s="118">
        <f t="shared" si="624"/>
        <v>10120966.904290067</v>
      </c>
      <c r="O999" s="118">
        <f t="shared" si="624"/>
        <v>10120966.904290067</v>
      </c>
      <c r="P999" s="118">
        <f t="shared" si="624"/>
        <v>10120966.904290067</v>
      </c>
      <c r="Q999" s="118">
        <f t="shared" si="624"/>
        <v>10120966.904290067</v>
      </c>
      <c r="R999" s="118">
        <f t="shared" si="624"/>
        <v>10120966.904290067</v>
      </c>
      <c r="S999" s="118">
        <f t="shared" si="624"/>
        <v>10120966.904290067</v>
      </c>
      <c r="T999" s="118">
        <f t="shared" si="624"/>
        <v>10120966.904290067</v>
      </c>
      <c r="U999" s="118">
        <f t="shared" si="624"/>
        <v>10120966.904290067</v>
      </c>
      <c r="V999" s="118">
        <f t="shared" si="624"/>
        <v>10120966.904290067</v>
      </c>
      <c r="W999" s="118">
        <f t="shared" si="624"/>
        <v>10120966.904290067</v>
      </c>
      <c r="X999" s="118">
        <f t="shared" si="624"/>
        <v>10120966.904290067</v>
      </c>
      <c r="Y999" s="118">
        <f t="shared" si="624"/>
        <v>10120966.904290067</v>
      </c>
      <c r="Z999" s="118">
        <f t="shared" si="624"/>
        <v>10120966.904290067</v>
      </c>
      <c r="AA999" s="118">
        <f t="shared" si="624"/>
        <v>10120966.904290067</v>
      </c>
      <c r="AB999" s="118">
        <f t="shared" si="624"/>
        <v>10120966.904290067</v>
      </c>
      <c r="AC999" s="118">
        <f t="shared" si="624"/>
        <v>10120966.904290067</v>
      </c>
      <c r="AD999" s="118">
        <f t="shared" si="624"/>
        <v>10120966.904290067</v>
      </c>
      <c r="AE999" s="118">
        <f t="shared" si="624"/>
        <v>10120966.904290067</v>
      </c>
      <c r="AF999" s="118">
        <f t="shared" si="624"/>
        <v>10120966.904290067</v>
      </c>
      <c r="AG999" s="118">
        <f t="shared" si="624"/>
        <v>8485560.0800007768</v>
      </c>
      <c r="AH999" s="118">
        <f t="shared" si="624"/>
        <v>6717782.1913726944</v>
      </c>
      <c r="AI999" s="118">
        <f t="shared" si="624"/>
        <v>4478521.4609151296</v>
      </c>
      <c r="AJ999" s="118">
        <f t="shared" si="624"/>
        <v>2239260.7304575648</v>
      </c>
      <c r="AK999" s="118">
        <f t="shared" si="624"/>
        <v>0</v>
      </c>
      <c r="AL999" s="118">
        <f t="shared" si="624"/>
        <v>0</v>
      </c>
      <c r="AM999" s="118">
        <f t="shared" si="624"/>
        <v>0</v>
      </c>
      <c r="AN999" s="118">
        <f t="shared" si="624"/>
        <v>0</v>
      </c>
      <c r="AO999" s="118">
        <f t="shared" si="624"/>
        <v>0</v>
      </c>
      <c r="AP999" s="118">
        <f t="shared" si="624"/>
        <v>0</v>
      </c>
      <c r="AQ999" s="118">
        <f t="shared" si="624"/>
        <v>0</v>
      </c>
      <c r="AR999" s="118">
        <f t="shared" si="624"/>
        <v>0</v>
      </c>
      <c r="AS999" s="118">
        <f t="shared" si="624"/>
        <v>0</v>
      </c>
      <c r="AT999" s="118">
        <f t="shared" si="624"/>
        <v>0</v>
      </c>
      <c r="AU999" s="118">
        <f t="shared" si="624"/>
        <v>0</v>
      </c>
      <c r="AV999" s="118">
        <f t="shared" si="624"/>
        <v>0</v>
      </c>
      <c r="AW999" s="118">
        <f t="shared" si="624"/>
        <v>0</v>
      </c>
      <c r="AX999" s="118">
        <f t="shared" si="624"/>
        <v>0</v>
      </c>
      <c r="AY999" s="118">
        <f t="shared" si="624"/>
        <v>0</v>
      </c>
      <c r="AZ999" s="118">
        <f t="shared" si="624"/>
        <v>0</v>
      </c>
      <c r="BA999" s="118">
        <f t="shared" si="624"/>
        <v>0</v>
      </c>
      <c r="BB999" s="118">
        <f t="shared" si="624"/>
        <v>0</v>
      </c>
      <c r="BC999" s="118">
        <f t="shared" si="624"/>
        <v>0</v>
      </c>
      <c r="BD999" s="118">
        <f t="shared" si="624"/>
        <v>0</v>
      </c>
      <c r="BE999" s="118">
        <f t="shared" si="624"/>
        <v>0</v>
      </c>
      <c r="BF999" s="118">
        <f t="shared" si="624"/>
        <v>0</v>
      </c>
      <c r="BG999" s="118">
        <f t="shared" si="624"/>
        <v>0</v>
      </c>
      <c r="BH999" s="118">
        <f t="shared" si="624"/>
        <v>0</v>
      </c>
      <c r="BI999" s="118">
        <f t="shared" si="624"/>
        <v>0</v>
      </c>
      <c r="BJ999" s="119">
        <f t="shared" si="624"/>
        <v>0</v>
      </c>
      <c r="BK999" s="118"/>
      <c r="BL999" s="118"/>
    </row>
    <row r="1000" spans="1:64" s="143" customFormat="1" ht="12.75">
      <c r="A1000" s="138" t="s">
        <v>126</v>
      </c>
      <c r="B1000" s="139">
        <f>SUM(C1000:BJ1000)</f>
        <v>58260247.345635757</v>
      </c>
      <c r="C1000" s="140"/>
      <c r="D1000" s="141"/>
      <c r="E1000" s="226">
        <f>$C995/$O981+$D995/$O981+$E995/$O981</f>
        <v>647336.08161817549</v>
      </c>
      <c r="F1000" s="141">
        <f>$C995/$O981+$D995/$O981+$E995/$O981+$F995/$O981</f>
        <v>1294672.163236351</v>
      </c>
      <c r="G1000" s="141">
        <f>$C995/$O981+$D995/$O981+$E995/$O981+$F995/$O981+$G995/$O981</f>
        <v>1942008.2448545266</v>
      </c>
      <c r="H1000" s="141">
        <f t="shared" ref="H1000:AH1003" si="625">G1000</f>
        <v>1942008.2448545266</v>
      </c>
      <c r="I1000" s="141">
        <f t="shared" si="625"/>
        <v>1942008.2448545266</v>
      </c>
      <c r="J1000" s="141">
        <f t="shared" si="625"/>
        <v>1942008.2448545266</v>
      </c>
      <c r="K1000" s="141">
        <f t="shared" si="625"/>
        <v>1942008.2448545266</v>
      </c>
      <c r="L1000" s="141">
        <f t="shared" si="625"/>
        <v>1942008.2448545266</v>
      </c>
      <c r="M1000" s="141">
        <f t="shared" si="625"/>
        <v>1942008.2448545266</v>
      </c>
      <c r="N1000" s="141">
        <f t="shared" si="625"/>
        <v>1942008.2448545266</v>
      </c>
      <c r="O1000" s="141">
        <f t="shared" si="625"/>
        <v>1942008.2448545266</v>
      </c>
      <c r="P1000" s="141">
        <f t="shared" si="625"/>
        <v>1942008.2448545266</v>
      </c>
      <c r="Q1000" s="141">
        <f t="shared" si="625"/>
        <v>1942008.2448545266</v>
      </c>
      <c r="R1000" s="141">
        <f t="shared" si="625"/>
        <v>1942008.2448545266</v>
      </c>
      <c r="S1000" s="141">
        <f t="shared" si="625"/>
        <v>1942008.2448545266</v>
      </c>
      <c r="T1000" s="141">
        <f t="shared" si="625"/>
        <v>1942008.2448545266</v>
      </c>
      <c r="U1000" s="141">
        <f t="shared" si="625"/>
        <v>1942008.2448545266</v>
      </c>
      <c r="V1000" s="141">
        <f t="shared" si="625"/>
        <v>1942008.2448545266</v>
      </c>
      <c r="W1000" s="141">
        <f t="shared" si="625"/>
        <v>1942008.2448545266</v>
      </c>
      <c r="X1000" s="141">
        <f t="shared" si="625"/>
        <v>1942008.2448545266</v>
      </c>
      <c r="Y1000" s="141">
        <f t="shared" si="625"/>
        <v>1942008.2448545266</v>
      </c>
      <c r="Z1000" s="141">
        <f t="shared" si="625"/>
        <v>1942008.2448545266</v>
      </c>
      <c r="AA1000" s="141">
        <f t="shared" si="625"/>
        <v>1942008.2448545266</v>
      </c>
      <c r="AB1000" s="141">
        <f t="shared" si="625"/>
        <v>1942008.2448545266</v>
      </c>
      <c r="AC1000" s="141">
        <f t="shared" si="625"/>
        <v>1942008.2448545266</v>
      </c>
      <c r="AD1000" s="141">
        <f t="shared" si="625"/>
        <v>1942008.2448545266</v>
      </c>
      <c r="AE1000" s="141">
        <f t="shared" si="625"/>
        <v>1942008.2448545266</v>
      </c>
      <c r="AF1000" s="141">
        <f t="shared" si="625"/>
        <v>1942008.2448545266</v>
      </c>
      <c r="AG1000" s="141">
        <f t="shared" si="625"/>
        <v>1942008.2448545266</v>
      </c>
      <c r="AH1000" s="141">
        <f t="shared" si="625"/>
        <v>1942008.2448545266</v>
      </c>
      <c r="AI1000" s="141">
        <f>F1000</f>
        <v>1294672.163236351</v>
      </c>
      <c r="AJ1000" s="141">
        <f>E1000</f>
        <v>647336.08161817549</v>
      </c>
      <c r="AK1000" s="141"/>
      <c r="AL1000" s="141"/>
      <c r="AM1000" s="141"/>
      <c r="AN1000" s="141"/>
      <c r="AO1000" s="141"/>
      <c r="AP1000" s="141"/>
      <c r="AQ1000" s="141"/>
      <c r="AR1000" s="141"/>
      <c r="AS1000" s="141"/>
      <c r="AT1000" s="141"/>
      <c r="AU1000" s="141"/>
      <c r="AV1000" s="141"/>
      <c r="AW1000" s="141"/>
      <c r="AX1000" s="141"/>
      <c r="AY1000" s="141"/>
      <c r="AZ1000" s="141"/>
      <c r="BA1000" s="141"/>
      <c r="BB1000" s="141"/>
      <c r="BC1000" s="141"/>
      <c r="BD1000" s="141"/>
      <c r="BE1000" s="141"/>
      <c r="BF1000" s="141"/>
      <c r="BG1000" s="141"/>
      <c r="BH1000" s="141"/>
      <c r="BI1000" s="141"/>
      <c r="BJ1000" s="142"/>
      <c r="BK1000" s="141"/>
      <c r="BL1000" s="141"/>
    </row>
    <row r="1001" spans="1:64" s="143" customFormat="1" ht="12.75">
      <c r="A1001" s="138" t="s">
        <v>127</v>
      </c>
      <c r="B1001" s="139">
        <f>SUM(C1001:BJ1001)</f>
        <v>8000000.0000000037</v>
      </c>
      <c r="C1001" s="140"/>
      <c r="D1001" s="141"/>
      <c r="E1001" s="226">
        <f>$C996/$O981+$D996/$O981+$E996/$O981</f>
        <v>88888.888888888891</v>
      </c>
      <c r="F1001" s="141">
        <f>$C996/$O981+$D996/$O981+$E996/$O981+$F996/$O981</f>
        <v>177777.77777777778</v>
      </c>
      <c r="G1001" s="141">
        <f>$C996/$O981+$D996/$O981+$E996/$O981+$F996/$O981+$G996/$O981</f>
        <v>266666.66666666669</v>
      </c>
      <c r="H1001" s="141">
        <f t="shared" si="625"/>
        <v>266666.66666666669</v>
      </c>
      <c r="I1001" s="141">
        <f t="shared" si="625"/>
        <v>266666.66666666669</v>
      </c>
      <c r="J1001" s="141">
        <f t="shared" si="625"/>
        <v>266666.66666666669</v>
      </c>
      <c r="K1001" s="141">
        <f t="shared" si="625"/>
        <v>266666.66666666669</v>
      </c>
      <c r="L1001" s="141">
        <f t="shared" si="625"/>
        <v>266666.66666666669</v>
      </c>
      <c r="M1001" s="141">
        <f t="shared" si="625"/>
        <v>266666.66666666669</v>
      </c>
      <c r="N1001" s="141">
        <f t="shared" si="625"/>
        <v>266666.66666666669</v>
      </c>
      <c r="O1001" s="141">
        <f t="shared" si="625"/>
        <v>266666.66666666669</v>
      </c>
      <c r="P1001" s="141">
        <f t="shared" si="625"/>
        <v>266666.66666666669</v>
      </c>
      <c r="Q1001" s="141">
        <f t="shared" si="625"/>
        <v>266666.66666666669</v>
      </c>
      <c r="R1001" s="141">
        <f t="shared" si="625"/>
        <v>266666.66666666669</v>
      </c>
      <c r="S1001" s="141">
        <f t="shared" si="625"/>
        <v>266666.66666666669</v>
      </c>
      <c r="T1001" s="141">
        <f t="shared" si="625"/>
        <v>266666.66666666669</v>
      </c>
      <c r="U1001" s="141">
        <f t="shared" si="625"/>
        <v>266666.66666666669</v>
      </c>
      <c r="V1001" s="141">
        <f t="shared" si="625"/>
        <v>266666.66666666669</v>
      </c>
      <c r="W1001" s="141">
        <f t="shared" si="625"/>
        <v>266666.66666666669</v>
      </c>
      <c r="X1001" s="141">
        <f t="shared" si="625"/>
        <v>266666.66666666669</v>
      </c>
      <c r="Y1001" s="141">
        <f t="shared" si="625"/>
        <v>266666.66666666669</v>
      </c>
      <c r="Z1001" s="141">
        <f t="shared" si="625"/>
        <v>266666.66666666669</v>
      </c>
      <c r="AA1001" s="141">
        <f t="shared" si="625"/>
        <v>266666.66666666669</v>
      </c>
      <c r="AB1001" s="141">
        <f t="shared" si="625"/>
        <v>266666.66666666669</v>
      </c>
      <c r="AC1001" s="141">
        <f t="shared" si="625"/>
        <v>266666.66666666669</v>
      </c>
      <c r="AD1001" s="141">
        <f t="shared" si="625"/>
        <v>266666.66666666669</v>
      </c>
      <c r="AE1001" s="141">
        <f t="shared" si="625"/>
        <v>266666.66666666669</v>
      </c>
      <c r="AF1001" s="141">
        <f t="shared" si="625"/>
        <v>266666.66666666669</v>
      </c>
      <c r="AG1001" s="141">
        <f t="shared" si="625"/>
        <v>266666.66666666669</v>
      </c>
      <c r="AH1001" s="141">
        <f t="shared" si="625"/>
        <v>266666.66666666669</v>
      </c>
      <c r="AI1001" s="141">
        <f>F1001</f>
        <v>177777.77777777778</v>
      </c>
      <c r="AJ1001" s="141">
        <f>E1001</f>
        <v>88888.888888888891</v>
      </c>
      <c r="AK1001" s="141"/>
      <c r="AL1001" s="141"/>
      <c r="AM1001" s="141"/>
      <c r="AN1001" s="141"/>
      <c r="AO1001" s="141"/>
      <c r="AP1001" s="141"/>
      <c r="AQ1001" s="141"/>
      <c r="AR1001" s="141"/>
      <c r="AS1001" s="141"/>
      <c r="AT1001" s="141"/>
      <c r="AU1001" s="141"/>
      <c r="AV1001" s="141"/>
      <c r="AW1001" s="141"/>
      <c r="AX1001" s="141"/>
      <c r="AY1001" s="141"/>
      <c r="AZ1001" s="141"/>
      <c r="BA1001" s="141"/>
      <c r="BB1001" s="141"/>
      <c r="BC1001" s="141"/>
      <c r="BD1001" s="141"/>
      <c r="BE1001" s="141"/>
      <c r="BF1001" s="141"/>
      <c r="BG1001" s="141"/>
      <c r="BH1001" s="141"/>
      <c r="BI1001" s="141"/>
      <c r="BJ1001" s="142"/>
      <c r="BK1001" s="141"/>
      <c r="BL1001" s="141"/>
    </row>
    <row r="1002" spans="1:64" s="143" customFormat="1" ht="12.75">
      <c r="A1002" s="138" t="s">
        <v>128</v>
      </c>
      <c r="B1002" s="139">
        <f>SUM(C1002:BJ1002)</f>
        <v>225455363.99257511</v>
      </c>
      <c r="C1002" s="227">
        <f>$C997/$O981</f>
        <v>1503035.7599505007</v>
      </c>
      <c r="D1002" s="141">
        <f>$C997/$O981+$D997/$O981</f>
        <v>3006071.5199010014</v>
      </c>
      <c r="E1002" s="141">
        <f>$C997/$O981+$D997/$O981+$E997/$O981</f>
        <v>4509107.2798515018</v>
      </c>
      <c r="F1002" s="141">
        <f>$C997/$O981+$D997/$O981+$E997/$O981+$F997/$O981</f>
        <v>6012143.0398020027</v>
      </c>
      <c r="G1002" s="141">
        <f>$C997/$O981+$D997/$O981+$E997/$O981+$F997/$O981+$G997/$O981</f>
        <v>7515178.7997525036</v>
      </c>
      <c r="H1002" s="141">
        <f t="shared" si="625"/>
        <v>7515178.7997525036</v>
      </c>
      <c r="I1002" s="141">
        <f t="shared" si="625"/>
        <v>7515178.7997525036</v>
      </c>
      <c r="J1002" s="141">
        <f t="shared" si="625"/>
        <v>7515178.7997525036</v>
      </c>
      <c r="K1002" s="141">
        <f t="shared" si="625"/>
        <v>7515178.7997525036</v>
      </c>
      <c r="L1002" s="141">
        <f t="shared" si="625"/>
        <v>7515178.7997525036</v>
      </c>
      <c r="M1002" s="141">
        <f t="shared" si="625"/>
        <v>7515178.7997525036</v>
      </c>
      <c r="N1002" s="141">
        <f t="shared" si="625"/>
        <v>7515178.7997525036</v>
      </c>
      <c r="O1002" s="141">
        <f t="shared" si="625"/>
        <v>7515178.7997525036</v>
      </c>
      <c r="P1002" s="141">
        <f t="shared" si="625"/>
        <v>7515178.7997525036</v>
      </c>
      <c r="Q1002" s="141">
        <f t="shared" si="625"/>
        <v>7515178.7997525036</v>
      </c>
      <c r="R1002" s="141">
        <f t="shared" si="625"/>
        <v>7515178.7997525036</v>
      </c>
      <c r="S1002" s="141">
        <f t="shared" si="625"/>
        <v>7515178.7997525036</v>
      </c>
      <c r="T1002" s="141">
        <f t="shared" si="625"/>
        <v>7515178.7997525036</v>
      </c>
      <c r="U1002" s="141">
        <f t="shared" si="625"/>
        <v>7515178.7997525036</v>
      </c>
      <c r="V1002" s="141">
        <f t="shared" si="625"/>
        <v>7515178.7997525036</v>
      </c>
      <c r="W1002" s="141">
        <f t="shared" si="625"/>
        <v>7515178.7997525036</v>
      </c>
      <c r="X1002" s="141">
        <f t="shared" si="625"/>
        <v>7515178.7997525036</v>
      </c>
      <c r="Y1002" s="141">
        <f t="shared" si="625"/>
        <v>7515178.7997525036</v>
      </c>
      <c r="Z1002" s="141">
        <f t="shared" si="625"/>
        <v>7515178.7997525036</v>
      </c>
      <c r="AA1002" s="141">
        <f t="shared" si="625"/>
        <v>7515178.7997525036</v>
      </c>
      <c r="AB1002" s="141">
        <f t="shared" si="625"/>
        <v>7515178.7997525036</v>
      </c>
      <c r="AC1002" s="141">
        <f t="shared" si="625"/>
        <v>7515178.7997525036</v>
      </c>
      <c r="AD1002" s="141">
        <f t="shared" si="625"/>
        <v>7515178.7997525036</v>
      </c>
      <c r="AE1002" s="141">
        <f t="shared" si="625"/>
        <v>7515178.7997525036</v>
      </c>
      <c r="AF1002" s="141">
        <f t="shared" si="625"/>
        <v>7515178.7997525036</v>
      </c>
      <c r="AG1002" s="141">
        <f>F1002</f>
        <v>6012143.0398020027</v>
      </c>
      <c r="AH1002" s="141">
        <f>E1002</f>
        <v>4509107.2798515018</v>
      </c>
      <c r="AI1002" s="141">
        <f>D1002</f>
        <v>3006071.5199010014</v>
      </c>
      <c r="AJ1002" s="141">
        <f>C1002</f>
        <v>1503035.7599505007</v>
      </c>
      <c r="AK1002" s="141"/>
      <c r="AL1002" s="141"/>
      <c r="AM1002" s="141"/>
      <c r="AN1002" s="141"/>
      <c r="AO1002" s="141"/>
      <c r="AP1002" s="141"/>
      <c r="AQ1002" s="141"/>
      <c r="AR1002" s="141"/>
      <c r="AS1002" s="141"/>
      <c r="AT1002" s="141"/>
      <c r="AU1002" s="141"/>
      <c r="AV1002" s="141"/>
      <c r="AW1002" s="141"/>
      <c r="AX1002" s="141"/>
      <c r="AY1002" s="141"/>
      <c r="AZ1002" s="141"/>
      <c r="BA1002" s="141"/>
      <c r="BB1002" s="141"/>
      <c r="BC1002" s="141"/>
      <c r="BD1002" s="141"/>
      <c r="BE1002" s="141"/>
      <c r="BF1002" s="141"/>
      <c r="BG1002" s="141"/>
      <c r="BH1002" s="141"/>
      <c r="BI1002" s="141"/>
      <c r="BJ1002" s="142"/>
      <c r="BK1002" s="141"/>
      <c r="BL1002" s="141"/>
    </row>
    <row r="1003" spans="1:64" s="143" customFormat="1" ht="12.75">
      <c r="A1003" s="138" t="s">
        <v>129</v>
      </c>
      <c r="B1003" s="139">
        <f>SUM(C1003:BJ1003)</f>
        <v>11913395.790491125</v>
      </c>
      <c r="C1003" s="227">
        <f>$C998/$O981</f>
        <v>132371.06433879034</v>
      </c>
      <c r="D1003" s="141">
        <f>$C998/$O981+$D998/$O981</f>
        <v>397113.19301637099</v>
      </c>
      <c r="E1003" s="141">
        <f>$C998/$O981+$D998/$O981+$E998/$O981</f>
        <v>397113.19301637099</v>
      </c>
      <c r="F1003" s="141">
        <f>$C998/$O981+$D998/$O981+$E998/$O981+$F998/$O981</f>
        <v>397113.19301637099</v>
      </c>
      <c r="G1003" s="141">
        <f>$C998/$O981+$D998/$O981+$E998/$O981+$F998/$O981+$G998/$O981</f>
        <v>397113.19301637099</v>
      </c>
      <c r="H1003" s="141">
        <f t="shared" si="625"/>
        <v>397113.19301637099</v>
      </c>
      <c r="I1003" s="141">
        <f t="shared" si="625"/>
        <v>397113.19301637099</v>
      </c>
      <c r="J1003" s="141">
        <f t="shared" si="625"/>
        <v>397113.19301637099</v>
      </c>
      <c r="K1003" s="141">
        <f t="shared" si="625"/>
        <v>397113.19301637099</v>
      </c>
      <c r="L1003" s="141">
        <f t="shared" si="625"/>
        <v>397113.19301637099</v>
      </c>
      <c r="M1003" s="141">
        <f t="shared" si="625"/>
        <v>397113.19301637099</v>
      </c>
      <c r="N1003" s="141">
        <f t="shared" si="625"/>
        <v>397113.19301637099</v>
      </c>
      <c r="O1003" s="141">
        <f t="shared" si="625"/>
        <v>397113.19301637099</v>
      </c>
      <c r="P1003" s="141">
        <f t="shared" si="625"/>
        <v>397113.19301637099</v>
      </c>
      <c r="Q1003" s="141">
        <f t="shared" si="625"/>
        <v>397113.19301637099</v>
      </c>
      <c r="R1003" s="141">
        <f t="shared" si="625"/>
        <v>397113.19301637099</v>
      </c>
      <c r="S1003" s="141">
        <f t="shared" si="625"/>
        <v>397113.19301637099</v>
      </c>
      <c r="T1003" s="141">
        <f t="shared" si="625"/>
        <v>397113.19301637099</v>
      </c>
      <c r="U1003" s="141">
        <f t="shared" si="625"/>
        <v>397113.19301637099</v>
      </c>
      <c r="V1003" s="141">
        <f t="shared" si="625"/>
        <v>397113.19301637099</v>
      </c>
      <c r="W1003" s="141">
        <f t="shared" si="625"/>
        <v>397113.19301637099</v>
      </c>
      <c r="X1003" s="141">
        <f t="shared" si="625"/>
        <v>397113.19301637099</v>
      </c>
      <c r="Y1003" s="141">
        <f t="shared" si="625"/>
        <v>397113.19301637099</v>
      </c>
      <c r="Z1003" s="141">
        <f t="shared" si="625"/>
        <v>397113.19301637099</v>
      </c>
      <c r="AA1003" s="141">
        <f t="shared" si="625"/>
        <v>397113.19301637099</v>
      </c>
      <c r="AB1003" s="141">
        <f t="shared" si="625"/>
        <v>397113.19301637099</v>
      </c>
      <c r="AC1003" s="141">
        <f t="shared" si="625"/>
        <v>397113.19301637099</v>
      </c>
      <c r="AD1003" s="141">
        <f t="shared" si="625"/>
        <v>397113.19301637099</v>
      </c>
      <c r="AE1003" s="141">
        <f t="shared" si="625"/>
        <v>397113.19301637099</v>
      </c>
      <c r="AF1003" s="141">
        <f t="shared" si="625"/>
        <v>397113.19301637099</v>
      </c>
      <c r="AG1003" s="141">
        <f>AF1003-C1003</f>
        <v>264742.12867758062</v>
      </c>
      <c r="AH1003" s="141"/>
      <c r="AI1003" s="141"/>
      <c r="AJ1003" s="141"/>
      <c r="AK1003" s="141"/>
      <c r="AL1003" s="141"/>
      <c r="AM1003" s="141"/>
      <c r="AN1003" s="141"/>
      <c r="AO1003" s="141"/>
      <c r="AP1003" s="141"/>
      <c r="AQ1003" s="141"/>
      <c r="AR1003" s="141"/>
      <c r="AS1003" s="141"/>
      <c r="AT1003" s="141"/>
      <c r="AU1003" s="141"/>
      <c r="AV1003" s="141"/>
      <c r="AW1003" s="141"/>
      <c r="AX1003" s="141"/>
      <c r="AY1003" s="141"/>
      <c r="AZ1003" s="141"/>
      <c r="BA1003" s="141"/>
      <c r="BB1003" s="141"/>
      <c r="BC1003" s="141"/>
      <c r="BD1003" s="141"/>
      <c r="BE1003" s="141"/>
      <c r="BF1003" s="141"/>
      <c r="BG1003" s="141"/>
      <c r="BH1003" s="141"/>
      <c r="BI1003" s="141"/>
      <c r="BJ1003" s="142"/>
      <c r="BK1003" s="141"/>
      <c r="BL1003" s="141"/>
    </row>
    <row r="1004" spans="1:64" s="148" customFormat="1">
      <c r="A1004" s="111" t="s">
        <v>131</v>
      </c>
      <c r="B1004" s="144"/>
      <c r="C1004" s="145"/>
      <c r="D1004" s="146"/>
      <c r="E1004" s="146"/>
      <c r="F1004" s="146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  <c r="AF1004" s="146"/>
      <c r="AG1004" s="146"/>
      <c r="AH1004" s="146"/>
      <c r="AI1004" s="146"/>
      <c r="AJ1004" s="146"/>
      <c r="AK1004" s="146"/>
      <c r="AL1004" s="146"/>
      <c r="AM1004" s="146"/>
      <c r="AN1004" s="146"/>
      <c r="AO1004" s="146"/>
      <c r="AP1004" s="146"/>
      <c r="AQ1004" s="146"/>
      <c r="AR1004" s="146"/>
      <c r="AS1004" s="146"/>
      <c r="AT1004" s="146"/>
      <c r="AU1004" s="146"/>
      <c r="AV1004" s="146"/>
      <c r="AW1004" s="146"/>
      <c r="AX1004" s="146"/>
      <c r="AY1004" s="146"/>
      <c r="AZ1004" s="146"/>
      <c r="BA1004" s="146"/>
      <c r="BB1004" s="146"/>
      <c r="BC1004" s="146"/>
      <c r="BD1004" s="146"/>
      <c r="BE1004" s="146"/>
      <c r="BF1004" s="146"/>
      <c r="BG1004" s="146"/>
      <c r="BH1004" s="146"/>
      <c r="BI1004" s="146"/>
      <c r="BJ1004" s="147"/>
      <c r="BK1004" s="146"/>
      <c r="BL1004" s="146"/>
    </row>
    <row r="1005" spans="1:64" s="153" customFormat="1" ht="12.75">
      <c r="A1005" s="138" t="s">
        <v>126</v>
      </c>
      <c r="B1005" s="144"/>
      <c r="C1005" s="149"/>
      <c r="D1005" s="150"/>
      <c r="E1005" s="151">
        <f>$B995-E1000</f>
        <v>57612911.264017627</v>
      </c>
      <c r="F1005" s="151">
        <f t="shared" ref="F1005:AJ1008" si="626">E1005-F1000</f>
        <v>56318239.100781277</v>
      </c>
      <c r="G1005" s="151">
        <f t="shared" si="626"/>
        <v>54376230.855926752</v>
      </c>
      <c r="H1005" s="151">
        <f t="shared" si="626"/>
        <v>52434222.611072227</v>
      </c>
      <c r="I1005" s="151">
        <f t="shared" si="626"/>
        <v>50492214.366217703</v>
      </c>
      <c r="J1005" s="151">
        <f t="shared" si="626"/>
        <v>48550206.121363178</v>
      </c>
      <c r="K1005" s="151">
        <f t="shared" si="626"/>
        <v>46608197.876508653</v>
      </c>
      <c r="L1005" s="151">
        <f t="shared" si="626"/>
        <v>44666189.631654128</v>
      </c>
      <c r="M1005" s="151">
        <f t="shared" si="626"/>
        <v>42724181.386799604</v>
      </c>
      <c r="N1005" s="151">
        <f t="shared" si="626"/>
        <v>40782173.141945079</v>
      </c>
      <c r="O1005" s="151">
        <f t="shared" si="626"/>
        <v>38840164.897090554</v>
      </c>
      <c r="P1005" s="151">
        <f t="shared" si="626"/>
        <v>36898156.65223603</v>
      </c>
      <c r="Q1005" s="151">
        <f t="shared" si="626"/>
        <v>34956148.407381505</v>
      </c>
      <c r="R1005" s="151">
        <f t="shared" si="626"/>
        <v>33014140.16252698</v>
      </c>
      <c r="S1005" s="151">
        <f t="shared" si="626"/>
        <v>31072131.917672455</v>
      </c>
      <c r="T1005" s="151">
        <f t="shared" si="626"/>
        <v>29130123.672817931</v>
      </c>
      <c r="U1005" s="151">
        <f t="shared" si="626"/>
        <v>27188115.427963406</v>
      </c>
      <c r="V1005" s="151">
        <f t="shared" si="626"/>
        <v>25246107.183108881</v>
      </c>
      <c r="W1005" s="151">
        <f t="shared" si="626"/>
        <v>23304098.938254356</v>
      </c>
      <c r="X1005" s="151">
        <f t="shared" si="626"/>
        <v>21362090.693399832</v>
      </c>
      <c r="Y1005" s="151">
        <f t="shared" si="626"/>
        <v>19420082.448545307</v>
      </c>
      <c r="Z1005" s="151">
        <f t="shared" si="626"/>
        <v>17478074.203690782</v>
      </c>
      <c r="AA1005" s="151">
        <f t="shared" si="626"/>
        <v>15536065.958836256</v>
      </c>
      <c r="AB1005" s="151">
        <f t="shared" si="626"/>
        <v>13594057.713981729</v>
      </c>
      <c r="AC1005" s="151">
        <f t="shared" si="626"/>
        <v>11652049.469127202</v>
      </c>
      <c r="AD1005" s="151">
        <f t="shared" si="626"/>
        <v>9710041.2242726758</v>
      </c>
      <c r="AE1005" s="151">
        <f t="shared" si="626"/>
        <v>7768032.9794181492</v>
      </c>
      <c r="AF1005" s="151">
        <f t="shared" si="626"/>
        <v>5826024.7345636226</v>
      </c>
      <c r="AG1005" s="151">
        <f t="shared" si="626"/>
        <v>3884016.489709096</v>
      </c>
      <c r="AH1005" s="151">
        <f t="shared" si="626"/>
        <v>1942008.2448545694</v>
      </c>
      <c r="AI1005" s="151">
        <f t="shared" si="626"/>
        <v>647336.08161821845</v>
      </c>
      <c r="AJ1005" s="151">
        <f t="shared" si="626"/>
        <v>4.2957253754138947E-8</v>
      </c>
      <c r="AK1005" s="151"/>
      <c r="AL1005" s="151"/>
      <c r="AM1005" s="151"/>
      <c r="AN1005" s="151"/>
      <c r="AO1005" s="151"/>
      <c r="AP1005" s="151"/>
      <c r="AQ1005" s="151"/>
      <c r="AR1005" s="151"/>
      <c r="AS1005" s="151"/>
      <c r="AT1005" s="151"/>
      <c r="AU1005" s="151"/>
      <c r="AV1005" s="151"/>
      <c r="AW1005" s="151"/>
      <c r="AX1005" s="151"/>
      <c r="AY1005" s="151"/>
      <c r="AZ1005" s="151"/>
      <c r="BA1005" s="151"/>
      <c r="BB1005" s="151"/>
      <c r="BC1005" s="151"/>
      <c r="BD1005" s="151"/>
      <c r="BE1005" s="151"/>
      <c r="BF1005" s="151"/>
      <c r="BG1005" s="151"/>
      <c r="BH1005" s="151"/>
      <c r="BI1005" s="151"/>
      <c r="BJ1005" s="152"/>
      <c r="BK1005" s="151"/>
      <c r="BL1005" s="151"/>
    </row>
    <row r="1006" spans="1:64" s="153" customFormat="1" ht="12.75">
      <c r="A1006" s="138" t="s">
        <v>127</v>
      </c>
      <c r="B1006" s="144"/>
      <c r="C1006" s="149"/>
      <c r="D1006" s="150"/>
      <c r="E1006" s="151">
        <f>$B996-E1001</f>
        <v>7911111.111111111</v>
      </c>
      <c r="F1006" s="151">
        <f t="shared" si="626"/>
        <v>7733333.333333333</v>
      </c>
      <c r="G1006" s="151">
        <f t="shared" si="626"/>
        <v>7466666.666666666</v>
      </c>
      <c r="H1006" s="151">
        <f t="shared" si="626"/>
        <v>7199999.9999999991</v>
      </c>
      <c r="I1006" s="151">
        <f t="shared" si="626"/>
        <v>6933333.3333333321</v>
      </c>
      <c r="J1006" s="151">
        <f t="shared" si="626"/>
        <v>6666666.6666666651</v>
      </c>
      <c r="K1006" s="151">
        <f t="shared" si="626"/>
        <v>6399999.9999999981</v>
      </c>
      <c r="L1006" s="151">
        <f t="shared" si="626"/>
        <v>6133333.3333333312</v>
      </c>
      <c r="M1006" s="151">
        <f t="shared" si="626"/>
        <v>5866666.6666666642</v>
      </c>
      <c r="N1006" s="151">
        <f t="shared" si="626"/>
        <v>5599999.9999999972</v>
      </c>
      <c r="O1006" s="151">
        <f t="shared" si="626"/>
        <v>5333333.3333333302</v>
      </c>
      <c r="P1006" s="151">
        <f t="shared" si="626"/>
        <v>5066666.6666666633</v>
      </c>
      <c r="Q1006" s="151">
        <f t="shared" si="626"/>
        <v>4799999.9999999963</v>
      </c>
      <c r="R1006" s="151">
        <f t="shared" si="626"/>
        <v>4533333.3333333293</v>
      </c>
      <c r="S1006" s="151">
        <f t="shared" si="626"/>
        <v>4266666.6666666623</v>
      </c>
      <c r="T1006" s="151">
        <f t="shared" si="626"/>
        <v>3999999.9999999958</v>
      </c>
      <c r="U1006" s="151">
        <f t="shared" si="626"/>
        <v>3733333.3333333293</v>
      </c>
      <c r="V1006" s="151">
        <f t="shared" si="626"/>
        <v>3466666.6666666628</v>
      </c>
      <c r="W1006" s="151">
        <f t="shared" si="626"/>
        <v>3199999.9999999963</v>
      </c>
      <c r="X1006" s="151">
        <f t="shared" si="626"/>
        <v>2933333.3333333298</v>
      </c>
      <c r="Y1006" s="151">
        <f t="shared" si="626"/>
        <v>2666666.6666666633</v>
      </c>
      <c r="Z1006" s="151">
        <f t="shared" si="626"/>
        <v>2399999.9999999967</v>
      </c>
      <c r="AA1006" s="151">
        <f t="shared" si="626"/>
        <v>2133333.3333333302</v>
      </c>
      <c r="AB1006" s="151">
        <f t="shared" si="626"/>
        <v>1866666.6666666635</v>
      </c>
      <c r="AC1006" s="151">
        <f t="shared" si="626"/>
        <v>1599999.9999999967</v>
      </c>
      <c r="AD1006" s="151">
        <f t="shared" si="626"/>
        <v>1333333.33333333</v>
      </c>
      <c r="AE1006" s="151">
        <f t="shared" si="626"/>
        <v>1066666.6666666633</v>
      </c>
      <c r="AF1006" s="151">
        <f t="shared" si="626"/>
        <v>799999.99999999651</v>
      </c>
      <c r="AG1006" s="151">
        <f t="shared" si="626"/>
        <v>533333.33333332976</v>
      </c>
      <c r="AH1006" s="151">
        <f t="shared" si="626"/>
        <v>266666.66666666308</v>
      </c>
      <c r="AI1006" s="151">
        <f t="shared" si="626"/>
        <v>88888.888888885296</v>
      </c>
      <c r="AJ1006" s="151">
        <f t="shared" si="626"/>
        <v>-3.5943230614066124E-9</v>
      </c>
      <c r="AK1006" s="151"/>
      <c r="AL1006" s="151"/>
      <c r="AM1006" s="151"/>
      <c r="AN1006" s="151"/>
      <c r="AO1006" s="151"/>
      <c r="AP1006" s="151"/>
      <c r="AQ1006" s="151"/>
      <c r="AR1006" s="151"/>
      <c r="AS1006" s="151"/>
      <c r="AT1006" s="151"/>
      <c r="AU1006" s="151"/>
      <c r="AV1006" s="151"/>
      <c r="AW1006" s="151"/>
      <c r="AX1006" s="151"/>
      <c r="AY1006" s="151"/>
      <c r="AZ1006" s="151"/>
      <c r="BA1006" s="151"/>
      <c r="BB1006" s="151"/>
      <c r="BC1006" s="151"/>
      <c r="BD1006" s="151"/>
      <c r="BE1006" s="151"/>
      <c r="BF1006" s="151"/>
      <c r="BG1006" s="151"/>
      <c r="BH1006" s="151"/>
      <c r="BI1006" s="151"/>
      <c r="BJ1006" s="152"/>
      <c r="BK1006" s="151"/>
      <c r="BL1006" s="151"/>
    </row>
    <row r="1007" spans="1:64" s="153" customFormat="1" ht="12.75">
      <c r="A1007" s="138" t="s">
        <v>128</v>
      </c>
      <c r="B1007" s="144"/>
      <c r="C1007" s="154">
        <f>$B997-C1002</f>
        <v>223952328.23262462</v>
      </c>
      <c r="D1007" s="151">
        <f>C1007-D1002</f>
        <v>220946256.71272361</v>
      </c>
      <c r="E1007" s="151">
        <f>D1007-E1002</f>
        <v>216437149.43287212</v>
      </c>
      <c r="F1007" s="151">
        <f t="shared" si="626"/>
        <v>210425006.3930701</v>
      </c>
      <c r="G1007" s="151">
        <f t="shared" si="626"/>
        <v>202909827.5933176</v>
      </c>
      <c r="H1007" s="151">
        <f t="shared" si="626"/>
        <v>195394648.79356509</v>
      </c>
      <c r="I1007" s="151">
        <f t="shared" si="626"/>
        <v>187879469.99381259</v>
      </c>
      <c r="J1007" s="151">
        <f t="shared" si="626"/>
        <v>180364291.19406009</v>
      </c>
      <c r="K1007" s="151">
        <f t="shared" si="626"/>
        <v>172849112.39430758</v>
      </c>
      <c r="L1007" s="151">
        <f t="shared" si="626"/>
        <v>165333933.59455508</v>
      </c>
      <c r="M1007" s="151">
        <f t="shared" si="626"/>
        <v>157818754.79480258</v>
      </c>
      <c r="N1007" s="151">
        <f t="shared" si="626"/>
        <v>150303575.99505007</v>
      </c>
      <c r="O1007" s="151">
        <f t="shared" si="626"/>
        <v>142788397.19529757</v>
      </c>
      <c r="P1007" s="151">
        <f t="shared" si="626"/>
        <v>135273218.39554507</v>
      </c>
      <c r="Q1007" s="151">
        <f t="shared" si="626"/>
        <v>127758039.59579256</v>
      </c>
      <c r="R1007" s="151">
        <f t="shared" si="626"/>
        <v>120242860.79604006</v>
      </c>
      <c r="S1007" s="151">
        <f t="shared" si="626"/>
        <v>112727681.99628755</v>
      </c>
      <c r="T1007" s="151">
        <f t="shared" si="626"/>
        <v>105212503.19653505</v>
      </c>
      <c r="U1007" s="151">
        <f t="shared" si="626"/>
        <v>97697324.396782547</v>
      </c>
      <c r="V1007" s="151">
        <f t="shared" si="626"/>
        <v>90182145.597030044</v>
      </c>
      <c r="W1007" s="151">
        <f t="shared" si="626"/>
        <v>82666966.79727754</v>
      </c>
      <c r="X1007" s="151">
        <f t="shared" si="626"/>
        <v>75151787.997525036</v>
      </c>
      <c r="Y1007" s="151">
        <f t="shared" si="626"/>
        <v>67636609.197772533</v>
      </c>
      <c r="Z1007" s="151">
        <f t="shared" si="626"/>
        <v>60121430.398020029</v>
      </c>
      <c r="AA1007" s="151">
        <f t="shared" si="626"/>
        <v>52606251.598267525</v>
      </c>
      <c r="AB1007" s="151">
        <f t="shared" si="626"/>
        <v>45091072.798515022</v>
      </c>
      <c r="AC1007" s="151">
        <f t="shared" si="626"/>
        <v>37575893.998762518</v>
      </c>
      <c r="AD1007" s="151">
        <f t="shared" si="626"/>
        <v>30060715.199010015</v>
      </c>
      <c r="AE1007" s="151">
        <f t="shared" si="626"/>
        <v>22545536.399257511</v>
      </c>
      <c r="AF1007" s="151">
        <f t="shared" si="626"/>
        <v>15030357.599505007</v>
      </c>
      <c r="AG1007" s="151">
        <f t="shared" si="626"/>
        <v>9018214.5597030036</v>
      </c>
      <c r="AH1007" s="151">
        <f t="shared" si="626"/>
        <v>4509107.2798515018</v>
      </c>
      <c r="AI1007" s="151">
        <f t="shared" si="626"/>
        <v>1503035.7599505004</v>
      </c>
      <c r="AJ1007" s="151">
        <f t="shared" si="626"/>
        <v>0</v>
      </c>
      <c r="AK1007" s="151"/>
      <c r="AL1007" s="151"/>
      <c r="AM1007" s="151"/>
      <c r="AN1007" s="151"/>
      <c r="AO1007" s="151"/>
      <c r="AP1007" s="151"/>
      <c r="AQ1007" s="151"/>
      <c r="AR1007" s="151"/>
      <c r="AS1007" s="151"/>
      <c r="AT1007" s="151"/>
      <c r="AU1007" s="151"/>
      <c r="AV1007" s="151"/>
      <c r="AW1007" s="151"/>
      <c r="AX1007" s="151"/>
      <c r="AY1007" s="151"/>
      <c r="AZ1007" s="151"/>
      <c r="BA1007" s="151"/>
      <c r="BB1007" s="151"/>
      <c r="BC1007" s="151"/>
      <c r="BD1007" s="151"/>
      <c r="BE1007" s="151"/>
      <c r="BF1007" s="151"/>
      <c r="BG1007" s="151"/>
      <c r="BH1007" s="151"/>
      <c r="BI1007" s="151"/>
      <c r="BJ1007" s="152"/>
      <c r="BK1007" s="151"/>
      <c r="BL1007" s="151"/>
    </row>
    <row r="1008" spans="1:64" s="153" customFormat="1" ht="12.75">
      <c r="A1008" s="138" t="s">
        <v>129</v>
      </c>
      <c r="B1008" s="144"/>
      <c r="C1008" s="154">
        <f>$B998-C1003</f>
        <v>11781024.72615234</v>
      </c>
      <c r="D1008" s="151">
        <f>C1008-D1003</f>
        <v>11383911.533135969</v>
      </c>
      <c r="E1008" s="151">
        <f>D1008-E1003</f>
        <v>10986798.340119598</v>
      </c>
      <c r="F1008" s="151">
        <f t="shared" si="626"/>
        <v>10589685.147103228</v>
      </c>
      <c r="G1008" s="151">
        <f t="shared" si="626"/>
        <v>10192571.954086857</v>
      </c>
      <c r="H1008" s="151">
        <f t="shared" si="626"/>
        <v>9795458.7610704862</v>
      </c>
      <c r="I1008" s="151">
        <f t="shared" si="626"/>
        <v>9398345.5680541154</v>
      </c>
      <c r="J1008" s="151">
        <f t="shared" si="626"/>
        <v>9001232.3750377446</v>
      </c>
      <c r="K1008" s="151">
        <f t="shared" si="626"/>
        <v>8604119.1820213739</v>
      </c>
      <c r="L1008" s="151">
        <f t="shared" si="626"/>
        <v>8207005.9890050031</v>
      </c>
      <c r="M1008" s="151">
        <f t="shared" si="626"/>
        <v>7809892.7959886324</v>
      </c>
      <c r="N1008" s="151">
        <f t="shared" si="626"/>
        <v>7412779.6029722616</v>
      </c>
      <c r="O1008" s="151">
        <f t="shared" si="626"/>
        <v>7015666.4099558908</v>
      </c>
      <c r="P1008" s="151">
        <f t="shared" si="626"/>
        <v>6618553.2169395201</v>
      </c>
      <c r="Q1008" s="151">
        <f t="shared" si="626"/>
        <v>6221440.0239231493</v>
      </c>
      <c r="R1008" s="151">
        <f t="shared" si="626"/>
        <v>5824326.8309067786</v>
      </c>
      <c r="S1008" s="151">
        <f t="shared" si="626"/>
        <v>5427213.6378904078</v>
      </c>
      <c r="T1008" s="151">
        <f t="shared" si="626"/>
        <v>5030100.4448740371</v>
      </c>
      <c r="U1008" s="151">
        <f t="shared" si="626"/>
        <v>4632987.2518576663</v>
      </c>
      <c r="V1008" s="151">
        <f t="shared" si="626"/>
        <v>4235874.0588412955</v>
      </c>
      <c r="W1008" s="151">
        <f t="shared" si="626"/>
        <v>3838760.8658249248</v>
      </c>
      <c r="X1008" s="151">
        <f t="shared" si="626"/>
        <v>3441647.672808554</v>
      </c>
      <c r="Y1008" s="151">
        <f t="shared" si="626"/>
        <v>3044534.4797921833</v>
      </c>
      <c r="Z1008" s="151">
        <f t="shared" si="626"/>
        <v>2647421.2867758125</v>
      </c>
      <c r="AA1008" s="151">
        <f t="shared" si="626"/>
        <v>2250308.0937594417</v>
      </c>
      <c r="AB1008" s="151">
        <f t="shared" si="626"/>
        <v>1853194.9007430708</v>
      </c>
      <c r="AC1008" s="151">
        <f t="shared" si="626"/>
        <v>1456081.7077266998</v>
      </c>
      <c r="AD1008" s="151">
        <f t="shared" si="626"/>
        <v>1058968.5147103288</v>
      </c>
      <c r="AE1008" s="151">
        <f t="shared" si="626"/>
        <v>661855.32169395778</v>
      </c>
      <c r="AF1008" s="151">
        <f t="shared" si="626"/>
        <v>264742.12867758679</v>
      </c>
      <c r="AG1008" s="151">
        <f t="shared" si="626"/>
        <v>6.1700120568275452E-9</v>
      </c>
      <c r="AH1008" s="151">
        <f t="shared" si="626"/>
        <v>6.1700120568275452E-9</v>
      </c>
      <c r="AI1008" s="151">
        <f t="shared" si="626"/>
        <v>6.1700120568275452E-9</v>
      </c>
      <c r="AJ1008" s="151">
        <f t="shared" si="626"/>
        <v>6.1700120568275452E-9</v>
      </c>
      <c r="AK1008" s="151"/>
      <c r="AL1008" s="151"/>
      <c r="AM1008" s="151"/>
      <c r="AN1008" s="151"/>
      <c r="AO1008" s="151"/>
      <c r="AP1008" s="151"/>
      <c r="AQ1008" s="151"/>
      <c r="AR1008" s="151"/>
      <c r="AS1008" s="151"/>
      <c r="AT1008" s="151"/>
      <c r="AU1008" s="151"/>
      <c r="AV1008" s="151"/>
      <c r="AW1008" s="151"/>
      <c r="AX1008" s="151"/>
      <c r="AY1008" s="151"/>
      <c r="AZ1008" s="151"/>
      <c r="BA1008" s="151"/>
      <c r="BB1008" s="151"/>
      <c r="BC1008" s="151"/>
      <c r="BD1008" s="151"/>
      <c r="BE1008" s="151"/>
      <c r="BF1008" s="151"/>
      <c r="BG1008" s="151"/>
      <c r="BH1008" s="151"/>
      <c r="BI1008" s="151"/>
      <c r="BJ1008" s="152"/>
      <c r="BK1008" s="151"/>
      <c r="BL1008" s="151"/>
    </row>
    <row r="1009" spans="1:64" s="116" customFormat="1">
      <c r="A1009" s="111" t="s">
        <v>132</v>
      </c>
      <c r="B1009" s="155">
        <f>SUM(B1010:B1013)</f>
        <v>441118469.35552585</v>
      </c>
      <c r="C1009" s="117">
        <f>SUM(C1010:C1013)</f>
        <v>23736875.978306625</v>
      </c>
      <c r="D1009" s="118">
        <f t="shared" ref="D1009:AJ1009" si="627">SUM(D1010:D1013)</f>
        <v>23573335.295877699</v>
      </c>
      <c r="E1009" s="118">
        <f t="shared" si="627"/>
        <v>29859041.559149541</v>
      </c>
      <c r="F1009" s="118">
        <f t="shared" si="627"/>
        <v>29294797.014812049</v>
      </c>
      <c r="G1009" s="118">
        <f t="shared" si="627"/>
        <v>28506626.397428796</v>
      </c>
      <c r="H1009" s="118">
        <f t="shared" si="627"/>
        <v>27494529.706999794</v>
      </c>
      <c r="I1009" s="118">
        <f t="shared" si="627"/>
        <v>26482433.01657078</v>
      </c>
      <c r="J1009" s="118">
        <f t="shared" si="627"/>
        <v>25470336.326141775</v>
      </c>
      <c r="K1009" s="118">
        <f t="shared" si="627"/>
        <v>24458239.635712773</v>
      </c>
      <c r="L1009" s="118">
        <f t="shared" si="627"/>
        <v>23446142.945283759</v>
      </c>
      <c r="M1009" s="118">
        <f t="shared" si="627"/>
        <v>22434046.254854757</v>
      </c>
      <c r="N1009" s="118">
        <f t="shared" si="627"/>
        <v>21421949.564425748</v>
      </c>
      <c r="O1009" s="118">
        <f t="shared" si="627"/>
        <v>20409852.873996742</v>
      </c>
      <c r="P1009" s="118">
        <f t="shared" si="627"/>
        <v>19397756.183567736</v>
      </c>
      <c r="Q1009" s="118">
        <f t="shared" si="627"/>
        <v>18385659.493138731</v>
      </c>
      <c r="R1009" s="118">
        <f t="shared" si="627"/>
        <v>17373562.802709721</v>
      </c>
      <c r="S1009" s="118">
        <f t="shared" si="627"/>
        <v>16361466.112280717</v>
      </c>
      <c r="T1009" s="118">
        <f t="shared" si="627"/>
        <v>15349369.421851708</v>
      </c>
      <c r="U1009" s="118">
        <f t="shared" si="627"/>
        <v>14337272.731422702</v>
      </c>
      <c r="V1009" s="118">
        <f t="shared" si="627"/>
        <v>13325176.040993696</v>
      </c>
      <c r="W1009" s="118">
        <f t="shared" si="627"/>
        <v>0</v>
      </c>
      <c r="X1009" s="118">
        <f t="shared" si="627"/>
        <v>0</v>
      </c>
      <c r="Y1009" s="118">
        <f t="shared" si="627"/>
        <v>0</v>
      </c>
      <c r="Z1009" s="118">
        <f t="shared" si="627"/>
        <v>0</v>
      </c>
      <c r="AA1009" s="118">
        <f t="shared" si="627"/>
        <v>0</v>
      </c>
      <c r="AB1009" s="118">
        <f t="shared" si="627"/>
        <v>0</v>
      </c>
      <c r="AC1009" s="118">
        <f t="shared" si="627"/>
        <v>0</v>
      </c>
      <c r="AD1009" s="118">
        <f t="shared" si="627"/>
        <v>0</v>
      </c>
      <c r="AE1009" s="118">
        <f t="shared" si="627"/>
        <v>0</v>
      </c>
      <c r="AF1009" s="118">
        <f t="shared" si="627"/>
        <v>0</v>
      </c>
      <c r="AG1009" s="118">
        <f t="shared" si="627"/>
        <v>0</v>
      </c>
      <c r="AH1009" s="118">
        <f t="shared" si="627"/>
        <v>0</v>
      </c>
      <c r="AI1009" s="118">
        <f t="shared" si="627"/>
        <v>0</v>
      </c>
      <c r="AJ1009" s="118">
        <f t="shared" si="627"/>
        <v>0</v>
      </c>
      <c r="AK1009" s="118"/>
      <c r="AL1009" s="118"/>
      <c r="AM1009" s="118"/>
      <c r="AN1009" s="118"/>
      <c r="AO1009" s="118"/>
      <c r="AP1009" s="118"/>
      <c r="AQ1009" s="118"/>
      <c r="AR1009" s="118"/>
      <c r="AS1009" s="118"/>
      <c r="AT1009" s="118"/>
      <c r="AU1009" s="118"/>
      <c r="AV1009" s="118"/>
      <c r="AW1009" s="118"/>
      <c r="AX1009" s="118"/>
      <c r="AY1009" s="118"/>
      <c r="AZ1009" s="118"/>
      <c r="BA1009" s="118"/>
      <c r="BB1009" s="118"/>
      <c r="BC1009" s="118"/>
      <c r="BD1009" s="118"/>
      <c r="BE1009" s="118"/>
      <c r="BF1009" s="118"/>
      <c r="BG1009" s="118"/>
      <c r="BH1009" s="118"/>
      <c r="BI1009" s="118"/>
      <c r="BJ1009" s="119"/>
      <c r="BK1009" s="118"/>
      <c r="BL1009" s="118"/>
    </row>
    <row r="1010" spans="1:64" s="143" customFormat="1" ht="12.75">
      <c r="A1010" s="138" t="s">
        <v>126</v>
      </c>
      <c r="B1010" s="139">
        <f>SUM(C1010:BJ1010)</f>
        <v>78392399.483961105</v>
      </c>
      <c r="C1010" s="140"/>
      <c r="D1010" s="141"/>
      <c r="E1010" s="226">
        <f>IF(AND(E982&gt;5,E983=0),0,(E1005+E1000)*$I981)</f>
        <v>5826024.7345635807</v>
      </c>
      <c r="F1010" s="141">
        <f>IF(AND(F982&gt;5,F983=0),0,(F1005+F1000)*$I981)</f>
        <v>5761291.1264017634</v>
      </c>
      <c r="G1010" s="141">
        <f t="shared" ref="G1010:BJ1010" si="628">IF(AND(G982&gt;5,G983=0),0,(G1005+G1000)*$I981)</f>
        <v>5631823.9100781279</v>
      </c>
      <c r="H1010" s="141">
        <f t="shared" si="628"/>
        <v>5437623.085592676</v>
      </c>
      <c r="I1010" s="141">
        <f t="shared" si="628"/>
        <v>5243422.2611072231</v>
      </c>
      <c r="J1010" s="141">
        <f t="shared" si="628"/>
        <v>5049221.4366217703</v>
      </c>
      <c r="K1010" s="141">
        <f t="shared" si="628"/>
        <v>4855020.6121363183</v>
      </c>
      <c r="L1010" s="141">
        <f t="shared" si="628"/>
        <v>4660819.7876508655</v>
      </c>
      <c r="M1010" s="141">
        <f t="shared" si="628"/>
        <v>4466618.9631654127</v>
      </c>
      <c r="N1010" s="141">
        <f t="shared" si="628"/>
        <v>4272418.1386799607</v>
      </c>
      <c r="O1010" s="141">
        <f t="shared" si="628"/>
        <v>4078217.3141945079</v>
      </c>
      <c r="P1010" s="141">
        <f t="shared" si="628"/>
        <v>3884016.4897090555</v>
      </c>
      <c r="Q1010" s="141">
        <f t="shared" si="628"/>
        <v>3689815.6652236031</v>
      </c>
      <c r="R1010" s="141">
        <f t="shared" si="628"/>
        <v>3495614.8407381508</v>
      </c>
      <c r="S1010" s="141">
        <f t="shared" si="628"/>
        <v>3301414.0162526984</v>
      </c>
      <c r="T1010" s="141">
        <f t="shared" si="628"/>
        <v>3107213.1917672455</v>
      </c>
      <c r="U1010" s="141">
        <f t="shared" si="628"/>
        <v>2913012.3672817932</v>
      </c>
      <c r="V1010" s="141">
        <f t="shared" si="628"/>
        <v>2718811.5427963408</v>
      </c>
      <c r="W1010" s="141">
        <f t="shared" si="628"/>
        <v>0</v>
      </c>
      <c r="X1010" s="141">
        <f t="shared" si="628"/>
        <v>0</v>
      </c>
      <c r="Y1010" s="141">
        <f t="shared" si="628"/>
        <v>0</v>
      </c>
      <c r="Z1010" s="141">
        <f t="shared" si="628"/>
        <v>0</v>
      </c>
      <c r="AA1010" s="141">
        <f t="shared" si="628"/>
        <v>0</v>
      </c>
      <c r="AB1010" s="141">
        <f t="shared" si="628"/>
        <v>0</v>
      </c>
      <c r="AC1010" s="141">
        <f t="shared" si="628"/>
        <v>0</v>
      </c>
      <c r="AD1010" s="141">
        <f t="shared" si="628"/>
        <v>0</v>
      </c>
      <c r="AE1010" s="141">
        <f t="shared" si="628"/>
        <v>0</v>
      </c>
      <c r="AF1010" s="141">
        <f t="shared" si="628"/>
        <v>0</v>
      </c>
      <c r="AG1010" s="141">
        <f t="shared" si="628"/>
        <v>0</v>
      </c>
      <c r="AH1010" s="141">
        <f t="shared" si="628"/>
        <v>0</v>
      </c>
      <c r="AI1010" s="141">
        <f t="shared" si="628"/>
        <v>0</v>
      </c>
      <c r="AJ1010" s="141">
        <f t="shared" si="628"/>
        <v>0</v>
      </c>
      <c r="AK1010" s="141">
        <f t="shared" si="628"/>
        <v>0</v>
      </c>
      <c r="AL1010" s="141">
        <f t="shared" si="628"/>
        <v>0</v>
      </c>
      <c r="AM1010" s="141">
        <f t="shared" si="628"/>
        <v>0</v>
      </c>
      <c r="AN1010" s="141">
        <f t="shared" si="628"/>
        <v>0</v>
      </c>
      <c r="AO1010" s="141">
        <f t="shared" si="628"/>
        <v>0</v>
      </c>
      <c r="AP1010" s="141">
        <f t="shared" si="628"/>
        <v>0</v>
      </c>
      <c r="AQ1010" s="141">
        <f t="shared" si="628"/>
        <v>0</v>
      </c>
      <c r="AR1010" s="141">
        <f t="shared" si="628"/>
        <v>0</v>
      </c>
      <c r="AS1010" s="141">
        <f t="shared" si="628"/>
        <v>0</v>
      </c>
      <c r="AT1010" s="141">
        <f t="shared" si="628"/>
        <v>0</v>
      </c>
      <c r="AU1010" s="141">
        <f t="shared" si="628"/>
        <v>0</v>
      </c>
      <c r="AV1010" s="141">
        <f t="shared" si="628"/>
        <v>0</v>
      </c>
      <c r="AW1010" s="141">
        <f t="shared" si="628"/>
        <v>0</v>
      </c>
      <c r="AX1010" s="141">
        <f t="shared" si="628"/>
        <v>0</v>
      </c>
      <c r="AY1010" s="141">
        <f t="shared" si="628"/>
        <v>0</v>
      </c>
      <c r="AZ1010" s="141">
        <f t="shared" si="628"/>
        <v>0</v>
      </c>
      <c r="BA1010" s="141">
        <f t="shared" si="628"/>
        <v>0</v>
      </c>
      <c r="BB1010" s="141">
        <f t="shared" si="628"/>
        <v>0</v>
      </c>
      <c r="BC1010" s="141">
        <f t="shared" si="628"/>
        <v>0</v>
      </c>
      <c r="BD1010" s="141">
        <f t="shared" si="628"/>
        <v>0</v>
      </c>
      <c r="BE1010" s="141">
        <f t="shared" si="628"/>
        <v>0</v>
      </c>
      <c r="BF1010" s="141">
        <f t="shared" si="628"/>
        <v>0</v>
      </c>
      <c r="BG1010" s="141">
        <f t="shared" si="628"/>
        <v>0</v>
      </c>
      <c r="BH1010" s="141">
        <f t="shared" si="628"/>
        <v>0</v>
      </c>
      <c r="BI1010" s="141">
        <f t="shared" si="628"/>
        <v>0</v>
      </c>
      <c r="BJ1010" s="142">
        <f t="shared" si="628"/>
        <v>0</v>
      </c>
      <c r="BK1010" s="141"/>
      <c r="BL1010" s="141"/>
    </row>
    <row r="1011" spans="1:64" s="143" customFormat="1" ht="12.75">
      <c r="A1011" s="138" t="s">
        <v>127</v>
      </c>
      <c r="B1011" s="139">
        <f>SUM(C1011:BJ1011)</f>
        <v>10764444.444444438</v>
      </c>
      <c r="C1011" s="140"/>
      <c r="D1011" s="141"/>
      <c r="E1011" s="226">
        <f>IF(AND(E982&gt;5,E983=0),0,(E1006+E1001)*$I981)</f>
        <v>800000</v>
      </c>
      <c r="F1011" s="141">
        <f t="shared" ref="F1011:BJ1011" si="629">IF(AND(F982&gt;5,F983=0),0,(F1006+F1001)*$I981)</f>
        <v>791111.11111111112</v>
      </c>
      <c r="G1011" s="141">
        <f t="shared" si="629"/>
        <v>773333.33333333337</v>
      </c>
      <c r="H1011" s="141">
        <f t="shared" si="629"/>
        <v>746666.66666666663</v>
      </c>
      <c r="I1011" s="141">
        <f t="shared" si="629"/>
        <v>720000</v>
      </c>
      <c r="J1011" s="141">
        <f t="shared" si="629"/>
        <v>693333.33333333326</v>
      </c>
      <c r="K1011" s="141">
        <f t="shared" si="629"/>
        <v>666666.66666666651</v>
      </c>
      <c r="L1011" s="141">
        <f t="shared" si="629"/>
        <v>639999.99999999988</v>
      </c>
      <c r="M1011" s="141">
        <f t="shared" si="629"/>
        <v>613333.33333333314</v>
      </c>
      <c r="N1011" s="141">
        <f t="shared" si="629"/>
        <v>586666.6666666664</v>
      </c>
      <c r="O1011" s="141">
        <f t="shared" si="629"/>
        <v>559999.99999999977</v>
      </c>
      <c r="P1011" s="141">
        <f t="shared" si="629"/>
        <v>533333.33333333302</v>
      </c>
      <c r="Q1011" s="141">
        <f t="shared" si="629"/>
        <v>506666.66666666634</v>
      </c>
      <c r="R1011" s="141">
        <f t="shared" si="629"/>
        <v>479999.99999999965</v>
      </c>
      <c r="S1011" s="141">
        <f t="shared" si="629"/>
        <v>453333.33333333296</v>
      </c>
      <c r="T1011" s="141">
        <f t="shared" si="629"/>
        <v>426666.66666666628</v>
      </c>
      <c r="U1011" s="141">
        <f t="shared" si="629"/>
        <v>399999.99999999959</v>
      </c>
      <c r="V1011" s="141">
        <f t="shared" si="629"/>
        <v>373333.33333333296</v>
      </c>
      <c r="W1011" s="141">
        <f t="shared" si="629"/>
        <v>0</v>
      </c>
      <c r="X1011" s="141">
        <f t="shared" si="629"/>
        <v>0</v>
      </c>
      <c r="Y1011" s="141">
        <f t="shared" si="629"/>
        <v>0</v>
      </c>
      <c r="Z1011" s="141">
        <f t="shared" si="629"/>
        <v>0</v>
      </c>
      <c r="AA1011" s="141">
        <f t="shared" si="629"/>
        <v>0</v>
      </c>
      <c r="AB1011" s="141">
        <f t="shared" si="629"/>
        <v>0</v>
      </c>
      <c r="AC1011" s="141">
        <f t="shared" si="629"/>
        <v>0</v>
      </c>
      <c r="AD1011" s="141">
        <f t="shared" si="629"/>
        <v>0</v>
      </c>
      <c r="AE1011" s="141">
        <f t="shared" si="629"/>
        <v>0</v>
      </c>
      <c r="AF1011" s="141">
        <f t="shared" si="629"/>
        <v>0</v>
      </c>
      <c r="AG1011" s="141">
        <f t="shared" si="629"/>
        <v>0</v>
      </c>
      <c r="AH1011" s="141">
        <f t="shared" si="629"/>
        <v>0</v>
      </c>
      <c r="AI1011" s="141">
        <f t="shared" si="629"/>
        <v>0</v>
      </c>
      <c r="AJ1011" s="141">
        <f t="shared" si="629"/>
        <v>0</v>
      </c>
      <c r="AK1011" s="141">
        <f t="shared" si="629"/>
        <v>0</v>
      </c>
      <c r="AL1011" s="141">
        <f t="shared" si="629"/>
        <v>0</v>
      </c>
      <c r="AM1011" s="141">
        <f t="shared" si="629"/>
        <v>0</v>
      </c>
      <c r="AN1011" s="141">
        <f t="shared" si="629"/>
        <v>0</v>
      </c>
      <c r="AO1011" s="141">
        <f t="shared" si="629"/>
        <v>0</v>
      </c>
      <c r="AP1011" s="141">
        <f t="shared" si="629"/>
        <v>0</v>
      </c>
      <c r="AQ1011" s="141">
        <f t="shared" si="629"/>
        <v>0</v>
      </c>
      <c r="AR1011" s="141">
        <f t="shared" si="629"/>
        <v>0</v>
      </c>
      <c r="AS1011" s="141">
        <f t="shared" si="629"/>
        <v>0</v>
      </c>
      <c r="AT1011" s="141">
        <f t="shared" si="629"/>
        <v>0</v>
      </c>
      <c r="AU1011" s="141">
        <f t="shared" si="629"/>
        <v>0</v>
      </c>
      <c r="AV1011" s="141">
        <f t="shared" si="629"/>
        <v>0</v>
      </c>
      <c r="AW1011" s="141">
        <f t="shared" si="629"/>
        <v>0</v>
      </c>
      <c r="AX1011" s="141">
        <f t="shared" si="629"/>
        <v>0</v>
      </c>
      <c r="AY1011" s="141">
        <f t="shared" si="629"/>
        <v>0</v>
      </c>
      <c r="AZ1011" s="141">
        <f t="shared" si="629"/>
        <v>0</v>
      </c>
      <c r="BA1011" s="141">
        <f t="shared" si="629"/>
        <v>0</v>
      </c>
      <c r="BB1011" s="141">
        <f t="shared" si="629"/>
        <v>0</v>
      </c>
      <c r="BC1011" s="141">
        <f t="shared" si="629"/>
        <v>0</v>
      </c>
      <c r="BD1011" s="141">
        <f t="shared" si="629"/>
        <v>0</v>
      </c>
      <c r="BE1011" s="141">
        <f t="shared" si="629"/>
        <v>0</v>
      </c>
      <c r="BF1011" s="141">
        <f t="shared" si="629"/>
        <v>0</v>
      </c>
      <c r="BG1011" s="141">
        <f t="shared" si="629"/>
        <v>0</v>
      </c>
      <c r="BH1011" s="141">
        <f t="shared" si="629"/>
        <v>0</v>
      </c>
      <c r="BI1011" s="141">
        <f t="shared" si="629"/>
        <v>0</v>
      </c>
      <c r="BJ1011" s="142">
        <f t="shared" si="629"/>
        <v>0</v>
      </c>
      <c r="BK1011" s="141"/>
      <c r="BL1011" s="141"/>
    </row>
    <row r="1012" spans="1:64" s="143" customFormat="1" ht="12.75">
      <c r="A1012" s="138" t="s">
        <v>128</v>
      </c>
      <c r="B1012" s="139">
        <f>SUM(C1012:BJ1012)</f>
        <v>335176974.46896172</v>
      </c>
      <c r="C1012" s="227">
        <f>IF(AND(C982&gt;5,C983=0),0,(C1007+C1002)*$I981)</f>
        <v>22545536.399257511</v>
      </c>
      <c r="D1012" s="141">
        <f>IF(AND(D982&gt;5,D983=0),0,(D1007+D1002)*$I981)</f>
        <v>22395232.823262464</v>
      </c>
      <c r="E1012" s="141">
        <f t="shared" ref="E1012:BJ1012" si="630">IF(AND(E982&gt;5,E983=0),0,(E1007+E1002)*$I981)</f>
        <v>22094625.671272364</v>
      </c>
      <c r="F1012" s="141">
        <f t="shared" si="630"/>
        <v>21643714.943287212</v>
      </c>
      <c r="G1012" s="141">
        <f t="shared" si="630"/>
        <v>21042500.639307011</v>
      </c>
      <c r="H1012" s="141">
        <f t="shared" si="630"/>
        <v>20290982.759331763</v>
      </c>
      <c r="I1012" s="141">
        <f t="shared" si="630"/>
        <v>19539464.879356511</v>
      </c>
      <c r="J1012" s="141">
        <f t="shared" si="630"/>
        <v>18787946.999381259</v>
      </c>
      <c r="K1012" s="141">
        <f t="shared" si="630"/>
        <v>18036429.119406011</v>
      </c>
      <c r="L1012" s="141">
        <f t="shared" si="630"/>
        <v>17284911.239430759</v>
      </c>
      <c r="M1012" s="141">
        <f t="shared" si="630"/>
        <v>16533393.359455509</v>
      </c>
      <c r="N1012" s="141">
        <f t="shared" si="630"/>
        <v>15781875.479480259</v>
      </c>
      <c r="O1012" s="141">
        <f t="shared" si="630"/>
        <v>15030357.599505007</v>
      </c>
      <c r="P1012" s="141">
        <f t="shared" si="630"/>
        <v>14278839.719529757</v>
      </c>
      <c r="Q1012" s="141">
        <f t="shared" si="630"/>
        <v>13527321.839554507</v>
      </c>
      <c r="R1012" s="141">
        <f t="shared" si="630"/>
        <v>12775803.959579257</v>
      </c>
      <c r="S1012" s="141">
        <f t="shared" si="630"/>
        <v>12024286.079604007</v>
      </c>
      <c r="T1012" s="141">
        <f t="shared" si="630"/>
        <v>11272768.199628755</v>
      </c>
      <c r="U1012" s="141">
        <f t="shared" si="630"/>
        <v>10521250.319653505</v>
      </c>
      <c r="V1012" s="141">
        <f t="shared" si="630"/>
        <v>9769732.4396782555</v>
      </c>
      <c r="W1012" s="141">
        <f t="shared" si="630"/>
        <v>0</v>
      </c>
      <c r="X1012" s="141">
        <f t="shared" si="630"/>
        <v>0</v>
      </c>
      <c r="Y1012" s="141">
        <f t="shared" si="630"/>
        <v>0</v>
      </c>
      <c r="Z1012" s="141">
        <f t="shared" si="630"/>
        <v>0</v>
      </c>
      <c r="AA1012" s="141">
        <f t="shared" si="630"/>
        <v>0</v>
      </c>
      <c r="AB1012" s="141">
        <f t="shared" si="630"/>
        <v>0</v>
      </c>
      <c r="AC1012" s="141">
        <f t="shared" si="630"/>
        <v>0</v>
      </c>
      <c r="AD1012" s="141">
        <f t="shared" si="630"/>
        <v>0</v>
      </c>
      <c r="AE1012" s="141">
        <f t="shared" si="630"/>
        <v>0</v>
      </c>
      <c r="AF1012" s="141">
        <f t="shared" si="630"/>
        <v>0</v>
      </c>
      <c r="AG1012" s="141">
        <f t="shared" si="630"/>
        <v>0</v>
      </c>
      <c r="AH1012" s="141">
        <f t="shared" si="630"/>
        <v>0</v>
      </c>
      <c r="AI1012" s="141">
        <f t="shared" si="630"/>
        <v>0</v>
      </c>
      <c r="AJ1012" s="141">
        <f t="shared" si="630"/>
        <v>0</v>
      </c>
      <c r="AK1012" s="141">
        <f t="shared" si="630"/>
        <v>0</v>
      </c>
      <c r="AL1012" s="141">
        <f t="shared" si="630"/>
        <v>0</v>
      </c>
      <c r="AM1012" s="141">
        <f t="shared" si="630"/>
        <v>0</v>
      </c>
      <c r="AN1012" s="141">
        <f t="shared" si="630"/>
        <v>0</v>
      </c>
      <c r="AO1012" s="141">
        <f t="shared" si="630"/>
        <v>0</v>
      </c>
      <c r="AP1012" s="141">
        <f t="shared" si="630"/>
        <v>0</v>
      </c>
      <c r="AQ1012" s="141">
        <f t="shared" si="630"/>
        <v>0</v>
      </c>
      <c r="AR1012" s="141">
        <f t="shared" si="630"/>
        <v>0</v>
      </c>
      <c r="AS1012" s="141">
        <f t="shared" si="630"/>
        <v>0</v>
      </c>
      <c r="AT1012" s="141">
        <f t="shared" si="630"/>
        <v>0</v>
      </c>
      <c r="AU1012" s="141">
        <f t="shared" si="630"/>
        <v>0</v>
      </c>
      <c r="AV1012" s="141">
        <f t="shared" si="630"/>
        <v>0</v>
      </c>
      <c r="AW1012" s="141">
        <f t="shared" si="630"/>
        <v>0</v>
      </c>
      <c r="AX1012" s="141">
        <f t="shared" si="630"/>
        <v>0</v>
      </c>
      <c r="AY1012" s="141">
        <f t="shared" si="630"/>
        <v>0</v>
      </c>
      <c r="AZ1012" s="141">
        <f t="shared" si="630"/>
        <v>0</v>
      </c>
      <c r="BA1012" s="141">
        <f t="shared" si="630"/>
        <v>0</v>
      </c>
      <c r="BB1012" s="141">
        <f t="shared" si="630"/>
        <v>0</v>
      </c>
      <c r="BC1012" s="141">
        <f t="shared" si="630"/>
        <v>0</v>
      </c>
      <c r="BD1012" s="141">
        <f t="shared" si="630"/>
        <v>0</v>
      </c>
      <c r="BE1012" s="141">
        <f t="shared" si="630"/>
        <v>0</v>
      </c>
      <c r="BF1012" s="141">
        <f t="shared" si="630"/>
        <v>0</v>
      </c>
      <c r="BG1012" s="141">
        <f t="shared" si="630"/>
        <v>0</v>
      </c>
      <c r="BH1012" s="141">
        <f t="shared" si="630"/>
        <v>0</v>
      </c>
      <c r="BI1012" s="141">
        <f t="shared" si="630"/>
        <v>0</v>
      </c>
      <c r="BJ1012" s="142">
        <f t="shared" si="630"/>
        <v>0</v>
      </c>
      <c r="BK1012" s="141"/>
      <c r="BL1012" s="141"/>
    </row>
    <row r="1013" spans="1:64" s="143" customFormat="1" ht="12.75">
      <c r="A1013" s="138" t="s">
        <v>129</v>
      </c>
      <c r="B1013" s="139">
        <f>SUM(C1013:BJ1013)</f>
        <v>16784650.958158616</v>
      </c>
      <c r="C1013" s="227">
        <f>IF(AND(C982&gt;5,C983=0),0,(C1008+C1003)*$I981)</f>
        <v>1191339.579049113</v>
      </c>
      <c r="D1013" s="141">
        <f>IF(AND(D982&gt;5,D983=0),0,(D1008+D1003)*$I981)</f>
        <v>1178102.4726152341</v>
      </c>
      <c r="E1013" s="141">
        <f t="shared" ref="E1013:BJ1013" si="631">IF(AND(E982&gt;5,E983=0),0,(E1008+E1003)*$I981)</f>
        <v>1138391.153313597</v>
      </c>
      <c r="F1013" s="141">
        <f t="shared" si="631"/>
        <v>1098679.8340119598</v>
      </c>
      <c r="G1013" s="141">
        <f t="shared" si="631"/>
        <v>1058968.5147103227</v>
      </c>
      <c r="H1013" s="141">
        <f t="shared" si="631"/>
        <v>1019257.1954086857</v>
      </c>
      <c r="I1013" s="141">
        <f t="shared" si="631"/>
        <v>979545.87610704871</v>
      </c>
      <c r="J1013" s="141">
        <f t="shared" si="631"/>
        <v>939834.55680541159</v>
      </c>
      <c r="K1013" s="141">
        <f t="shared" si="631"/>
        <v>900123.23750377446</v>
      </c>
      <c r="L1013" s="141">
        <f t="shared" si="631"/>
        <v>860411.91820213746</v>
      </c>
      <c r="M1013" s="141">
        <f t="shared" si="631"/>
        <v>820700.59890050034</v>
      </c>
      <c r="N1013" s="141">
        <f t="shared" si="631"/>
        <v>780989.27959886333</v>
      </c>
      <c r="O1013" s="141">
        <f t="shared" si="631"/>
        <v>741277.96029722621</v>
      </c>
      <c r="P1013" s="141">
        <f t="shared" si="631"/>
        <v>701566.64099558908</v>
      </c>
      <c r="Q1013" s="141">
        <f t="shared" si="631"/>
        <v>661855.32169395208</v>
      </c>
      <c r="R1013" s="141">
        <f t="shared" si="631"/>
        <v>622144.00239231496</v>
      </c>
      <c r="S1013" s="141">
        <f t="shared" si="631"/>
        <v>582432.68309067783</v>
      </c>
      <c r="T1013" s="141">
        <f t="shared" si="631"/>
        <v>542721.36378904083</v>
      </c>
      <c r="U1013" s="141">
        <f t="shared" si="631"/>
        <v>503010.04448740371</v>
      </c>
      <c r="V1013" s="141">
        <f t="shared" si="631"/>
        <v>463298.72518576664</v>
      </c>
      <c r="W1013" s="141">
        <f t="shared" si="631"/>
        <v>0</v>
      </c>
      <c r="X1013" s="141">
        <f t="shared" si="631"/>
        <v>0</v>
      </c>
      <c r="Y1013" s="141">
        <f t="shared" si="631"/>
        <v>0</v>
      </c>
      <c r="Z1013" s="141">
        <f t="shared" si="631"/>
        <v>0</v>
      </c>
      <c r="AA1013" s="141">
        <f t="shared" si="631"/>
        <v>0</v>
      </c>
      <c r="AB1013" s="141">
        <f t="shared" si="631"/>
        <v>0</v>
      </c>
      <c r="AC1013" s="141">
        <f t="shared" si="631"/>
        <v>0</v>
      </c>
      <c r="AD1013" s="141">
        <f t="shared" si="631"/>
        <v>0</v>
      </c>
      <c r="AE1013" s="141">
        <f t="shared" si="631"/>
        <v>0</v>
      </c>
      <c r="AF1013" s="141">
        <f t="shared" si="631"/>
        <v>0</v>
      </c>
      <c r="AG1013" s="141">
        <f t="shared" si="631"/>
        <v>0</v>
      </c>
      <c r="AH1013" s="141">
        <f t="shared" si="631"/>
        <v>0</v>
      </c>
      <c r="AI1013" s="141">
        <f t="shared" si="631"/>
        <v>0</v>
      </c>
      <c r="AJ1013" s="141">
        <f t="shared" si="631"/>
        <v>0</v>
      </c>
      <c r="AK1013" s="141">
        <f t="shared" si="631"/>
        <v>0</v>
      </c>
      <c r="AL1013" s="141">
        <f t="shared" si="631"/>
        <v>0</v>
      </c>
      <c r="AM1013" s="141">
        <f t="shared" si="631"/>
        <v>0</v>
      </c>
      <c r="AN1013" s="141">
        <f t="shared" si="631"/>
        <v>0</v>
      </c>
      <c r="AO1013" s="141">
        <f t="shared" si="631"/>
        <v>0</v>
      </c>
      <c r="AP1013" s="141">
        <f t="shared" si="631"/>
        <v>0</v>
      </c>
      <c r="AQ1013" s="141">
        <f t="shared" si="631"/>
        <v>0</v>
      </c>
      <c r="AR1013" s="141">
        <f t="shared" si="631"/>
        <v>0</v>
      </c>
      <c r="AS1013" s="141">
        <f t="shared" si="631"/>
        <v>0</v>
      </c>
      <c r="AT1013" s="141">
        <f t="shared" si="631"/>
        <v>0</v>
      </c>
      <c r="AU1013" s="141">
        <f t="shared" si="631"/>
        <v>0</v>
      </c>
      <c r="AV1013" s="141">
        <f t="shared" si="631"/>
        <v>0</v>
      </c>
      <c r="AW1013" s="141">
        <f t="shared" si="631"/>
        <v>0</v>
      </c>
      <c r="AX1013" s="141">
        <f t="shared" si="631"/>
        <v>0</v>
      </c>
      <c r="AY1013" s="141">
        <f t="shared" si="631"/>
        <v>0</v>
      </c>
      <c r="AZ1013" s="141">
        <f t="shared" si="631"/>
        <v>0</v>
      </c>
      <c r="BA1013" s="141">
        <f t="shared" si="631"/>
        <v>0</v>
      </c>
      <c r="BB1013" s="141">
        <f t="shared" si="631"/>
        <v>0</v>
      </c>
      <c r="BC1013" s="141">
        <f t="shared" si="631"/>
        <v>0</v>
      </c>
      <c r="BD1013" s="141">
        <f t="shared" si="631"/>
        <v>0</v>
      </c>
      <c r="BE1013" s="141">
        <f t="shared" si="631"/>
        <v>0</v>
      </c>
      <c r="BF1013" s="141">
        <f t="shared" si="631"/>
        <v>0</v>
      </c>
      <c r="BG1013" s="141">
        <f t="shared" si="631"/>
        <v>0</v>
      </c>
      <c r="BH1013" s="141">
        <f t="shared" si="631"/>
        <v>0</v>
      </c>
      <c r="BI1013" s="141">
        <f t="shared" si="631"/>
        <v>0</v>
      </c>
      <c r="BJ1013" s="142">
        <f t="shared" si="631"/>
        <v>0</v>
      </c>
      <c r="BK1013" s="141"/>
      <c r="BL1013" s="141"/>
    </row>
    <row r="1014" spans="1:64" s="116" customFormat="1">
      <c r="A1014" s="111" t="s">
        <v>133</v>
      </c>
      <c r="B1014" s="155">
        <f>SUM(B1015:B1018)</f>
        <v>180498213.62305519</v>
      </c>
      <c r="C1014" s="117">
        <f>SUM(C1015:C1018)</f>
        <v>1635406.8242892909</v>
      </c>
      <c r="D1014" s="118">
        <f>SUM(D1015:D1018)</f>
        <v>3403184.7129173726</v>
      </c>
      <c r="E1014" s="118">
        <f>SUM(E1015:E1018)</f>
        <v>5642445.4433749374</v>
      </c>
      <c r="F1014" s="118">
        <f t="shared" ref="F1014:AJ1014" si="632">SUM(F1015:F1018)</f>
        <v>7881706.1738325022</v>
      </c>
      <c r="G1014" s="118">
        <f t="shared" si="632"/>
        <v>10120966.904290067</v>
      </c>
      <c r="H1014" s="118">
        <f t="shared" si="632"/>
        <v>10120966.904290067</v>
      </c>
      <c r="I1014" s="118">
        <f t="shared" si="632"/>
        <v>10120966.904290067</v>
      </c>
      <c r="J1014" s="118">
        <f t="shared" si="632"/>
        <v>10120966.904290067</v>
      </c>
      <c r="K1014" s="118">
        <f t="shared" si="632"/>
        <v>10120966.904290067</v>
      </c>
      <c r="L1014" s="118">
        <f t="shared" si="632"/>
        <v>10120966.904290067</v>
      </c>
      <c r="M1014" s="118">
        <f t="shared" si="632"/>
        <v>10120966.904290067</v>
      </c>
      <c r="N1014" s="118">
        <f t="shared" si="632"/>
        <v>10120966.904290067</v>
      </c>
      <c r="O1014" s="118">
        <f t="shared" si="632"/>
        <v>10120966.904290067</v>
      </c>
      <c r="P1014" s="118">
        <f t="shared" si="632"/>
        <v>10120966.904290067</v>
      </c>
      <c r="Q1014" s="118">
        <f t="shared" si="632"/>
        <v>10120966.904290067</v>
      </c>
      <c r="R1014" s="118">
        <f t="shared" si="632"/>
        <v>10120966.904290067</v>
      </c>
      <c r="S1014" s="118">
        <f t="shared" si="632"/>
        <v>10120966.904290067</v>
      </c>
      <c r="T1014" s="118">
        <f t="shared" si="632"/>
        <v>10120966.904290067</v>
      </c>
      <c r="U1014" s="118">
        <f t="shared" si="632"/>
        <v>10120966.904290067</v>
      </c>
      <c r="V1014" s="118">
        <f t="shared" si="632"/>
        <v>10120966.904290067</v>
      </c>
      <c r="W1014" s="118">
        <f t="shared" si="632"/>
        <v>0</v>
      </c>
      <c r="X1014" s="118">
        <f t="shared" si="632"/>
        <v>0</v>
      </c>
      <c r="Y1014" s="118">
        <f t="shared" si="632"/>
        <v>0</v>
      </c>
      <c r="Z1014" s="118">
        <f t="shared" si="632"/>
        <v>0</v>
      </c>
      <c r="AA1014" s="118">
        <f t="shared" si="632"/>
        <v>0</v>
      </c>
      <c r="AB1014" s="118">
        <f t="shared" si="632"/>
        <v>0</v>
      </c>
      <c r="AC1014" s="118">
        <f t="shared" si="632"/>
        <v>0</v>
      </c>
      <c r="AD1014" s="118">
        <f t="shared" si="632"/>
        <v>0</v>
      </c>
      <c r="AE1014" s="118">
        <f t="shared" si="632"/>
        <v>0</v>
      </c>
      <c r="AF1014" s="118">
        <f t="shared" si="632"/>
        <v>0</v>
      </c>
      <c r="AG1014" s="118">
        <f t="shared" si="632"/>
        <v>0</v>
      </c>
      <c r="AH1014" s="118">
        <f t="shared" si="632"/>
        <v>0</v>
      </c>
      <c r="AI1014" s="118">
        <f t="shared" si="632"/>
        <v>0</v>
      </c>
      <c r="AJ1014" s="118">
        <f t="shared" si="632"/>
        <v>0</v>
      </c>
      <c r="AK1014" s="118"/>
      <c r="AL1014" s="118"/>
      <c r="AM1014" s="118"/>
      <c r="AN1014" s="118"/>
      <c r="AO1014" s="118"/>
      <c r="AP1014" s="118"/>
      <c r="AQ1014" s="118"/>
      <c r="AR1014" s="118"/>
      <c r="AS1014" s="118"/>
      <c r="AT1014" s="118"/>
      <c r="AU1014" s="118"/>
      <c r="AV1014" s="118"/>
      <c r="AW1014" s="118"/>
      <c r="AX1014" s="118"/>
      <c r="AY1014" s="118"/>
      <c r="AZ1014" s="118"/>
      <c r="BA1014" s="118"/>
      <c r="BB1014" s="118"/>
      <c r="BC1014" s="118"/>
      <c r="BD1014" s="118"/>
      <c r="BE1014" s="118"/>
      <c r="BF1014" s="118"/>
      <c r="BG1014" s="118"/>
      <c r="BH1014" s="118"/>
      <c r="BI1014" s="118"/>
      <c r="BJ1014" s="119"/>
      <c r="BK1014" s="118"/>
      <c r="BL1014" s="118"/>
    </row>
    <row r="1015" spans="1:64" s="143" customFormat="1" ht="12.75">
      <c r="A1015" s="138" t="s">
        <v>126</v>
      </c>
      <c r="B1015" s="139">
        <f t="shared" ref="B1015:B1021" si="633">SUM(C1015:BJ1015)</f>
        <v>33014140.162526935</v>
      </c>
      <c r="C1015" s="227">
        <f>IF(AND(C982&gt;5,C983=0),0,C1000)</f>
        <v>0</v>
      </c>
      <c r="D1015" s="141">
        <f>IF(AND(D982&gt;5,D983=0),0,D1000)</f>
        <v>0</v>
      </c>
      <c r="E1015" s="141">
        <f t="shared" ref="E1015:BJ1015" si="634">IF(AND(E982&gt;5,E983=0),0,E1000)</f>
        <v>647336.08161817549</v>
      </c>
      <c r="F1015" s="141">
        <f t="shared" si="634"/>
        <v>1294672.163236351</v>
      </c>
      <c r="G1015" s="141">
        <f t="shared" si="634"/>
        <v>1942008.2448545266</v>
      </c>
      <c r="H1015" s="141">
        <f t="shared" si="634"/>
        <v>1942008.2448545266</v>
      </c>
      <c r="I1015" s="141">
        <f t="shared" si="634"/>
        <v>1942008.2448545266</v>
      </c>
      <c r="J1015" s="141">
        <f t="shared" si="634"/>
        <v>1942008.2448545266</v>
      </c>
      <c r="K1015" s="141">
        <f t="shared" si="634"/>
        <v>1942008.2448545266</v>
      </c>
      <c r="L1015" s="141">
        <f t="shared" si="634"/>
        <v>1942008.2448545266</v>
      </c>
      <c r="M1015" s="141">
        <f t="shared" si="634"/>
        <v>1942008.2448545266</v>
      </c>
      <c r="N1015" s="141">
        <f t="shared" si="634"/>
        <v>1942008.2448545266</v>
      </c>
      <c r="O1015" s="141">
        <f t="shared" si="634"/>
        <v>1942008.2448545266</v>
      </c>
      <c r="P1015" s="141">
        <f t="shared" si="634"/>
        <v>1942008.2448545266</v>
      </c>
      <c r="Q1015" s="141">
        <f t="shared" si="634"/>
        <v>1942008.2448545266</v>
      </c>
      <c r="R1015" s="141">
        <f t="shared" si="634"/>
        <v>1942008.2448545266</v>
      </c>
      <c r="S1015" s="141">
        <f t="shared" si="634"/>
        <v>1942008.2448545266</v>
      </c>
      <c r="T1015" s="141">
        <f t="shared" si="634"/>
        <v>1942008.2448545266</v>
      </c>
      <c r="U1015" s="141">
        <f t="shared" si="634"/>
        <v>1942008.2448545266</v>
      </c>
      <c r="V1015" s="141">
        <f t="shared" si="634"/>
        <v>1942008.2448545266</v>
      </c>
      <c r="W1015" s="141">
        <f t="shared" si="634"/>
        <v>0</v>
      </c>
      <c r="X1015" s="141">
        <f t="shared" si="634"/>
        <v>0</v>
      </c>
      <c r="Y1015" s="141">
        <f t="shared" si="634"/>
        <v>0</v>
      </c>
      <c r="Z1015" s="141">
        <f t="shared" si="634"/>
        <v>0</v>
      </c>
      <c r="AA1015" s="141">
        <f t="shared" si="634"/>
        <v>0</v>
      </c>
      <c r="AB1015" s="141">
        <f t="shared" si="634"/>
        <v>0</v>
      </c>
      <c r="AC1015" s="141">
        <f t="shared" si="634"/>
        <v>0</v>
      </c>
      <c r="AD1015" s="141">
        <f t="shared" si="634"/>
        <v>0</v>
      </c>
      <c r="AE1015" s="141">
        <f t="shared" si="634"/>
        <v>0</v>
      </c>
      <c r="AF1015" s="141">
        <f t="shared" si="634"/>
        <v>0</v>
      </c>
      <c r="AG1015" s="141">
        <f t="shared" si="634"/>
        <v>0</v>
      </c>
      <c r="AH1015" s="141">
        <f t="shared" si="634"/>
        <v>0</v>
      </c>
      <c r="AI1015" s="141">
        <f t="shared" si="634"/>
        <v>0</v>
      </c>
      <c r="AJ1015" s="141">
        <f t="shared" si="634"/>
        <v>0</v>
      </c>
      <c r="AK1015" s="141">
        <f t="shared" si="634"/>
        <v>0</v>
      </c>
      <c r="AL1015" s="141">
        <f t="shared" si="634"/>
        <v>0</v>
      </c>
      <c r="AM1015" s="141">
        <f t="shared" si="634"/>
        <v>0</v>
      </c>
      <c r="AN1015" s="141">
        <f t="shared" si="634"/>
        <v>0</v>
      </c>
      <c r="AO1015" s="141">
        <f t="shared" si="634"/>
        <v>0</v>
      </c>
      <c r="AP1015" s="141">
        <f t="shared" si="634"/>
        <v>0</v>
      </c>
      <c r="AQ1015" s="141">
        <f t="shared" si="634"/>
        <v>0</v>
      </c>
      <c r="AR1015" s="141">
        <f t="shared" si="634"/>
        <v>0</v>
      </c>
      <c r="AS1015" s="141">
        <f t="shared" si="634"/>
        <v>0</v>
      </c>
      <c r="AT1015" s="141">
        <f t="shared" si="634"/>
        <v>0</v>
      </c>
      <c r="AU1015" s="141">
        <f t="shared" si="634"/>
        <v>0</v>
      </c>
      <c r="AV1015" s="141">
        <f t="shared" si="634"/>
        <v>0</v>
      </c>
      <c r="AW1015" s="141">
        <f t="shared" si="634"/>
        <v>0</v>
      </c>
      <c r="AX1015" s="141">
        <f t="shared" si="634"/>
        <v>0</v>
      </c>
      <c r="AY1015" s="141">
        <f t="shared" si="634"/>
        <v>0</v>
      </c>
      <c r="AZ1015" s="141">
        <f t="shared" si="634"/>
        <v>0</v>
      </c>
      <c r="BA1015" s="141">
        <f t="shared" si="634"/>
        <v>0</v>
      </c>
      <c r="BB1015" s="141">
        <f t="shared" si="634"/>
        <v>0</v>
      </c>
      <c r="BC1015" s="141">
        <f t="shared" si="634"/>
        <v>0</v>
      </c>
      <c r="BD1015" s="141">
        <f t="shared" si="634"/>
        <v>0</v>
      </c>
      <c r="BE1015" s="141">
        <f t="shared" si="634"/>
        <v>0</v>
      </c>
      <c r="BF1015" s="141">
        <f t="shared" si="634"/>
        <v>0</v>
      </c>
      <c r="BG1015" s="141">
        <f t="shared" si="634"/>
        <v>0</v>
      </c>
      <c r="BH1015" s="141">
        <f t="shared" si="634"/>
        <v>0</v>
      </c>
      <c r="BI1015" s="141">
        <f t="shared" si="634"/>
        <v>0</v>
      </c>
      <c r="BJ1015" s="142">
        <f t="shared" si="634"/>
        <v>0</v>
      </c>
      <c r="BK1015" s="141"/>
      <c r="BL1015" s="141"/>
    </row>
    <row r="1016" spans="1:64" s="143" customFormat="1" ht="12.75">
      <c r="A1016" s="138" t="s">
        <v>127</v>
      </c>
      <c r="B1016" s="139">
        <f t="shared" si="633"/>
        <v>4533333.333333333</v>
      </c>
      <c r="C1016" s="227">
        <f>IF(AND(C982&gt;5,C983=0),0,C1001)</f>
        <v>0</v>
      </c>
      <c r="D1016" s="141">
        <f>IF(AND(D982&gt;5,D983=0),0,D1001)</f>
        <v>0</v>
      </c>
      <c r="E1016" s="141">
        <f t="shared" ref="E1016:BJ1016" si="635">IF(AND(E982&gt;5,E983=0),0,E1001)</f>
        <v>88888.888888888891</v>
      </c>
      <c r="F1016" s="141">
        <f t="shared" si="635"/>
        <v>177777.77777777778</v>
      </c>
      <c r="G1016" s="141">
        <f t="shared" si="635"/>
        <v>266666.66666666669</v>
      </c>
      <c r="H1016" s="141">
        <f t="shared" si="635"/>
        <v>266666.66666666669</v>
      </c>
      <c r="I1016" s="141">
        <f t="shared" si="635"/>
        <v>266666.66666666669</v>
      </c>
      <c r="J1016" s="141">
        <f t="shared" si="635"/>
        <v>266666.66666666669</v>
      </c>
      <c r="K1016" s="141">
        <f t="shared" si="635"/>
        <v>266666.66666666669</v>
      </c>
      <c r="L1016" s="141">
        <f t="shared" si="635"/>
        <v>266666.66666666669</v>
      </c>
      <c r="M1016" s="141">
        <f t="shared" si="635"/>
        <v>266666.66666666669</v>
      </c>
      <c r="N1016" s="141">
        <f t="shared" si="635"/>
        <v>266666.66666666669</v>
      </c>
      <c r="O1016" s="141">
        <f t="shared" si="635"/>
        <v>266666.66666666669</v>
      </c>
      <c r="P1016" s="141">
        <f t="shared" si="635"/>
        <v>266666.66666666669</v>
      </c>
      <c r="Q1016" s="141">
        <f t="shared" si="635"/>
        <v>266666.66666666669</v>
      </c>
      <c r="R1016" s="141">
        <f t="shared" si="635"/>
        <v>266666.66666666669</v>
      </c>
      <c r="S1016" s="141">
        <f t="shared" si="635"/>
        <v>266666.66666666669</v>
      </c>
      <c r="T1016" s="141">
        <f t="shared" si="635"/>
        <v>266666.66666666669</v>
      </c>
      <c r="U1016" s="141">
        <f t="shared" si="635"/>
        <v>266666.66666666669</v>
      </c>
      <c r="V1016" s="141">
        <f t="shared" si="635"/>
        <v>266666.66666666669</v>
      </c>
      <c r="W1016" s="141">
        <f t="shared" si="635"/>
        <v>0</v>
      </c>
      <c r="X1016" s="141">
        <f t="shared" si="635"/>
        <v>0</v>
      </c>
      <c r="Y1016" s="141">
        <f t="shared" si="635"/>
        <v>0</v>
      </c>
      <c r="Z1016" s="141">
        <f t="shared" si="635"/>
        <v>0</v>
      </c>
      <c r="AA1016" s="141">
        <f t="shared" si="635"/>
        <v>0</v>
      </c>
      <c r="AB1016" s="141">
        <f t="shared" si="635"/>
        <v>0</v>
      </c>
      <c r="AC1016" s="141">
        <f t="shared" si="635"/>
        <v>0</v>
      </c>
      <c r="AD1016" s="141">
        <f t="shared" si="635"/>
        <v>0</v>
      </c>
      <c r="AE1016" s="141">
        <f t="shared" si="635"/>
        <v>0</v>
      </c>
      <c r="AF1016" s="141">
        <f t="shared" si="635"/>
        <v>0</v>
      </c>
      <c r="AG1016" s="141">
        <f t="shared" si="635"/>
        <v>0</v>
      </c>
      <c r="AH1016" s="141">
        <f t="shared" si="635"/>
        <v>0</v>
      </c>
      <c r="AI1016" s="141">
        <f t="shared" si="635"/>
        <v>0</v>
      </c>
      <c r="AJ1016" s="141">
        <f t="shared" si="635"/>
        <v>0</v>
      </c>
      <c r="AK1016" s="141">
        <f t="shared" si="635"/>
        <v>0</v>
      </c>
      <c r="AL1016" s="141">
        <f t="shared" si="635"/>
        <v>0</v>
      </c>
      <c r="AM1016" s="141">
        <f t="shared" si="635"/>
        <v>0</v>
      </c>
      <c r="AN1016" s="141">
        <f t="shared" si="635"/>
        <v>0</v>
      </c>
      <c r="AO1016" s="141">
        <f t="shared" si="635"/>
        <v>0</v>
      </c>
      <c r="AP1016" s="141">
        <f t="shared" si="635"/>
        <v>0</v>
      </c>
      <c r="AQ1016" s="141">
        <f t="shared" si="635"/>
        <v>0</v>
      </c>
      <c r="AR1016" s="141">
        <f t="shared" si="635"/>
        <v>0</v>
      </c>
      <c r="AS1016" s="141">
        <f t="shared" si="635"/>
        <v>0</v>
      </c>
      <c r="AT1016" s="141">
        <f t="shared" si="635"/>
        <v>0</v>
      </c>
      <c r="AU1016" s="141">
        <f t="shared" si="635"/>
        <v>0</v>
      </c>
      <c r="AV1016" s="141">
        <f t="shared" si="635"/>
        <v>0</v>
      </c>
      <c r="AW1016" s="141">
        <f t="shared" si="635"/>
        <v>0</v>
      </c>
      <c r="AX1016" s="141">
        <f t="shared" si="635"/>
        <v>0</v>
      </c>
      <c r="AY1016" s="141">
        <f t="shared" si="635"/>
        <v>0</v>
      </c>
      <c r="AZ1016" s="141">
        <f t="shared" si="635"/>
        <v>0</v>
      </c>
      <c r="BA1016" s="141">
        <f t="shared" si="635"/>
        <v>0</v>
      </c>
      <c r="BB1016" s="141">
        <f t="shared" si="635"/>
        <v>0</v>
      </c>
      <c r="BC1016" s="141">
        <f t="shared" si="635"/>
        <v>0</v>
      </c>
      <c r="BD1016" s="141">
        <f t="shared" si="635"/>
        <v>0</v>
      </c>
      <c r="BE1016" s="141">
        <f t="shared" si="635"/>
        <v>0</v>
      </c>
      <c r="BF1016" s="141">
        <f t="shared" si="635"/>
        <v>0</v>
      </c>
      <c r="BG1016" s="141">
        <f t="shared" si="635"/>
        <v>0</v>
      </c>
      <c r="BH1016" s="141">
        <f t="shared" si="635"/>
        <v>0</v>
      </c>
      <c r="BI1016" s="141">
        <f t="shared" si="635"/>
        <v>0</v>
      </c>
      <c r="BJ1016" s="142">
        <f t="shared" si="635"/>
        <v>0</v>
      </c>
      <c r="BK1016" s="141"/>
      <c r="BL1016" s="141"/>
    </row>
    <row r="1017" spans="1:64" s="143" customFormat="1" ht="12.75">
      <c r="A1017" s="138" t="s">
        <v>128</v>
      </c>
      <c r="B1017" s="139">
        <f t="shared" si="633"/>
        <v>135273218.39554507</v>
      </c>
      <c r="C1017" s="227">
        <f>IF(AND(C982&gt;5,C983=0),0,C1002)</f>
        <v>1503035.7599505007</v>
      </c>
      <c r="D1017" s="141">
        <f>IF(AND(D982&gt;5,D983=0),0,D1002)</f>
        <v>3006071.5199010014</v>
      </c>
      <c r="E1017" s="141">
        <f t="shared" ref="E1017:BJ1017" si="636">IF(AND(E982&gt;5,E983=0),0,E1002)</f>
        <v>4509107.2798515018</v>
      </c>
      <c r="F1017" s="141">
        <f t="shared" si="636"/>
        <v>6012143.0398020027</v>
      </c>
      <c r="G1017" s="141">
        <f t="shared" si="636"/>
        <v>7515178.7997525036</v>
      </c>
      <c r="H1017" s="141">
        <f t="shared" si="636"/>
        <v>7515178.7997525036</v>
      </c>
      <c r="I1017" s="141">
        <f t="shared" si="636"/>
        <v>7515178.7997525036</v>
      </c>
      <c r="J1017" s="141">
        <f t="shared" si="636"/>
        <v>7515178.7997525036</v>
      </c>
      <c r="K1017" s="141">
        <f t="shared" si="636"/>
        <v>7515178.7997525036</v>
      </c>
      <c r="L1017" s="141">
        <f t="shared" si="636"/>
        <v>7515178.7997525036</v>
      </c>
      <c r="M1017" s="141">
        <f t="shared" si="636"/>
        <v>7515178.7997525036</v>
      </c>
      <c r="N1017" s="141">
        <f t="shared" si="636"/>
        <v>7515178.7997525036</v>
      </c>
      <c r="O1017" s="141">
        <f t="shared" si="636"/>
        <v>7515178.7997525036</v>
      </c>
      <c r="P1017" s="141">
        <f t="shared" si="636"/>
        <v>7515178.7997525036</v>
      </c>
      <c r="Q1017" s="141">
        <f t="shared" si="636"/>
        <v>7515178.7997525036</v>
      </c>
      <c r="R1017" s="141">
        <f t="shared" si="636"/>
        <v>7515178.7997525036</v>
      </c>
      <c r="S1017" s="141">
        <f t="shared" si="636"/>
        <v>7515178.7997525036</v>
      </c>
      <c r="T1017" s="141">
        <f t="shared" si="636"/>
        <v>7515178.7997525036</v>
      </c>
      <c r="U1017" s="141">
        <f t="shared" si="636"/>
        <v>7515178.7997525036</v>
      </c>
      <c r="V1017" s="141">
        <f t="shared" si="636"/>
        <v>7515178.7997525036</v>
      </c>
      <c r="W1017" s="141">
        <f t="shared" si="636"/>
        <v>0</v>
      </c>
      <c r="X1017" s="141">
        <f t="shared" si="636"/>
        <v>0</v>
      </c>
      <c r="Y1017" s="141">
        <f t="shared" si="636"/>
        <v>0</v>
      </c>
      <c r="Z1017" s="141">
        <f t="shared" si="636"/>
        <v>0</v>
      </c>
      <c r="AA1017" s="141">
        <f t="shared" si="636"/>
        <v>0</v>
      </c>
      <c r="AB1017" s="141">
        <f t="shared" si="636"/>
        <v>0</v>
      </c>
      <c r="AC1017" s="141">
        <f t="shared" si="636"/>
        <v>0</v>
      </c>
      <c r="AD1017" s="141">
        <f t="shared" si="636"/>
        <v>0</v>
      </c>
      <c r="AE1017" s="141">
        <f t="shared" si="636"/>
        <v>0</v>
      </c>
      <c r="AF1017" s="141">
        <f t="shared" si="636"/>
        <v>0</v>
      </c>
      <c r="AG1017" s="141">
        <f t="shared" si="636"/>
        <v>0</v>
      </c>
      <c r="AH1017" s="141">
        <f t="shared" si="636"/>
        <v>0</v>
      </c>
      <c r="AI1017" s="141">
        <f t="shared" si="636"/>
        <v>0</v>
      </c>
      <c r="AJ1017" s="141">
        <f t="shared" si="636"/>
        <v>0</v>
      </c>
      <c r="AK1017" s="141">
        <f t="shared" si="636"/>
        <v>0</v>
      </c>
      <c r="AL1017" s="141">
        <f t="shared" si="636"/>
        <v>0</v>
      </c>
      <c r="AM1017" s="141">
        <f t="shared" si="636"/>
        <v>0</v>
      </c>
      <c r="AN1017" s="141">
        <f t="shared" si="636"/>
        <v>0</v>
      </c>
      <c r="AO1017" s="141">
        <f t="shared" si="636"/>
        <v>0</v>
      </c>
      <c r="AP1017" s="141">
        <f t="shared" si="636"/>
        <v>0</v>
      </c>
      <c r="AQ1017" s="141">
        <f t="shared" si="636"/>
        <v>0</v>
      </c>
      <c r="AR1017" s="141">
        <f t="shared" si="636"/>
        <v>0</v>
      </c>
      <c r="AS1017" s="141">
        <f t="shared" si="636"/>
        <v>0</v>
      </c>
      <c r="AT1017" s="141">
        <f t="shared" si="636"/>
        <v>0</v>
      </c>
      <c r="AU1017" s="141">
        <f t="shared" si="636"/>
        <v>0</v>
      </c>
      <c r="AV1017" s="141">
        <f t="shared" si="636"/>
        <v>0</v>
      </c>
      <c r="AW1017" s="141">
        <f t="shared" si="636"/>
        <v>0</v>
      </c>
      <c r="AX1017" s="141">
        <f t="shared" si="636"/>
        <v>0</v>
      </c>
      <c r="AY1017" s="141">
        <f t="shared" si="636"/>
        <v>0</v>
      </c>
      <c r="AZ1017" s="141">
        <f t="shared" si="636"/>
        <v>0</v>
      </c>
      <c r="BA1017" s="141">
        <f t="shared" si="636"/>
        <v>0</v>
      </c>
      <c r="BB1017" s="141">
        <f t="shared" si="636"/>
        <v>0</v>
      </c>
      <c r="BC1017" s="141">
        <f t="shared" si="636"/>
        <v>0</v>
      </c>
      <c r="BD1017" s="141">
        <f t="shared" si="636"/>
        <v>0</v>
      </c>
      <c r="BE1017" s="141">
        <f t="shared" si="636"/>
        <v>0</v>
      </c>
      <c r="BF1017" s="141">
        <f t="shared" si="636"/>
        <v>0</v>
      </c>
      <c r="BG1017" s="141">
        <f t="shared" si="636"/>
        <v>0</v>
      </c>
      <c r="BH1017" s="141">
        <f t="shared" si="636"/>
        <v>0</v>
      </c>
      <c r="BI1017" s="141">
        <f t="shared" si="636"/>
        <v>0</v>
      </c>
      <c r="BJ1017" s="142">
        <f t="shared" si="636"/>
        <v>0</v>
      </c>
      <c r="BK1017" s="141"/>
      <c r="BL1017" s="141"/>
    </row>
    <row r="1018" spans="1:64" s="143" customFormat="1" ht="12.75">
      <c r="A1018" s="228" t="s">
        <v>129</v>
      </c>
      <c r="B1018" s="229">
        <f t="shared" si="633"/>
        <v>7677521.7316498365</v>
      </c>
      <c r="C1018" s="230">
        <f>IF(AND(C982&gt;5,C983=0),0,C1003)</f>
        <v>132371.06433879034</v>
      </c>
      <c r="D1018" s="214">
        <f>IF(AND(D982&gt;5,D983=0),0,D1003)</f>
        <v>397113.19301637099</v>
      </c>
      <c r="E1018" s="214">
        <f t="shared" ref="E1018:BJ1018" si="637">IF(AND(E982&gt;5,E983=0),0,E1003)</f>
        <v>397113.19301637099</v>
      </c>
      <c r="F1018" s="214">
        <f t="shared" si="637"/>
        <v>397113.19301637099</v>
      </c>
      <c r="G1018" s="214">
        <f t="shared" si="637"/>
        <v>397113.19301637099</v>
      </c>
      <c r="H1018" s="214">
        <f t="shared" si="637"/>
        <v>397113.19301637099</v>
      </c>
      <c r="I1018" s="214">
        <f t="shared" si="637"/>
        <v>397113.19301637099</v>
      </c>
      <c r="J1018" s="214">
        <f t="shared" si="637"/>
        <v>397113.19301637099</v>
      </c>
      <c r="K1018" s="214">
        <f t="shared" si="637"/>
        <v>397113.19301637099</v>
      </c>
      <c r="L1018" s="214">
        <f t="shared" si="637"/>
        <v>397113.19301637099</v>
      </c>
      <c r="M1018" s="214">
        <f t="shared" si="637"/>
        <v>397113.19301637099</v>
      </c>
      <c r="N1018" s="214">
        <f t="shared" si="637"/>
        <v>397113.19301637099</v>
      </c>
      <c r="O1018" s="214">
        <f t="shared" si="637"/>
        <v>397113.19301637099</v>
      </c>
      <c r="P1018" s="214">
        <f t="shared" si="637"/>
        <v>397113.19301637099</v>
      </c>
      <c r="Q1018" s="214">
        <f t="shared" si="637"/>
        <v>397113.19301637099</v>
      </c>
      <c r="R1018" s="214">
        <f t="shared" si="637"/>
        <v>397113.19301637099</v>
      </c>
      <c r="S1018" s="214">
        <f t="shared" si="637"/>
        <v>397113.19301637099</v>
      </c>
      <c r="T1018" s="214">
        <f t="shared" si="637"/>
        <v>397113.19301637099</v>
      </c>
      <c r="U1018" s="214">
        <f t="shared" si="637"/>
        <v>397113.19301637099</v>
      </c>
      <c r="V1018" s="214">
        <f t="shared" si="637"/>
        <v>397113.19301637099</v>
      </c>
      <c r="W1018" s="214">
        <f t="shared" si="637"/>
        <v>0</v>
      </c>
      <c r="X1018" s="214">
        <f t="shared" si="637"/>
        <v>0</v>
      </c>
      <c r="Y1018" s="214">
        <f t="shared" si="637"/>
        <v>0</v>
      </c>
      <c r="Z1018" s="214">
        <f t="shared" si="637"/>
        <v>0</v>
      </c>
      <c r="AA1018" s="214">
        <f t="shared" si="637"/>
        <v>0</v>
      </c>
      <c r="AB1018" s="214">
        <f t="shared" si="637"/>
        <v>0</v>
      </c>
      <c r="AC1018" s="214">
        <f t="shared" si="637"/>
        <v>0</v>
      </c>
      <c r="AD1018" s="214">
        <f t="shared" si="637"/>
        <v>0</v>
      </c>
      <c r="AE1018" s="214">
        <f t="shared" si="637"/>
        <v>0</v>
      </c>
      <c r="AF1018" s="214">
        <f t="shared" si="637"/>
        <v>0</v>
      </c>
      <c r="AG1018" s="214">
        <f t="shared" si="637"/>
        <v>0</v>
      </c>
      <c r="AH1018" s="214">
        <f t="shared" si="637"/>
        <v>0</v>
      </c>
      <c r="AI1018" s="214">
        <f t="shared" si="637"/>
        <v>0</v>
      </c>
      <c r="AJ1018" s="214">
        <f t="shared" si="637"/>
        <v>0</v>
      </c>
      <c r="AK1018" s="214">
        <f t="shared" si="637"/>
        <v>0</v>
      </c>
      <c r="AL1018" s="214">
        <f t="shared" si="637"/>
        <v>0</v>
      </c>
      <c r="AM1018" s="214">
        <f t="shared" si="637"/>
        <v>0</v>
      </c>
      <c r="AN1018" s="214">
        <f t="shared" si="637"/>
        <v>0</v>
      </c>
      <c r="AO1018" s="214">
        <f t="shared" si="637"/>
        <v>0</v>
      </c>
      <c r="AP1018" s="214">
        <f t="shared" si="637"/>
        <v>0</v>
      </c>
      <c r="AQ1018" s="214">
        <f t="shared" si="637"/>
        <v>0</v>
      </c>
      <c r="AR1018" s="214">
        <f t="shared" si="637"/>
        <v>0</v>
      </c>
      <c r="AS1018" s="214">
        <f t="shared" si="637"/>
        <v>0</v>
      </c>
      <c r="AT1018" s="214">
        <f t="shared" si="637"/>
        <v>0</v>
      </c>
      <c r="AU1018" s="214">
        <f t="shared" si="637"/>
        <v>0</v>
      </c>
      <c r="AV1018" s="214">
        <f t="shared" si="637"/>
        <v>0</v>
      </c>
      <c r="AW1018" s="214">
        <f t="shared" si="637"/>
        <v>0</v>
      </c>
      <c r="AX1018" s="214">
        <f t="shared" si="637"/>
        <v>0</v>
      </c>
      <c r="AY1018" s="214">
        <f t="shared" si="637"/>
        <v>0</v>
      </c>
      <c r="AZ1018" s="214">
        <f t="shared" si="637"/>
        <v>0</v>
      </c>
      <c r="BA1018" s="214">
        <f t="shared" si="637"/>
        <v>0</v>
      </c>
      <c r="BB1018" s="214">
        <f t="shared" si="637"/>
        <v>0</v>
      </c>
      <c r="BC1018" s="214">
        <f t="shared" si="637"/>
        <v>0</v>
      </c>
      <c r="BD1018" s="214">
        <f t="shared" si="637"/>
        <v>0</v>
      </c>
      <c r="BE1018" s="214">
        <f t="shared" si="637"/>
        <v>0</v>
      </c>
      <c r="BF1018" s="214">
        <f t="shared" si="637"/>
        <v>0</v>
      </c>
      <c r="BG1018" s="214">
        <f t="shared" si="637"/>
        <v>0</v>
      </c>
      <c r="BH1018" s="214">
        <f t="shared" si="637"/>
        <v>0</v>
      </c>
      <c r="BI1018" s="214">
        <f t="shared" si="637"/>
        <v>0</v>
      </c>
      <c r="BJ1018" s="215">
        <f t="shared" si="637"/>
        <v>0</v>
      </c>
      <c r="BK1018" s="141"/>
      <c r="BL1018" s="141"/>
    </row>
    <row r="1019" spans="1:64" s="160" customFormat="1">
      <c r="A1019" s="131" t="s">
        <v>134</v>
      </c>
      <c r="B1019" s="156">
        <f t="shared" si="633"/>
        <v>2604138358.3871627</v>
      </c>
      <c r="C1019" s="156">
        <f>C993-C994-C1014</f>
        <v>-47217829.612042353</v>
      </c>
      <c r="D1019" s="157">
        <f t="shared" ref="D1019:BJ1019" si="638">D993-D994-D1014</f>
        <v>-52956739.430834144</v>
      </c>
      <c r="E1019" s="157">
        <f t="shared" si="638"/>
        <v>-69340485.416176215</v>
      </c>
      <c r="F1019" s="157">
        <f t="shared" si="638"/>
        <v>-71579746.146633789</v>
      </c>
      <c r="G1019" s="157">
        <f t="shared" si="638"/>
        <v>-73819006.877091348</v>
      </c>
      <c r="H1019" s="157">
        <f t="shared" si="638"/>
        <v>42659553.976611815</v>
      </c>
      <c r="I1019" s="157">
        <f t="shared" si="638"/>
        <v>95440074.857513696</v>
      </c>
      <c r="J1019" s="157">
        <f t="shared" si="638"/>
        <v>148220595.7384156</v>
      </c>
      <c r="K1019" s="157">
        <f t="shared" si="638"/>
        <v>201001116.61931744</v>
      </c>
      <c r="L1019" s="157">
        <f t="shared" si="638"/>
        <v>277772783.35517478</v>
      </c>
      <c r="M1019" s="157">
        <f t="shared" si="638"/>
        <v>277772783.35517478</v>
      </c>
      <c r="N1019" s="157">
        <f t="shared" si="638"/>
        <v>277772783.35517478</v>
      </c>
      <c r="O1019" s="157">
        <f t="shared" si="638"/>
        <v>277772783.35517478</v>
      </c>
      <c r="P1019" s="157">
        <f t="shared" si="638"/>
        <v>277772783.35517478</v>
      </c>
      <c r="Q1019" s="157">
        <f t="shared" si="638"/>
        <v>277772783.35517478</v>
      </c>
      <c r="R1019" s="157">
        <f t="shared" si="638"/>
        <v>277772783.35517478</v>
      </c>
      <c r="S1019" s="157">
        <f t="shared" si="638"/>
        <v>201001116.61931744</v>
      </c>
      <c r="T1019" s="157">
        <f t="shared" si="638"/>
        <v>148220595.7384156</v>
      </c>
      <c r="U1019" s="157">
        <f t="shared" si="638"/>
        <v>95440074.857513696</v>
      </c>
      <c r="V1019" s="157">
        <f t="shared" si="638"/>
        <v>42659553.976611815</v>
      </c>
      <c r="W1019" s="157">
        <f t="shared" si="638"/>
        <v>0</v>
      </c>
      <c r="X1019" s="157">
        <f t="shared" si="638"/>
        <v>0</v>
      </c>
      <c r="Y1019" s="157">
        <f t="shared" si="638"/>
        <v>0</v>
      </c>
      <c r="Z1019" s="157">
        <f t="shared" si="638"/>
        <v>0</v>
      </c>
      <c r="AA1019" s="157">
        <f t="shared" si="638"/>
        <v>0</v>
      </c>
      <c r="AB1019" s="157">
        <f t="shared" si="638"/>
        <v>0</v>
      </c>
      <c r="AC1019" s="157">
        <f t="shared" si="638"/>
        <v>0</v>
      </c>
      <c r="AD1019" s="157">
        <f t="shared" si="638"/>
        <v>0</v>
      </c>
      <c r="AE1019" s="157">
        <f t="shared" si="638"/>
        <v>0</v>
      </c>
      <c r="AF1019" s="157">
        <f t="shared" si="638"/>
        <v>0</v>
      </c>
      <c r="AG1019" s="157">
        <f t="shared" si="638"/>
        <v>0</v>
      </c>
      <c r="AH1019" s="157">
        <f t="shared" si="638"/>
        <v>0</v>
      </c>
      <c r="AI1019" s="157">
        <f t="shared" si="638"/>
        <v>0</v>
      </c>
      <c r="AJ1019" s="157">
        <f t="shared" si="638"/>
        <v>0</v>
      </c>
      <c r="AK1019" s="157">
        <f t="shared" si="638"/>
        <v>0</v>
      </c>
      <c r="AL1019" s="157">
        <f t="shared" si="638"/>
        <v>0</v>
      </c>
      <c r="AM1019" s="157">
        <f t="shared" si="638"/>
        <v>0</v>
      </c>
      <c r="AN1019" s="157">
        <f t="shared" si="638"/>
        <v>0</v>
      </c>
      <c r="AO1019" s="157">
        <f t="shared" si="638"/>
        <v>0</v>
      </c>
      <c r="AP1019" s="157">
        <f t="shared" si="638"/>
        <v>0</v>
      </c>
      <c r="AQ1019" s="157">
        <f t="shared" si="638"/>
        <v>0</v>
      </c>
      <c r="AR1019" s="157">
        <f t="shared" si="638"/>
        <v>0</v>
      </c>
      <c r="AS1019" s="157">
        <f t="shared" si="638"/>
        <v>0</v>
      </c>
      <c r="AT1019" s="157">
        <f t="shared" si="638"/>
        <v>0</v>
      </c>
      <c r="AU1019" s="157">
        <f t="shared" si="638"/>
        <v>0</v>
      </c>
      <c r="AV1019" s="157">
        <f t="shared" si="638"/>
        <v>0</v>
      </c>
      <c r="AW1019" s="157">
        <f t="shared" si="638"/>
        <v>0</v>
      </c>
      <c r="AX1019" s="157">
        <f t="shared" si="638"/>
        <v>0</v>
      </c>
      <c r="AY1019" s="157">
        <f t="shared" si="638"/>
        <v>0</v>
      </c>
      <c r="AZ1019" s="157">
        <f t="shared" si="638"/>
        <v>0</v>
      </c>
      <c r="BA1019" s="157">
        <f t="shared" si="638"/>
        <v>0</v>
      </c>
      <c r="BB1019" s="157">
        <f t="shared" si="638"/>
        <v>0</v>
      </c>
      <c r="BC1019" s="157">
        <f t="shared" si="638"/>
        <v>0</v>
      </c>
      <c r="BD1019" s="157">
        <f t="shared" si="638"/>
        <v>0</v>
      </c>
      <c r="BE1019" s="157">
        <f t="shared" si="638"/>
        <v>0</v>
      </c>
      <c r="BF1019" s="157">
        <f t="shared" si="638"/>
        <v>0</v>
      </c>
      <c r="BG1019" s="157">
        <f t="shared" si="638"/>
        <v>0</v>
      </c>
      <c r="BH1019" s="157">
        <f t="shared" si="638"/>
        <v>0</v>
      </c>
      <c r="BI1019" s="157">
        <f t="shared" si="638"/>
        <v>0</v>
      </c>
      <c r="BJ1019" s="158">
        <f t="shared" si="638"/>
        <v>0</v>
      </c>
      <c r="BK1019" s="159"/>
      <c r="BL1019" s="159"/>
    </row>
    <row r="1020" spans="1:64" s="160" customFormat="1">
      <c r="A1020" s="131" t="s">
        <v>135</v>
      </c>
      <c r="B1020" s="156">
        <f t="shared" si="633"/>
        <v>875715649.76098228</v>
      </c>
      <c r="C1020" s="231">
        <f>IF(C1019&lt;=0,0,C1019*$K981)</f>
        <v>0</v>
      </c>
      <c r="D1020" s="157">
        <f>IF(D1019&lt;=0,0,D1019*$K981)</f>
        <v>0</v>
      </c>
      <c r="E1020" s="157">
        <f t="shared" ref="E1020:BJ1020" si="639">IF(E1019&lt;=0,0,E1019*$K981)</f>
        <v>0</v>
      </c>
      <c r="F1020" s="157">
        <f t="shared" si="639"/>
        <v>0</v>
      </c>
      <c r="G1020" s="157">
        <f t="shared" si="639"/>
        <v>0</v>
      </c>
      <c r="H1020" s="157">
        <f t="shared" si="639"/>
        <v>12797866.192983544</v>
      </c>
      <c r="I1020" s="157">
        <f t="shared" si="639"/>
        <v>28632022.457254108</v>
      </c>
      <c r="J1020" s="157">
        <f t="shared" si="639"/>
        <v>44466178.721524678</v>
      </c>
      <c r="K1020" s="157">
        <f t="shared" si="639"/>
        <v>60300334.98579523</v>
      </c>
      <c r="L1020" s="157">
        <f t="shared" si="639"/>
        <v>83331835.006552428</v>
      </c>
      <c r="M1020" s="157">
        <f t="shared" si="639"/>
        <v>83331835.006552428</v>
      </c>
      <c r="N1020" s="157">
        <f t="shared" si="639"/>
        <v>83331835.006552428</v>
      </c>
      <c r="O1020" s="157">
        <f t="shared" si="639"/>
        <v>83331835.006552428</v>
      </c>
      <c r="P1020" s="157">
        <f t="shared" si="639"/>
        <v>83331835.006552428</v>
      </c>
      <c r="Q1020" s="157">
        <f t="shared" si="639"/>
        <v>83331835.006552428</v>
      </c>
      <c r="R1020" s="157">
        <f t="shared" si="639"/>
        <v>83331835.006552428</v>
      </c>
      <c r="S1020" s="157">
        <f t="shared" si="639"/>
        <v>60300334.98579523</v>
      </c>
      <c r="T1020" s="157">
        <f t="shared" si="639"/>
        <v>44466178.721524678</v>
      </c>
      <c r="U1020" s="157">
        <f t="shared" si="639"/>
        <v>28632022.457254108</v>
      </c>
      <c r="V1020" s="157">
        <f t="shared" si="639"/>
        <v>12797866.192983544</v>
      </c>
      <c r="W1020" s="157">
        <f t="shared" si="639"/>
        <v>0</v>
      </c>
      <c r="X1020" s="157">
        <f t="shared" si="639"/>
        <v>0</v>
      </c>
      <c r="Y1020" s="157">
        <f t="shared" si="639"/>
        <v>0</v>
      </c>
      <c r="Z1020" s="157">
        <f t="shared" si="639"/>
        <v>0</v>
      </c>
      <c r="AA1020" s="157">
        <f t="shared" si="639"/>
        <v>0</v>
      </c>
      <c r="AB1020" s="157">
        <f t="shared" si="639"/>
        <v>0</v>
      </c>
      <c r="AC1020" s="157">
        <f t="shared" si="639"/>
        <v>0</v>
      </c>
      <c r="AD1020" s="157">
        <f t="shared" si="639"/>
        <v>0</v>
      </c>
      <c r="AE1020" s="157">
        <f t="shared" si="639"/>
        <v>0</v>
      </c>
      <c r="AF1020" s="157">
        <f t="shared" si="639"/>
        <v>0</v>
      </c>
      <c r="AG1020" s="157">
        <f t="shared" si="639"/>
        <v>0</v>
      </c>
      <c r="AH1020" s="157">
        <f t="shared" si="639"/>
        <v>0</v>
      </c>
      <c r="AI1020" s="157">
        <f t="shared" si="639"/>
        <v>0</v>
      </c>
      <c r="AJ1020" s="157">
        <f t="shared" si="639"/>
        <v>0</v>
      </c>
      <c r="AK1020" s="157">
        <f t="shared" si="639"/>
        <v>0</v>
      </c>
      <c r="AL1020" s="157">
        <f t="shared" si="639"/>
        <v>0</v>
      </c>
      <c r="AM1020" s="157">
        <f t="shared" si="639"/>
        <v>0</v>
      </c>
      <c r="AN1020" s="157">
        <f t="shared" si="639"/>
        <v>0</v>
      </c>
      <c r="AO1020" s="157">
        <f t="shared" si="639"/>
        <v>0</v>
      </c>
      <c r="AP1020" s="157">
        <f t="shared" si="639"/>
        <v>0</v>
      </c>
      <c r="AQ1020" s="157">
        <f t="shared" si="639"/>
        <v>0</v>
      </c>
      <c r="AR1020" s="157">
        <f t="shared" si="639"/>
        <v>0</v>
      </c>
      <c r="AS1020" s="157">
        <f t="shared" si="639"/>
        <v>0</v>
      </c>
      <c r="AT1020" s="157">
        <f t="shared" si="639"/>
        <v>0</v>
      </c>
      <c r="AU1020" s="157">
        <f t="shared" si="639"/>
        <v>0</v>
      </c>
      <c r="AV1020" s="157">
        <f t="shared" si="639"/>
        <v>0</v>
      </c>
      <c r="AW1020" s="157">
        <f t="shared" si="639"/>
        <v>0</v>
      </c>
      <c r="AX1020" s="157">
        <f t="shared" si="639"/>
        <v>0</v>
      </c>
      <c r="AY1020" s="157">
        <f t="shared" si="639"/>
        <v>0</v>
      </c>
      <c r="AZ1020" s="157">
        <f t="shared" si="639"/>
        <v>0</v>
      </c>
      <c r="BA1020" s="157">
        <f t="shared" si="639"/>
        <v>0</v>
      </c>
      <c r="BB1020" s="157">
        <f t="shared" si="639"/>
        <v>0</v>
      </c>
      <c r="BC1020" s="157">
        <f t="shared" si="639"/>
        <v>0</v>
      </c>
      <c r="BD1020" s="157">
        <f t="shared" si="639"/>
        <v>0</v>
      </c>
      <c r="BE1020" s="157">
        <f t="shared" si="639"/>
        <v>0</v>
      </c>
      <c r="BF1020" s="157">
        <f t="shared" si="639"/>
        <v>0</v>
      </c>
      <c r="BG1020" s="157">
        <f t="shared" si="639"/>
        <v>0</v>
      </c>
      <c r="BH1020" s="157">
        <f t="shared" si="639"/>
        <v>0</v>
      </c>
      <c r="BI1020" s="157">
        <f t="shared" si="639"/>
        <v>0</v>
      </c>
      <c r="BJ1020" s="158">
        <f t="shared" si="639"/>
        <v>0</v>
      </c>
      <c r="BK1020" s="159"/>
      <c r="BL1020" s="159"/>
    </row>
    <row r="1021" spans="1:64" s="105" customFormat="1">
      <c r="A1021" s="164" t="s">
        <v>136</v>
      </c>
      <c r="B1021" s="161">
        <f t="shared" si="633"/>
        <v>1728422708.6261806</v>
      </c>
      <c r="C1021" s="133">
        <f>C1019-C1020</f>
        <v>-47217829.612042353</v>
      </c>
      <c r="D1021" s="134">
        <f>D1019-D1020</f>
        <v>-52956739.430834144</v>
      </c>
      <c r="E1021" s="134">
        <f>E1019-E1020</f>
        <v>-69340485.416176215</v>
      </c>
      <c r="F1021" s="134">
        <f>F1019-F1020</f>
        <v>-71579746.146633789</v>
      </c>
      <c r="G1021" s="134">
        <f t="shared" ref="G1021:BJ1021" si="640">G1019-G1020</f>
        <v>-73819006.877091348</v>
      </c>
      <c r="H1021" s="134">
        <f t="shared" si="640"/>
        <v>29861687.78362827</v>
      </c>
      <c r="I1021" s="134">
        <f t="shared" si="640"/>
        <v>66808052.400259584</v>
      </c>
      <c r="J1021" s="134">
        <f t="shared" si="640"/>
        <v>103754417.01689091</v>
      </c>
      <c r="K1021" s="134">
        <f t="shared" si="640"/>
        <v>140700781.63352221</v>
      </c>
      <c r="L1021" s="134">
        <f t="shared" si="640"/>
        <v>194440948.34862235</v>
      </c>
      <c r="M1021" s="134">
        <f t="shared" si="640"/>
        <v>194440948.34862235</v>
      </c>
      <c r="N1021" s="134">
        <f t="shared" si="640"/>
        <v>194440948.34862235</v>
      </c>
      <c r="O1021" s="134">
        <f t="shared" si="640"/>
        <v>194440948.34862235</v>
      </c>
      <c r="P1021" s="134">
        <f t="shared" si="640"/>
        <v>194440948.34862235</v>
      </c>
      <c r="Q1021" s="134">
        <f t="shared" si="640"/>
        <v>194440948.34862235</v>
      </c>
      <c r="R1021" s="134">
        <f t="shared" si="640"/>
        <v>194440948.34862235</v>
      </c>
      <c r="S1021" s="134">
        <f t="shared" si="640"/>
        <v>140700781.63352221</v>
      </c>
      <c r="T1021" s="134">
        <f t="shared" si="640"/>
        <v>103754417.01689091</v>
      </c>
      <c r="U1021" s="134">
        <f t="shared" si="640"/>
        <v>66808052.400259584</v>
      </c>
      <c r="V1021" s="134">
        <f t="shared" si="640"/>
        <v>29861687.78362827</v>
      </c>
      <c r="W1021" s="134">
        <f t="shared" si="640"/>
        <v>0</v>
      </c>
      <c r="X1021" s="134">
        <f t="shared" si="640"/>
        <v>0</v>
      </c>
      <c r="Y1021" s="134">
        <f t="shared" si="640"/>
        <v>0</v>
      </c>
      <c r="Z1021" s="134">
        <f t="shared" si="640"/>
        <v>0</v>
      </c>
      <c r="AA1021" s="134">
        <f t="shared" si="640"/>
        <v>0</v>
      </c>
      <c r="AB1021" s="134">
        <f t="shared" si="640"/>
        <v>0</v>
      </c>
      <c r="AC1021" s="134">
        <f t="shared" si="640"/>
        <v>0</v>
      </c>
      <c r="AD1021" s="134">
        <f t="shared" si="640"/>
        <v>0</v>
      </c>
      <c r="AE1021" s="134">
        <f t="shared" si="640"/>
        <v>0</v>
      </c>
      <c r="AF1021" s="134">
        <f t="shared" si="640"/>
        <v>0</v>
      </c>
      <c r="AG1021" s="134">
        <f t="shared" si="640"/>
        <v>0</v>
      </c>
      <c r="AH1021" s="134">
        <f t="shared" si="640"/>
        <v>0</v>
      </c>
      <c r="AI1021" s="134">
        <f t="shared" si="640"/>
        <v>0</v>
      </c>
      <c r="AJ1021" s="134">
        <f t="shared" si="640"/>
        <v>0</v>
      </c>
      <c r="AK1021" s="134">
        <f t="shared" si="640"/>
        <v>0</v>
      </c>
      <c r="AL1021" s="134">
        <f t="shared" si="640"/>
        <v>0</v>
      </c>
      <c r="AM1021" s="134">
        <f t="shared" si="640"/>
        <v>0</v>
      </c>
      <c r="AN1021" s="134">
        <f t="shared" si="640"/>
        <v>0</v>
      </c>
      <c r="AO1021" s="134">
        <f t="shared" si="640"/>
        <v>0</v>
      </c>
      <c r="AP1021" s="134">
        <f t="shared" si="640"/>
        <v>0</v>
      </c>
      <c r="AQ1021" s="134">
        <f t="shared" si="640"/>
        <v>0</v>
      </c>
      <c r="AR1021" s="134">
        <f t="shared" si="640"/>
        <v>0</v>
      </c>
      <c r="AS1021" s="134">
        <f t="shared" si="640"/>
        <v>0</v>
      </c>
      <c r="AT1021" s="134">
        <f t="shared" si="640"/>
        <v>0</v>
      </c>
      <c r="AU1021" s="134">
        <f t="shared" si="640"/>
        <v>0</v>
      </c>
      <c r="AV1021" s="134">
        <f t="shared" si="640"/>
        <v>0</v>
      </c>
      <c r="AW1021" s="134">
        <f t="shared" si="640"/>
        <v>0</v>
      </c>
      <c r="AX1021" s="134">
        <f t="shared" si="640"/>
        <v>0</v>
      </c>
      <c r="AY1021" s="134">
        <f t="shared" si="640"/>
        <v>0</v>
      </c>
      <c r="AZ1021" s="134">
        <f t="shared" si="640"/>
        <v>0</v>
      </c>
      <c r="BA1021" s="134">
        <f t="shared" si="640"/>
        <v>0</v>
      </c>
      <c r="BB1021" s="134">
        <f t="shared" si="640"/>
        <v>0</v>
      </c>
      <c r="BC1021" s="134">
        <f t="shared" si="640"/>
        <v>0</v>
      </c>
      <c r="BD1021" s="134">
        <f t="shared" si="640"/>
        <v>0</v>
      </c>
      <c r="BE1021" s="134">
        <f t="shared" si="640"/>
        <v>0</v>
      </c>
      <c r="BF1021" s="134">
        <f t="shared" si="640"/>
        <v>0</v>
      </c>
      <c r="BG1021" s="134">
        <f t="shared" si="640"/>
        <v>0</v>
      </c>
      <c r="BH1021" s="134">
        <f t="shared" si="640"/>
        <v>0</v>
      </c>
      <c r="BI1021" s="134">
        <f t="shared" si="640"/>
        <v>0</v>
      </c>
      <c r="BJ1021" s="135">
        <f t="shared" si="640"/>
        <v>0</v>
      </c>
      <c r="BK1021" s="109"/>
      <c r="BL1021" s="109"/>
    </row>
    <row r="1022" spans="1:64">
      <c r="A1022" s="165" t="s">
        <v>137</v>
      </c>
      <c r="B1022" s="161" t="e">
        <f>SUM(B1023:B1025)</f>
        <v>#REF!</v>
      </c>
      <c r="C1022" s="166"/>
      <c r="D1022" s="167"/>
      <c r="E1022" s="168"/>
      <c r="F1022" s="168"/>
      <c r="G1022" s="168"/>
      <c r="H1022" s="168"/>
      <c r="I1022" s="168"/>
      <c r="J1022" s="168"/>
      <c r="K1022" s="168"/>
      <c r="L1022" s="168"/>
      <c r="M1022" s="168"/>
      <c r="N1022" s="168"/>
      <c r="O1022" s="168"/>
      <c r="P1022" s="168"/>
      <c r="Q1022" s="168"/>
      <c r="R1022" s="168"/>
      <c r="S1022" s="168"/>
      <c r="T1022" s="168"/>
      <c r="U1022" s="168"/>
      <c r="V1022" s="168"/>
      <c r="W1022" s="168"/>
      <c r="X1022" s="168"/>
      <c r="Y1022" s="168"/>
      <c r="Z1022" s="168"/>
      <c r="AA1022" s="168"/>
      <c r="AB1022" s="168"/>
      <c r="AC1022" s="168"/>
      <c r="AD1022" s="168"/>
      <c r="AE1022" s="168"/>
      <c r="AF1022" s="168"/>
      <c r="AG1022" s="168"/>
      <c r="AH1022" s="168"/>
      <c r="AI1022" s="168"/>
      <c r="AJ1022" s="168"/>
      <c r="AK1022" s="168"/>
      <c r="AL1022" s="168"/>
      <c r="AM1022" s="168"/>
      <c r="AN1022" s="168"/>
      <c r="AO1022" s="168"/>
      <c r="AP1022" s="168"/>
      <c r="AQ1022" s="168"/>
      <c r="AR1022" s="168"/>
      <c r="AS1022" s="168"/>
      <c r="AT1022" s="168"/>
      <c r="AU1022" s="168"/>
      <c r="AV1022" s="168"/>
      <c r="AW1022" s="168"/>
      <c r="AX1022" s="168"/>
      <c r="AY1022" s="168"/>
      <c r="AZ1022" s="168"/>
      <c r="BA1022" s="168"/>
      <c r="BB1022" s="168"/>
      <c r="BC1022" s="168"/>
      <c r="BD1022" s="168"/>
      <c r="BE1022" s="168"/>
      <c r="BF1022" s="168"/>
      <c r="BG1022" s="168"/>
      <c r="BH1022" s="168"/>
      <c r="BI1022" s="168"/>
      <c r="BJ1022" s="169"/>
    </row>
    <row r="1023" spans="1:64" s="174" customFormat="1" ht="12.75">
      <c r="A1023" s="120" t="s">
        <v>138</v>
      </c>
      <c r="B1023" s="170">
        <f>SUM(C1023:BJ1023)</f>
        <v>123130793.50564668</v>
      </c>
      <c r="C1023" s="171">
        <f>C994-C999</f>
        <v>47426797.904389441</v>
      </c>
      <c r="D1023" s="172">
        <f>IF(AND(D982&gt;5,D983=0),0,D994-D999)</f>
        <v>49630151.945925072</v>
      </c>
      <c r="E1023" s="172">
        <f t="shared" ref="E1023:BJ1023" si="641">IF(AND(E982&gt;5,E983=0),0,E994-E999)</f>
        <v>61535376.470352016</v>
      </c>
      <c r="F1023" s="172">
        <f t="shared" si="641"/>
        <v>59296115.73989445</v>
      </c>
      <c r="G1023" s="172">
        <f t="shared" si="641"/>
        <v>57056855.00943689</v>
      </c>
      <c r="H1023" s="172">
        <f t="shared" si="641"/>
        <v>-10120966.904290067</v>
      </c>
      <c r="I1023" s="172">
        <f t="shared" si="641"/>
        <v>-10120966.904290067</v>
      </c>
      <c r="J1023" s="172">
        <f t="shared" si="641"/>
        <v>-10120966.904290067</v>
      </c>
      <c r="K1023" s="172">
        <f t="shared" si="641"/>
        <v>-10120966.904290067</v>
      </c>
      <c r="L1023" s="172">
        <f t="shared" si="641"/>
        <v>-10120966.904290067</v>
      </c>
      <c r="M1023" s="172">
        <f t="shared" si="641"/>
        <v>-10120966.904290067</v>
      </c>
      <c r="N1023" s="172">
        <f t="shared" si="641"/>
        <v>-10120966.904290067</v>
      </c>
      <c r="O1023" s="172">
        <f t="shared" si="641"/>
        <v>-10120966.904290067</v>
      </c>
      <c r="P1023" s="172">
        <f t="shared" si="641"/>
        <v>-10120966.904290067</v>
      </c>
      <c r="Q1023" s="172">
        <f t="shared" si="641"/>
        <v>-10120966.904290067</v>
      </c>
      <c r="R1023" s="172">
        <f t="shared" si="641"/>
        <v>-10120966.904290067</v>
      </c>
      <c r="S1023" s="172">
        <f t="shared" si="641"/>
        <v>-10120966.904290067</v>
      </c>
      <c r="T1023" s="172">
        <f t="shared" si="641"/>
        <v>-10120966.904290067</v>
      </c>
      <c r="U1023" s="172">
        <f t="shared" si="641"/>
        <v>-10120966.904290067</v>
      </c>
      <c r="V1023" s="172">
        <f t="shared" si="641"/>
        <v>-10120966.904290067</v>
      </c>
      <c r="W1023" s="172">
        <f t="shared" si="641"/>
        <v>0</v>
      </c>
      <c r="X1023" s="172">
        <f t="shared" si="641"/>
        <v>0</v>
      </c>
      <c r="Y1023" s="172">
        <f t="shared" si="641"/>
        <v>0</v>
      </c>
      <c r="Z1023" s="172">
        <f t="shared" si="641"/>
        <v>0</v>
      </c>
      <c r="AA1023" s="172">
        <f t="shared" si="641"/>
        <v>0</v>
      </c>
      <c r="AB1023" s="172">
        <f t="shared" si="641"/>
        <v>0</v>
      </c>
      <c r="AC1023" s="172">
        <f t="shared" si="641"/>
        <v>0</v>
      </c>
      <c r="AD1023" s="172">
        <f t="shared" si="641"/>
        <v>0</v>
      </c>
      <c r="AE1023" s="172">
        <f t="shared" si="641"/>
        <v>0</v>
      </c>
      <c r="AF1023" s="172">
        <f t="shared" si="641"/>
        <v>0</v>
      </c>
      <c r="AG1023" s="172">
        <f t="shared" si="641"/>
        <v>0</v>
      </c>
      <c r="AH1023" s="172">
        <f t="shared" si="641"/>
        <v>0</v>
      </c>
      <c r="AI1023" s="172">
        <f t="shared" si="641"/>
        <v>0</v>
      </c>
      <c r="AJ1023" s="172">
        <f t="shared" si="641"/>
        <v>0</v>
      </c>
      <c r="AK1023" s="172">
        <f t="shared" si="641"/>
        <v>0</v>
      </c>
      <c r="AL1023" s="172">
        <f t="shared" si="641"/>
        <v>0</v>
      </c>
      <c r="AM1023" s="172">
        <f t="shared" si="641"/>
        <v>0</v>
      </c>
      <c r="AN1023" s="172">
        <f t="shared" si="641"/>
        <v>0</v>
      </c>
      <c r="AO1023" s="172">
        <f t="shared" si="641"/>
        <v>0</v>
      </c>
      <c r="AP1023" s="172">
        <f t="shared" si="641"/>
        <v>0</v>
      </c>
      <c r="AQ1023" s="172">
        <f t="shared" si="641"/>
        <v>0</v>
      </c>
      <c r="AR1023" s="172">
        <f t="shared" si="641"/>
        <v>0</v>
      </c>
      <c r="AS1023" s="172">
        <f t="shared" si="641"/>
        <v>0</v>
      </c>
      <c r="AT1023" s="172">
        <f t="shared" si="641"/>
        <v>0</v>
      </c>
      <c r="AU1023" s="172">
        <f t="shared" si="641"/>
        <v>0</v>
      </c>
      <c r="AV1023" s="172">
        <f t="shared" si="641"/>
        <v>0</v>
      </c>
      <c r="AW1023" s="172">
        <f t="shared" si="641"/>
        <v>0</v>
      </c>
      <c r="AX1023" s="172">
        <f t="shared" si="641"/>
        <v>0</v>
      </c>
      <c r="AY1023" s="172">
        <f t="shared" si="641"/>
        <v>0</v>
      </c>
      <c r="AZ1023" s="172">
        <f t="shared" si="641"/>
        <v>0</v>
      </c>
      <c r="BA1023" s="172">
        <f t="shared" si="641"/>
        <v>0</v>
      </c>
      <c r="BB1023" s="172">
        <f t="shared" si="641"/>
        <v>0</v>
      </c>
      <c r="BC1023" s="172">
        <f t="shared" si="641"/>
        <v>0</v>
      </c>
      <c r="BD1023" s="172">
        <f t="shared" si="641"/>
        <v>0</v>
      </c>
      <c r="BE1023" s="172">
        <f t="shared" si="641"/>
        <v>0</v>
      </c>
      <c r="BF1023" s="172">
        <f t="shared" si="641"/>
        <v>0</v>
      </c>
      <c r="BG1023" s="172">
        <f t="shared" si="641"/>
        <v>0</v>
      </c>
      <c r="BH1023" s="172">
        <f t="shared" si="641"/>
        <v>0</v>
      </c>
      <c r="BI1023" s="172">
        <f t="shared" si="641"/>
        <v>0</v>
      </c>
      <c r="BJ1023" s="173">
        <f t="shared" si="641"/>
        <v>0</v>
      </c>
      <c r="BK1023" s="172"/>
      <c r="BL1023" s="172"/>
    </row>
    <row r="1024" spans="1:64" s="174" customFormat="1" ht="12.75">
      <c r="A1024" s="120" t="s">
        <v>139</v>
      </c>
      <c r="B1024" s="170">
        <f>SUM(C1024:BJ1024)</f>
        <v>180498213.62305522</v>
      </c>
      <c r="C1024" s="171">
        <f>C1014</f>
        <v>1635406.8242892909</v>
      </c>
      <c r="D1024" s="172">
        <f>D1014</f>
        <v>3403184.7129173726</v>
      </c>
      <c r="E1024" s="172">
        <f t="shared" ref="E1024:BJ1024" si="642">E1014</f>
        <v>5642445.4433749374</v>
      </c>
      <c r="F1024" s="172">
        <f t="shared" si="642"/>
        <v>7881706.1738325022</v>
      </c>
      <c r="G1024" s="172">
        <f t="shared" si="642"/>
        <v>10120966.904290067</v>
      </c>
      <c r="H1024" s="172">
        <f t="shared" si="642"/>
        <v>10120966.904290067</v>
      </c>
      <c r="I1024" s="172">
        <f t="shared" si="642"/>
        <v>10120966.904290067</v>
      </c>
      <c r="J1024" s="172">
        <f t="shared" si="642"/>
        <v>10120966.904290067</v>
      </c>
      <c r="K1024" s="172">
        <f t="shared" si="642"/>
        <v>10120966.904290067</v>
      </c>
      <c r="L1024" s="172">
        <f t="shared" si="642"/>
        <v>10120966.904290067</v>
      </c>
      <c r="M1024" s="172">
        <f t="shared" si="642"/>
        <v>10120966.904290067</v>
      </c>
      <c r="N1024" s="172">
        <f t="shared" si="642"/>
        <v>10120966.904290067</v>
      </c>
      <c r="O1024" s="172">
        <f t="shared" si="642"/>
        <v>10120966.904290067</v>
      </c>
      <c r="P1024" s="172">
        <f t="shared" si="642"/>
        <v>10120966.904290067</v>
      </c>
      <c r="Q1024" s="172">
        <f t="shared" si="642"/>
        <v>10120966.904290067</v>
      </c>
      <c r="R1024" s="172">
        <f t="shared" si="642"/>
        <v>10120966.904290067</v>
      </c>
      <c r="S1024" s="172">
        <f t="shared" si="642"/>
        <v>10120966.904290067</v>
      </c>
      <c r="T1024" s="172">
        <f t="shared" si="642"/>
        <v>10120966.904290067</v>
      </c>
      <c r="U1024" s="172">
        <f t="shared" si="642"/>
        <v>10120966.904290067</v>
      </c>
      <c r="V1024" s="172">
        <f t="shared" si="642"/>
        <v>10120966.904290067</v>
      </c>
      <c r="W1024" s="172">
        <f t="shared" si="642"/>
        <v>0</v>
      </c>
      <c r="X1024" s="172">
        <f t="shared" si="642"/>
        <v>0</v>
      </c>
      <c r="Y1024" s="172">
        <f t="shared" si="642"/>
        <v>0</v>
      </c>
      <c r="Z1024" s="172">
        <f t="shared" si="642"/>
        <v>0</v>
      </c>
      <c r="AA1024" s="172">
        <f t="shared" si="642"/>
        <v>0</v>
      </c>
      <c r="AB1024" s="172">
        <f t="shared" si="642"/>
        <v>0</v>
      </c>
      <c r="AC1024" s="172">
        <f t="shared" si="642"/>
        <v>0</v>
      </c>
      <c r="AD1024" s="172">
        <f t="shared" si="642"/>
        <v>0</v>
      </c>
      <c r="AE1024" s="172">
        <f t="shared" si="642"/>
        <v>0</v>
      </c>
      <c r="AF1024" s="172">
        <f t="shared" si="642"/>
        <v>0</v>
      </c>
      <c r="AG1024" s="172">
        <f t="shared" si="642"/>
        <v>0</v>
      </c>
      <c r="AH1024" s="172">
        <f t="shared" si="642"/>
        <v>0</v>
      </c>
      <c r="AI1024" s="172">
        <f t="shared" si="642"/>
        <v>0</v>
      </c>
      <c r="AJ1024" s="172">
        <f t="shared" si="642"/>
        <v>0</v>
      </c>
      <c r="AK1024" s="172">
        <f t="shared" si="642"/>
        <v>0</v>
      </c>
      <c r="AL1024" s="172">
        <f t="shared" si="642"/>
        <v>0</v>
      </c>
      <c r="AM1024" s="172">
        <f t="shared" si="642"/>
        <v>0</v>
      </c>
      <c r="AN1024" s="172">
        <f t="shared" si="642"/>
        <v>0</v>
      </c>
      <c r="AO1024" s="172">
        <f t="shared" si="642"/>
        <v>0</v>
      </c>
      <c r="AP1024" s="172">
        <f t="shared" si="642"/>
        <v>0</v>
      </c>
      <c r="AQ1024" s="172">
        <f t="shared" si="642"/>
        <v>0</v>
      </c>
      <c r="AR1024" s="172">
        <f t="shared" si="642"/>
        <v>0</v>
      </c>
      <c r="AS1024" s="172">
        <f t="shared" si="642"/>
        <v>0</v>
      </c>
      <c r="AT1024" s="172">
        <f t="shared" si="642"/>
        <v>0</v>
      </c>
      <c r="AU1024" s="172">
        <f t="shared" si="642"/>
        <v>0</v>
      </c>
      <c r="AV1024" s="172">
        <f t="shared" si="642"/>
        <v>0</v>
      </c>
      <c r="AW1024" s="172">
        <f t="shared" si="642"/>
        <v>0</v>
      </c>
      <c r="AX1024" s="172">
        <f t="shared" si="642"/>
        <v>0</v>
      </c>
      <c r="AY1024" s="172">
        <f t="shared" si="642"/>
        <v>0</v>
      </c>
      <c r="AZ1024" s="172">
        <f t="shared" si="642"/>
        <v>0</v>
      </c>
      <c r="BA1024" s="172">
        <f t="shared" si="642"/>
        <v>0</v>
      </c>
      <c r="BB1024" s="172">
        <f t="shared" si="642"/>
        <v>0</v>
      </c>
      <c r="BC1024" s="172">
        <f t="shared" si="642"/>
        <v>0</v>
      </c>
      <c r="BD1024" s="172">
        <f t="shared" si="642"/>
        <v>0</v>
      </c>
      <c r="BE1024" s="172">
        <f t="shared" si="642"/>
        <v>0</v>
      </c>
      <c r="BF1024" s="172">
        <f t="shared" si="642"/>
        <v>0</v>
      </c>
      <c r="BG1024" s="172">
        <f t="shared" si="642"/>
        <v>0</v>
      </c>
      <c r="BH1024" s="172">
        <f t="shared" si="642"/>
        <v>0</v>
      </c>
      <c r="BI1024" s="172">
        <f t="shared" si="642"/>
        <v>0</v>
      </c>
      <c r="BJ1024" s="173">
        <f t="shared" si="642"/>
        <v>0</v>
      </c>
      <c r="BK1024" s="172"/>
      <c r="BL1024" s="172"/>
    </row>
    <row r="1025" spans="1:64" s="174" customFormat="1" ht="12.75">
      <c r="A1025" s="120" t="s">
        <v>140</v>
      </c>
      <c r="B1025" s="170" t="e">
        <f>SUM(C1025:BJ1025)</f>
        <v>#REF!</v>
      </c>
      <c r="C1025" s="171">
        <f>-C994</f>
        <v>-49062204.728678733</v>
      </c>
      <c r="D1025" s="172">
        <f>IF(AND(D982&gt;5,E983=0,D983&lt;&gt;0),SUM(D$71:$BJ999)-D994,-D994)</f>
        <v>-53033336.658842444</v>
      </c>
      <c r="E1025" s="172">
        <f>IF(AND(E982&gt;5,F983=0,E983&lt;&gt;0),SUM(E$71:$BJ999)-E994,-E994)</f>
        <v>-67177821.913726956</v>
      </c>
      <c r="F1025" s="172">
        <f>IF(AND(F982&gt;5,G983=0,F983&lt;&gt;0),SUM(F$71:$BJ999)-F994,-F994)</f>
        <v>-67177821.913726956</v>
      </c>
      <c r="G1025" s="172">
        <f>IF(AND(G982&gt;5,H983=0,G983&lt;&gt;0),SUM(G$71:$BJ999)-G994,-G994)</f>
        <v>-67177821.913726956</v>
      </c>
      <c r="H1025" s="172">
        <f>IF(AND(H982&gt;5,I983=0,H983&lt;&gt;0),SUM(H$71:$BJ999)-H994,-H994)</f>
        <v>0</v>
      </c>
      <c r="I1025" s="172">
        <f>IF(AND(I982&gt;5,J983=0,I983&lt;&gt;0),SUM(I$71:$BJ999)-I994,-I994)</f>
        <v>0</v>
      </c>
      <c r="J1025" s="172">
        <f>IF(AND(J982&gt;5,K983=0,J983&lt;&gt;0),SUM(J$71:$BJ999)-J994,-J994)</f>
        <v>0</v>
      </c>
      <c r="K1025" s="172">
        <f>IF(AND(K982&gt;5,L983=0,K983&lt;&gt;0),SUM(K$71:$BJ999)-K994,-K994)</f>
        <v>0</v>
      </c>
      <c r="L1025" s="172">
        <f>IF(AND(L982&gt;5,M983=0,L983&lt;&gt;0),SUM(L$71:$BJ999)-L994,-L994)</f>
        <v>0</v>
      </c>
      <c r="M1025" s="172">
        <f>IF(AND(M982&gt;5,N983=0,M983&lt;&gt;0),SUM(M$71:$BJ999)-M994,-M994)</f>
        <v>0</v>
      </c>
      <c r="N1025" s="172">
        <f>IF(AND(N982&gt;5,O983=0,N983&lt;&gt;0),SUM(N$71:$BJ999)-N994,-N994)</f>
        <v>0</v>
      </c>
      <c r="O1025" s="172">
        <f>IF(AND(O982&gt;5,P983=0,O983&lt;&gt;0),SUM(O$71:$BJ999)-O994,-O994)</f>
        <v>0</v>
      </c>
      <c r="P1025" s="172">
        <f>IF(AND(P982&gt;5,Q983=0,P983&lt;&gt;0),SUM(P$71:$BJ999)-P994,-P994)</f>
        <v>0</v>
      </c>
      <c r="Q1025" s="172">
        <f>IF(AND(Q982&gt;5,R983=0,Q983&lt;&gt;0),SUM(Q$71:$BJ999)-Q994,-Q994)</f>
        <v>0</v>
      </c>
      <c r="R1025" s="172">
        <f>IF(AND(R982&gt;5,S983=0,R983&lt;&gt;0),SUM(R$71:$BJ999)-R994,-R994)</f>
        <v>0</v>
      </c>
      <c r="S1025" s="172">
        <f>IF(AND(S982&gt;5,T983=0,S983&lt;&gt;0),SUM(S$71:$BJ999)-S994,-S994)</f>
        <v>0</v>
      </c>
      <c r="T1025" s="172">
        <f>IF(AND(T982&gt;5,U983=0,T983&lt;&gt;0),SUM(T$71:$BJ999)-T994,-T994)</f>
        <v>0</v>
      </c>
      <c r="U1025" s="172">
        <f>IF(AND(U982&gt;5,V983=0,U983&lt;&gt;0),SUM(U$71:$BJ999)-U994,-U994)</f>
        <v>0</v>
      </c>
      <c r="V1025" s="172" t="e">
        <f>IF(AND(V982&gt;5,W983=0,V983&lt;&gt;0),SUM(V$71:$BJ999)-V994,-V994)</f>
        <v>#REF!</v>
      </c>
      <c r="W1025" s="172">
        <f>IF(AND(W982&gt;5,X983=0,W983&lt;&gt;0),SUM(W$71:$BJ999)-W994,-W994)</f>
        <v>0</v>
      </c>
      <c r="X1025" s="172">
        <f>IF(AND(X982&gt;5,Y983=0,X983&lt;&gt;0),SUM(X$71:$BJ999)-X994,-X994)</f>
        <v>0</v>
      </c>
      <c r="Y1025" s="172">
        <f>IF(AND(Y982&gt;5,Z983=0,Y983&lt;&gt;0),SUM(Y$71:$BJ999)-Y994,-Y994)</f>
        <v>0</v>
      </c>
      <c r="Z1025" s="175">
        <f>IF(AND(Z982&gt;5,AA983=0,Z983&lt;&gt;0),SUM(Z$71:$BJ999)-Z994,-Z994)</f>
        <v>0</v>
      </c>
      <c r="AA1025" s="172">
        <f>IF(AND(AA982&gt;5,AB983=0,AA983&lt;&gt;0),SUM(AA$71:$BJ999)-AA994,-AA994)</f>
        <v>0</v>
      </c>
      <c r="AB1025" s="172">
        <f>IF(AND(AB982&gt;5,AC983=0,AB983&lt;&gt;0),SUM(AB$71:$BJ999)-AB994,-AB994)</f>
        <v>0</v>
      </c>
      <c r="AC1025" s="172">
        <f>IF(AND(AC982&gt;5,AD983=0,AC983&lt;&gt;0),SUM(AC$71:$BJ999)-AC994,-AC994)</f>
        <v>0</v>
      </c>
      <c r="AD1025" s="172">
        <f>IF(AND(AD982&gt;5,AE983=0,AD983&lt;&gt;0),SUM(AD$71:$BJ999)-AD994,-AD994)</f>
        <v>0</v>
      </c>
      <c r="AE1025" s="172">
        <f>IF(AND(AE982&gt;5,AF983=0,AE983&lt;&gt;0),SUM(AE$71:$BJ999)-AE994,-AE994)</f>
        <v>0</v>
      </c>
      <c r="AF1025" s="172">
        <f>IF(AND(AF982&gt;5,AG983=0,AF983&lt;&gt;0),SUM(AF$71:$BJ999)-AF994,-AF994)</f>
        <v>0</v>
      </c>
      <c r="AG1025" s="172">
        <f>IF(AND(AG982&gt;5,AH983=0,AG983&lt;&gt;0),SUM(AG$71:$BJ999)-AG994,-AG994)</f>
        <v>0</v>
      </c>
      <c r="AH1025" s="172">
        <f>IF(AND(AH982&gt;5,AI983=0,AH983&lt;&gt;0),SUM(AH$71:$BJ999)-AH994,-AH994)</f>
        <v>0</v>
      </c>
      <c r="AI1025" s="172">
        <f>IF(AND(AI982&gt;5,AJ983=0,AI983&lt;&gt;0),SUM(AI$71:$BJ999)-AI994,-AI994)</f>
        <v>0</v>
      </c>
      <c r="AJ1025" s="172">
        <f>IF(AND(AJ982&gt;5,AK983=0,AJ983&lt;&gt;0),SUM(AJ$71:$BJ999)-AJ994,-AJ994)</f>
        <v>0</v>
      </c>
      <c r="AK1025" s="172">
        <f>IF(AND(AK982&gt;5,AL983=0,AK983&lt;&gt;0),SUM(AK$71:$BJ999)-AK994,-AK994)</f>
        <v>0</v>
      </c>
      <c r="AL1025" s="172">
        <f>IF(AND(AL982&gt;5,AM983=0,AL983&lt;&gt;0),SUM(AL$71:$BJ999)-AL994,-AL994)</f>
        <v>0</v>
      </c>
      <c r="AM1025" s="172">
        <f>IF(AND(AM982&gt;5,AN983=0,AM983&lt;&gt;0),SUM(AM$71:$BJ999)-AM994,-AM994)</f>
        <v>0</v>
      </c>
      <c r="AN1025" s="172">
        <f>IF(AND(AN982&gt;5,AO983=0,AN983&lt;&gt;0),SUM(AN$71:$BJ999)-AN994,-AN994)</f>
        <v>0</v>
      </c>
      <c r="AO1025" s="172">
        <f>IF(AND(AO982&gt;5,AP983=0,AO983&lt;&gt;0),SUM(AO$71:$BJ999)-AO994,-AO994)</f>
        <v>0</v>
      </c>
      <c r="AP1025" s="172">
        <f>IF(AND(AP982&gt;5,AQ983=0,AP983&lt;&gt;0),SUM(AP$71:$BJ999)-AP994,-AP994)</f>
        <v>0</v>
      </c>
      <c r="AQ1025" s="172">
        <f>IF(AND(AQ982&gt;5,AR983=0,AQ983&lt;&gt;0),SUM(AQ$71:$BJ999)-AQ994,-AQ994)</f>
        <v>0</v>
      </c>
      <c r="AR1025" s="172">
        <f>IF(AND(AR982&gt;5,AS983=0,AR983&lt;&gt;0),SUM(AR$71:$BJ999)-AR994,-AR994)</f>
        <v>0</v>
      </c>
      <c r="AS1025" s="172">
        <f>IF(AND(AS982&gt;5,AT983=0,AS983&lt;&gt;0),SUM(AS$71:$BJ999)-AS994,-AS994)</f>
        <v>0</v>
      </c>
      <c r="AT1025" s="172">
        <f>IF(AND(AT982&gt;5,AU983=0,AT983&lt;&gt;0),SUM(AT$71:$BJ999)-AT994,-AT994)</f>
        <v>0</v>
      </c>
      <c r="AU1025" s="172">
        <f>IF(AND(AU982&gt;5,AV983=0,AU983&lt;&gt;0),SUM(AU$71:$BJ999)-AU994,-AU994)</f>
        <v>0</v>
      </c>
      <c r="AV1025" s="172">
        <f>IF(AND(AV982&gt;5,AW983=0,AV983&lt;&gt;0),SUM(AV$71:$BJ999)-AV994,-AV994)</f>
        <v>0</v>
      </c>
      <c r="AW1025" s="172">
        <f>IF(AND(AW982&gt;5,AX983=0,AW983&lt;&gt;0),SUM(AW$71:$BJ999)-AW994,-AW994)</f>
        <v>0</v>
      </c>
      <c r="AX1025" s="172">
        <f>IF(AND(AX982&gt;5,AY983=0,AX983&lt;&gt;0),SUM(AX$71:$BJ999)-AX994,-AX994)</f>
        <v>0</v>
      </c>
      <c r="AY1025" s="172">
        <f>IF(AND(AY982&gt;5,AZ983=0,AY983&lt;&gt;0),SUM(AY$71:$BJ999)-AY994,-AY994)</f>
        <v>0</v>
      </c>
      <c r="AZ1025" s="172">
        <f>IF(AND(AZ982&gt;5,BA983=0,AZ983&lt;&gt;0),SUM(AZ$71:$BJ999)-AZ994,-AZ994)</f>
        <v>0</v>
      </c>
      <c r="BA1025" s="172">
        <f>IF(AND(BA982&gt;5,BB983=0,BA983&lt;&gt;0),SUM(BA$71:$BJ999)-BA994,-BA994)</f>
        <v>0</v>
      </c>
      <c r="BB1025" s="172">
        <f>IF(AND(BB982&gt;5,BC983=0,BB983&lt;&gt;0),SUM(BB$71:$BJ999)-BB994,-BB994)</f>
        <v>0</v>
      </c>
      <c r="BC1025" s="172">
        <f>IF(AND(BC982&gt;5,BD983=0,BC983&lt;&gt;0),SUM(BC$71:$BJ999)-BC994,-BC994)</f>
        <v>0</v>
      </c>
      <c r="BD1025" s="172">
        <f>IF(AND(BD982&gt;5,BE983=0,BD983&lt;&gt;0),SUM(BD$71:$BJ999)-BD994,-BD994)</f>
        <v>0</v>
      </c>
      <c r="BE1025" s="172">
        <f>IF(AND(BE982&gt;5,BF983=0,BE983&lt;&gt;0),SUM(BE$71:$BJ999)-BE994,-BE994)</f>
        <v>0</v>
      </c>
      <c r="BF1025" s="172">
        <f>IF(AND(BF982&gt;5,BG983=0,BF983&lt;&gt;0),SUM(BF$71:$BJ999)-BF994,-BF994)</f>
        <v>0</v>
      </c>
      <c r="BG1025" s="172">
        <f>IF(AND(BG982&gt;5,BH983=0,BG983&lt;&gt;0),SUM(BG$71:$BJ999)-BG994,-BG994)</f>
        <v>0</v>
      </c>
      <c r="BH1025" s="172">
        <f>IF(AND(BH982&gt;5,BI983=0,BH983&lt;&gt;0),SUM(BH$71:$BJ999)-BH994,-BH994)</f>
        <v>0</v>
      </c>
      <c r="BI1025" s="172">
        <f>IF(AND(BI982&gt;5,BJ983=0,BI983&lt;&gt;0),SUM(BI$71:$BJ999)-BI994,-BI994)</f>
        <v>0</v>
      </c>
      <c r="BJ1025" s="173">
        <f>IF(AND(BJ982&gt;5,BK983=0,BJ983&lt;&gt;0),SUM(BJ$71:$BJ999)-BJ994,-BJ994)</f>
        <v>0</v>
      </c>
      <c r="BK1025" s="172"/>
      <c r="BL1025" s="172"/>
    </row>
    <row r="1026" spans="1:64" s="160" customFormat="1">
      <c r="A1026" s="176" t="s">
        <v>141</v>
      </c>
      <c r="B1026" s="177">
        <f>SUM(C1026:BJ1026)</f>
        <v>1908920922.2492361</v>
      </c>
      <c r="C1026" s="178">
        <f>C1021+C1024</f>
        <v>-45582422.78775306</v>
      </c>
      <c r="D1026" s="179">
        <f t="shared" ref="D1026:BJ1026" si="643">D1021+D1024</f>
        <v>-49553554.717916772</v>
      </c>
      <c r="E1026" s="179">
        <f t="shared" si="643"/>
        <v>-63698039.972801276</v>
      </c>
      <c r="F1026" s="179">
        <f t="shared" si="643"/>
        <v>-63698039.972801283</v>
      </c>
      <c r="G1026" s="179">
        <f t="shared" si="643"/>
        <v>-63698039.972801283</v>
      </c>
      <c r="H1026" s="179">
        <f t="shared" si="643"/>
        <v>39982654.687918335</v>
      </c>
      <c r="I1026" s="179">
        <f t="shared" si="643"/>
        <v>76929019.304549649</v>
      </c>
      <c r="J1026" s="179">
        <f t="shared" si="643"/>
        <v>113875383.92118098</v>
      </c>
      <c r="K1026" s="179">
        <f t="shared" si="643"/>
        <v>150821748.53781229</v>
      </c>
      <c r="L1026" s="179">
        <f t="shared" si="643"/>
        <v>204561915.25291243</v>
      </c>
      <c r="M1026" s="179">
        <f t="shared" si="643"/>
        <v>204561915.25291243</v>
      </c>
      <c r="N1026" s="179">
        <f t="shared" si="643"/>
        <v>204561915.25291243</v>
      </c>
      <c r="O1026" s="179">
        <f t="shared" si="643"/>
        <v>204561915.25291243</v>
      </c>
      <c r="P1026" s="179">
        <f t="shared" si="643"/>
        <v>204561915.25291243</v>
      </c>
      <c r="Q1026" s="179">
        <f t="shared" si="643"/>
        <v>204561915.25291243</v>
      </c>
      <c r="R1026" s="179">
        <f t="shared" si="643"/>
        <v>204561915.25291243</v>
      </c>
      <c r="S1026" s="179">
        <f t="shared" si="643"/>
        <v>150821748.53781229</v>
      </c>
      <c r="T1026" s="179">
        <f t="shared" si="643"/>
        <v>113875383.92118098</v>
      </c>
      <c r="U1026" s="179">
        <f t="shared" si="643"/>
        <v>76929019.304549649</v>
      </c>
      <c r="V1026" s="179">
        <f t="shared" si="643"/>
        <v>39982654.687918335</v>
      </c>
      <c r="W1026" s="179">
        <f t="shared" si="643"/>
        <v>0</v>
      </c>
      <c r="X1026" s="179">
        <f t="shared" si="643"/>
        <v>0</v>
      </c>
      <c r="Y1026" s="179">
        <f t="shared" si="643"/>
        <v>0</v>
      </c>
      <c r="Z1026" s="179">
        <f t="shared" si="643"/>
        <v>0</v>
      </c>
      <c r="AA1026" s="179">
        <f t="shared" si="643"/>
        <v>0</v>
      </c>
      <c r="AB1026" s="179">
        <f t="shared" si="643"/>
        <v>0</v>
      </c>
      <c r="AC1026" s="179">
        <f t="shared" si="643"/>
        <v>0</v>
      </c>
      <c r="AD1026" s="179">
        <f t="shared" si="643"/>
        <v>0</v>
      </c>
      <c r="AE1026" s="179">
        <f t="shared" si="643"/>
        <v>0</v>
      </c>
      <c r="AF1026" s="179">
        <f t="shared" si="643"/>
        <v>0</v>
      </c>
      <c r="AG1026" s="179">
        <f t="shared" si="643"/>
        <v>0</v>
      </c>
      <c r="AH1026" s="179">
        <f t="shared" si="643"/>
        <v>0</v>
      </c>
      <c r="AI1026" s="179">
        <f t="shared" si="643"/>
        <v>0</v>
      </c>
      <c r="AJ1026" s="179">
        <f t="shared" si="643"/>
        <v>0</v>
      </c>
      <c r="AK1026" s="179">
        <f t="shared" si="643"/>
        <v>0</v>
      </c>
      <c r="AL1026" s="179">
        <f t="shared" si="643"/>
        <v>0</v>
      </c>
      <c r="AM1026" s="179">
        <f t="shared" si="643"/>
        <v>0</v>
      </c>
      <c r="AN1026" s="179">
        <f t="shared" si="643"/>
        <v>0</v>
      </c>
      <c r="AO1026" s="179">
        <f t="shared" si="643"/>
        <v>0</v>
      </c>
      <c r="AP1026" s="179">
        <f t="shared" si="643"/>
        <v>0</v>
      </c>
      <c r="AQ1026" s="179">
        <f t="shared" si="643"/>
        <v>0</v>
      </c>
      <c r="AR1026" s="179">
        <f t="shared" si="643"/>
        <v>0</v>
      </c>
      <c r="AS1026" s="179">
        <f t="shared" si="643"/>
        <v>0</v>
      </c>
      <c r="AT1026" s="179">
        <f t="shared" si="643"/>
        <v>0</v>
      </c>
      <c r="AU1026" s="179">
        <f t="shared" si="643"/>
        <v>0</v>
      </c>
      <c r="AV1026" s="179">
        <f t="shared" si="643"/>
        <v>0</v>
      </c>
      <c r="AW1026" s="179">
        <f t="shared" si="643"/>
        <v>0</v>
      </c>
      <c r="AX1026" s="179">
        <f t="shared" si="643"/>
        <v>0</v>
      </c>
      <c r="AY1026" s="179">
        <f t="shared" si="643"/>
        <v>0</v>
      </c>
      <c r="AZ1026" s="179">
        <f t="shared" si="643"/>
        <v>0</v>
      </c>
      <c r="BA1026" s="179">
        <f t="shared" si="643"/>
        <v>0</v>
      </c>
      <c r="BB1026" s="179">
        <f t="shared" si="643"/>
        <v>0</v>
      </c>
      <c r="BC1026" s="179">
        <f t="shared" si="643"/>
        <v>0</v>
      </c>
      <c r="BD1026" s="179">
        <f t="shared" si="643"/>
        <v>0</v>
      </c>
      <c r="BE1026" s="179">
        <f t="shared" si="643"/>
        <v>0</v>
      </c>
      <c r="BF1026" s="179">
        <f t="shared" si="643"/>
        <v>0</v>
      </c>
      <c r="BG1026" s="179">
        <f t="shared" si="643"/>
        <v>0</v>
      </c>
      <c r="BH1026" s="179">
        <f t="shared" si="643"/>
        <v>0</v>
      </c>
      <c r="BI1026" s="179">
        <f t="shared" si="643"/>
        <v>0</v>
      </c>
      <c r="BJ1026" s="180">
        <f t="shared" si="643"/>
        <v>0</v>
      </c>
    </row>
    <row r="1027" spans="1:64" s="80" customFormat="1">
      <c r="A1027" s="176" t="s">
        <v>142</v>
      </c>
      <c r="B1027" s="177">
        <f>SUM(C1027:BJ1027)</f>
        <v>380548318.66825193</v>
      </c>
      <c r="C1027" s="232">
        <f>C1026*(1+$C981)^-(C982-1)</f>
        <v>-45582422.78775306</v>
      </c>
      <c r="D1027" s="182">
        <f>D1026*(1+$C981)^-(D982-1)</f>
        <v>-44244245.283854261</v>
      </c>
      <c r="E1027" s="182">
        <f t="shared" ref="E1027:BJ1027" si="644">E1026*(1+$C981)^-(E982-1)</f>
        <v>-50779687.478317335</v>
      </c>
      <c r="F1027" s="182">
        <f t="shared" si="644"/>
        <v>-45339006.677069046</v>
      </c>
      <c r="G1027" s="182">
        <f t="shared" si="644"/>
        <v>-40481255.961668797</v>
      </c>
      <c r="H1027" s="182">
        <f t="shared" si="644"/>
        <v>22687232.032848012</v>
      </c>
      <c r="I1027" s="182">
        <f t="shared" si="644"/>
        <v>38974635.301335737</v>
      </c>
      <c r="J1027" s="182">
        <f t="shared" si="644"/>
        <v>51511440.562933706</v>
      </c>
      <c r="K1027" s="182">
        <f t="shared" si="644"/>
        <v>60914374.648944318</v>
      </c>
      <c r="L1027" s="182">
        <f t="shared" si="644"/>
        <v>73767077.369632512</v>
      </c>
      <c r="M1027" s="182">
        <f t="shared" si="644"/>
        <v>65863461.937171876</v>
      </c>
      <c r="N1027" s="182">
        <f t="shared" si="644"/>
        <v>58806662.443903454</v>
      </c>
      <c r="O1027" s="182">
        <f t="shared" si="644"/>
        <v>52505948.610628091</v>
      </c>
      <c r="P1027" s="182">
        <f t="shared" si="644"/>
        <v>46880311.259489357</v>
      </c>
      <c r="Q1027" s="182">
        <f t="shared" si="644"/>
        <v>41857420.767401204</v>
      </c>
      <c r="R1027" s="182">
        <f t="shared" si="644"/>
        <v>37372697.113751076</v>
      </c>
      <c r="S1027" s="182">
        <f t="shared" si="644"/>
        <v>24602294.26356028</v>
      </c>
      <c r="T1027" s="182">
        <f t="shared" si="644"/>
        <v>16585305.23949703</v>
      </c>
      <c r="U1027" s="182">
        <f t="shared" si="644"/>
        <v>10003818.138482988</v>
      </c>
      <c r="V1027" s="182">
        <f t="shared" si="644"/>
        <v>4642257.167334876</v>
      </c>
      <c r="W1027" s="182">
        <f t="shared" si="644"/>
        <v>0</v>
      </c>
      <c r="X1027" s="182">
        <f t="shared" si="644"/>
        <v>0</v>
      </c>
      <c r="Y1027" s="182">
        <f t="shared" si="644"/>
        <v>0</v>
      </c>
      <c r="Z1027" s="182">
        <f t="shared" si="644"/>
        <v>0</v>
      </c>
      <c r="AA1027" s="182">
        <f t="shared" si="644"/>
        <v>0</v>
      </c>
      <c r="AB1027" s="182">
        <f t="shared" si="644"/>
        <v>0</v>
      </c>
      <c r="AC1027" s="182">
        <f t="shared" si="644"/>
        <v>0</v>
      </c>
      <c r="AD1027" s="182">
        <f t="shared" si="644"/>
        <v>0</v>
      </c>
      <c r="AE1027" s="182">
        <f t="shared" si="644"/>
        <v>0</v>
      </c>
      <c r="AF1027" s="182">
        <f t="shared" si="644"/>
        <v>0</v>
      </c>
      <c r="AG1027" s="182">
        <f t="shared" si="644"/>
        <v>0</v>
      </c>
      <c r="AH1027" s="182">
        <f t="shared" si="644"/>
        <v>0</v>
      </c>
      <c r="AI1027" s="182">
        <f t="shared" si="644"/>
        <v>0</v>
      </c>
      <c r="AJ1027" s="182">
        <f t="shared" si="644"/>
        <v>0</v>
      </c>
      <c r="AK1027" s="182">
        <f t="shared" si="644"/>
        <v>0</v>
      </c>
      <c r="AL1027" s="182">
        <f t="shared" si="644"/>
        <v>0</v>
      </c>
      <c r="AM1027" s="182">
        <f t="shared" si="644"/>
        <v>0</v>
      </c>
      <c r="AN1027" s="182">
        <f t="shared" si="644"/>
        <v>0</v>
      </c>
      <c r="AO1027" s="182">
        <f t="shared" si="644"/>
        <v>0</v>
      </c>
      <c r="AP1027" s="182">
        <f t="shared" si="644"/>
        <v>0</v>
      </c>
      <c r="AQ1027" s="182">
        <f t="shared" si="644"/>
        <v>0</v>
      </c>
      <c r="AR1027" s="182">
        <f t="shared" si="644"/>
        <v>0</v>
      </c>
      <c r="AS1027" s="182">
        <f t="shared" si="644"/>
        <v>0</v>
      </c>
      <c r="AT1027" s="182">
        <f t="shared" si="644"/>
        <v>0</v>
      </c>
      <c r="AU1027" s="182">
        <f t="shared" si="644"/>
        <v>0</v>
      </c>
      <c r="AV1027" s="182">
        <f t="shared" si="644"/>
        <v>0</v>
      </c>
      <c r="AW1027" s="182">
        <f t="shared" si="644"/>
        <v>0</v>
      </c>
      <c r="AX1027" s="182">
        <f t="shared" si="644"/>
        <v>0</v>
      </c>
      <c r="AY1027" s="182">
        <f t="shared" si="644"/>
        <v>0</v>
      </c>
      <c r="AZ1027" s="182">
        <f t="shared" si="644"/>
        <v>0</v>
      </c>
      <c r="BA1027" s="182">
        <f t="shared" si="644"/>
        <v>0</v>
      </c>
      <c r="BB1027" s="182">
        <f t="shared" si="644"/>
        <v>0</v>
      </c>
      <c r="BC1027" s="182">
        <f t="shared" si="644"/>
        <v>0</v>
      </c>
      <c r="BD1027" s="182">
        <f t="shared" si="644"/>
        <v>0</v>
      </c>
      <c r="BE1027" s="182">
        <f t="shared" si="644"/>
        <v>0</v>
      </c>
      <c r="BF1027" s="182">
        <f t="shared" si="644"/>
        <v>0</v>
      </c>
      <c r="BG1027" s="182">
        <f t="shared" si="644"/>
        <v>0</v>
      </c>
      <c r="BH1027" s="182">
        <f t="shared" si="644"/>
        <v>0</v>
      </c>
      <c r="BI1027" s="182">
        <f t="shared" si="644"/>
        <v>0</v>
      </c>
      <c r="BJ1027" s="183">
        <f t="shared" si="644"/>
        <v>0</v>
      </c>
    </row>
    <row r="1028" spans="1:64" s="80" customFormat="1">
      <c r="A1028" s="184" t="s">
        <v>143</v>
      </c>
      <c r="B1028" s="177"/>
      <c r="C1028" s="181">
        <f>C1027</f>
        <v>-45582422.78775306</v>
      </c>
      <c r="D1028" s="182">
        <f t="shared" ref="D1028:BJ1028" si="645">IF(D1027=0, 0, C1028+D1027)</f>
        <v>-89826668.071607322</v>
      </c>
      <c r="E1028" s="182">
        <f t="shared" si="645"/>
        <v>-140606355.54992467</v>
      </c>
      <c r="F1028" s="182">
        <f t="shared" si="645"/>
        <v>-185945362.22699371</v>
      </c>
      <c r="G1028" s="182">
        <f t="shared" si="645"/>
        <v>-226426618.1886625</v>
      </c>
      <c r="H1028" s="182">
        <f t="shared" si="645"/>
        <v>-203739386.1558145</v>
      </c>
      <c r="I1028" s="182">
        <f t="shared" si="645"/>
        <v>-164764750.85447878</v>
      </c>
      <c r="J1028" s="182">
        <f t="shared" si="645"/>
        <v>-113253310.29154506</v>
      </c>
      <c r="K1028" s="182">
        <f t="shared" si="645"/>
        <v>-52338935.642600745</v>
      </c>
      <c r="L1028" s="182">
        <f t="shared" si="645"/>
        <v>21428141.727031767</v>
      </c>
      <c r="M1028" s="182">
        <f t="shared" si="645"/>
        <v>87291603.664203644</v>
      </c>
      <c r="N1028" s="182">
        <f t="shared" si="645"/>
        <v>146098266.10810709</v>
      </c>
      <c r="O1028" s="182">
        <f t="shared" si="645"/>
        <v>198604214.71873519</v>
      </c>
      <c r="P1028" s="182">
        <f t="shared" si="645"/>
        <v>245484525.97822455</v>
      </c>
      <c r="Q1028" s="182">
        <f t="shared" si="645"/>
        <v>287341946.74562573</v>
      </c>
      <c r="R1028" s="182">
        <f t="shared" si="645"/>
        <v>324714643.85937679</v>
      </c>
      <c r="S1028" s="182">
        <f t="shared" si="645"/>
        <v>349316938.12293708</v>
      </c>
      <c r="T1028" s="182">
        <f t="shared" si="645"/>
        <v>365902243.36243409</v>
      </c>
      <c r="U1028" s="182">
        <f t="shared" si="645"/>
        <v>375906061.50091708</v>
      </c>
      <c r="V1028" s="182">
        <f t="shared" si="645"/>
        <v>380548318.66825193</v>
      </c>
      <c r="W1028" s="182">
        <f t="shared" si="645"/>
        <v>0</v>
      </c>
      <c r="X1028" s="182">
        <f t="shared" si="645"/>
        <v>0</v>
      </c>
      <c r="Y1028" s="182">
        <f t="shared" si="645"/>
        <v>0</v>
      </c>
      <c r="Z1028" s="182">
        <f t="shared" si="645"/>
        <v>0</v>
      </c>
      <c r="AA1028" s="182">
        <f t="shared" si="645"/>
        <v>0</v>
      </c>
      <c r="AB1028" s="182">
        <f t="shared" si="645"/>
        <v>0</v>
      </c>
      <c r="AC1028" s="182">
        <f t="shared" si="645"/>
        <v>0</v>
      </c>
      <c r="AD1028" s="182">
        <f t="shared" si="645"/>
        <v>0</v>
      </c>
      <c r="AE1028" s="182">
        <f t="shared" si="645"/>
        <v>0</v>
      </c>
      <c r="AF1028" s="182">
        <f t="shared" si="645"/>
        <v>0</v>
      </c>
      <c r="AG1028" s="182">
        <f t="shared" si="645"/>
        <v>0</v>
      </c>
      <c r="AH1028" s="182">
        <f t="shared" si="645"/>
        <v>0</v>
      </c>
      <c r="AI1028" s="182">
        <f t="shared" si="645"/>
        <v>0</v>
      </c>
      <c r="AJ1028" s="182">
        <f t="shared" si="645"/>
        <v>0</v>
      </c>
      <c r="AK1028" s="182">
        <f t="shared" si="645"/>
        <v>0</v>
      </c>
      <c r="AL1028" s="182">
        <f t="shared" si="645"/>
        <v>0</v>
      </c>
      <c r="AM1028" s="182">
        <f t="shared" si="645"/>
        <v>0</v>
      </c>
      <c r="AN1028" s="182">
        <f t="shared" si="645"/>
        <v>0</v>
      </c>
      <c r="AO1028" s="182">
        <f t="shared" si="645"/>
        <v>0</v>
      </c>
      <c r="AP1028" s="182">
        <f t="shared" si="645"/>
        <v>0</v>
      </c>
      <c r="AQ1028" s="182">
        <f t="shared" si="645"/>
        <v>0</v>
      </c>
      <c r="AR1028" s="182">
        <f t="shared" si="645"/>
        <v>0</v>
      </c>
      <c r="AS1028" s="182">
        <f t="shared" si="645"/>
        <v>0</v>
      </c>
      <c r="AT1028" s="182">
        <f t="shared" si="645"/>
        <v>0</v>
      </c>
      <c r="AU1028" s="182">
        <f t="shared" si="645"/>
        <v>0</v>
      </c>
      <c r="AV1028" s="182">
        <f t="shared" si="645"/>
        <v>0</v>
      </c>
      <c r="AW1028" s="182">
        <f t="shared" si="645"/>
        <v>0</v>
      </c>
      <c r="AX1028" s="182">
        <f t="shared" si="645"/>
        <v>0</v>
      </c>
      <c r="AY1028" s="182">
        <f t="shared" si="645"/>
        <v>0</v>
      </c>
      <c r="AZ1028" s="182">
        <f t="shared" si="645"/>
        <v>0</v>
      </c>
      <c r="BA1028" s="182">
        <f t="shared" si="645"/>
        <v>0</v>
      </c>
      <c r="BB1028" s="182">
        <f t="shared" si="645"/>
        <v>0</v>
      </c>
      <c r="BC1028" s="182">
        <f t="shared" si="645"/>
        <v>0</v>
      </c>
      <c r="BD1028" s="182">
        <f t="shared" si="645"/>
        <v>0</v>
      </c>
      <c r="BE1028" s="182">
        <f t="shared" si="645"/>
        <v>0</v>
      </c>
      <c r="BF1028" s="182">
        <f t="shared" si="645"/>
        <v>0</v>
      </c>
      <c r="BG1028" s="182">
        <f t="shared" si="645"/>
        <v>0</v>
      </c>
      <c r="BH1028" s="182">
        <f t="shared" si="645"/>
        <v>0</v>
      </c>
      <c r="BI1028" s="182">
        <f t="shared" si="645"/>
        <v>0</v>
      </c>
      <c r="BJ1028" s="183">
        <f t="shared" si="645"/>
        <v>0</v>
      </c>
    </row>
    <row r="1029" spans="1:64" s="83" customFormat="1">
      <c r="A1029" s="78"/>
      <c r="B1029" s="81"/>
      <c r="C1029" s="82"/>
      <c r="D1029" s="82"/>
      <c r="E1029" s="82"/>
      <c r="F1029" s="82"/>
      <c r="G1029" s="82"/>
      <c r="H1029" s="82"/>
      <c r="I1029" s="82"/>
      <c r="J1029" s="82"/>
      <c r="K1029" s="82"/>
      <c r="L1029" s="82"/>
      <c r="M1029" s="82"/>
      <c r="N1029" s="82"/>
      <c r="O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2"/>
      <c r="AD1029" s="82"/>
      <c r="AE1029" s="82"/>
      <c r="AF1029" s="82"/>
      <c r="AG1029" s="82"/>
      <c r="AH1029" s="82"/>
      <c r="AI1029" s="82"/>
      <c r="AJ1029" s="82"/>
      <c r="AK1029" s="82"/>
      <c r="AL1029" s="82"/>
      <c r="AM1029" s="82"/>
      <c r="AN1029" s="82"/>
      <c r="AO1029" s="82"/>
      <c r="AP1029" s="82"/>
      <c r="AQ1029" s="82"/>
      <c r="AR1029" s="82"/>
      <c r="AS1029" s="82"/>
      <c r="AT1029" s="82"/>
      <c r="AU1029" s="82"/>
      <c r="AV1029" s="82"/>
      <c r="AW1029" s="82"/>
      <c r="AX1029" s="82"/>
      <c r="AY1029" s="82"/>
      <c r="AZ1029" s="82"/>
      <c r="BA1029" s="82"/>
      <c r="BB1029" s="82"/>
      <c r="BC1029" s="82"/>
      <c r="BD1029" s="82"/>
      <c r="BE1029" s="82"/>
      <c r="BF1029" s="82"/>
      <c r="BG1029" s="82"/>
      <c r="BH1029" s="82"/>
      <c r="BI1029" s="82"/>
      <c r="BJ1029" s="82"/>
    </row>
    <row r="1030" spans="1:64" ht="21">
      <c r="A1030" s="185" t="s">
        <v>157</v>
      </c>
      <c r="B1030" s="93"/>
      <c r="C1030" s="186"/>
      <c r="D1030" s="186"/>
      <c r="E1030" s="186"/>
      <c r="F1030" s="186"/>
      <c r="G1030" s="186"/>
      <c r="H1030" s="186"/>
      <c r="I1030" s="186"/>
      <c r="J1030" s="186"/>
      <c r="K1030" s="186"/>
      <c r="L1030" s="186"/>
      <c r="M1030" s="186"/>
      <c r="N1030" s="186"/>
      <c r="O1030" s="186"/>
      <c r="P1030" s="186"/>
      <c r="Q1030" s="186"/>
      <c r="R1030" s="186"/>
      <c r="S1030" s="186"/>
      <c r="T1030" s="186"/>
      <c r="U1030" s="186"/>
      <c r="V1030" s="186"/>
      <c r="W1030" s="186"/>
      <c r="X1030" s="186"/>
      <c r="Y1030" s="186"/>
      <c r="Z1030" s="186"/>
      <c r="AA1030" s="186"/>
      <c r="AB1030" s="186"/>
      <c r="AC1030" s="186"/>
      <c r="AD1030" s="186"/>
      <c r="AE1030" s="186"/>
      <c r="AF1030" s="186"/>
      <c r="AG1030" s="186"/>
      <c r="AH1030" s="186"/>
      <c r="AI1030" s="186"/>
      <c r="AJ1030" s="186"/>
      <c r="AK1030" s="186"/>
      <c r="AL1030" s="186"/>
      <c r="AM1030" s="186"/>
      <c r="AN1030" s="186"/>
      <c r="AO1030" s="186"/>
      <c r="AP1030" s="186"/>
      <c r="AQ1030" s="186"/>
      <c r="AR1030" s="186"/>
      <c r="AS1030" s="186"/>
      <c r="AT1030" s="186"/>
      <c r="AU1030" s="186"/>
      <c r="AV1030" s="186"/>
      <c r="AW1030" s="186"/>
      <c r="AX1030" s="186"/>
      <c r="AY1030" s="186"/>
      <c r="AZ1030" s="186"/>
      <c r="BA1030" s="186"/>
      <c r="BB1030" s="186"/>
      <c r="BC1030" s="186"/>
      <c r="BD1030" s="186"/>
      <c r="BE1030" s="186"/>
      <c r="BF1030" s="186"/>
      <c r="BG1030" s="186"/>
      <c r="BH1030" s="186"/>
      <c r="BI1030" s="186"/>
      <c r="BJ1030" s="186"/>
    </row>
    <row r="1031" spans="1:64">
      <c r="A1031" s="187" t="s">
        <v>158</v>
      </c>
      <c r="B1031" s="188">
        <f>SUM(C1031:BJ1031)</f>
        <v>773.50486269787007</v>
      </c>
      <c r="C1031" s="233">
        <f>(C983*(1-$K981))/(1+$C981)^(C982-1)</f>
        <v>0</v>
      </c>
      <c r="D1031" s="190">
        <f>(D983*(1-$K981))/(1+$C981)^(D982-1)</f>
        <v>0</v>
      </c>
      <c r="E1031" s="190">
        <f t="shared" ref="E1031:BJ1031" si="646">(E983*(1-$K981))/(1+$C981)^(E982-1)</f>
        <v>0</v>
      </c>
      <c r="F1031" s="190">
        <f t="shared" si="646"/>
        <v>0</v>
      </c>
      <c r="G1031" s="190">
        <f t="shared" si="646"/>
        <v>0</v>
      </c>
      <c r="H1031" s="190">
        <f t="shared" si="646"/>
        <v>27.30741743145758</v>
      </c>
      <c r="I1031" s="190">
        <f t="shared" si="646"/>
        <v>48.763245413317101</v>
      </c>
      <c r="J1031" s="190">
        <f t="shared" si="646"/>
        <v>65.307917964263979</v>
      </c>
      <c r="K1031" s="190">
        <f t="shared" si="646"/>
        <v>77.747521386028538</v>
      </c>
      <c r="L1031" s="190">
        <f t="shared" si="646"/>
        <v>94.660131557664641</v>
      </c>
      <c r="M1031" s="190">
        <f t="shared" si="646"/>
        <v>84.517974605057702</v>
      </c>
      <c r="N1031" s="190">
        <f t="shared" si="646"/>
        <v>75.462477325944363</v>
      </c>
      <c r="O1031" s="190">
        <f t="shared" si="646"/>
        <v>67.377211898164617</v>
      </c>
      <c r="P1031" s="190">
        <f t="shared" si="646"/>
        <v>60.158224909075543</v>
      </c>
      <c r="Q1031" s="190">
        <f t="shared" si="646"/>
        <v>53.712700811674587</v>
      </c>
      <c r="R1031" s="190">
        <f t="shared" si="646"/>
        <v>47.957768581852314</v>
      </c>
      <c r="S1031" s="190">
        <f t="shared" si="646"/>
        <v>31.400919904784235</v>
      </c>
      <c r="T1031" s="190">
        <f t="shared" si="646"/>
        <v>21.02740172195373</v>
      </c>
      <c r="U1031" s="190">
        <f t="shared" si="646"/>
        <v>12.516310548781981</v>
      </c>
      <c r="V1031" s="190">
        <f t="shared" si="646"/>
        <v>5.5876386378490972</v>
      </c>
      <c r="W1031" s="190">
        <f t="shared" si="646"/>
        <v>0</v>
      </c>
      <c r="X1031" s="190">
        <f t="shared" si="646"/>
        <v>0</v>
      </c>
      <c r="Y1031" s="190">
        <f t="shared" si="646"/>
        <v>0</v>
      </c>
      <c r="Z1031" s="190">
        <f t="shared" si="646"/>
        <v>0</v>
      </c>
      <c r="AA1031" s="190">
        <f t="shared" si="646"/>
        <v>0</v>
      </c>
      <c r="AB1031" s="190">
        <f t="shared" si="646"/>
        <v>0</v>
      </c>
      <c r="AC1031" s="190">
        <f t="shared" si="646"/>
        <v>0</v>
      </c>
      <c r="AD1031" s="190">
        <f t="shared" si="646"/>
        <v>0</v>
      </c>
      <c r="AE1031" s="190">
        <f t="shared" si="646"/>
        <v>0</v>
      </c>
      <c r="AF1031" s="190">
        <f t="shared" si="646"/>
        <v>0</v>
      </c>
      <c r="AG1031" s="190">
        <f t="shared" si="646"/>
        <v>0</v>
      </c>
      <c r="AH1031" s="190">
        <f t="shared" si="646"/>
        <v>0</v>
      </c>
      <c r="AI1031" s="190">
        <f t="shared" si="646"/>
        <v>0</v>
      </c>
      <c r="AJ1031" s="190">
        <f t="shared" si="646"/>
        <v>0</v>
      </c>
      <c r="AK1031" s="190">
        <f t="shared" si="646"/>
        <v>0</v>
      </c>
      <c r="AL1031" s="190">
        <f t="shared" si="646"/>
        <v>0</v>
      </c>
      <c r="AM1031" s="190">
        <f t="shared" si="646"/>
        <v>0</v>
      </c>
      <c r="AN1031" s="190">
        <f t="shared" si="646"/>
        <v>0</v>
      </c>
      <c r="AO1031" s="190">
        <f t="shared" si="646"/>
        <v>0</v>
      </c>
      <c r="AP1031" s="190">
        <f t="shared" si="646"/>
        <v>0</v>
      </c>
      <c r="AQ1031" s="190">
        <f t="shared" si="646"/>
        <v>0</v>
      </c>
      <c r="AR1031" s="190">
        <f t="shared" si="646"/>
        <v>0</v>
      </c>
      <c r="AS1031" s="190">
        <f t="shared" si="646"/>
        <v>0</v>
      </c>
      <c r="AT1031" s="190">
        <f t="shared" si="646"/>
        <v>0</v>
      </c>
      <c r="AU1031" s="190">
        <f t="shared" si="646"/>
        <v>0</v>
      </c>
      <c r="AV1031" s="190">
        <f t="shared" si="646"/>
        <v>0</v>
      </c>
      <c r="AW1031" s="190">
        <f t="shared" si="646"/>
        <v>0</v>
      </c>
      <c r="AX1031" s="190">
        <f t="shared" si="646"/>
        <v>0</v>
      </c>
      <c r="AY1031" s="190">
        <f t="shared" si="646"/>
        <v>0</v>
      </c>
      <c r="AZ1031" s="190">
        <f t="shared" si="646"/>
        <v>0</v>
      </c>
      <c r="BA1031" s="190">
        <f t="shared" si="646"/>
        <v>0</v>
      </c>
      <c r="BB1031" s="190">
        <f t="shared" si="646"/>
        <v>0</v>
      </c>
      <c r="BC1031" s="190">
        <f t="shared" si="646"/>
        <v>0</v>
      </c>
      <c r="BD1031" s="190">
        <f t="shared" si="646"/>
        <v>0</v>
      </c>
      <c r="BE1031" s="190">
        <f t="shared" si="646"/>
        <v>0</v>
      </c>
      <c r="BF1031" s="190">
        <f t="shared" si="646"/>
        <v>0</v>
      </c>
      <c r="BG1031" s="190">
        <f t="shared" si="646"/>
        <v>0</v>
      </c>
      <c r="BH1031" s="190">
        <f t="shared" si="646"/>
        <v>0</v>
      </c>
      <c r="BI1031" s="190">
        <f t="shared" si="646"/>
        <v>0</v>
      </c>
      <c r="BJ1031" s="191">
        <f t="shared" si="646"/>
        <v>0</v>
      </c>
    </row>
    <row r="1032" spans="1:64">
      <c r="A1032" s="192" t="s">
        <v>159</v>
      </c>
      <c r="B1032" s="193">
        <f>SUM(C1032:BJ1032)</f>
        <v>524343021.1081993</v>
      </c>
      <c r="C1032" s="234">
        <f>(((C985+C1014)*(1-$K981))-(C1024-C994))/(1+$C981)^(C982-1)</f>
        <v>58314972.115983821</v>
      </c>
      <c r="D1032" s="186">
        <f>(((D985+D1014)*(1-$K981))-(D1024-D994))/(1+$C981)^(D982-1)</f>
        <v>55139080.963892058</v>
      </c>
      <c r="E1032" s="186">
        <f>(((E985+E1014)*(1-$K981))-(E1024-E994))/(1+$C981)^(E982-1)</f>
        <v>59971681.852125593</v>
      </c>
      <c r="F1032" s="186">
        <f t="shared" ref="F1032:BJ1032" si="647">(((F985+F1014)*(1-$K981))-(F1024-F994))/(1+$C981)^(F982-1)</f>
        <v>53067986.043533228</v>
      </c>
      <c r="G1032" s="186">
        <f t="shared" si="647"/>
        <v>46955203.193071477</v>
      </c>
      <c r="H1032" s="186">
        <f t="shared" si="647"/>
        <v>7598534.659937039</v>
      </c>
      <c r="I1032" s="186">
        <f t="shared" si="647"/>
        <v>15107090.935780423</v>
      </c>
      <c r="J1032" s="186">
        <f t="shared" si="647"/>
        <v>20919442.790346868</v>
      </c>
      <c r="K1032" s="186">
        <f t="shared" si="647"/>
        <v>25312867.438294444</v>
      </c>
      <c r="L1032" s="186">
        <f t="shared" si="647"/>
        <v>31217389.457362764</v>
      </c>
      <c r="M1032" s="186">
        <f t="shared" si="647"/>
        <v>27872669.15835961</v>
      </c>
      <c r="N1032" s="186">
        <f t="shared" si="647"/>
        <v>24886311.748535361</v>
      </c>
      <c r="O1032" s="186">
        <f t="shared" si="647"/>
        <v>22219921.204049431</v>
      </c>
      <c r="P1032" s="186">
        <f t="shared" si="647"/>
        <v>19839215.360758416</v>
      </c>
      <c r="Q1032" s="186">
        <f t="shared" si="647"/>
        <v>17713585.143534299</v>
      </c>
      <c r="R1032" s="186">
        <f t="shared" si="647"/>
        <v>15815701.021012768</v>
      </c>
      <c r="S1032" s="186">
        <f t="shared" si="647"/>
        <v>10223442.610392224</v>
      </c>
      <c r="T1032" s="186">
        <f t="shared" si="647"/>
        <v>6735500.702881881</v>
      </c>
      <c r="U1032" s="186">
        <f t="shared" si="647"/>
        <v>3877613.9700758834</v>
      </c>
      <c r="V1032" s="186">
        <f t="shared" si="647"/>
        <v>1554810.7382717624</v>
      </c>
      <c r="W1032" s="186">
        <f t="shared" si="647"/>
        <v>0</v>
      </c>
      <c r="X1032" s="186">
        <f t="shared" si="647"/>
        <v>0</v>
      </c>
      <c r="Y1032" s="186">
        <f t="shared" si="647"/>
        <v>0</v>
      </c>
      <c r="Z1032" s="186">
        <f t="shared" si="647"/>
        <v>0</v>
      </c>
      <c r="AA1032" s="186">
        <f t="shared" si="647"/>
        <v>0</v>
      </c>
      <c r="AB1032" s="186">
        <f t="shared" si="647"/>
        <v>0</v>
      </c>
      <c r="AC1032" s="186">
        <f t="shared" si="647"/>
        <v>0</v>
      </c>
      <c r="AD1032" s="186">
        <f t="shared" si="647"/>
        <v>0</v>
      </c>
      <c r="AE1032" s="186">
        <f t="shared" si="647"/>
        <v>0</v>
      </c>
      <c r="AF1032" s="186">
        <f t="shared" si="647"/>
        <v>0</v>
      </c>
      <c r="AG1032" s="186">
        <f t="shared" si="647"/>
        <v>0</v>
      </c>
      <c r="AH1032" s="186">
        <f t="shared" si="647"/>
        <v>0</v>
      </c>
      <c r="AI1032" s="186">
        <f t="shared" si="647"/>
        <v>0</v>
      </c>
      <c r="AJ1032" s="186">
        <f t="shared" si="647"/>
        <v>0</v>
      </c>
      <c r="AK1032" s="186">
        <f t="shared" si="647"/>
        <v>0</v>
      </c>
      <c r="AL1032" s="186">
        <f t="shared" si="647"/>
        <v>0</v>
      </c>
      <c r="AM1032" s="186">
        <f t="shared" si="647"/>
        <v>0</v>
      </c>
      <c r="AN1032" s="186">
        <f t="shared" si="647"/>
        <v>0</v>
      </c>
      <c r="AO1032" s="186">
        <f t="shared" si="647"/>
        <v>0</v>
      </c>
      <c r="AP1032" s="186">
        <f t="shared" si="647"/>
        <v>0</v>
      </c>
      <c r="AQ1032" s="186">
        <f t="shared" si="647"/>
        <v>0</v>
      </c>
      <c r="AR1032" s="186">
        <f t="shared" si="647"/>
        <v>0</v>
      </c>
      <c r="AS1032" s="186">
        <f t="shared" si="647"/>
        <v>0</v>
      </c>
      <c r="AT1032" s="186">
        <f t="shared" si="647"/>
        <v>0</v>
      </c>
      <c r="AU1032" s="186">
        <f t="shared" si="647"/>
        <v>0</v>
      </c>
      <c r="AV1032" s="186">
        <f t="shared" si="647"/>
        <v>0</v>
      </c>
      <c r="AW1032" s="186">
        <f t="shared" si="647"/>
        <v>0</v>
      </c>
      <c r="AX1032" s="186">
        <f t="shared" si="647"/>
        <v>0</v>
      </c>
      <c r="AY1032" s="186">
        <f t="shared" si="647"/>
        <v>0</v>
      </c>
      <c r="AZ1032" s="186">
        <f t="shared" si="647"/>
        <v>0</v>
      </c>
      <c r="BA1032" s="186">
        <f t="shared" si="647"/>
        <v>0</v>
      </c>
      <c r="BB1032" s="186">
        <f t="shared" si="647"/>
        <v>0</v>
      </c>
      <c r="BC1032" s="186">
        <f t="shared" si="647"/>
        <v>0</v>
      </c>
      <c r="BD1032" s="186">
        <f t="shared" si="647"/>
        <v>0</v>
      </c>
      <c r="BE1032" s="186">
        <f t="shared" si="647"/>
        <v>0</v>
      </c>
      <c r="BF1032" s="186">
        <f t="shared" si="647"/>
        <v>0</v>
      </c>
      <c r="BG1032" s="186">
        <f t="shared" si="647"/>
        <v>0</v>
      </c>
      <c r="BH1032" s="186">
        <f t="shared" si="647"/>
        <v>0</v>
      </c>
      <c r="BI1032" s="186">
        <f t="shared" si="647"/>
        <v>0</v>
      </c>
      <c r="BJ1032" s="195">
        <f t="shared" si="647"/>
        <v>0</v>
      </c>
    </row>
    <row r="1033" spans="1:64">
      <c r="A1033" s="196" t="s">
        <v>160</v>
      </c>
      <c r="B1033" s="197">
        <f>B1032/B1031</f>
        <v>677879.41148730309</v>
      </c>
      <c r="C1033" s="166"/>
      <c r="D1033" s="167"/>
      <c r="E1033" s="167"/>
      <c r="F1033" s="167"/>
      <c r="G1033" s="167"/>
      <c r="H1033" s="167"/>
      <c r="I1033" s="167"/>
      <c r="J1033" s="167"/>
      <c r="K1033" s="167"/>
      <c r="L1033" s="167"/>
      <c r="M1033" s="167"/>
      <c r="N1033" s="167"/>
      <c r="O1033" s="167"/>
      <c r="P1033" s="167"/>
      <c r="Q1033" s="167"/>
      <c r="R1033" s="167"/>
      <c r="S1033" s="167"/>
      <c r="T1033" s="167"/>
      <c r="U1033" s="167"/>
      <c r="V1033" s="167"/>
      <c r="W1033" s="167"/>
      <c r="X1033" s="167"/>
      <c r="Y1033" s="167"/>
      <c r="Z1033" s="167"/>
      <c r="AA1033" s="167"/>
      <c r="AB1033" s="167"/>
      <c r="AC1033" s="167"/>
      <c r="AD1033" s="167"/>
      <c r="AE1033" s="167"/>
      <c r="AF1033" s="167"/>
      <c r="AG1033" s="167"/>
      <c r="AH1033" s="167"/>
      <c r="AI1033" s="167"/>
      <c r="AJ1033" s="167"/>
      <c r="AK1033" s="167"/>
      <c r="AL1033" s="167"/>
      <c r="AM1033" s="167"/>
      <c r="AN1033" s="167"/>
      <c r="AO1033" s="167"/>
      <c r="AP1033" s="167"/>
      <c r="AQ1033" s="167"/>
      <c r="AR1033" s="167"/>
      <c r="AS1033" s="167"/>
      <c r="AT1033" s="167"/>
      <c r="AU1033" s="167"/>
      <c r="AV1033" s="167"/>
      <c r="AW1033" s="167"/>
      <c r="AX1033" s="167"/>
      <c r="AY1033" s="167"/>
      <c r="AZ1033" s="167"/>
      <c r="BA1033" s="167"/>
      <c r="BB1033" s="167"/>
      <c r="BC1033" s="167"/>
      <c r="BD1033" s="167"/>
      <c r="BE1033" s="167"/>
      <c r="BF1033" s="167"/>
      <c r="BG1033" s="167"/>
      <c r="BH1033" s="167"/>
      <c r="BI1033" s="167"/>
      <c r="BJ1033" s="198"/>
    </row>
    <row r="1034" spans="1:64">
      <c r="A1034" s="187" t="s">
        <v>158</v>
      </c>
      <c r="B1034" s="188">
        <f>SUM(C1034:BJ1034)</f>
        <v>2800</v>
      </c>
      <c r="C1034" s="234">
        <f>(C983*(1-$K981))/(1)^(C982-1)</f>
        <v>0</v>
      </c>
      <c r="D1034" s="186">
        <f>(D983*(1-$K981))/(1)^(D982-1)</f>
        <v>0</v>
      </c>
      <c r="E1034" s="186">
        <f t="shared" ref="E1034:BJ1034" si="648">(E983*(1-$K981))/(1)^(E982-1)</f>
        <v>0</v>
      </c>
      <c r="F1034" s="186">
        <f t="shared" si="648"/>
        <v>0</v>
      </c>
      <c r="G1034" s="186">
        <f t="shared" si="648"/>
        <v>0</v>
      </c>
      <c r="H1034" s="186">
        <f t="shared" si="648"/>
        <v>48.124999999999986</v>
      </c>
      <c r="I1034" s="186">
        <f t="shared" si="648"/>
        <v>96.249999999999972</v>
      </c>
      <c r="J1034" s="186">
        <f t="shared" si="648"/>
        <v>144.37499999999997</v>
      </c>
      <c r="K1034" s="186">
        <f t="shared" si="648"/>
        <v>192.49999999999994</v>
      </c>
      <c r="L1034" s="186">
        <f t="shared" si="648"/>
        <v>262.5</v>
      </c>
      <c r="M1034" s="186">
        <f t="shared" si="648"/>
        <v>262.5</v>
      </c>
      <c r="N1034" s="186">
        <f t="shared" si="648"/>
        <v>262.5</v>
      </c>
      <c r="O1034" s="186">
        <f t="shared" si="648"/>
        <v>262.5</v>
      </c>
      <c r="P1034" s="186">
        <f t="shared" si="648"/>
        <v>262.5</v>
      </c>
      <c r="Q1034" s="186">
        <f t="shared" si="648"/>
        <v>262.5</v>
      </c>
      <c r="R1034" s="186">
        <f t="shared" si="648"/>
        <v>262.5</v>
      </c>
      <c r="S1034" s="186">
        <f t="shared" si="648"/>
        <v>192.49999999999994</v>
      </c>
      <c r="T1034" s="186">
        <f t="shared" si="648"/>
        <v>144.37499999999997</v>
      </c>
      <c r="U1034" s="186">
        <f t="shared" si="648"/>
        <v>96.249999999999972</v>
      </c>
      <c r="V1034" s="186">
        <f t="shared" si="648"/>
        <v>48.124999999999986</v>
      </c>
      <c r="W1034" s="186">
        <f t="shared" si="648"/>
        <v>0</v>
      </c>
      <c r="X1034" s="186">
        <f t="shared" si="648"/>
        <v>0</v>
      </c>
      <c r="Y1034" s="186">
        <f t="shared" si="648"/>
        <v>0</v>
      </c>
      <c r="Z1034" s="186">
        <f t="shared" si="648"/>
        <v>0</v>
      </c>
      <c r="AA1034" s="186">
        <f t="shared" si="648"/>
        <v>0</v>
      </c>
      <c r="AB1034" s="186">
        <f t="shared" si="648"/>
        <v>0</v>
      </c>
      <c r="AC1034" s="186">
        <f t="shared" si="648"/>
        <v>0</v>
      </c>
      <c r="AD1034" s="186">
        <f t="shared" si="648"/>
        <v>0</v>
      </c>
      <c r="AE1034" s="186">
        <f t="shared" si="648"/>
        <v>0</v>
      </c>
      <c r="AF1034" s="186">
        <f t="shared" si="648"/>
        <v>0</v>
      </c>
      <c r="AG1034" s="186">
        <f t="shared" si="648"/>
        <v>0</v>
      </c>
      <c r="AH1034" s="186">
        <f t="shared" si="648"/>
        <v>0</v>
      </c>
      <c r="AI1034" s="186">
        <f t="shared" si="648"/>
        <v>0</v>
      </c>
      <c r="AJ1034" s="186">
        <f t="shared" si="648"/>
        <v>0</v>
      </c>
      <c r="AK1034" s="186">
        <f t="shared" si="648"/>
        <v>0</v>
      </c>
      <c r="AL1034" s="186">
        <f t="shared" si="648"/>
        <v>0</v>
      </c>
      <c r="AM1034" s="186">
        <f t="shared" si="648"/>
        <v>0</v>
      </c>
      <c r="AN1034" s="186">
        <f t="shared" si="648"/>
        <v>0</v>
      </c>
      <c r="AO1034" s="186">
        <f t="shared" si="648"/>
        <v>0</v>
      </c>
      <c r="AP1034" s="186">
        <f t="shared" si="648"/>
        <v>0</v>
      </c>
      <c r="AQ1034" s="186">
        <f t="shared" si="648"/>
        <v>0</v>
      </c>
      <c r="AR1034" s="186">
        <f t="shared" si="648"/>
        <v>0</v>
      </c>
      <c r="AS1034" s="186">
        <f t="shared" si="648"/>
        <v>0</v>
      </c>
      <c r="AT1034" s="186">
        <f t="shared" si="648"/>
        <v>0</v>
      </c>
      <c r="AU1034" s="186">
        <f t="shared" si="648"/>
        <v>0</v>
      </c>
      <c r="AV1034" s="186">
        <f t="shared" si="648"/>
        <v>0</v>
      </c>
      <c r="AW1034" s="186">
        <f t="shared" si="648"/>
        <v>0</v>
      </c>
      <c r="AX1034" s="186">
        <f t="shared" si="648"/>
        <v>0</v>
      </c>
      <c r="AY1034" s="186">
        <f t="shared" si="648"/>
        <v>0</v>
      </c>
      <c r="AZ1034" s="186">
        <f t="shared" si="648"/>
        <v>0</v>
      </c>
      <c r="BA1034" s="186">
        <f t="shared" si="648"/>
        <v>0</v>
      </c>
      <c r="BB1034" s="186">
        <f t="shared" si="648"/>
        <v>0</v>
      </c>
      <c r="BC1034" s="186">
        <f t="shared" si="648"/>
        <v>0</v>
      </c>
      <c r="BD1034" s="186">
        <f t="shared" si="648"/>
        <v>0</v>
      </c>
      <c r="BE1034" s="186">
        <f t="shared" si="648"/>
        <v>0</v>
      </c>
      <c r="BF1034" s="186">
        <f t="shared" si="648"/>
        <v>0</v>
      </c>
      <c r="BG1034" s="186">
        <f t="shared" si="648"/>
        <v>0</v>
      </c>
      <c r="BH1034" s="186">
        <f t="shared" si="648"/>
        <v>0</v>
      </c>
      <c r="BI1034" s="186">
        <f t="shared" si="648"/>
        <v>0</v>
      </c>
      <c r="BJ1034" s="195">
        <f t="shared" si="648"/>
        <v>0</v>
      </c>
    </row>
    <row r="1035" spans="1:64">
      <c r="A1035" s="192" t="s">
        <v>159</v>
      </c>
      <c r="B1035" s="193">
        <f>SUM(C1035:BJ1035)</f>
        <v>1253978566.3592694</v>
      </c>
      <c r="C1035" s="234">
        <f>(((C985+C1014)*(1-$K981))-(C1024-C994))/(1)^(C982-1)</f>
        <v>58314972.115983821</v>
      </c>
      <c r="D1035" s="186">
        <f>(((D985+D1014)*(1-$K981))-(D1024-D994))/(1)^(D982-1)</f>
        <v>61755770.679559112</v>
      </c>
      <c r="E1035" s="186">
        <f t="shared" ref="E1035:BJ1035" si="649">(((E985+E1014)*(1-$K981))-(E1024-E994))/(1)^(E982-1)</f>
        <v>75228477.715306357</v>
      </c>
      <c r="F1035" s="186">
        <f t="shared" si="649"/>
        <v>74556699.496169075</v>
      </c>
      <c r="G1035" s="186">
        <f t="shared" si="649"/>
        <v>73884921.277031809</v>
      </c>
      <c r="H1035" s="186">
        <f t="shared" si="649"/>
        <v>13391214.362446984</v>
      </c>
      <c r="I1035" s="186">
        <f t="shared" si="649"/>
        <v>29818718.796180993</v>
      </c>
      <c r="J1035" s="186">
        <f t="shared" si="649"/>
        <v>46246223.229915008</v>
      </c>
      <c r="K1035" s="186">
        <f t="shared" si="649"/>
        <v>62673727.663649008</v>
      </c>
      <c r="L1035" s="186">
        <f t="shared" si="649"/>
        <v>86568279.567262143</v>
      </c>
      <c r="M1035" s="186">
        <f t="shared" si="649"/>
        <v>86568279.567262143</v>
      </c>
      <c r="N1035" s="186">
        <f t="shared" si="649"/>
        <v>86568279.567262143</v>
      </c>
      <c r="O1035" s="186">
        <f t="shared" si="649"/>
        <v>86568279.567262143</v>
      </c>
      <c r="P1035" s="186">
        <f t="shared" si="649"/>
        <v>86568279.567262143</v>
      </c>
      <c r="Q1035" s="186">
        <f t="shared" si="649"/>
        <v>86568279.567262143</v>
      </c>
      <c r="R1035" s="186">
        <f t="shared" si="649"/>
        <v>86568279.567262143</v>
      </c>
      <c r="S1035" s="186">
        <f t="shared" si="649"/>
        <v>62673727.663649008</v>
      </c>
      <c r="T1035" s="186">
        <f t="shared" si="649"/>
        <v>46246223.229915008</v>
      </c>
      <c r="U1035" s="186">
        <f t="shared" si="649"/>
        <v>29818718.796180993</v>
      </c>
      <c r="V1035" s="186">
        <f t="shared" si="649"/>
        <v>13391214.362446984</v>
      </c>
      <c r="W1035" s="186">
        <f t="shared" si="649"/>
        <v>0</v>
      </c>
      <c r="X1035" s="186">
        <f t="shared" si="649"/>
        <v>0</v>
      </c>
      <c r="Y1035" s="186">
        <f t="shared" si="649"/>
        <v>0</v>
      </c>
      <c r="Z1035" s="186">
        <f t="shared" si="649"/>
        <v>0</v>
      </c>
      <c r="AA1035" s="186">
        <f t="shared" si="649"/>
        <v>0</v>
      </c>
      <c r="AB1035" s="186">
        <f t="shared" si="649"/>
        <v>0</v>
      </c>
      <c r="AC1035" s="186">
        <f t="shared" si="649"/>
        <v>0</v>
      </c>
      <c r="AD1035" s="186">
        <f t="shared" si="649"/>
        <v>0</v>
      </c>
      <c r="AE1035" s="186">
        <f t="shared" si="649"/>
        <v>0</v>
      </c>
      <c r="AF1035" s="186">
        <f t="shared" si="649"/>
        <v>0</v>
      </c>
      <c r="AG1035" s="186">
        <f t="shared" si="649"/>
        <v>0</v>
      </c>
      <c r="AH1035" s="186">
        <f t="shared" si="649"/>
        <v>0</v>
      </c>
      <c r="AI1035" s="186">
        <f t="shared" si="649"/>
        <v>0</v>
      </c>
      <c r="AJ1035" s="186">
        <f t="shared" si="649"/>
        <v>0</v>
      </c>
      <c r="AK1035" s="186">
        <f t="shared" si="649"/>
        <v>0</v>
      </c>
      <c r="AL1035" s="186">
        <f t="shared" si="649"/>
        <v>0</v>
      </c>
      <c r="AM1035" s="186">
        <f t="shared" si="649"/>
        <v>0</v>
      </c>
      <c r="AN1035" s="186">
        <f t="shared" si="649"/>
        <v>0</v>
      </c>
      <c r="AO1035" s="186">
        <f t="shared" si="649"/>
        <v>0</v>
      </c>
      <c r="AP1035" s="186">
        <f t="shared" si="649"/>
        <v>0</v>
      </c>
      <c r="AQ1035" s="186">
        <f t="shared" si="649"/>
        <v>0</v>
      </c>
      <c r="AR1035" s="186">
        <f t="shared" si="649"/>
        <v>0</v>
      </c>
      <c r="AS1035" s="186">
        <f t="shared" si="649"/>
        <v>0</v>
      </c>
      <c r="AT1035" s="186">
        <f t="shared" si="649"/>
        <v>0</v>
      </c>
      <c r="AU1035" s="186">
        <f t="shared" si="649"/>
        <v>0</v>
      </c>
      <c r="AV1035" s="186">
        <f t="shared" si="649"/>
        <v>0</v>
      </c>
      <c r="AW1035" s="186">
        <f t="shared" si="649"/>
        <v>0</v>
      </c>
      <c r="AX1035" s="186">
        <f t="shared" si="649"/>
        <v>0</v>
      </c>
      <c r="AY1035" s="186">
        <f t="shared" si="649"/>
        <v>0</v>
      </c>
      <c r="AZ1035" s="186">
        <f t="shared" si="649"/>
        <v>0</v>
      </c>
      <c r="BA1035" s="186">
        <f t="shared" si="649"/>
        <v>0</v>
      </c>
      <c r="BB1035" s="186">
        <f t="shared" si="649"/>
        <v>0</v>
      </c>
      <c r="BC1035" s="186">
        <f t="shared" si="649"/>
        <v>0</v>
      </c>
      <c r="BD1035" s="186">
        <f t="shared" si="649"/>
        <v>0</v>
      </c>
      <c r="BE1035" s="186">
        <f t="shared" si="649"/>
        <v>0</v>
      </c>
      <c r="BF1035" s="186">
        <f t="shared" si="649"/>
        <v>0</v>
      </c>
      <c r="BG1035" s="186">
        <f t="shared" si="649"/>
        <v>0</v>
      </c>
      <c r="BH1035" s="186">
        <f t="shared" si="649"/>
        <v>0</v>
      </c>
      <c r="BI1035" s="186">
        <f t="shared" si="649"/>
        <v>0</v>
      </c>
      <c r="BJ1035" s="195">
        <f t="shared" si="649"/>
        <v>0</v>
      </c>
      <c r="BK1035" s="186"/>
    </row>
    <row r="1036" spans="1:64">
      <c r="A1036" s="196" t="s">
        <v>161</v>
      </c>
      <c r="B1036" s="197">
        <f>B1035/B1034</f>
        <v>447849.48798545334</v>
      </c>
      <c r="C1036" s="166"/>
      <c r="D1036" s="167"/>
      <c r="E1036" s="167"/>
      <c r="F1036" s="167"/>
      <c r="G1036" s="167"/>
      <c r="H1036" s="167"/>
      <c r="I1036" s="167"/>
      <c r="J1036" s="167"/>
      <c r="K1036" s="167"/>
      <c r="L1036" s="167"/>
      <c r="M1036" s="167"/>
      <c r="N1036" s="167"/>
      <c r="O1036" s="167"/>
      <c r="P1036" s="167"/>
      <c r="Q1036" s="167"/>
      <c r="R1036" s="167"/>
      <c r="S1036" s="167"/>
      <c r="T1036" s="167"/>
      <c r="U1036" s="167"/>
      <c r="V1036" s="167"/>
      <c r="W1036" s="167"/>
      <c r="X1036" s="167"/>
      <c r="Y1036" s="167"/>
      <c r="Z1036" s="167"/>
      <c r="AA1036" s="167"/>
      <c r="AB1036" s="167"/>
      <c r="AC1036" s="167"/>
      <c r="AD1036" s="167"/>
      <c r="AE1036" s="167"/>
      <c r="AF1036" s="167"/>
      <c r="AG1036" s="167"/>
      <c r="AH1036" s="167"/>
      <c r="AI1036" s="167"/>
      <c r="AJ1036" s="167"/>
      <c r="AK1036" s="167"/>
      <c r="AL1036" s="167"/>
      <c r="AM1036" s="167"/>
      <c r="AN1036" s="167"/>
      <c r="AO1036" s="167"/>
      <c r="AP1036" s="167"/>
      <c r="AQ1036" s="167"/>
      <c r="AR1036" s="167"/>
      <c r="AS1036" s="167"/>
      <c r="AT1036" s="167"/>
      <c r="AU1036" s="167"/>
      <c r="AV1036" s="167"/>
      <c r="AW1036" s="167"/>
      <c r="AX1036" s="167"/>
      <c r="AY1036" s="167"/>
      <c r="AZ1036" s="167"/>
      <c r="BA1036" s="167"/>
      <c r="BB1036" s="167"/>
      <c r="BC1036" s="167"/>
      <c r="BD1036" s="167"/>
      <c r="BE1036" s="167"/>
      <c r="BF1036" s="167"/>
      <c r="BG1036" s="167"/>
      <c r="BH1036" s="167"/>
      <c r="BI1036" s="167"/>
      <c r="BJ1036" s="198"/>
    </row>
    <row r="1037" spans="1:64">
      <c r="A1037" s="199"/>
      <c r="B1037" s="200"/>
      <c r="C1037" s="201"/>
      <c r="D1037" s="201"/>
      <c r="E1037" s="201"/>
      <c r="F1037" s="201"/>
      <c r="G1037" s="201"/>
      <c r="H1037" s="201"/>
      <c r="I1037" s="202"/>
      <c r="J1037" s="201"/>
      <c r="K1037" s="201"/>
      <c r="L1037" s="201"/>
      <c r="M1037" s="201"/>
      <c r="N1037" s="201"/>
      <c r="O1037" s="201"/>
      <c r="P1037" s="201"/>
      <c r="Q1037" s="201"/>
      <c r="R1037" s="201"/>
      <c r="S1037" s="201"/>
      <c r="T1037" s="201"/>
      <c r="U1037" s="201"/>
      <c r="V1037" s="201"/>
      <c r="W1037" s="201"/>
      <c r="X1037" s="201"/>
      <c r="Y1037" s="201"/>
      <c r="Z1037" s="201"/>
      <c r="AA1037" s="201"/>
      <c r="AB1037" s="201"/>
      <c r="AC1037" s="201"/>
      <c r="AD1037" s="201"/>
      <c r="AE1037" s="201"/>
      <c r="AF1037" s="201"/>
      <c r="AG1037" s="201"/>
      <c r="AH1037" s="201"/>
      <c r="AI1037" s="201"/>
      <c r="AJ1037" s="201"/>
      <c r="AK1037" s="201"/>
      <c r="AL1037" s="201"/>
      <c r="AM1037" s="201"/>
      <c r="AN1037" s="201"/>
      <c r="AO1037" s="201"/>
      <c r="AP1037" s="201"/>
      <c r="AQ1037" s="201"/>
      <c r="AR1037" s="201"/>
      <c r="AS1037" s="201"/>
      <c r="AT1037" s="201"/>
      <c r="AU1037" s="201"/>
      <c r="AV1037" s="201"/>
      <c r="AW1037" s="201"/>
      <c r="AX1037" s="201"/>
      <c r="AY1037" s="201"/>
      <c r="AZ1037" s="201"/>
      <c r="BA1037" s="201"/>
      <c r="BB1037" s="201"/>
      <c r="BC1037" s="201"/>
      <c r="BD1037" s="201"/>
      <c r="BE1037" s="201"/>
      <c r="BF1037" s="201"/>
      <c r="BG1037" s="201"/>
      <c r="BH1037" s="201"/>
      <c r="BI1037" s="201"/>
      <c r="BJ1037" s="201"/>
    </row>
    <row r="1038" spans="1:64" ht="21">
      <c r="A1038" s="203" t="s">
        <v>162</v>
      </c>
      <c r="B1038" s="89"/>
      <c r="D1038" s="204"/>
      <c r="E1038" s="204"/>
    </row>
    <row r="1039" spans="1:64" s="94" customFormat="1">
      <c r="A1039" s="90" t="s">
        <v>154</v>
      </c>
      <c r="B1039" s="91" t="s">
        <v>155</v>
      </c>
      <c r="C1039" s="91">
        <v>1</v>
      </c>
      <c r="D1039" s="92">
        <v>2</v>
      </c>
      <c r="E1039" s="92">
        <v>3</v>
      </c>
      <c r="F1039" s="92">
        <v>4</v>
      </c>
      <c r="G1039" s="92">
        <v>5</v>
      </c>
      <c r="H1039" s="92">
        <v>6</v>
      </c>
      <c r="I1039" s="92">
        <v>7</v>
      </c>
      <c r="J1039" s="92">
        <v>8</v>
      </c>
      <c r="K1039" s="92">
        <v>9</v>
      </c>
      <c r="L1039" s="92">
        <v>10</v>
      </c>
      <c r="M1039" s="92">
        <v>11</v>
      </c>
      <c r="N1039" s="92">
        <v>12</v>
      </c>
      <c r="O1039" s="92">
        <v>13</v>
      </c>
      <c r="P1039" s="92">
        <v>14</v>
      </c>
      <c r="Q1039" s="92">
        <v>15</v>
      </c>
      <c r="R1039" s="92">
        <v>16</v>
      </c>
      <c r="S1039" s="92">
        <v>17</v>
      </c>
      <c r="T1039" s="92">
        <v>18</v>
      </c>
      <c r="U1039" s="92">
        <v>19</v>
      </c>
      <c r="V1039" s="92">
        <v>20</v>
      </c>
      <c r="W1039" s="92">
        <v>21</v>
      </c>
      <c r="X1039" s="92">
        <v>22</v>
      </c>
      <c r="Y1039" s="92">
        <v>23</v>
      </c>
      <c r="Z1039" s="92">
        <v>24</v>
      </c>
      <c r="AA1039" s="92">
        <v>25</v>
      </c>
      <c r="AB1039" s="92">
        <v>26</v>
      </c>
      <c r="AC1039" s="92">
        <v>27</v>
      </c>
      <c r="AD1039" s="92">
        <v>28</v>
      </c>
      <c r="AE1039" s="92">
        <v>29</v>
      </c>
      <c r="AF1039" s="92">
        <v>30</v>
      </c>
      <c r="AG1039" s="92">
        <v>31</v>
      </c>
      <c r="AH1039" s="92">
        <v>32</v>
      </c>
      <c r="AI1039" s="92">
        <v>33</v>
      </c>
      <c r="AJ1039" s="92">
        <v>34</v>
      </c>
      <c r="AK1039" s="92">
        <v>35</v>
      </c>
      <c r="AL1039" s="92">
        <v>36</v>
      </c>
      <c r="AM1039" s="92">
        <v>37</v>
      </c>
      <c r="AN1039" s="92">
        <v>38</v>
      </c>
      <c r="AO1039" s="92">
        <v>39</v>
      </c>
      <c r="AP1039" s="92">
        <v>40</v>
      </c>
      <c r="AQ1039" s="92">
        <v>41</v>
      </c>
      <c r="AR1039" s="92">
        <v>42</v>
      </c>
      <c r="AS1039" s="92">
        <v>43</v>
      </c>
      <c r="AT1039" s="92">
        <v>44</v>
      </c>
      <c r="AU1039" s="92">
        <v>45</v>
      </c>
      <c r="AV1039" s="92">
        <v>46</v>
      </c>
      <c r="AW1039" s="92">
        <v>47</v>
      </c>
      <c r="AX1039" s="92">
        <v>48</v>
      </c>
      <c r="AY1039" s="92">
        <v>49</v>
      </c>
      <c r="AZ1039" s="92">
        <v>50</v>
      </c>
      <c r="BA1039" s="92">
        <v>51</v>
      </c>
      <c r="BB1039" s="92">
        <v>52</v>
      </c>
      <c r="BC1039" s="92">
        <v>53</v>
      </c>
      <c r="BD1039" s="92">
        <v>54</v>
      </c>
      <c r="BE1039" s="92">
        <v>55</v>
      </c>
      <c r="BF1039" s="92">
        <v>56</v>
      </c>
      <c r="BG1039" s="92">
        <v>57</v>
      </c>
      <c r="BH1039" s="92">
        <v>58</v>
      </c>
      <c r="BI1039" s="92">
        <v>59</v>
      </c>
      <c r="BJ1039" s="93">
        <v>60</v>
      </c>
    </row>
    <row r="1040" spans="1:64" s="100" customFormat="1">
      <c r="A1040" s="95" t="s">
        <v>156</v>
      </c>
      <c r="B1040" s="96">
        <f>SUM(C1040:BJ1040)</f>
        <v>4000</v>
      </c>
      <c r="C1040" s="96">
        <f t="shared" ref="C1040:BJ1040" si="650">C983</f>
        <v>0</v>
      </c>
      <c r="D1040" s="205">
        <f t="shared" si="650"/>
        <v>0</v>
      </c>
      <c r="E1040" s="205">
        <f t="shared" si="650"/>
        <v>0</v>
      </c>
      <c r="F1040" s="205">
        <f t="shared" si="650"/>
        <v>0</v>
      </c>
      <c r="G1040" s="205">
        <f t="shared" si="650"/>
        <v>0</v>
      </c>
      <c r="H1040" s="205">
        <f t="shared" si="650"/>
        <v>68.749999999999986</v>
      </c>
      <c r="I1040" s="205">
        <f t="shared" si="650"/>
        <v>137.49999999999997</v>
      </c>
      <c r="J1040" s="205">
        <f t="shared" si="650"/>
        <v>206.24999999999997</v>
      </c>
      <c r="K1040" s="205">
        <f t="shared" si="650"/>
        <v>274.99999999999994</v>
      </c>
      <c r="L1040" s="205">
        <f t="shared" si="650"/>
        <v>375</v>
      </c>
      <c r="M1040" s="205">
        <f t="shared" si="650"/>
        <v>375</v>
      </c>
      <c r="N1040" s="205">
        <f t="shared" si="650"/>
        <v>375</v>
      </c>
      <c r="O1040" s="205">
        <f t="shared" si="650"/>
        <v>375</v>
      </c>
      <c r="P1040" s="205">
        <f t="shared" si="650"/>
        <v>375</v>
      </c>
      <c r="Q1040" s="205">
        <f t="shared" si="650"/>
        <v>375</v>
      </c>
      <c r="R1040" s="205">
        <f t="shared" si="650"/>
        <v>375</v>
      </c>
      <c r="S1040" s="205">
        <f t="shared" si="650"/>
        <v>274.99999999999994</v>
      </c>
      <c r="T1040" s="205">
        <f t="shared" si="650"/>
        <v>206.24999999999997</v>
      </c>
      <c r="U1040" s="205">
        <f t="shared" si="650"/>
        <v>137.49999999999997</v>
      </c>
      <c r="V1040" s="205">
        <f t="shared" si="650"/>
        <v>68.749999999999986</v>
      </c>
      <c r="W1040" s="205">
        <f t="shared" si="650"/>
        <v>0</v>
      </c>
      <c r="X1040" s="205">
        <f t="shared" si="650"/>
        <v>0</v>
      </c>
      <c r="Y1040" s="205">
        <f t="shared" si="650"/>
        <v>0</v>
      </c>
      <c r="Z1040" s="205">
        <f t="shared" si="650"/>
        <v>0</v>
      </c>
      <c r="AA1040" s="205">
        <f t="shared" si="650"/>
        <v>0</v>
      </c>
      <c r="AB1040" s="205">
        <f t="shared" si="650"/>
        <v>0</v>
      </c>
      <c r="AC1040" s="205">
        <f t="shared" si="650"/>
        <v>0</v>
      </c>
      <c r="AD1040" s="205">
        <f t="shared" si="650"/>
        <v>0</v>
      </c>
      <c r="AE1040" s="205">
        <f t="shared" si="650"/>
        <v>0</v>
      </c>
      <c r="AF1040" s="205">
        <f t="shared" si="650"/>
        <v>0</v>
      </c>
      <c r="AG1040" s="205">
        <f t="shared" si="650"/>
        <v>0</v>
      </c>
      <c r="AH1040" s="205">
        <f t="shared" si="650"/>
        <v>0</v>
      </c>
      <c r="AI1040" s="205">
        <f t="shared" si="650"/>
        <v>0</v>
      </c>
      <c r="AJ1040" s="205">
        <f t="shared" si="650"/>
        <v>0</v>
      </c>
      <c r="AK1040" s="205">
        <f t="shared" si="650"/>
        <v>0</v>
      </c>
      <c r="AL1040" s="205">
        <f t="shared" si="650"/>
        <v>0</v>
      </c>
      <c r="AM1040" s="205">
        <f t="shared" si="650"/>
        <v>0</v>
      </c>
      <c r="AN1040" s="205">
        <f t="shared" si="650"/>
        <v>0</v>
      </c>
      <c r="AO1040" s="205">
        <f t="shared" si="650"/>
        <v>0</v>
      </c>
      <c r="AP1040" s="205">
        <f t="shared" si="650"/>
        <v>0</v>
      </c>
      <c r="AQ1040" s="205">
        <f t="shared" si="650"/>
        <v>0</v>
      </c>
      <c r="AR1040" s="205">
        <f t="shared" si="650"/>
        <v>0</v>
      </c>
      <c r="AS1040" s="205">
        <f t="shared" si="650"/>
        <v>0</v>
      </c>
      <c r="AT1040" s="205">
        <f t="shared" si="650"/>
        <v>0</v>
      </c>
      <c r="AU1040" s="205">
        <f t="shared" si="650"/>
        <v>0</v>
      </c>
      <c r="AV1040" s="205">
        <f t="shared" si="650"/>
        <v>0</v>
      </c>
      <c r="AW1040" s="205">
        <f t="shared" si="650"/>
        <v>0</v>
      </c>
      <c r="AX1040" s="205">
        <f t="shared" si="650"/>
        <v>0</v>
      </c>
      <c r="AY1040" s="205">
        <f t="shared" si="650"/>
        <v>0</v>
      </c>
      <c r="AZ1040" s="205">
        <f t="shared" si="650"/>
        <v>0</v>
      </c>
      <c r="BA1040" s="205">
        <f t="shared" si="650"/>
        <v>0</v>
      </c>
      <c r="BB1040" s="205">
        <f t="shared" si="650"/>
        <v>0</v>
      </c>
      <c r="BC1040" s="205">
        <f t="shared" si="650"/>
        <v>0</v>
      </c>
      <c r="BD1040" s="205">
        <f t="shared" si="650"/>
        <v>0</v>
      </c>
      <c r="BE1040" s="205">
        <f t="shared" si="650"/>
        <v>0</v>
      </c>
      <c r="BF1040" s="205">
        <f t="shared" si="650"/>
        <v>0</v>
      </c>
      <c r="BG1040" s="205">
        <f t="shared" si="650"/>
        <v>0</v>
      </c>
      <c r="BH1040" s="205">
        <f t="shared" si="650"/>
        <v>0</v>
      </c>
      <c r="BI1040" s="205">
        <f t="shared" si="650"/>
        <v>0</v>
      </c>
      <c r="BJ1040" s="206">
        <f t="shared" si="650"/>
        <v>0</v>
      </c>
    </row>
    <row r="1041" spans="1:64" s="105" customFormat="1">
      <c r="A1041" s="101" t="s">
        <v>115</v>
      </c>
      <c r="B1041" s="102">
        <f>SUM(C1041:BJ1041)</f>
        <v>7259546882.9380398</v>
      </c>
      <c r="C1041" s="207">
        <f>C984*(1+$G981)^(C867-1)</f>
        <v>16729720.869834956</v>
      </c>
      <c r="D1041" s="208">
        <f>D984*(1+$G981)^(D982-1)</f>
        <v>18094866.092813492</v>
      </c>
      <c r="E1041" s="208">
        <f t="shared" ref="E1041:BJ1041" si="651">E984*(1+$G981)^(E982-1)</f>
        <v>18818660.736526031</v>
      </c>
      <c r="F1041" s="208">
        <f t="shared" si="651"/>
        <v>19571407.165987071</v>
      </c>
      <c r="G1041" s="208">
        <f t="shared" si="651"/>
        <v>20354263.452626556</v>
      </c>
      <c r="H1041" s="208">
        <f t="shared" si="651"/>
        <v>92767818.132063597</v>
      </c>
      <c r="I1041" s="208">
        <f t="shared" si="651"/>
        <v>192957061.71469229</v>
      </c>
      <c r="J1041" s="208">
        <f t="shared" si="651"/>
        <v>301013016.27491999</v>
      </c>
      <c r="K1041" s="208">
        <f t="shared" si="651"/>
        <v>417404715.90122241</v>
      </c>
      <c r="L1041" s="208">
        <f t="shared" si="651"/>
        <v>591955778.91446102</v>
      </c>
      <c r="M1041" s="208">
        <f t="shared" si="651"/>
        <v>615634010.07103944</v>
      </c>
      <c r="N1041" s="208">
        <f t="shared" si="651"/>
        <v>640259370.47388101</v>
      </c>
      <c r="O1041" s="208">
        <f t="shared" si="651"/>
        <v>665869745.29283643</v>
      </c>
      <c r="P1041" s="208">
        <f t="shared" si="651"/>
        <v>692504535.10454988</v>
      </c>
      <c r="Q1041" s="208">
        <f t="shared" si="651"/>
        <v>720204716.50873184</v>
      </c>
      <c r="R1041" s="208">
        <f t="shared" si="651"/>
        <v>749012905.16908109</v>
      </c>
      <c r="S1041" s="208">
        <f t="shared" si="651"/>
        <v>571247175.67561913</v>
      </c>
      <c r="T1041" s="208">
        <f t="shared" si="651"/>
        <v>445572797.02698302</v>
      </c>
      <c r="U1041" s="208">
        <f t="shared" si="651"/>
        <v>308930472.60537487</v>
      </c>
      <c r="V1041" s="208">
        <f t="shared" si="651"/>
        <v>160643845.75479493</v>
      </c>
      <c r="W1041" s="208">
        <f t="shared" si="651"/>
        <v>0</v>
      </c>
      <c r="X1041" s="208">
        <f t="shared" si="651"/>
        <v>0</v>
      </c>
      <c r="Y1041" s="208">
        <f t="shared" si="651"/>
        <v>0</v>
      </c>
      <c r="Z1041" s="208">
        <f t="shared" si="651"/>
        <v>0</v>
      </c>
      <c r="AA1041" s="208">
        <f t="shared" si="651"/>
        <v>0</v>
      </c>
      <c r="AB1041" s="208">
        <f t="shared" si="651"/>
        <v>0</v>
      </c>
      <c r="AC1041" s="208">
        <f t="shared" si="651"/>
        <v>0</v>
      </c>
      <c r="AD1041" s="208">
        <f t="shared" si="651"/>
        <v>0</v>
      </c>
      <c r="AE1041" s="208">
        <f t="shared" si="651"/>
        <v>0</v>
      </c>
      <c r="AF1041" s="208">
        <f t="shared" si="651"/>
        <v>0</v>
      </c>
      <c r="AG1041" s="208">
        <f t="shared" si="651"/>
        <v>0</v>
      </c>
      <c r="AH1041" s="208">
        <f t="shared" si="651"/>
        <v>0</v>
      </c>
      <c r="AI1041" s="208">
        <f t="shared" si="651"/>
        <v>0</v>
      </c>
      <c r="AJ1041" s="208">
        <f t="shared" si="651"/>
        <v>0</v>
      </c>
      <c r="AK1041" s="208">
        <f t="shared" si="651"/>
        <v>0</v>
      </c>
      <c r="AL1041" s="208">
        <f t="shared" si="651"/>
        <v>0</v>
      </c>
      <c r="AM1041" s="208">
        <f t="shared" si="651"/>
        <v>0</v>
      </c>
      <c r="AN1041" s="208">
        <f t="shared" si="651"/>
        <v>0</v>
      </c>
      <c r="AO1041" s="208">
        <f t="shared" si="651"/>
        <v>0</v>
      </c>
      <c r="AP1041" s="208">
        <f t="shared" si="651"/>
        <v>0</v>
      </c>
      <c r="AQ1041" s="208">
        <f t="shared" si="651"/>
        <v>0</v>
      </c>
      <c r="AR1041" s="208">
        <f t="shared" si="651"/>
        <v>0</v>
      </c>
      <c r="AS1041" s="208">
        <f t="shared" si="651"/>
        <v>0</v>
      </c>
      <c r="AT1041" s="208">
        <f t="shared" si="651"/>
        <v>0</v>
      </c>
      <c r="AU1041" s="208">
        <f t="shared" si="651"/>
        <v>0</v>
      </c>
      <c r="AV1041" s="208">
        <f t="shared" si="651"/>
        <v>0</v>
      </c>
      <c r="AW1041" s="208">
        <f t="shared" si="651"/>
        <v>0</v>
      </c>
      <c r="AX1041" s="208">
        <f t="shared" si="651"/>
        <v>0</v>
      </c>
      <c r="AY1041" s="208">
        <f t="shared" si="651"/>
        <v>0</v>
      </c>
      <c r="AZ1041" s="208">
        <f t="shared" si="651"/>
        <v>0</v>
      </c>
      <c r="BA1041" s="208">
        <f t="shared" si="651"/>
        <v>0</v>
      </c>
      <c r="BB1041" s="208">
        <f t="shared" si="651"/>
        <v>0</v>
      </c>
      <c r="BC1041" s="208">
        <f t="shared" si="651"/>
        <v>0</v>
      </c>
      <c r="BD1041" s="208">
        <f t="shared" si="651"/>
        <v>0</v>
      </c>
      <c r="BE1041" s="208">
        <f t="shared" si="651"/>
        <v>0</v>
      </c>
      <c r="BF1041" s="208">
        <f t="shared" si="651"/>
        <v>0</v>
      </c>
      <c r="BG1041" s="208">
        <f t="shared" si="651"/>
        <v>0</v>
      </c>
      <c r="BH1041" s="208">
        <f t="shared" si="651"/>
        <v>0</v>
      </c>
      <c r="BI1041" s="208">
        <f t="shared" si="651"/>
        <v>0</v>
      </c>
      <c r="BJ1041" s="209">
        <f t="shared" si="651"/>
        <v>0</v>
      </c>
    </row>
    <row r="1042" spans="1:64" s="105" customFormat="1">
      <c r="A1042" s="106" t="s">
        <v>116</v>
      </c>
      <c r="B1042" s="210">
        <f>SUM(B1049,B1043:B1044)</f>
        <v>2280947940.7148023</v>
      </c>
      <c r="C1042" s="102">
        <f>SUM(C1043:C1044,C1049)</f>
        <v>13919127.763702685</v>
      </c>
      <c r="D1042" s="103">
        <f t="shared" ref="D1042:BJ1042" si="652">SUM(D1043:D1044,D1049)</f>
        <v>14475892.874250794</v>
      </c>
      <c r="E1042" s="103">
        <f t="shared" si="652"/>
        <v>15054928.589220826</v>
      </c>
      <c r="F1042" s="103">
        <f t="shared" si="652"/>
        <v>15657125.732789658</v>
      </c>
      <c r="G1042" s="103">
        <f t="shared" si="652"/>
        <v>16283410.762101246</v>
      </c>
      <c r="H1042" s="103">
        <f t="shared" si="652"/>
        <v>28552244.212130502</v>
      </c>
      <c r="I1042" s="103">
        <f t="shared" si="652"/>
        <v>59388667.961231455</v>
      </c>
      <c r="J1042" s="103">
        <f t="shared" si="652"/>
        <v>92646322.019521058</v>
      </c>
      <c r="K1042" s="103">
        <f t="shared" si="652"/>
        <v>128469566.53373589</v>
      </c>
      <c r="L1042" s="103">
        <f t="shared" si="652"/>
        <v>182193203.44784367</v>
      </c>
      <c r="M1042" s="103">
        <f t="shared" si="652"/>
        <v>189480931.5857574</v>
      </c>
      <c r="N1042" s="103">
        <f t="shared" si="652"/>
        <v>197060168.8491877</v>
      </c>
      <c r="O1042" s="103">
        <f t="shared" si="652"/>
        <v>204942575.60315526</v>
      </c>
      <c r="P1042" s="103">
        <f t="shared" si="652"/>
        <v>213140278.62728149</v>
      </c>
      <c r="Q1042" s="103">
        <f t="shared" si="652"/>
        <v>221665889.77237272</v>
      </c>
      <c r="R1042" s="103">
        <f t="shared" si="652"/>
        <v>230532525.36326763</v>
      </c>
      <c r="S1042" s="103">
        <f t="shared" si="652"/>
        <v>175819472.67705211</v>
      </c>
      <c r="T1042" s="103">
        <f t="shared" si="652"/>
        <v>137139188.68810067</v>
      </c>
      <c r="U1042" s="103">
        <f t="shared" si="652"/>
        <v>95083170.823749781</v>
      </c>
      <c r="V1042" s="103">
        <f t="shared" si="652"/>
        <v>49443248.828349888</v>
      </c>
      <c r="W1042" s="103">
        <f t="shared" si="652"/>
        <v>0</v>
      </c>
      <c r="X1042" s="103">
        <f t="shared" si="652"/>
        <v>0</v>
      </c>
      <c r="Y1042" s="103">
        <f t="shared" si="652"/>
        <v>0</v>
      </c>
      <c r="Z1042" s="103">
        <f t="shared" si="652"/>
        <v>0</v>
      </c>
      <c r="AA1042" s="103">
        <f t="shared" si="652"/>
        <v>0</v>
      </c>
      <c r="AB1042" s="103">
        <f t="shared" si="652"/>
        <v>0</v>
      </c>
      <c r="AC1042" s="103">
        <f t="shared" si="652"/>
        <v>0</v>
      </c>
      <c r="AD1042" s="103">
        <f t="shared" si="652"/>
        <v>0</v>
      </c>
      <c r="AE1042" s="103">
        <f t="shared" si="652"/>
        <v>0</v>
      </c>
      <c r="AF1042" s="103">
        <f t="shared" si="652"/>
        <v>0</v>
      </c>
      <c r="AG1042" s="103">
        <f t="shared" si="652"/>
        <v>0</v>
      </c>
      <c r="AH1042" s="103">
        <f t="shared" si="652"/>
        <v>0</v>
      </c>
      <c r="AI1042" s="103">
        <f t="shared" si="652"/>
        <v>0</v>
      </c>
      <c r="AJ1042" s="103">
        <f t="shared" si="652"/>
        <v>0</v>
      </c>
      <c r="AK1042" s="103">
        <f t="shared" si="652"/>
        <v>0</v>
      </c>
      <c r="AL1042" s="103">
        <f t="shared" si="652"/>
        <v>0</v>
      </c>
      <c r="AM1042" s="103">
        <f t="shared" si="652"/>
        <v>0</v>
      </c>
      <c r="AN1042" s="103">
        <f t="shared" si="652"/>
        <v>0</v>
      </c>
      <c r="AO1042" s="103">
        <f t="shared" si="652"/>
        <v>0</v>
      </c>
      <c r="AP1042" s="103">
        <f t="shared" si="652"/>
        <v>0</v>
      </c>
      <c r="AQ1042" s="103">
        <f t="shared" si="652"/>
        <v>0</v>
      </c>
      <c r="AR1042" s="103">
        <f t="shared" si="652"/>
        <v>0</v>
      </c>
      <c r="AS1042" s="103">
        <f t="shared" si="652"/>
        <v>0</v>
      </c>
      <c r="AT1042" s="103">
        <f t="shared" si="652"/>
        <v>0</v>
      </c>
      <c r="AU1042" s="103">
        <f t="shared" si="652"/>
        <v>0</v>
      </c>
      <c r="AV1042" s="103">
        <f t="shared" si="652"/>
        <v>0</v>
      </c>
      <c r="AW1042" s="103">
        <f t="shared" si="652"/>
        <v>0</v>
      </c>
      <c r="AX1042" s="103">
        <f t="shared" si="652"/>
        <v>0</v>
      </c>
      <c r="AY1042" s="103">
        <f t="shared" si="652"/>
        <v>0</v>
      </c>
      <c r="AZ1042" s="103">
        <f t="shared" si="652"/>
        <v>0</v>
      </c>
      <c r="BA1042" s="103">
        <f t="shared" si="652"/>
        <v>0</v>
      </c>
      <c r="BB1042" s="103">
        <f t="shared" si="652"/>
        <v>0</v>
      </c>
      <c r="BC1042" s="103">
        <f t="shared" si="652"/>
        <v>0</v>
      </c>
      <c r="BD1042" s="103">
        <f t="shared" si="652"/>
        <v>0</v>
      </c>
      <c r="BE1042" s="103">
        <f t="shared" si="652"/>
        <v>0</v>
      </c>
      <c r="BF1042" s="103">
        <f t="shared" si="652"/>
        <v>0</v>
      </c>
      <c r="BG1042" s="103">
        <f t="shared" si="652"/>
        <v>0</v>
      </c>
      <c r="BH1042" s="103">
        <f t="shared" si="652"/>
        <v>0</v>
      </c>
      <c r="BI1042" s="103">
        <f t="shared" si="652"/>
        <v>0</v>
      </c>
      <c r="BJ1042" s="104">
        <f t="shared" si="652"/>
        <v>0</v>
      </c>
    </row>
    <row r="1043" spans="1:64" s="116" customFormat="1">
      <c r="A1043" s="111" t="s">
        <v>117</v>
      </c>
      <c r="B1043" s="155">
        <f>SUM(C1043:BJ1043)</f>
        <v>1734713254.4535322</v>
      </c>
      <c r="C1043" s="108">
        <f>C986*(1+$G981)^(C867-1)</f>
        <v>0</v>
      </c>
      <c r="D1043" s="109">
        <f>D986*(1+$G981)^(D982-1)</f>
        <v>0</v>
      </c>
      <c r="E1043" s="109">
        <f t="shared" ref="E1043:BJ1043" si="653">E986*(1+$G981)^(E982-1)</f>
        <v>0</v>
      </c>
      <c r="F1043" s="109">
        <f t="shared" si="653"/>
        <v>0</v>
      </c>
      <c r="G1043" s="109">
        <f t="shared" si="653"/>
        <v>0</v>
      </c>
      <c r="H1043" s="109">
        <f t="shared" si="653"/>
        <v>22456887.879776426</v>
      </c>
      <c r="I1043" s="109">
        <f t="shared" si="653"/>
        <v>46710326.78993497</v>
      </c>
      <c r="J1043" s="109">
        <f t="shared" si="653"/>
        <v>72868109.79229854</v>
      </c>
      <c r="K1043" s="109">
        <f t="shared" si="653"/>
        <v>101043778.91198733</v>
      </c>
      <c r="L1043" s="109">
        <f t="shared" si="653"/>
        <v>143298450.09336388</v>
      </c>
      <c r="M1043" s="109">
        <f t="shared" si="653"/>
        <v>149030388.09709844</v>
      </c>
      <c r="N1043" s="109">
        <f t="shared" si="653"/>
        <v>154991603.62098238</v>
      </c>
      <c r="O1043" s="109">
        <f t="shared" si="653"/>
        <v>161191267.7658217</v>
      </c>
      <c r="P1043" s="109">
        <f t="shared" si="653"/>
        <v>167638918.47645459</v>
      </c>
      <c r="Q1043" s="109">
        <f t="shared" si="653"/>
        <v>174344475.21551275</v>
      </c>
      <c r="R1043" s="109">
        <f t="shared" si="653"/>
        <v>181318254.22413325</v>
      </c>
      <c r="S1043" s="109">
        <f t="shared" si="653"/>
        <v>138285388.55493897</v>
      </c>
      <c r="T1043" s="109">
        <f t="shared" si="653"/>
        <v>107862603.0728524</v>
      </c>
      <c r="U1043" s="109">
        <f t="shared" si="653"/>
        <v>74784738.130511001</v>
      </c>
      <c r="V1043" s="109">
        <f t="shared" si="653"/>
        <v>38888063.82786572</v>
      </c>
      <c r="W1043" s="109">
        <f t="shared" si="653"/>
        <v>0</v>
      </c>
      <c r="X1043" s="109">
        <f t="shared" si="653"/>
        <v>0</v>
      </c>
      <c r="Y1043" s="109">
        <f t="shared" si="653"/>
        <v>0</v>
      </c>
      <c r="Z1043" s="109">
        <f t="shared" si="653"/>
        <v>0</v>
      </c>
      <c r="AA1043" s="109">
        <f t="shared" si="653"/>
        <v>0</v>
      </c>
      <c r="AB1043" s="109">
        <f t="shared" si="653"/>
        <v>0</v>
      </c>
      <c r="AC1043" s="109">
        <f t="shared" si="653"/>
        <v>0</v>
      </c>
      <c r="AD1043" s="109">
        <f t="shared" si="653"/>
        <v>0</v>
      </c>
      <c r="AE1043" s="109">
        <f t="shared" si="653"/>
        <v>0</v>
      </c>
      <c r="AF1043" s="109">
        <f t="shared" si="653"/>
        <v>0</v>
      </c>
      <c r="AG1043" s="109">
        <f t="shared" si="653"/>
        <v>0</v>
      </c>
      <c r="AH1043" s="109">
        <f t="shared" si="653"/>
        <v>0</v>
      </c>
      <c r="AI1043" s="109">
        <f t="shared" si="653"/>
        <v>0</v>
      </c>
      <c r="AJ1043" s="109">
        <f t="shared" si="653"/>
        <v>0</v>
      </c>
      <c r="AK1043" s="109">
        <f t="shared" si="653"/>
        <v>0</v>
      </c>
      <c r="AL1043" s="109">
        <f t="shared" si="653"/>
        <v>0</v>
      </c>
      <c r="AM1043" s="109">
        <f t="shared" si="653"/>
        <v>0</v>
      </c>
      <c r="AN1043" s="109">
        <f t="shared" si="653"/>
        <v>0</v>
      </c>
      <c r="AO1043" s="109">
        <f t="shared" si="653"/>
        <v>0</v>
      </c>
      <c r="AP1043" s="109">
        <f t="shared" si="653"/>
        <v>0</v>
      </c>
      <c r="AQ1043" s="109">
        <f t="shared" si="653"/>
        <v>0</v>
      </c>
      <c r="AR1043" s="109">
        <f t="shared" si="653"/>
        <v>0</v>
      </c>
      <c r="AS1043" s="109">
        <f t="shared" si="653"/>
        <v>0</v>
      </c>
      <c r="AT1043" s="109">
        <f t="shared" si="653"/>
        <v>0</v>
      </c>
      <c r="AU1043" s="109">
        <f t="shared" si="653"/>
        <v>0</v>
      </c>
      <c r="AV1043" s="109">
        <f t="shared" si="653"/>
        <v>0</v>
      </c>
      <c r="AW1043" s="109">
        <f t="shared" si="653"/>
        <v>0</v>
      </c>
      <c r="AX1043" s="109">
        <f t="shared" si="653"/>
        <v>0</v>
      </c>
      <c r="AY1043" s="109">
        <f t="shared" si="653"/>
        <v>0</v>
      </c>
      <c r="AZ1043" s="109">
        <f t="shared" si="653"/>
        <v>0</v>
      </c>
      <c r="BA1043" s="109">
        <f t="shared" si="653"/>
        <v>0</v>
      </c>
      <c r="BB1043" s="109">
        <f t="shared" si="653"/>
        <v>0</v>
      </c>
      <c r="BC1043" s="109">
        <f t="shared" si="653"/>
        <v>0</v>
      </c>
      <c r="BD1043" s="109">
        <f t="shared" si="653"/>
        <v>0</v>
      </c>
      <c r="BE1043" s="109">
        <f t="shared" si="653"/>
        <v>0</v>
      </c>
      <c r="BF1043" s="109">
        <f t="shared" si="653"/>
        <v>0</v>
      </c>
      <c r="BG1043" s="109">
        <f t="shared" si="653"/>
        <v>0</v>
      </c>
      <c r="BH1043" s="109">
        <f t="shared" si="653"/>
        <v>0</v>
      </c>
      <c r="BI1043" s="109">
        <f t="shared" si="653"/>
        <v>0</v>
      </c>
      <c r="BJ1043" s="110">
        <f t="shared" si="653"/>
        <v>0</v>
      </c>
    </row>
    <row r="1044" spans="1:64" s="116" customFormat="1">
      <c r="A1044" s="111" t="s">
        <v>118</v>
      </c>
      <c r="B1044" s="155">
        <f>SUM(B1045:B1048)</f>
        <v>470844200.53920484</v>
      </c>
      <c r="C1044" s="108">
        <f>C987*(1+$G981)^(C982-1)</f>
        <v>0</v>
      </c>
      <c r="D1044" s="109">
        <f>D987*(1+$G981)^(D982-1)</f>
        <v>0</v>
      </c>
      <c r="E1044" s="109">
        <f t="shared" ref="E1044:BJ1044" si="654">E987*(1+$G981)^(E982-1)</f>
        <v>0</v>
      </c>
      <c r="F1044" s="109">
        <f t="shared" si="654"/>
        <v>0</v>
      </c>
      <c r="G1044" s="109">
        <f t="shared" si="654"/>
        <v>0</v>
      </c>
      <c r="H1044" s="109">
        <f t="shared" si="654"/>
        <v>6095356.3323540781</v>
      </c>
      <c r="I1044" s="109">
        <f t="shared" si="654"/>
        <v>12678341.171296483</v>
      </c>
      <c r="J1044" s="109">
        <f t="shared" si="654"/>
        <v>19778212.227222513</v>
      </c>
      <c r="K1044" s="109">
        <f t="shared" si="654"/>
        <v>27425787.621748552</v>
      </c>
      <c r="L1044" s="109">
        <f t="shared" si="654"/>
        <v>38894753.354479782</v>
      </c>
      <c r="M1044" s="109">
        <f t="shared" si="654"/>
        <v>40450543.488658972</v>
      </c>
      <c r="N1044" s="109">
        <f t="shared" si="654"/>
        <v>42068565.228205331</v>
      </c>
      <c r="O1044" s="109">
        <f t="shared" si="654"/>
        <v>43751307.837333553</v>
      </c>
      <c r="P1044" s="109">
        <f t="shared" si="654"/>
        <v>45501360.150826894</v>
      </c>
      <c r="Q1044" s="109">
        <f t="shared" si="654"/>
        <v>47321414.55685997</v>
      </c>
      <c r="R1044" s="109">
        <f t="shared" si="654"/>
        <v>49214271.13913437</v>
      </c>
      <c r="S1044" s="109">
        <f t="shared" si="654"/>
        <v>37534084.122113138</v>
      </c>
      <c r="T1044" s="109">
        <f t="shared" si="654"/>
        <v>29276585.615248252</v>
      </c>
      <c r="U1044" s="109">
        <f t="shared" si="654"/>
        <v>20298432.693238787</v>
      </c>
      <c r="V1044" s="109">
        <f t="shared" si="654"/>
        <v>10555185.00048417</v>
      </c>
      <c r="W1044" s="109">
        <f t="shared" si="654"/>
        <v>0</v>
      </c>
      <c r="X1044" s="109">
        <f t="shared" si="654"/>
        <v>0</v>
      </c>
      <c r="Y1044" s="109">
        <f t="shared" si="654"/>
        <v>0</v>
      </c>
      <c r="Z1044" s="109">
        <f t="shared" si="654"/>
        <v>0</v>
      </c>
      <c r="AA1044" s="109">
        <f t="shared" si="654"/>
        <v>0</v>
      </c>
      <c r="AB1044" s="109">
        <f t="shared" si="654"/>
        <v>0</v>
      </c>
      <c r="AC1044" s="109">
        <f t="shared" si="654"/>
        <v>0</v>
      </c>
      <c r="AD1044" s="109">
        <f t="shared" si="654"/>
        <v>0</v>
      </c>
      <c r="AE1044" s="109">
        <f t="shared" si="654"/>
        <v>0</v>
      </c>
      <c r="AF1044" s="109">
        <f t="shared" si="654"/>
        <v>0</v>
      </c>
      <c r="AG1044" s="109">
        <f t="shared" si="654"/>
        <v>0</v>
      </c>
      <c r="AH1044" s="109">
        <f t="shared" si="654"/>
        <v>0</v>
      </c>
      <c r="AI1044" s="109">
        <f t="shared" si="654"/>
        <v>0</v>
      </c>
      <c r="AJ1044" s="109">
        <f t="shared" si="654"/>
        <v>0</v>
      </c>
      <c r="AK1044" s="109">
        <f t="shared" si="654"/>
        <v>0</v>
      </c>
      <c r="AL1044" s="109">
        <f t="shared" si="654"/>
        <v>0</v>
      </c>
      <c r="AM1044" s="109">
        <f t="shared" si="654"/>
        <v>0</v>
      </c>
      <c r="AN1044" s="109">
        <f t="shared" si="654"/>
        <v>0</v>
      </c>
      <c r="AO1044" s="109">
        <f t="shared" si="654"/>
        <v>0</v>
      </c>
      <c r="AP1044" s="109">
        <f t="shared" si="654"/>
        <v>0</v>
      </c>
      <c r="AQ1044" s="109">
        <f t="shared" si="654"/>
        <v>0</v>
      </c>
      <c r="AR1044" s="109">
        <f t="shared" si="654"/>
        <v>0</v>
      </c>
      <c r="AS1044" s="109">
        <f t="shared" si="654"/>
        <v>0</v>
      </c>
      <c r="AT1044" s="109">
        <f t="shared" si="654"/>
        <v>0</v>
      </c>
      <c r="AU1044" s="109">
        <f t="shared" si="654"/>
        <v>0</v>
      </c>
      <c r="AV1044" s="109">
        <f t="shared" si="654"/>
        <v>0</v>
      </c>
      <c r="AW1044" s="109">
        <f t="shared" si="654"/>
        <v>0</v>
      </c>
      <c r="AX1044" s="109">
        <f t="shared" si="654"/>
        <v>0</v>
      </c>
      <c r="AY1044" s="109">
        <f t="shared" si="654"/>
        <v>0</v>
      </c>
      <c r="AZ1044" s="109">
        <f t="shared" si="654"/>
        <v>0</v>
      </c>
      <c r="BA1044" s="109">
        <f t="shared" si="654"/>
        <v>0</v>
      </c>
      <c r="BB1044" s="109">
        <f t="shared" si="654"/>
        <v>0</v>
      </c>
      <c r="BC1044" s="109">
        <f t="shared" si="654"/>
        <v>0</v>
      </c>
      <c r="BD1044" s="109">
        <f t="shared" si="654"/>
        <v>0</v>
      </c>
      <c r="BE1044" s="109">
        <f t="shared" si="654"/>
        <v>0</v>
      </c>
      <c r="BF1044" s="109">
        <f t="shared" si="654"/>
        <v>0</v>
      </c>
      <c r="BG1044" s="109">
        <f t="shared" si="654"/>
        <v>0</v>
      </c>
      <c r="BH1044" s="109">
        <f t="shared" si="654"/>
        <v>0</v>
      </c>
      <c r="BI1044" s="109">
        <f t="shared" si="654"/>
        <v>0</v>
      </c>
      <c r="BJ1044" s="110">
        <f t="shared" si="654"/>
        <v>0</v>
      </c>
    </row>
    <row r="1045" spans="1:64" s="125" customFormat="1" ht="12.75">
      <c r="A1045" s="120" t="s">
        <v>119</v>
      </c>
      <c r="B1045" s="211">
        <f t="shared" ref="B1045:B1050" si="655">SUM(C1045:BJ1045)</f>
        <v>206147669.97115827</v>
      </c>
      <c r="C1045" s="122">
        <f>C988*(1+$G981)^(C982-1)</f>
        <v>0</v>
      </c>
      <c r="D1045" s="123">
        <f>D988*(1+$G981)^(D982-1)</f>
        <v>0</v>
      </c>
      <c r="E1045" s="123">
        <f t="shared" ref="E1045:BJ1045" si="656">E988*(1+$G981)^(E982-1)</f>
        <v>0</v>
      </c>
      <c r="F1045" s="123">
        <f t="shared" si="656"/>
        <v>0</v>
      </c>
      <c r="G1045" s="123">
        <f t="shared" si="656"/>
        <v>0</v>
      </c>
      <c r="H1045" s="123">
        <f t="shared" si="656"/>
        <v>2668703.3717729994</v>
      </c>
      <c r="I1045" s="123">
        <f t="shared" si="656"/>
        <v>5550903.0132878385</v>
      </c>
      <c r="J1045" s="123">
        <f t="shared" si="656"/>
        <v>8659408.7007290293</v>
      </c>
      <c r="K1045" s="123">
        <f t="shared" si="656"/>
        <v>12007713.398344254</v>
      </c>
      <c r="L1045" s="123">
        <f t="shared" si="656"/>
        <v>17029120.819470037</v>
      </c>
      <c r="M1045" s="123">
        <f t="shared" si="656"/>
        <v>17710285.652248837</v>
      </c>
      <c r="N1045" s="123">
        <f t="shared" si="656"/>
        <v>18418697.078338791</v>
      </c>
      <c r="O1045" s="123">
        <f t="shared" si="656"/>
        <v>19155444.961472347</v>
      </c>
      <c r="P1045" s="123">
        <f t="shared" si="656"/>
        <v>19921662.75993124</v>
      </c>
      <c r="Q1045" s="123">
        <f t="shared" si="656"/>
        <v>20718529.270328488</v>
      </c>
      <c r="R1045" s="123">
        <f t="shared" si="656"/>
        <v>21547270.441141628</v>
      </c>
      <c r="S1045" s="123">
        <f t="shared" si="656"/>
        <v>16433384.923110683</v>
      </c>
      <c r="T1045" s="123">
        <f t="shared" si="656"/>
        <v>12818040.240026334</v>
      </c>
      <c r="U1045" s="123">
        <f t="shared" si="656"/>
        <v>8887174.5664182585</v>
      </c>
      <c r="V1045" s="123">
        <f t="shared" si="656"/>
        <v>4621330.7745374944</v>
      </c>
      <c r="W1045" s="123">
        <f t="shared" si="656"/>
        <v>0</v>
      </c>
      <c r="X1045" s="123">
        <f t="shared" si="656"/>
        <v>0</v>
      </c>
      <c r="Y1045" s="123">
        <f t="shared" si="656"/>
        <v>0</v>
      </c>
      <c r="Z1045" s="123">
        <f t="shared" si="656"/>
        <v>0</v>
      </c>
      <c r="AA1045" s="123">
        <f t="shared" si="656"/>
        <v>0</v>
      </c>
      <c r="AB1045" s="123">
        <f t="shared" si="656"/>
        <v>0</v>
      </c>
      <c r="AC1045" s="123">
        <f t="shared" si="656"/>
        <v>0</v>
      </c>
      <c r="AD1045" s="123">
        <f t="shared" si="656"/>
        <v>0</v>
      </c>
      <c r="AE1045" s="123">
        <f t="shared" si="656"/>
        <v>0</v>
      </c>
      <c r="AF1045" s="123">
        <f t="shared" si="656"/>
        <v>0</v>
      </c>
      <c r="AG1045" s="123">
        <f t="shared" si="656"/>
        <v>0</v>
      </c>
      <c r="AH1045" s="123">
        <f t="shared" si="656"/>
        <v>0</v>
      </c>
      <c r="AI1045" s="123">
        <f t="shared" si="656"/>
        <v>0</v>
      </c>
      <c r="AJ1045" s="123">
        <f t="shared" si="656"/>
        <v>0</v>
      </c>
      <c r="AK1045" s="123">
        <f t="shared" si="656"/>
        <v>0</v>
      </c>
      <c r="AL1045" s="123">
        <f t="shared" si="656"/>
        <v>0</v>
      </c>
      <c r="AM1045" s="123">
        <f t="shared" si="656"/>
        <v>0</v>
      </c>
      <c r="AN1045" s="123">
        <f t="shared" si="656"/>
        <v>0</v>
      </c>
      <c r="AO1045" s="123">
        <f t="shared" si="656"/>
        <v>0</v>
      </c>
      <c r="AP1045" s="123">
        <f t="shared" si="656"/>
        <v>0</v>
      </c>
      <c r="AQ1045" s="123">
        <f t="shared" si="656"/>
        <v>0</v>
      </c>
      <c r="AR1045" s="123">
        <f t="shared" si="656"/>
        <v>0</v>
      </c>
      <c r="AS1045" s="123">
        <f t="shared" si="656"/>
        <v>0</v>
      </c>
      <c r="AT1045" s="123">
        <f t="shared" si="656"/>
        <v>0</v>
      </c>
      <c r="AU1045" s="123">
        <f t="shared" si="656"/>
        <v>0</v>
      </c>
      <c r="AV1045" s="123">
        <f t="shared" si="656"/>
        <v>0</v>
      </c>
      <c r="AW1045" s="123">
        <f t="shared" si="656"/>
        <v>0</v>
      </c>
      <c r="AX1045" s="123">
        <f t="shared" si="656"/>
        <v>0</v>
      </c>
      <c r="AY1045" s="123">
        <f t="shared" si="656"/>
        <v>0</v>
      </c>
      <c r="AZ1045" s="123">
        <f t="shared" si="656"/>
        <v>0</v>
      </c>
      <c r="BA1045" s="123">
        <f t="shared" si="656"/>
        <v>0</v>
      </c>
      <c r="BB1045" s="123">
        <f t="shared" si="656"/>
        <v>0</v>
      </c>
      <c r="BC1045" s="123">
        <f t="shared" si="656"/>
        <v>0</v>
      </c>
      <c r="BD1045" s="123">
        <f t="shared" si="656"/>
        <v>0</v>
      </c>
      <c r="BE1045" s="123">
        <f t="shared" si="656"/>
        <v>0</v>
      </c>
      <c r="BF1045" s="123">
        <f t="shared" si="656"/>
        <v>0</v>
      </c>
      <c r="BG1045" s="123">
        <f t="shared" si="656"/>
        <v>0</v>
      </c>
      <c r="BH1045" s="123">
        <f t="shared" si="656"/>
        <v>0</v>
      </c>
      <c r="BI1045" s="123">
        <f t="shared" si="656"/>
        <v>0</v>
      </c>
      <c r="BJ1045" s="124">
        <f t="shared" si="656"/>
        <v>0</v>
      </c>
    </row>
    <row r="1046" spans="1:64" s="125" customFormat="1" ht="12.75">
      <c r="A1046" s="120" t="s">
        <v>120</v>
      </c>
      <c r="B1046" s="211">
        <f t="shared" si="655"/>
        <v>206743988.3576825</v>
      </c>
      <c r="C1046" s="122">
        <f>C989*(1+$G981)^(C982-1)</f>
        <v>0</v>
      </c>
      <c r="D1046" s="123">
        <f>D989*(1+$G981)^(D982-1)</f>
        <v>0</v>
      </c>
      <c r="E1046" s="123">
        <f t="shared" ref="E1046:BJ1046" si="657">E989*(1+$G981)^(E982-1)</f>
        <v>0</v>
      </c>
      <c r="F1046" s="123">
        <f t="shared" si="657"/>
        <v>0</v>
      </c>
      <c r="G1046" s="123">
        <f t="shared" si="657"/>
        <v>0</v>
      </c>
      <c r="H1046" s="123">
        <f t="shared" si="657"/>
        <v>2676423.0655681808</v>
      </c>
      <c r="I1046" s="123">
        <f t="shared" si="657"/>
        <v>5566959.976381816</v>
      </c>
      <c r="J1046" s="123">
        <f t="shared" si="657"/>
        <v>8684457.5631556325</v>
      </c>
      <c r="K1046" s="123">
        <f t="shared" si="657"/>
        <v>12042447.820909146</v>
      </c>
      <c r="L1046" s="123">
        <f t="shared" si="657"/>
        <v>17078380.546016611</v>
      </c>
      <c r="M1046" s="123">
        <f t="shared" si="657"/>
        <v>17761515.767857276</v>
      </c>
      <c r="N1046" s="123">
        <f t="shared" si="657"/>
        <v>18471976.398571566</v>
      </c>
      <c r="O1046" s="123">
        <f t="shared" si="657"/>
        <v>19210855.454514433</v>
      </c>
      <c r="P1046" s="123">
        <f t="shared" si="657"/>
        <v>19979289.672695011</v>
      </c>
      <c r="Q1046" s="123">
        <f t="shared" si="657"/>
        <v>20778461.259602811</v>
      </c>
      <c r="R1046" s="123">
        <f t="shared" si="657"/>
        <v>21609599.709986921</v>
      </c>
      <c r="S1046" s="123">
        <f t="shared" si="657"/>
        <v>16480921.378816692</v>
      </c>
      <c r="T1046" s="123">
        <f t="shared" si="657"/>
        <v>12855118.675477022</v>
      </c>
      <c r="U1046" s="123">
        <f t="shared" si="657"/>
        <v>8912882.2816640679</v>
      </c>
      <c r="V1046" s="123">
        <f t="shared" si="657"/>
        <v>4634698.7864653151</v>
      </c>
      <c r="W1046" s="123">
        <f t="shared" si="657"/>
        <v>0</v>
      </c>
      <c r="X1046" s="123">
        <f t="shared" si="657"/>
        <v>0</v>
      </c>
      <c r="Y1046" s="123">
        <f t="shared" si="657"/>
        <v>0</v>
      </c>
      <c r="Z1046" s="123">
        <f t="shared" si="657"/>
        <v>0</v>
      </c>
      <c r="AA1046" s="123">
        <f t="shared" si="657"/>
        <v>0</v>
      </c>
      <c r="AB1046" s="123">
        <f t="shared" si="657"/>
        <v>0</v>
      </c>
      <c r="AC1046" s="123">
        <f t="shared" si="657"/>
        <v>0</v>
      </c>
      <c r="AD1046" s="123">
        <f t="shared" si="657"/>
        <v>0</v>
      </c>
      <c r="AE1046" s="123">
        <f t="shared" si="657"/>
        <v>0</v>
      </c>
      <c r="AF1046" s="123">
        <f t="shared" si="657"/>
        <v>0</v>
      </c>
      <c r="AG1046" s="123">
        <f t="shared" si="657"/>
        <v>0</v>
      </c>
      <c r="AH1046" s="123">
        <f t="shared" si="657"/>
        <v>0</v>
      </c>
      <c r="AI1046" s="123">
        <f t="shared" si="657"/>
        <v>0</v>
      </c>
      <c r="AJ1046" s="123">
        <f t="shared" si="657"/>
        <v>0</v>
      </c>
      <c r="AK1046" s="123">
        <f t="shared" si="657"/>
        <v>0</v>
      </c>
      <c r="AL1046" s="123">
        <f t="shared" si="657"/>
        <v>0</v>
      </c>
      <c r="AM1046" s="123">
        <f t="shared" si="657"/>
        <v>0</v>
      </c>
      <c r="AN1046" s="123">
        <f t="shared" si="657"/>
        <v>0</v>
      </c>
      <c r="AO1046" s="123">
        <f t="shared" si="657"/>
        <v>0</v>
      </c>
      <c r="AP1046" s="123">
        <f t="shared" si="657"/>
        <v>0</v>
      </c>
      <c r="AQ1046" s="123">
        <f t="shared" si="657"/>
        <v>0</v>
      </c>
      <c r="AR1046" s="123">
        <f t="shared" si="657"/>
        <v>0</v>
      </c>
      <c r="AS1046" s="123">
        <f t="shared" si="657"/>
        <v>0</v>
      </c>
      <c r="AT1046" s="123">
        <f t="shared" si="657"/>
        <v>0</v>
      </c>
      <c r="AU1046" s="123">
        <f t="shared" si="657"/>
        <v>0</v>
      </c>
      <c r="AV1046" s="123">
        <f t="shared" si="657"/>
        <v>0</v>
      </c>
      <c r="AW1046" s="123">
        <f t="shared" si="657"/>
        <v>0</v>
      </c>
      <c r="AX1046" s="123">
        <f t="shared" si="657"/>
        <v>0</v>
      </c>
      <c r="AY1046" s="123">
        <f t="shared" si="657"/>
        <v>0</v>
      </c>
      <c r="AZ1046" s="123">
        <f t="shared" si="657"/>
        <v>0</v>
      </c>
      <c r="BA1046" s="123">
        <f t="shared" si="657"/>
        <v>0</v>
      </c>
      <c r="BB1046" s="123">
        <f t="shared" si="657"/>
        <v>0</v>
      </c>
      <c r="BC1046" s="123">
        <f t="shared" si="657"/>
        <v>0</v>
      </c>
      <c r="BD1046" s="123">
        <f t="shared" si="657"/>
        <v>0</v>
      </c>
      <c r="BE1046" s="123">
        <f t="shared" si="657"/>
        <v>0</v>
      </c>
      <c r="BF1046" s="123">
        <f t="shared" si="657"/>
        <v>0</v>
      </c>
      <c r="BG1046" s="123">
        <f t="shared" si="657"/>
        <v>0</v>
      </c>
      <c r="BH1046" s="123">
        <f t="shared" si="657"/>
        <v>0</v>
      </c>
      <c r="BI1046" s="123">
        <f t="shared" si="657"/>
        <v>0</v>
      </c>
      <c r="BJ1046" s="124">
        <f t="shared" si="657"/>
        <v>0</v>
      </c>
    </row>
    <row r="1047" spans="1:64" s="125" customFormat="1" ht="12.75">
      <c r="A1047" s="120" t="s">
        <v>121</v>
      </c>
      <c r="B1047" s="211">
        <f t="shared" si="655"/>
        <v>49175500.248549461</v>
      </c>
      <c r="C1047" s="122">
        <f>C990*(1+$G981)^(C982-1)</f>
        <v>0</v>
      </c>
      <c r="D1047" s="123">
        <f>D990*(1+$G981)^(D982-1)</f>
        <v>0</v>
      </c>
      <c r="E1047" s="123">
        <f t="shared" ref="E1047:BJ1047" si="658">E990*(1+$G981)^(E982-1)</f>
        <v>0</v>
      </c>
      <c r="F1047" s="123">
        <f t="shared" si="658"/>
        <v>0</v>
      </c>
      <c r="G1047" s="123">
        <f t="shared" si="658"/>
        <v>0</v>
      </c>
      <c r="H1047" s="123">
        <f t="shared" si="658"/>
        <v>636605.90168343263</v>
      </c>
      <c r="I1047" s="123">
        <f t="shared" si="658"/>
        <v>1324140.2755015399</v>
      </c>
      <c r="J1047" s="123">
        <f t="shared" si="658"/>
        <v>2065658.8297824021</v>
      </c>
      <c r="K1047" s="123">
        <f t="shared" si="658"/>
        <v>2864380.243964931</v>
      </c>
      <c r="L1047" s="123">
        <f t="shared" si="658"/>
        <v>4062211.982350267</v>
      </c>
      <c r="M1047" s="123">
        <f t="shared" si="658"/>
        <v>4224700.4616442779</v>
      </c>
      <c r="N1047" s="123">
        <f t="shared" si="658"/>
        <v>4393688.4801100483</v>
      </c>
      <c r="O1047" s="123">
        <f t="shared" si="658"/>
        <v>4569436.0193144511</v>
      </c>
      <c r="P1047" s="123">
        <f t="shared" si="658"/>
        <v>4752213.4600870293</v>
      </c>
      <c r="Q1047" s="123">
        <f t="shared" si="658"/>
        <v>4942301.9984905105</v>
      </c>
      <c r="R1047" s="123">
        <f t="shared" si="658"/>
        <v>5139994.0784301311</v>
      </c>
      <c r="S1047" s="123">
        <f t="shared" si="658"/>
        <v>3920102.1504827132</v>
      </c>
      <c r="T1047" s="123">
        <f t="shared" si="658"/>
        <v>3057679.6773765166</v>
      </c>
      <c r="U1047" s="123">
        <f t="shared" si="658"/>
        <v>2119991.2429810516</v>
      </c>
      <c r="V1047" s="123">
        <f t="shared" si="658"/>
        <v>1102395.4463501468</v>
      </c>
      <c r="W1047" s="123">
        <f t="shared" si="658"/>
        <v>0</v>
      </c>
      <c r="X1047" s="123">
        <f t="shared" si="658"/>
        <v>0</v>
      </c>
      <c r="Y1047" s="123">
        <f t="shared" si="658"/>
        <v>0</v>
      </c>
      <c r="Z1047" s="123">
        <f t="shared" si="658"/>
        <v>0</v>
      </c>
      <c r="AA1047" s="123">
        <f t="shared" si="658"/>
        <v>0</v>
      </c>
      <c r="AB1047" s="123">
        <f t="shared" si="658"/>
        <v>0</v>
      </c>
      <c r="AC1047" s="123">
        <f t="shared" si="658"/>
        <v>0</v>
      </c>
      <c r="AD1047" s="123">
        <f t="shared" si="658"/>
        <v>0</v>
      </c>
      <c r="AE1047" s="123">
        <f t="shared" si="658"/>
        <v>0</v>
      </c>
      <c r="AF1047" s="123">
        <f t="shared" si="658"/>
        <v>0</v>
      </c>
      <c r="AG1047" s="123">
        <f t="shared" si="658"/>
        <v>0</v>
      </c>
      <c r="AH1047" s="123">
        <f t="shared" si="658"/>
        <v>0</v>
      </c>
      <c r="AI1047" s="123">
        <f t="shared" si="658"/>
        <v>0</v>
      </c>
      <c r="AJ1047" s="123">
        <f t="shared" si="658"/>
        <v>0</v>
      </c>
      <c r="AK1047" s="123">
        <f t="shared" si="658"/>
        <v>0</v>
      </c>
      <c r="AL1047" s="123">
        <f t="shared" si="658"/>
        <v>0</v>
      </c>
      <c r="AM1047" s="123">
        <f t="shared" si="658"/>
        <v>0</v>
      </c>
      <c r="AN1047" s="123">
        <f t="shared" si="658"/>
        <v>0</v>
      </c>
      <c r="AO1047" s="123">
        <f t="shared" si="658"/>
        <v>0</v>
      </c>
      <c r="AP1047" s="123">
        <f t="shared" si="658"/>
        <v>0</v>
      </c>
      <c r="AQ1047" s="123">
        <f t="shared" si="658"/>
        <v>0</v>
      </c>
      <c r="AR1047" s="123">
        <f t="shared" si="658"/>
        <v>0</v>
      </c>
      <c r="AS1047" s="123">
        <f t="shared" si="658"/>
        <v>0</v>
      </c>
      <c r="AT1047" s="123">
        <f t="shared" si="658"/>
        <v>0</v>
      </c>
      <c r="AU1047" s="123">
        <f t="shared" si="658"/>
        <v>0</v>
      </c>
      <c r="AV1047" s="123">
        <f t="shared" si="658"/>
        <v>0</v>
      </c>
      <c r="AW1047" s="123">
        <f t="shared" si="658"/>
        <v>0</v>
      </c>
      <c r="AX1047" s="123">
        <f t="shared" si="658"/>
        <v>0</v>
      </c>
      <c r="AY1047" s="123">
        <f t="shared" si="658"/>
        <v>0</v>
      </c>
      <c r="AZ1047" s="123">
        <f t="shared" si="658"/>
        <v>0</v>
      </c>
      <c r="BA1047" s="123">
        <f t="shared" si="658"/>
        <v>0</v>
      </c>
      <c r="BB1047" s="123">
        <f t="shared" si="658"/>
        <v>0</v>
      </c>
      <c r="BC1047" s="123">
        <f t="shared" si="658"/>
        <v>0</v>
      </c>
      <c r="BD1047" s="123">
        <f t="shared" si="658"/>
        <v>0</v>
      </c>
      <c r="BE1047" s="123">
        <f t="shared" si="658"/>
        <v>0</v>
      </c>
      <c r="BF1047" s="123">
        <f t="shared" si="658"/>
        <v>0</v>
      </c>
      <c r="BG1047" s="123">
        <f t="shared" si="658"/>
        <v>0</v>
      </c>
      <c r="BH1047" s="123">
        <f t="shared" si="658"/>
        <v>0</v>
      </c>
      <c r="BI1047" s="123">
        <f t="shared" si="658"/>
        <v>0</v>
      </c>
      <c r="BJ1047" s="124">
        <f t="shared" si="658"/>
        <v>0</v>
      </c>
    </row>
    <row r="1048" spans="1:64" s="125" customFormat="1" ht="12.75">
      <c r="A1048" s="120" t="s">
        <v>122</v>
      </c>
      <c r="B1048" s="211">
        <f t="shared" si="655"/>
        <v>8777041.961814642</v>
      </c>
      <c r="C1048" s="122">
        <f>C991*(1+$G981)^(C982-1)</f>
        <v>0</v>
      </c>
      <c r="D1048" s="123">
        <f>D991*(1+$G981)^(D982-1)</f>
        <v>0</v>
      </c>
      <c r="E1048" s="123">
        <f t="shared" ref="E1048:BJ1048" si="659">E991*(1+$G981)^(E982-1)</f>
        <v>0</v>
      </c>
      <c r="F1048" s="123">
        <f t="shared" si="659"/>
        <v>0</v>
      </c>
      <c r="G1048" s="123">
        <f t="shared" si="659"/>
        <v>0</v>
      </c>
      <c r="H1048" s="123">
        <f t="shared" si="659"/>
        <v>113623.99332946596</v>
      </c>
      <c r="I1048" s="123">
        <f t="shared" si="659"/>
        <v>236337.90612528918</v>
      </c>
      <c r="J1048" s="123">
        <f t="shared" si="659"/>
        <v>368687.13355545118</v>
      </c>
      <c r="K1048" s="123">
        <f t="shared" si="659"/>
        <v>511246.15853022563</v>
      </c>
      <c r="L1048" s="123">
        <f t="shared" si="659"/>
        <v>725040.0066428656</v>
      </c>
      <c r="M1048" s="123">
        <f t="shared" si="659"/>
        <v>754041.60690858029</v>
      </c>
      <c r="N1048" s="123">
        <f t="shared" si="659"/>
        <v>784203.27118492348</v>
      </c>
      <c r="O1048" s="123">
        <f t="shared" si="659"/>
        <v>815571.4020323205</v>
      </c>
      <c r="P1048" s="123">
        <f t="shared" si="659"/>
        <v>848194.25811361335</v>
      </c>
      <c r="Q1048" s="123">
        <f t="shared" si="659"/>
        <v>882122.02843815787</v>
      </c>
      <c r="R1048" s="123">
        <f t="shared" si="659"/>
        <v>917406.90957568423</v>
      </c>
      <c r="S1048" s="123">
        <f t="shared" si="659"/>
        <v>699675.66970305506</v>
      </c>
      <c r="T1048" s="123">
        <f t="shared" si="659"/>
        <v>545747.02236838313</v>
      </c>
      <c r="U1048" s="123">
        <f t="shared" si="659"/>
        <v>378384.60217541223</v>
      </c>
      <c r="V1048" s="123">
        <f t="shared" si="659"/>
        <v>196759.99313121437</v>
      </c>
      <c r="W1048" s="123">
        <f t="shared" si="659"/>
        <v>0</v>
      </c>
      <c r="X1048" s="123">
        <f t="shared" si="659"/>
        <v>0</v>
      </c>
      <c r="Y1048" s="123">
        <f t="shared" si="659"/>
        <v>0</v>
      </c>
      <c r="Z1048" s="123">
        <f t="shared" si="659"/>
        <v>0</v>
      </c>
      <c r="AA1048" s="123">
        <f t="shared" si="659"/>
        <v>0</v>
      </c>
      <c r="AB1048" s="123">
        <f t="shared" si="659"/>
        <v>0</v>
      </c>
      <c r="AC1048" s="123">
        <f t="shared" si="659"/>
        <v>0</v>
      </c>
      <c r="AD1048" s="123">
        <f t="shared" si="659"/>
        <v>0</v>
      </c>
      <c r="AE1048" s="123">
        <f t="shared" si="659"/>
        <v>0</v>
      </c>
      <c r="AF1048" s="123">
        <f t="shared" si="659"/>
        <v>0</v>
      </c>
      <c r="AG1048" s="123">
        <f t="shared" si="659"/>
        <v>0</v>
      </c>
      <c r="AH1048" s="123">
        <f t="shared" si="659"/>
        <v>0</v>
      </c>
      <c r="AI1048" s="123">
        <f t="shared" si="659"/>
        <v>0</v>
      </c>
      <c r="AJ1048" s="123">
        <f t="shared" si="659"/>
        <v>0</v>
      </c>
      <c r="AK1048" s="123">
        <f t="shared" si="659"/>
        <v>0</v>
      </c>
      <c r="AL1048" s="123">
        <f t="shared" si="659"/>
        <v>0</v>
      </c>
      <c r="AM1048" s="123">
        <f t="shared" si="659"/>
        <v>0</v>
      </c>
      <c r="AN1048" s="123">
        <f t="shared" si="659"/>
        <v>0</v>
      </c>
      <c r="AO1048" s="123">
        <f t="shared" si="659"/>
        <v>0</v>
      </c>
      <c r="AP1048" s="123">
        <f t="shared" si="659"/>
        <v>0</v>
      </c>
      <c r="AQ1048" s="123">
        <f t="shared" si="659"/>
        <v>0</v>
      </c>
      <c r="AR1048" s="123">
        <f t="shared" si="659"/>
        <v>0</v>
      </c>
      <c r="AS1048" s="123">
        <f t="shared" si="659"/>
        <v>0</v>
      </c>
      <c r="AT1048" s="123">
        <f t="shared" si="659"/>
        <v>0</v>
      </c>
      <c r="AU1048" s="123">
        <f t="shared" si="659"/>
        <v>0</v>
      </c>
      <c r="AV1048" s="123">
        <f t="shared" si="659"/>
        <v>0</v>
      </c>
      <c r="AW1048" s="123">
        <f t="shared" si="659"/>
        <v>0</v>
      </c>
      <c r="AX1048" s="123">
        <f t="shared" si="659"/>
        <v>0</v>
      </c>
      <c r="AY1048" s="123">
        <f t="shared" si="659"/>
        <v>0</v>
      </c>
      <c r="AZ1048" s="123">
        <f t="shared" si="659"/>
        <v>0</v>
      </c>
      <c r="BA1048" s="123">
        <f t="shared" si="659"/>
        <v>0</v>
      </c>
      <c r="BB1048" s="123">
        <f t="shared" si="659"/>
        <v>0</v>
      </c>
      <c r="BC1048" s="123">
        <f t="shared" si="659"/>
        <v>0</v>
      </c>
      <c r="BD1048" s="123">
        <f t="shared" si="659"/>
        <v>0</v>
      </c>
      <c r="BE1048" s="123">
        <f t="shared" si="659"/>
        <v>0</v>
      </c>
      <c r="BF1048" s="123">
        <f t="shared" si="659"/>
        <v>0</v>
      </c>
      <c r="BG1048" s="123">
        <f t="shared" si="659"/>
        <v>0</v>
      </c>
      <c r="BH1048" s="123">
        <f t="shared" si="659"/>
        <v>0</v>
      </c>
      <c r="BI1048" s="123">
        <f t="shared" si="659"/>
        <v>0</v>
      </c>
      <c r="BJ1048" s="124">
        <f t="shared" si="659"/>
        <v>0</v>
      </c>
    </row>
    <row r="1049" spans="1:64" s="116" customFormat="1">
      <c r="A1049" s="212" t="s">
        <v>123</v>
      </c>
      <c r="B1049" s="197">
        <f t="shared" si="655"/>
        <v>75390485.72206521</v>
      </c>
      <c r="C1049" s="133">
        <f>C992*(1+$G981)^(C982-1)</f>
        <v>13919127.763702685</v>
      </c>
      <c r="D1049" s="134">
        <f>D992*(1+$G981)^(D982-1)</f>
        <v>14475892.874250794</v>
      </c>
      <c r="E1049" s="134">
        <f t="shared" ref="E1049:BJ1049" si="660">E992*(1+$G981)^(E982-1)</f>
        <v>15054928.589220826</v>
      </c>
      <c r="F1049" s="134">
        <f t="shared" si="660"/>
        <v>15657125.732789658</v>
      </c>
      <c r="G1049" s="134">
        <f t="shared" si="660"/>
        <v>16283410.762101246</v>
      </c>
      <c r="H1049" s="134">
        <f t="shared" si="660"/>
        <v>0</v>
      </c>
      <c r="I1049" s="134">
        <f t="shared" si="660"/>
        <v>0</v>
      </c>
      <c r="J1049" s="134">
        <f t="shared" si="660"/>
        <v>0</v>
      </c>
      <c r="K1049" s="134">
        <f t="shared" si="660"/>
        <v>0</v>
      </c>
      <c r="L1049" s="134">
        <f t="shared" si="660"/>
        <v>0</v>
      </c>
      <c r="M1049" s="134">
        <f t="shared" si="660"/>
        <v>0</v>
      </c>
      <c r="N1049" s="134">
        <f t="shared" si="660"/>
        <v>0</v>
      </c>
      <c r="O1049" s="134">
        <f t="shared" si="660"/>
        <v>0</v>
      </c>
      <c r="P1049" s="134">
        <f t="shared" si="660"/>
        <v>0</v>
      </c>
      <c r="Q1049" s="134">
        <f t="shared" si="660"/>
        <v>0</v>
      </c>
      <c r="R1049" s="134">
        <f t="shared" si="660"/>
        <v>0</v>
      </c>
      <c r="S1049" s="134">
        <f t="shared" si="660"/>
        <v>0</v>
      </c>
      <c r="T1049" s="134">
        <f t="shared" si="660"/>
        <v>0</v>
      </c>
      <c r="U1049" s="134">
        <f t="shared" si="660"/>
        <v>0</v>
      </c>
      <c r="V1049" s="134">
        <f t="shared" si="660"/>
        <v>0</v>
      </c>
      <c r="W1049" s="134">
        <f t="shared" si="660"/>
        <v>0</v>
      </c>
      <c r="X1049" s="134">
        <f t="shared" si="660"/>
        <v>0</v>
      </c>
      <c r="Y1049" s="134">
        <f t="shared" si="660"/>
        <v>0</v>
      </c>
      <c r="Z1049" s="134">
        <f t="shared" si="660"/>
        <v>0</v>
      </c>
      <c r="AA1049" s="134">
        <f t="shared" si="660"/>
        <v>0</v>
      </c>
      <c r="AB1049" s="134">
        <f t="shared" si="660"/>
        <v>0</v>
      </c>
      <c r="AC1049" s="134">
        <f t="shared" si="660"/>
        <v>0</v>
      </c>
      <c r="AD1049" s="134">
        <f t="shared" si="660"/>
        <v>0</v>
      </c>
      <c r="AE1049" s="134">
        <f t="shared" si="660"/>
        <v>0</v>
      </c>
      <c r="AF1049" s="134">
        <f t="shared" si="660"/>
        <v>0</v>
      </c>
      <c r="AG1049" s="134">
        <f t="shared" si="660"/>
        <v>0</v>
      </c>
      <c r="AH1049" s="134">
        <f t="shared" si="660"/>
        <v>0</v>
      </c>
      <c r="AI1049" s="134">
        <f t="shared" si="660"/>
        <v>0</v>
      </c>
      <c r="AJ1049" s="134">
        <f t="shared" si="660"/>
        <v>0</v>
      </c>
      <c r="AK1049" s="134">
        <f t="shared" si="660"/>
        <v>0</v>
      </c>
      <c r="AL1049" s="134">
        <f t="shared" si="660"/>
        <v>0</v>
      </c>
      <c r="AM1049" s="134">
        <f t="shared" si="660"/>
        <v>0</v>
      </c>
      <c r="AN1049" s="134">
        <f t="shared" si="660"/>
        <v>0</v>
      </c>
      <c r="AO1049" s="134">
        <f t="shared" si="660"/>
        <v>0</v>
      </c>
      <c r="AP1049" s="134">
        <f t="shared" si="660"/>
        <v>0</v>
      </c>
      <c r="AQ1049" s="134">
        <f t="shared" si="660"/>
        <v>0</v>
      </c>
      <c r="AR1049" s="134">
        <f t="shared" si="660"/>
        <v>0</v>
      </c>
      <c r="AS1049" s="134">
        <f t="shared" si="660"/>
        <v>0</v>
      </c>
      <c r="AT1049" s="134">
        <f t="shared" si="660"/>
        <v>0</v>
      </c>
      <c r="AU1049" s="134">
        <f t="shared" si="660"/>
        <v>0</v>
      </c>
      <c r="AV1049" s="134">
        <f t="shared" si="660"/>
        <v>0</v>
      </c>
      <c r="AW1049" s="134">
        <f t="shared" si="660"/>
        <v>0</v>
      </c>
      <c r="AX1049" s="134">
        <f t="shared" si="660"/>
        <v>0</v>
      </c>
      <c r="AY1049" s="134">
        <f t="shared" si="660"/>
        <v>0</v>
      </c>
      <c r="AZ1049" s="134">
        <f t="shared" si="660"/>
        <v>0</v>
      </c>
      <c r="BA1049" s="134">
        <f t="shared" si="660"/>
        <v>0</v>
      </c>
      <c r="BB1049" s="134">
        <f t="shared" si="660"/>
        <v>0</v>
      </c>
      <c r="BC1049" s="134">
        <f t="shared" si="660"/>
        <v>0</v>
      </c>
      <c r="BD1049" s="134">
        <f t="shared" si="660"/>
        <v>0</v>
      </c>
      <c r="BE1049" s="134">
        <f t="shared" si="660"/>
        <v>0</v>
      </c>
      <c r="BF1049" s="134">
        <f t="shared" si="660"/>
        <v>0</v>
      </c>
      <c r="BG1049" s="134">
        <f t="shared" si="660"/>
        <v>0</v>
      </c>
      <c r="BH1049" s="134">
        <f t="shared" si="660"/>
        <v>0</v>
      </c>
      <c r="BI1049" s="134">
        <f t="shared" si="660"/>
        <v>0</v>
      </c>
      <c r="BJ1049" s="135">
        <f t="shared" si="660"/>
        <v>0</v>
      </c>
    </row>
    <row r="1050" spans="1:64" s="105" customFormat="1" ht="22.5" customHeight="1">
      <c r="A1050" s="131" t="s">
        <v>124</v>
      </c>
      <c r="B1050" s="132">
        <f t="shared" si="655"/>
        <v>4978598942.2232361</v>
      </c>
      <c r="C1050" s="133">
        <f>C1041-C1043-C1044-C1049</f>
        <v>2810593.1061322708</v>
      </c>
      <c r="D1050" s="134">
        <f>D1041-D1043-D1044-D1049</f>
        <v>3618973.218562698</v>
      </c>
      <c r="E1050" s="134">
        <f t="shared" ref="E1050:BJ1050" si="661">E1041-E1043-E1044-E1049</f>
        <v>3763732.1473052055</v>
      </c>
      <c r="F1050" s="134">
        <f t="shared" si="661"/>
        <v>3914281.4331974126</v>
      </c>
      <c r="G1050" s="134">
        <f t="shared" si="661"/>
        <v>4070852.6905253101</v>
      </c>
      <c r="H1050" s="134">
        <f t="shared" si="661"/>
        <v>64215573.919933103</v>
      </c>
      <c r="I1050" s="134">
        <f t="shared" si="661"/>
        <v>133568393.75346085</v>
      </c>
      <c r="J1050" s="134">
        <f t="shared" si="661"/>
        <v>208366694.25539893</v>
      </c>
      <c r="K1050" s="134">
        <f t="shared" si="661"/>
        <v>288935149.36748648</v>
      </c>
      <c r="L1050" s="134">
        <f t="shared" si="661"/>
        <v>409762575.46661735</v>
      </c>
      <c r="M1050" s="134">
        <f t="shared" si="661"/>
        <v>426153078.485282</v>
      </c>
      <c r="N1050" s="134">
        <f t="shared" si="661"/>
        <v>443199201.62469327</v>
      </c>
      <c r="O1050" s="134">
        <f t="shared" si="661"/>
        <v>460927169.68968117</v>
      </c>
      <c r="P1050" s="134">
        <f t="shared" si="661"/>
        <v>479364256.4772684</v>
      </c>
      <c r="Q1050" s="134">
        <f t="shared" si="661"/>
        <v>498538826.73635912</v>
      </c>
      <c r="R1050" s="134">
        <f t="shared" si="661"/>
        <v>518480379.80581349</v>
      </c>
      <c r="S1050" s="134">
        <f t="shared" si="661"/>
        <v>395427702.99856699</v>
      </c>
      <c r="T1050" s="134">
        <f t="shared" si="661"/>
        <v>308433608.33888239</v>
      </c>
      <c r="U1050" s="134">
        <f t="shared" si="661"/>
        <v>213847301.78162509</v>
      </c>
      <c r="V1050" s="134">
        <f t="shared" si="661"/>
        <v>111200596.92644504</v>
      </c>
      <c r="W1050" s="134">
        <f t="shared" si="661"/>
        <v>0</v>
      </c>
      <c r="X1050" s="134">
        <f t="shared" si="661"/>
        <v>0</v>
      </c>
      <c r="Y1050" s="134">
        <f t="shared" si="661"/>
        <v>0</v>
      </c>
      <c r="Z1050" s="134">
        <f t="shared" si="661"/>
        <v>0</v>
      </c>
      <c r="AA1050" s="134">
        <f t="shared" si="661"/>
        <v>0</v>
      </c>
      <c r="AB1050" s="134">
        <f t="shared" si="661"/>
        <v>0</v>
      </c>
      <c r="AC1050" s="134">
        <f t="shared" si="661"/>
        <v>0</v>
      </c>
      <c r="AD1050" s="134">
        <f t="shared" si="661"/>
        <v>0</v>
      </c>
      <c r="AE1050" s="134">
        <f t="shared" si="661"/>
        <v>0</v>
      </c>
      <c r="AF1050" s="134">
        <f t="shared" si="661"/>
        <v>0</v>
      </c>
      <c r="AG1050" s="134">
        <f t="shared" si="661"/>
        <v>0</v>
      </c>
      <c r="AH1050" s="134">
        <f t="shared" si="661"/>
        <v>0</v>
      </c>
      <c r="AI1050" s="134">
        <f t="shared" si="661"/>
        <v>0</v>
      </c>
      <c r="AJ1050" s="134">
        <f t="shared" si="661"/>
        <v>0</v>
      </c>
      <c r="AK1050" s="134">
        <f t="shared" si="661"/>
        <v>0</v>
      </c>
      <c r="AL1050" s="134">
        <f t="shared" si="661"/>
        <v>0</v>
      </c>
      <c r="AM1050" s="134">
        <f t="shared" si="661"/>
        <v>0</v>
      </c>
      <c r="AN1050" s="134">
        <f t="shared" si="661"/>
        <v>0</v>
      </c>
      <c r="AO1050" s="134">
        <f t="shared" si="661"/>
        <v>0</v>
      </c>
      <c r="AP1050" s="134">
        <f t="shared" si="661"/>
        <v>0</v>
      </c>
      <c r="AQ1050" s="134">
        <f t="shared" si="661"/>
        <v>0</v>
      </c>
      <c r="AR1050" s="134">
        <f t="shared" si="661"/>
        <v>0</v>
      </c>
      <c r="AS1050" s="134">
        <f t="shared" si="661"/>
        <v>0</v>
      </c>
      <c r="AT1050" s="134">
        <f t="shared" si="661"/>
        <v>0</v>
      </c>
      <c r="AU1050" s="134">
        <f t="shared" si="661"/>
        <v>0</v>
      </c>
      <c r="AV1050" s="134">
        <f t="shared" si="661"/>
        <v>0</v>
      </c>
      <c r="AW1050" s="134">
        <f t="shared" si="661"/>
        <v>0</v>
      </c>
      <c r="AX1050" s="134">
        <f t="shared" si="661"/>
        <v>0</v>
      </c>
      <c r="AY1050" s="134">
        <f t="shared" si="661"/>
        <v>0</v>
      </c>
      <c r="AZ1050" s="134">
        <f t="shared" si="661"/>
        <v>0</v>
      </c>
      <c r="BA1050" s="134">
        <f t="shared" si="661"/>
        <v>0</v>
      </c>
      <c r="BB1050" s="134">
        <f t="shared" si="661"/>
        <v>0</v>
      </c>
      <c r="BC1050" s="134">
        <f t="shared" si="661"/>
        <v>0</v>
      </c>
      <c r="BD1050" s="134">
        <f t="shared" si="661"/>
        <v>0</v>
      </c>
      <c r="BE1050" s="134">
        <f t="shared" si="661"/>
        <v>0</v>
      </c>
      <c r="BF1050" s="134">
        <f t="shared" si="661"/>
        <v>0</v>
      </c>
      <c r="BG1050" s="134">
        <f t="shared" si="661"/>
        <v>0</v>
      </c>
      <c r="BH1050" s="134">
        <f t="shared" si="661"/>
        <v>0</v>
      </c>
      <c r="BI1050" s="134">
        <f t="shared" si="661"/>
        <v>0</v>
      </c>
      <c r="BJ1050" s="135">
        <f t="shared" si="661"/>
        <v>0</v>
      </c>
      <c r="BK1050" s="109"/>
      <c r="BL1050" s="109"/>
    </row>
    <row r="1051" spans="1:64" s="116" customFormat="1">
      <c r="A1051" s="136" t="s">
        <v>125</v>
      </c>
      <c r="B1051" s="137">
        <f t="shared" ref="B1051:G1051" si="662">SUM(B1052:B1055)</f>
        <v>331030870.51285362</v>
      </c>
      <c r="C1051" s="113">
        <f t="shared" si="662"/>
        <v>49062204.728678733</v>
      </c>
      <c r="D1051" s="114">
        <f t="shared" si="662"/>
        <v>55154670.125196144</v>
      </c>
      <c r="E1051" s="114">
        <f t="shared" si="662"/>
        <v>72659532.18188709</v>
      </c>
      <c r="F1051" s="114">
        <f t="shared" si="662"/>
        <v>75565913.469162554</v>
      </c>
      <c r="G1051" s="114">
        <f t="shared" si="662"/>
        <v>78588550.007929072</v>
      </c>
      <c r="H1051" s="114"/>
      <c r="I1051" s="114"/>
      <c r="J1051" s="114"/>
      <c r="K1051" s="114"/>
      <c r="L1051" s="114"/>
      <c r="M1051" s="114"/>
      <c r="N1051" s="114"/>
      <c r="O1051" s="114"/>
      <c r="P1051" s="114"/>
      <c r="Q1051" s="114"/>
      <c r="R1051" s="114"/>
      <c r="S1051" s="114"/>
      <c r="T1051" s="114"/>
      <c r="U1051" s="114"/>
      <c r="V1051" s="114"/>
      <c r="W1051" s="114"/>
      <c r="X1051" s="114"/>
      <c r="Y1051" s="114"/>
      <c r="Z1051" s="114"/>
      <c r="AA1051" s="114"/>
      <c r="AB1051" s="114"/>
      <c r="AC1051" s="114"/>
      <c r="AD1051" s="114"/>
      <c r="AE1051" s="114"/>
      <c r="AF1051" s="114"/>
      <c r="AG1051" s="114"/>
      <c r="AH1051" s="114"/>
      <c r="AI1051" s="114"/>
      <c r="AJ1051" s="114"/>
      <c r="AK1051" s="114"/>
      <c r="AL1051" s="114"/>
      <c r="AM1051" s="114"/>
      <c r="AN1051" s="114"/>
      <c r="AO1051" s="114"/>
      <c r="AP1051" s="114"/>
      <c r="AQ1051" s="114"/>
      <c r="AR1051" s="114"/>
      <c r="AS1051" s="114"/>
      <c r="AT1051" s="114"/>
      <c r="AU1051" s="114"/>
      <c r="AV1051" s="114"/>
      <c r="AW1051" s="114"/>
      <c r="AX1051" s="114"/>
      <c r="AY1051" s="114"/>
      <c r="AZ1051" s="114"/>
      <c r="BA1051" s="114"/>
      <c r="BB1051" s="114"/>
      <c r="BC1051" s="114"/>
      <c r="BD1051" s="114"/>
      <c r="BE1051" s="114"/>
      <c r="BF1051" s="114"/>
      <c r="BG1051" s="114"/>
      <c r="BH1051" s="114"/>
      <c r="BI1051" s="114"/>
      <c r="BJ1051" s="115"/>
    </row>
    <row r="1052" spans="1:64" s="143" customFormat="1" ht="12.75">
      <c r="A1052" s="138" t="s">
        <v>126</v>
      </c>
      <c r="B1052" s="139">
        <f>SUM(C1052:BJ1052)</f>
        <v>65568462.488083437</v>
      </c>
      <c r="C1052" s="140">
        <f>C995*(1+$G981)^(C982-1)</f>
        <v>0</v>
      </c>
      <c r="D1052" s="141">
        <f>D995*(1+$G981)^(D982-1)</f>
        <v>0</v>
      </c>
      <c r="E1052" s="141">
        <f>E995*(1+$G981)^(E982-1)</f>
        <v>21004761.176346563</v>
      </c>
      <c r="F1052" s="141">
        <f>F995*(1+$G981)^(F982-1)</f>
        <v>21844951.623400424</v>
      </c>
      <c r="G1052" s="141">
        <f>G995*(1+$G981)^(G982-1)</f>
        <v>22718749.688336443</v>
      </c>
      <c r="H1052" s="141"/>
      <c r="I1052" s="141"/>
      <c r="J1052" s="141"/>
      <c r="K1052" s="141"/>
      <c r="L1052" s="141"/>
      <c r="M1052" s="141"/>
      <c r="N1052" s="141"/>
      <c r="O1052" s="141"/>
      <c r="P1052" s="141"/>
      <c r="Q1052" s="141"/>
      <c r="R1052" s="141"/>
      <c r="S1052" s="141"/>
      <c r="T1052" s="141"/>
      <c r="U1052" s="141"/>
      <c r="V1052" s="141"/>
      <c r="W1052" s="141"/>
      <c r="X1052" s="141"/>
      <c r="Y1052" s="141"/>
      <c r="Z1052" s="141"/>
      <c r="AA1052" s="141"/>
      <c r="AB1052" s="141"/>
      <c r="AC1052" s="141"/>
      <c r="AD1052" s="141"/>
      <c r="AE1052" s="141"/>
      <c r="AF1052" s="141"/>
      <c r="AG1052" s="141"/>
      <c r="AH1052" s="141"/>
      <c r="AI1052" s="141"/>
      <c r="AJ1052" s="141"/>
      <c r="AK1052" s="141"/>
      <c r="AL1052" s="141"/>
      <c r="AM1052" s="141"/>
      <c r="AN1052" s="141"/>
      <c r="AO1052" s="141"/>
      <c r="AP1052" s="141"/>
      <c r="AQ1052" s="141"/>
      <c r="AR1052" s="141"/>
      <c r="AS1052" s="141"/>
      <c r="AT1052" s="141"/>
      <c r="AU1052" s="141"/>
      <c r="AV1052" s="141"/>
      <c r="AW1052" s="141"/>
      <c r="AX1052" s="141"/>
      <c r="AY1052" s="141"/>
      <c r="AZ1052" s="141"/>
      <c r="BA1052" s="141"/>
      <c r="BB1052" s="141"/>
      <c r="BC1052" s="141"/>
      <c r="BD1052" s="141"/>
      <c r="BE1052" s="141"/>
      <c r="BF1052" s="141"/>
      <c r="BG1052" s="141"/>
      <c r="BH1052" s="141"/>
      <c r="BI1052" s="141"/>
      <c r="BJ1052" s="142"/>
      <c r="BK1052" s="141"/>
      <c r="BL1052" s="141"/>
    </row>
    <row r="1053" spans="1:64" s="143" customFormat="1" ht="12.75">
      <c r="A1053" s="138" t="s">
        <v>127</v>
      </c>
      <c r="B1053" s="139">
        <f>SUM(C1053:BJ1053)</f>
        <v>9003526.8266666681</v>
      </c>
      <c r="C1053" s="140">
        <f>C996*(1+$G981)^(C982-1)</f>
        <v>0</v>
      </c>
      <c r="D1053" s="141">
        <f>D996*(1+$G981)^(D982-1)</f>
        <v>0</v>
      </c>
      <c r="E1053" s="141">
        <f>E996*(1+$G981)^(E982-1)</f>
        <v>2884266.666666667</v>
      </c>
      <c r="F1053" s="141">
        <f>F996*(1+$G981)^(F982-1)</f>
        <v>2999637.3333333335</v>
      </c>
      <c r="G1053" s="141">
        <f>G996*(1+$G981)^(G982-1)</f>
        <v>3119622.8266666671</v>
      </c>
      <c r="H1053" s="141"/>
      <c r="I1053" s="141"/>
      <c r="J1053" s="141"/>
      <c r="K1053" s="141"/>
      <c r="L1053" s="141"/>
      <c r="M1053" s="141"/>
      <c r="N1053" s="141"/>
      <c r="O1053" s="141"/>
      <c r="P1053" s="141"/>
      <c r="Q1053" s="141"/>
      <c r="R1053" s="141"/>
      <c r="S1053" s="141"/>
      <c r="T1053" s="141"/>
      <c r="U1053" s="141"/>
      <c r="V1053" s="141"/>
      <c r="W1053" s="141"/>
      <c r="X1053" s="141"/>
      <c r="Y1053" s="141"/>
      <c r="Z1053" s="141"/>
      <c r="AA1053" s="141"/>
      <c r="AB1053" s="141"/>
      <c r="AC1053" s="141"/>
      <c r="AD1053" s="141"/>
      <c r="AE1053" s="141"/>
      <c r="AF1053" s="141"/>
      <c r="AG1053" s="141"/>
      <c r="AH1053" s="141"/>
      <c r="AI1053" s="141"/>
      <c r="AJ1053" s="141"/>
      <c r="AK1053" s="141"/>
      <c r="AL1053" s="141"/>
      <c r="AM1053" s="141"/>
      <c r="AN1053" s="141"/>
      <c r="AO1053" s="141"/>
      <c r="AP1053" s="141"/>
      <c r="AQ1053" s="141"/>
      <c r="AR1053" s="141"/>
      <c r="AS1053" s="141"/>
      <c r="AT1053" s="141"/>
      <c r="AU1053" s="141"/>
      <c r="AV1053" s="141"/>
      <c r="AW1053" s="141"/>
      <c r="AX1053" s="141"/>
      <c r="AY1053" s="141"/>
      <c r="AZ1053" s="141"/>
      <c r="BA1053" s="141"/>
      <c r="BB1053" s="141"/>
      <c r="BC1053" s="141"/>
      <c r="BD1053" s="141"/>
      <c r="BE1053" s="141"/>
      <c r="BF1053" s="141"/>
      <c r="BG1053" s="141"/>
      <c r="BH1053" s="141"/>
      <c r="BI1053" s="141"/>
      <c r="BJ1053" s="142"/>
      <c r="BK1053" s="141"/>
      <c r="BL1053" s="141"/>
    </row>
    <row r="1054" spans="1:64" s="143" customFormat="1" ht="12.75">
      <c r="A1054" s="138" t="s">
        <v>128</v>
      </c>
      <c r="B1054" s="139">
        <f>SUM(C1054:BJ1054)</f>
        <v>244227794.85319927</v>
      </c>
      <c r="C1054" s="140">
        <f>C997*(1+$G981)^(C982-1)</f>
        <v>45091072.798515022</v>
      </c>
      <c r="D1054" s="141">
        <f>D997*(1+$G981)^(D982-1)</f>
        <v>46894715.710455626</v>
      </c>
      <c r="E1054" s="141">
        <f>E997*(1+$G981)^(E982-1)</f>
        <v>48770504.338873856</v>
      </c>
      <c r="F1054" s="141">
        <f>F997*(1+$G981)^(F982-1)</f>
        <v>50721324.512428805</v>
      </c>
      <c r="G1054" s="141">
        <f>G997*(1+$G981)^(G982-1)</f>
        <v>52750177.492925964</v>
      </c>
      <c r="H1054" s="141"/>
      <c r="I1054" s="141"/>
      <c r="J1054" s="141"/>
      <c r="K1054" s="141"/>
      <c r="L1054" s="141"/>
      <c r="M1054" s="141"/>
      <c r="N1054" s="141"/>
      <c r="O1054" s="141"/>
      <c r="P1054" s="141"/>
      <c r="Q1054" s="141"/>
      <c r="R1054" s="141"/>
      <c r="S1054" s="141"/>
      <c r="T1054" s="141"/>
      <c r="U1054" s="141"/>
      <c r="V1054" s="141"/>
      <c r="W1054" s="141"/>
      <c r="X1054" s="141"/>
      <c r="Y1054" s="141"/>
      <c r="Z1054" s="141"/>
      <c r="AA1054" s="141"/>
      <c r="AB1054" s="141"/>
      <c r="AC1054" s="141"/>
      <c r="AD1054" s="141"/>
      <c r="AE1054" s="141"/>
      <c r="AF1054" s="141"/>
      <c r="AG1054" s="141"/>
      <c r="AH1054" s="141"/>
      <c r="AI1054" s="141"/>
      <c r="AJ1054" s="141"/>
      <c r="AK1054" s="141"/>
      <c r="AL1054" s="141"/>
      <c r="AM1054" s="141"/>
      <c r="AN1054" s="141"/>
      <c r="AO1054" s="141"/>
      <c r="AP1054" s="141"/>
      <c r="AQ1054" s="141"/>
      <c r="AR1054" s="141"/>
      <c r="AS1054" s="141"/>
      <c r="AT1054" s="141"/>
      <c r="AU1054" s="141"/>
      <c r="AV1054" s="141"/>
      <c r="AW1054" s="141"/>
      <c r="AX1054" s="141"/>
      <c r="AY1054" s="141"/>
      <c r="AZ1054" s="141"/>
      <c r="BA1054" s="141"/>
      <c r="BB1054" s="141"/>
      <c r="BC1054" s="141"/>
      <c r="BD1054" s="141"/>
      <c r="BE1054" s="141"/>
      <c r="BF1054" s="141"/>
      <c r="BG1054" s="141"/>
      <c r="BH1054" s="141"/>
      <c r="BI1054" s="141"/>
      <c r="BJ1054" s="142"/>
      <c r="BK1054" s="141"/>
      <c r="BL1054" s="141"/>
    </row>
    <row r="1055" spans="1:64" s="143" customFormat="1" ht="12.75">
      <c r="A1055" s="138" t="s">
        <v>129</v>
      </c>
      <c r="B1055" s="139">
        <f>SUM(C1055:BJ1055)</f>
        <v>12231086.344904229</v>
      </c>
      <c r="C1055" s="140">
        <f>C998*(1+$G981)^(C982-1)</f>
        <v>3971131.9301637104</v>
      </c>
      <c r="D1055" s="141">
        <f>D998*(1+$G981)^(D982-1)</f>
        <v>8259954.4147405177</v>
      </c>
      <c r="E1055" s="141">
        <f>E998*(1+$G981)^(E982-1)</f>
        <v>0</v>
      </c>
      <c r="F1055" s="141">
        <f>F998*(1+$G981)^(F982-1)</f>
        <v>0</v>
      </c>
      <c r="G1055" s="141">
        <f>G998*(1+$G981)^(G982-1)</f>
        <v>0</v>
      </c>
      <c r="H1055" s="141"/>
      <c r="I1055" s="141"/>
      <c r="J1055" s="141"/>
      <c r="K1055" s="141"/>
      <c r="L1055" s="141"/>
      <c r="M1055" s="141"/>
      <c r="N1055" s="141"/>
      <c r="O1055" s="141"/>
      <c r="P1055" s="141"/>
      <c r="Q1055" s="141"/>
      <c r="R1055" s="141"/>
      <c r="S1055" s="141"/>
      <c r="T1055" s="141"/>
      <c r="U1055" s="141"/>
      <c r="V1055" s="141"/>
      <c r="W1055" s="141"/>
      <c r="X1055" s="141"/>
      <c r="Y1055" s="141"/>
      <c r="Z1055" s="141"/>
      <c r="AA1055" s="141"/>
      <c r="AB1055" s="141"/>
      <c r="AC1055" s="141"/>
      <c r="AD1055" s="141"/>
      <c r="AE1055" s="141"/>
      <c r="AF1055" s="141"/>
      <c r="AG1055" s="141"/>
      <c r="AH1055" s="141"/>
      <c r="AI1055" s="141"/>
      <c r="AJ1055" s="141"/>
      <c r="AK1055" s="141"/>
      <c r="AL1055" s="141"/>
      <c r="AM1055" s="141"/>
      <c r="AN1055" s="141"/>
      <c r="AO1055" s="141"/>
      <c r="AP1055" s="141"/>
      <c r="AQ1055" s="141"/>
      <c r="AR1055" s="141"/>
      <c r="AS1055" s="141"/>
      <c r="AT1055" s="141"/>
      <c r="AU1055" s="141"/>
      <c r="AV1055" s="141"/>
      <c r="AW1055" s="141"/>
      <c r="AX1055" s="141"/>
      <c r="AY1055" s="141"/>
      <c r="AZ1055" s="141"/>
      <c r="BA1055" s="141"/>
      <c r="BB1055" s="141"/>
      <c r="BC1055" s="141"/>
      <c r="BD1055" s="141"/>
      <c r="BE1055" s="141"/>
      <c r="BF1055" s="141"/>
      <c r="BG1055" s="141"/>
      <c r="BH1055" s="141"/>
      <c r="BI1055" s="141"/>
      <c r="BJ1055" s="142"/>
      <c r="BK1055" s="141"/>
      <c r="BL1055" s="141"/>
    </row>
    <row r="1056" spans="1:64" s="116" customFormat="1">
      <c r="A1056" s="111" t="s">
        <v>130</v>
      </c>
      <c r="B1056" s="137">
        <f>SUM(B1057:B1060)</f>
        <v>618861525.54232061</v>
      </c>
      <c r="C1056" s="117">
        <f>SUM(C1057:C1060)</f>
        <v>1635406.8242892909</v>
      </c>
      <c r="D1056" s="118">
        <f>SUM(D1057:D1060)</f>
        <v>3539312.1014340678</v>
      </c>
      <c r="E1056" s="118">
        <f t="shared" ref="E1056:BJ1056" si="663">SUM(E1057:E1060)</f>
        <v>6102868.991554332</v>
      </c>
      <c r="F1056" s="118">
        <f t="shared" si="663"/>
        <v>8865847.533521926</v>
      </c>
      <c r="G1056" s="118">
        <f t="shared" si="663"/>
        <v>11840099.76846044</v>
      </c>
      <c r="H1056" s="118">
        <f t="shared" si="663"/>
        <v>12313703.759198857</v>
      </c>
      <c r="I1056" s="118">
        <f t="shared" si="663"/>
        <v>12806251.90956681</v>
      </c>
      <c r="J1056" s="118">
        <f t="shared" si="663"/>
        <v>13318501.985949483</v>
      </c>
      <c r="K1056" s="118">
        <f t="shared" si="663"/>
        <v>13851242.065387465</v>
      </c>
      <c r="L1056" s="118">
        <f t="shared" si="663"/>
        <v>14405291.748002965</v>
      </c>
      <c r="M1056" s="118">
        <f t="shared" si="663"/>
        <v>14981503.417923084</v>
      </c>
      <c r="N1056" s="118">
        <f t="shared" si="663"/>
        <v>15580763.554640006</v>
      </c>
      <c r="O1056" s="118">
        <f t="shared" si="663"/>
        <v>16203994.096825611</v>
      </c>
      <c r="P1056" s="118">
        <f t="shared" si="663"/>
        <v>16852153.860698633</v>
      </c>
      <c r="Q1056" s="118">
        <f t="shared" si="663"/>
        <v>17526240.015126579</v>
      </c>
      <c r="R1056" s="118">
        <f t="shared" si="663"/>
        <v>18227289.615731642</v>
      </c>
      <c r="S1056" s="118">
        <f t="shared" si="663"/>
        <v>18956381.200360909</v>
      </c>
      <c r="T1056" s="118">
        <f t="shared" si="663"/>
        <v>19714636.448375348</v>
      </c>
      <c r="U1056" s="118">
        <f t="shared" si="663"/>
        <v>20503221.906310365</v>
      </c>
      <c r="V1056" s="118">
        <f t="shared" si="663"/>
        <v>21323350.782562777</v>
      </c>
      <c r="W1056" s="118">
        <f t="shared" si="663"/>
        <v>22176284.813865289</v>
      </c>
      <c r="X1056" s="118">
        <f t="shared" si="663"/>
        <v>23063336.206419908</v>
      </c>
      <c r="Y1056" s="118">
        <f t="shared" si="663"/>
        <v>23985869.654676702</v>
      </c>
      <c r="Z1056" s="118">
        <f t="shared" si="663"/>
        <v>24945304.440863766</v>
      </c>
      <c r="AA1056" s="118">
        <f t="shared" si="663"/>
        <v>25943116.618498318</v>
      </c>
      <c r="AB1056" s="118">
        <f t="shared" si="663"/>
        <v>26980841.283238258</v>
      </c>
      <c r="AC1056" s="118">
        <f t="shared" si="663"/>
        <v>28060074.934567787</v>
      </c>
      <c r="AD1056" s="118">
        <f t="shared" si="663"/>
        <v>29182477.931950498</v>
      </c>
      <c r="AE1056" s="118">
        <f t="shared" si="663"/>
        <v>30349777.049228527</v>
      </c>
      <c r="AF1056" s="118">
        <f t="shared" si="663"/>
        <v>31563768.131197665</v>
      </c>
      <c r="AG1056" s="118">
        <f t="shared" si="663"/>
        <v>27522044.434663631</v>
      </c>
      <c r="AH1056" s="118">
        <f t="shared" si="663"/>
        <v>22659975.553701788</v>
      </c>
      <c r="AI1056" s="118">
        <f t="shared" si="663"/>
        <v>15710916.383899909</v>
      </c>
      <c r="AJ1056" s="118">
        <f t="shared" si="663"/>
        <v>8169676.5196279529</v>
      </c>
      <c r="AK1056" s="118">
        <f t="shared" si="663"/>
        <v>0</v>
      </c>
      <c r="AL1056" s="118">
        <f t="shared" si="663"/>
        <v>0</v>
      </c>
      <c r="AM1056" s="118">
        <f t="shared" si="663"/>
        <v>0</v>
      </c>
      <c r="AN1056" s="118">
        <f t="shared" si="663"/>
        <v>0</v>
      </c>
      <c r="AO1056" s="118">
        <f t="shared" si="663"/>
        <v>0</v>
      </c>
      <c r="AP1056" s="118">
        <f t="shared" si="663"/>
        <v>0</v>
      </c>
      <c r="AQ1056" s="118">
        <f t="shared" si="663"/>
        <v>0</v>
      </c>
      <c r="AR1056" s="118">
        <f t="shared" si="663"/>
        <v>0</v>
      </c>
      <c r="AS1056" s="118">
        <f t="shared" si="663"/>
        <v>0</v>
      </c>
      <c r="AT1056" s="118">
        <f t="shared" si="663"/>
        <v>0</v>
      </c>
      <c r="AU1056" s="118">
        <f t="shared" si="663"/>
        <v>0</v>
      </c>
      <c r="AV1056" s="118">
        <f t="shared" si="663"/>
        <v>0</v>
      </c>
      <c r="AW1056" s="118">
        <f t="shared" si="663"/>
        <v>0</v>
      </c>
      <c r="AX1056" s="118">
        <f t="shared" si="663"/>
        <v>0</v>
      </c>
      <c r="AY1056" s="118">
        <f t="shared" si="663"/>
        <v>0</v>
      </c>
      <c r="AZ1056" s="118">
        <f t="shared" si="663"/>
        <v>0</v>
      </c>
      <c r="BA1056" s="118">
        <f t="shared" si="663"/>
        <v>0</v>
      </c>
      <c r="BB1056" s="118">
        <f t="shared" si="663"/>
        <v>0</v>
      </c>
      <c r="BC1056" s="118">
        <f t="shared" si="663"/>
        <v>0</v>
      </c>
      <c r="BD1056" s="118">
        <f t="shared" si="663"/>
        <v>0</v>
      </c>
      <c r="BE1056" s="118">
        <f t="shared" si="663"/>
        <v>0</v>
      </c>
      <c r="BF1056" s="118">
        <f t="shared" si="663"/>
        <v>0</v>
      </c>
      <c r="BG1056" s="118">
        <f t="shared" si="663"/>
        <v>0</v>
      </c>
      <c r="BH1056" s="118">
        <f t="shared" si="663"/>
        <v>0</v>
      </c>
      <c r="BI1056" s="118">
        <f t="shared" si="663"/>
        <v>0</v>
      </c>
      <c r="BJ1056" s="119">
        <f t="shared" si="663"/>
        <v>0</v>
      </c>
      <c r="BK1056" s="118"/>
      <c r="BL1056" s="118"/>
    </row>
    <row r="1057" spans="1:64" s="143" customFormat="1" ht="12.75">
      <c r="A1057" s="138" t="s">
        <v>126</v>
      </c>
      <c r="B1057" s="139">
        <f>SUM(C1057:BJ1057)</f>
        <v>122580104.5684171</v>
      </c>
      <c r="C1057" s="140">
        <f>C1000*(1+$G981)^(C982-1)</f>
        <v>0</v>
      </c>
      <c r="D1057" s="141">
        <f t="shared" ref="D1057:AJ1057" si="664">D1000*(1+$G981)^(D982-1)</f>
        <v>0</v>
      </c>
      <c r="E1057" s="141">
        <f t="shared" si="664"/>
        <v>700158.70587821864</v>
      </c>
      <c r="F1057" s="141">
        <f t="shared" si="664"/>
        <v>1456330.1082266949</v>
      </c>
      <c r="G1057" s="141">
        <f t="shared" si="664"/>
        <v>2271874.9688336444</v>
      </c>
      <c r="H1057" s="141">
        <f t="shared" si="664"/>
        <v>2362749.9675869904</v>
      </c>
      <c r="I1057" s="141">
        <f t="shared" si="664"/>
        <v>2457259.9662904697</v>
      </c>
      <c r="J1057" s="141">
        <f t="shared" si="664"/>
        <v>2555550.3649420887</v>
      </c>
      <c r="K1057" s="141">
        <f t="shared" si="664"/>
        <v>2657772.3795397724</v>
      </c>
      <c r="L1057" s="141">
        <f t="shared" si="664"/>
        <v>2764083.2747213636</v>
      </c>
      <c r="M1057" s="141">
        <f t="shared" si="664"/>
        <v>2874646.6057102182</v>
      </c>
      <c r="N1057" s="141">
        <f t="shared" si="664"/>
        <v>2989632.4699386265</v>
      </c>
      <c r="O1057" s="141">
        <f t="shared" si="664"/>
        <v>3109217.7687361725</v>
      </c>
      <c r="P1057" s="141">
        <f t="shared" si="664"/>
        <v>3233586.4794856193</v>
      </c>
      <c r="Q1057" s="141">
        <f t="shared" si="664"/>
        <v>3362929.938665044</v>
      </c>
      <c r="R1057" s="141">
        <f t="shared" si="664"/>
        <v>3497447.1362116458</v>
      </c>
      <c r="S1057" s="141">
        <f t="shared" si="664"/>
        <v>3637345.0216601123</v>
      </c>
      <c r="T1057" s="141">
        <f t="shared" si="664"/>
        <v>3782838.8225265169</v>
      </c>
      <c r="U1057" s="141">
        <f t="shared" si="664"/>
        <v>3934152.3754275781</v>
      </c>
      <c r="V1057" s="141">
        <f t="shared" si="664"/>
        <v>4091518.4704446811</v>
      </c>
      <c r="W1057" s="141">
        <f t="shared" si="664"/>
        <v>4255179.2092624679</v>
      </c>
      <c r="X1057" s="141">
        <f t="shared" si="664"/>
        <v>4425386.3776329681</v>
      </c>
      <c r="Y1057" s="141">
        <f t="shared" si="664"/>
        <v>4602401.8327382868</v>
      </c>
      <c r="Z1057" s="141">
        <f t="shared" si="664"/>
        <v>4786497.9060478173</v>
      </c>
      <c r="AA1057" s="141">
        <f t="shared" si="664"/>
        <v>4977957.8222897304</v>
      </c>
      <c r="AB1057" s="141">
        <f t="shared" si="664"/>
        <v>5177076.1351813208</v>
      </c>
      <c r="AC1057" s="141">
        <f t="shared" si="664"/>
        <v>5384159.1805885732</v>
      </c>
      <c r="AD1057" s="141">
        <f t="shared" si="664"/>
        <v>5599525.5478121163</v>
      </c>
      <c r="AE1057" s="141">
        <f t="shared" si="664"/>
        <v>5823506.5697246026</v>
      </c>
      <c r="AF1057" s="141">
        <f t="shared" si="664"/>
        <v>6056446.8325135866</v>
      </c>
      <c r="AG1057" s="141">
        <f t="shared" si="664"/>
        <v>6298704.7058141297</v>
      </c>
      <c r="AH1057" s="141">
        <f t="shared" si="664"/>
        <v>6550652.894046695</v>
      </c>
      <c r="AI1057" s="141">
        <f t="shared" si="664"/>
        <v>4541786.0065390421</v>
      </c>
      <c r="AJ1057" s="141">
        <f t="shared" si="664"/>
        <v>2361728.7234003018</v>
      </c>
      <c r="AK1057" s="141"/>
      <c r="AL1057" s="141"/>
      <c r="AM1057" s="141"/>
      <c r="AN1057" s="141"/>
      <c r="AO1057" s="141"/>
      <c r="AP1057" s="141"/>
      <c r="AQ1057" s="141"/>
      <c r="AR1057" s="141"/>
      <c r="AS1057" s="141"/>
      <c r="AT1057" s="141"/>
      <c r="AU1057" s="141"/>
      <c r="AV1057" s="141"/>
      <c r="AW1057" s="141"/>
      <c r="AX1057" s="141"/>
      <c r="AY1057" s="141"/>
      <c r="AZ1057" s="141"/>
      <c r="BA1057" s="141"/>
      <c r="BB1057" s="141"/>
      <c r="BC1057" s="141"/>
      <c r="BD1057" s="141"/>
      <c r="BE1057" s="141"/>
      <c r="BF1057" s="141"/>
      <c r="BG1057" s="141"/>
      <c r="BH1057" s="141"/>
      <c r="BI1057" s="141"/>
      <c r="BJ1057" s="142"/>
      <c r="BK1057" s="141"/>
      <c r="BL1057" s="141"/>
    </row>
    <row r="1058" spans="1:64" s="143" customFormat="1" ht="12.75">
      <c r="A1058" s="138" t="s">
        <v>127</v>
      </c>
      <c r="B1058" s="139">
        <f>SUM(C1058:BJ1058)</f>
        <v>16832074.720341802</v>
      </c>
      <c r="C1058" s="140">
        <f>C1001*(1+$G981)^(C982-1)</f>
        <v>0</v>
      </c>
      <c r="D1058" s="141">
        <f t="shared" ref="D1058:AJ1058" si="665">D1001*(1+$G981)^(D982-1)</f>
        <v>0</v>
      </c>
      <c r="E1058" s="141">
        <f t="shared" si="665"/>
        <v>96142.222222222234</v>
      </c>
      <c r="F1058" s="141">
        <f t="shared" si="665"/>
        <v>199975.82222222225</v>
      </c>
      <c r="G1058" s="141">
        <f t="shared" si="665"/>
        <v>311962.28266666672</v>
      </c>
      <c r="H1058" s="141">
        <f t="shared" si="665"/>
        <v>324440.77397333347</v>
      </c>
      <c r="I1058" s="141">
        <f t="shared" si="665"/>
        <v>337418.4049322668</v>
      </c>
      <c r="J1058" s="141">
        <f t="shared" si="665"/>
        <v>350915.14112955745</v>
      </c>
      <c r="K1058" s="141">
        <f t="shared" si="665"/>
        <v>364951.74677473976</v>
      </c>
      <c r="L1058" s="141">
        <f t="shared" si="665"/>
        <v>379549.81664572941</v>
      </c>
      <c r="M1058" s="141">
        <f t="shared" si="665"/>
        <v>394731.80931155861</v>
      </c>
      <c r="N1058" s="141">
        <f t="shared" si="665"/>
        <v>410521.08168402087</v>
      </c>
      <c r="O1058" s="141">
        <f t="shared" si="665"/>
        <v>426941.92495138181</v>
      </c>
      <c r="P1058" s="141">
        <f t="shared" si="665"/>
        <v>444019.60194943711</v>
      </c>
      <c r="Q1058" s="141">
        <f t="shared" si="665"/>
        <v>461780.38602741458</v>
      </c>
      <c r="R1058" s="141">
        <f t="shared" si="665"/>
        <v>480251.60146851116</v>
      </c>
      <c r="S1058" s="141">
        <f t="shared" si="665"/>
        <v>499461.66552725167</v>
      </c>
      <c r="T1058" s="141">
        <f t="shared" si="665"/>
        <v>519440.1321483418</v>
      </c>
      <c r="U1058" s="141">
        <f t="shared" si="665"/>
        <v>540217.73743427556</v>
      </c>
      <c r="V1058" s="141">
        <f t="shared" si="665"/>
        <v>561826.44693164655</v>
      </c>
      <c r="W1058" s="141">
        <f t="shared" si="665"/>
        <v>584299.5048089124</v>
      </c>
      <c r="X1058" s="141">
        <f t="shared" si="665"/>
        <v>607671.48500126903</v>
      </c>
      <c r="Y1058" s="141">
        <f t="shared" si="665"/>
        <v>631978.34440131974</v>
      </c>
      <c r="Z1058" s="141">
        <f t="shared" si="665"/>
        <v>657257.47817737248</v>
      </c>
      <c r="AA1058" s="141">
        <f t="shared" si="665"/>
        <v>683547.7773044674</v>
      </c>
      <c r="AB1058" s="141">
        <f t="shared" si="665"/>
        <v>710889.68839664629</v>
      </c>
      <c r="AC1058" s="141">
        <f t="shared" si="665"/>
        <v>739325.27593251201</v>
      </c>
      <c r="AD1058" s="141">
        <f t="shared" si="665"/>
        <v>768898.28696981259</v>
      </c>
      <c r="AE1058" s="141">
        <f t="shared" si="665"/>
        <v>799654.21844860527</v>
      </c>
      <c r="AF1058" s="141">
        <f t="shared" si="665"/>
        <v>831640.38718654949</v>
      </c>
      <c r="AG1058" s="141">
        <f t="shared" si="665"/>
        <v>864906.0026740114</v>
      </c>
      <c r="AH1058" s="141">
        <f t="shared" si="665"/>
        <v>899502.24278097181</v>
      </c>
      <c r="AI1058" s="141">
        <f t="shared" si="665"/>
        <v>623654.88832814049</v>
      </c>
      <c r="AJ1058" s="141">
        <f t="shared" si="665"/>
        <v>324300.54193063307</v>
      </c>
      <c r="AK1058" s="141"/>
      <c r="AL1058" s="141"/>
      <c r="AM1058" s="141"/>
      <c r="AN1058" s="141"/>
      <c r="AO1058" s="141"/>
      <c r="AP1058" s="141"/>
      <c r="AQ1058" s="141"/>
      <c r="AR1058" s="141"/>
      <c r="AS1058" s="141"/>
      <c r="AT1058" s="141"/>
      <c r="AU1058" s="141"/>
      <c r="AV1058" s="141"/>
      <c r="AW1058" s="141"/>
      <c r="AX1058" s="141"/>
      <c r="AY1058" s="141"/>
      <c r="AZ1058" s="141"/>
      <c r="BA1058" s="141"/>
      <c r="BB1058" s="141"/>
      <c r="BC1058" s="141"/>
      <c r="BD1058" s="141"/>
      <c r="BE1058" s="141"/>
      <c r="BF1058" s="141"/>
      <c r="BG1058" s="141"/>
      <c r="BH1058" s="141"/>
      <c r="BI1058" s="141"/>
      <c r="BJ1058" s="142"/>
      <c r="BK1058" s="141"/>
      <c r="BL1058" s="141"/>
    </row>
    <row r="1059" spans="1:64" s="143" customFormat="1" ht="12.75">
      <c r="A1059" s="138" t="s">
        <v>128</v>
      </c>
      <c r="B1059" s="139">
        <f>SUM(C1059:BJ1059)</f>
        <v>456583355.71098667</v>
      </c>
      <c r="C1059" s="140">
        <f>C1002*(1+$G981)^(C982-1)</f>
        <v>1503035.7599505007</v>
      </c>
      <c r="D1059" s="141">
        <f t="shared" ref="D1059:AJ1059" si="666">D1002*(1+$G981)^(D982-1)</f>
        <v>3126314.3806970417</v>
      </c>
      <c r="E1059" s="141">
        <f t="shared" si="666"/>
        <v>4877050.4338873848</v>
      </c>
      <c r="F1059" s="141">
        <f t="shared" si="666"/>
        <v>6762843.2683238406</v>
      </c>
      <c r="G1059" s="141">
        <f t="shared" si="666"/>
        <v>8791696.248820994</v>
      </c>
      <c r="H1059" s="141">
        <f t="shared" si="666"/>
        <v>9143364.0987738352</v>
      </c>
      <c r="I1059" s="141">
        <f t="shared" si="666"/>
        <v>9509098.6627247874</v>
      </c>
      <c r="J1059" s="141">
        <f t="shared" si="666"/>
        <v>9889462.609233778</v>
      </c>
      <c r="K1059" s="141">
        <f t="shared" si="666"/>
        <v>10285041.113603132</v>
      </c>
      <c r="L1059" s="141">
        <f t="shared" si="666"/>
        <v>10696442.758147258</v>
      </c>
      <c r="M1059" s="141">
        <f t="shared" si="666"/>
        <v>11124300.468473148</v>
      </c>
      <c r="N1059" s="141">
        <f t="shared" si="666"/>
        <v>11569272.487212073</v>
      </c>
      <c r="O1059" s="141">
        <f t="shared" si="666"/>
        <v>12032043.386700559</v>
      </c>
      <c r="P1059" s="141">
        <f t="shared" si="666"/>
        <v>12513325.122168582</v>
      </c>
      <c r="Q1059" s="141">
        <f t="shared" si="666"/>
        <v>13013858.127055325</v>
      </c>
      <c r="R1059" s="141">
        <f t="shared" si="666"/>
        <v>13534412.452137537</v>
      </c>
      <c r="S1059" s="141">
        <f t="shared" si="666"/>
        <v>14075788.95022304</v>
      </c>
      <c r="T1059" s="141">
        <f t="shared" si="666"/>
        <v>14638820.508231962</v>
      </c>
      <c r="U1059" s="141">
        <f t="shared" si="666"/>
        <v>15224373.328561243</v>
      </c>
      <c r="V1059" s="141">
        <f t="shared" si="666"/>
        <v>15833348.261703692</v>
      </c>
      <c r="W1059" s="141">
        <f t="shared" si="666"/>
        <v>16466682.19217184</v>
      </c>
      <c r="X1059" s="141">
        <f t="shared" si="666"/>
        <v>17125349.479858719</v>
      </c>
      <c r="Y1059" s="141">
        <f t="shared" si="666"/>
        <v>17810363.459053066</v>
      </c>
      <c r="Z1059" s="141">
        <f t="shared" si="666"/>
        <v>18522777.997415185</v>
      </c>
      <c r="AA1059" s="141">
        <f t="shared" si="666"/>
        <v>19263689.117311794</v>
      </c>
      <c r="AB1059" s="141">
        <f t="shared" si="666"/>
        <v>20034236.682004273</v>
      </c>
      <c r="AC1059" s="141">
        <f t="shared" si="666"/>
        <v>20835606.149284441</v>
      </c>
      <c r="AD1059" s="141">
        <f t="shared" si="666"/>
        <v>21669030.395255819</v>
      </c>
      <c r="AE1059" s="141">
        <f t="shared" si="666"/>
        <v>22535791.611066055</v>
      </c>
      <c r="AF1059" s="141">
        <f t="shared" si="666"/>
        <v>23437223.275508698</v>
      </c>
      <c r="AG1059" s="141">
        <f t="shared" si="666"/>
        <v>19499769.765223235</v>
      </c>
      <c r="AH1059" s="141">
        <f t="shared" si="666"/>
        <v>15209820.416874124</v>
      </c>
      <c r="AI1059" s="141">
        <f t="shared" si="666"/>
        <v>10545475.489032727</v>
      </c>
      <c r="AJ1059" s="141">
        <f t="shared" si="666"/>
        <v>5483647.2542970181</v>
      </c>
      <c r="AK1059" s="141"/>
      <c r="AL1059" s="141"/>
      <c r="AM1059" s="141"/>
      <c r="AN1059" s="141"/>
      <c r="AO1059" s="141"/>
      <c r="AP1059" s="141"/>
      <c r="AQ1059" s="141"/>
      <c r="AR1059" s="141"/>
      <c r="AS1059" s="141"/>
      <c r="AT1059" s="141"/>
      <c r="AU1059" s="141"/>
      <c r="AV1059" s="141"/>
      <c r="AW1059" s="141"/>
      <c r="AX1059" s="141"/>
      <c r="AY1059" s="141"/>
      <c r="AZ1059" s="141"/>
      <c r="BA1059" s="141"/>
      <c r="BB1059" s="141"/>
      <c r="BC1059" s="141"/>
      <c r="BD1059" s="141"/>
      <c r="BE1059" s="141"/>
      <c r="BF1059" s="141"/>
      <c r="BG1059" s="141"/>
      <c r="BH1059" s="141"/>
      <c r="BI1059" s="141"/>
      <c r="BJ1059" s="142"/>
      <c r="BK1059" s="141"/>
      <c r="BL1059" s="141"/>
    </row>
    <row r="1060" spans="1:64" s="143" customFormat="1" ht="12.75">
      <c r="A1060" s="138" t="s">
        <v>129</v>
      </c>
      <c r="B1060" s="139">
        <f>SUM(C1060:BJ1060)</f>
        <v>22865990.542574987</v>
      </c>
      <c r="C1060" s="140">
        <f>C1003*(1+$G981)^(C982-1)</f>
        <v>132371.06433879034</v>
      </c>
      <c r="D1060" s="141">
        <f t="shared" ref="D1060:AJ1060" si="667">D1003*(1+$G981)^(D982-1)</f>
        <v>412997.72073702584</v>
      </c>
      <c r="E1060" s="141">
        <f t="shared" si="667"/>
        <v>429517.62956650689</v>
      </c>
      <c r="F1060" s="141">
        <f t="shared" si="667"/>
        <v>446698.33474916714</v>
      </c>
      <c r="G1060" s="141">
        <f t="shared" si="667"/>
        <v>464566.26813913393</v>
      </c>
      <c r="H1060" s="141">
        <f t="shared" si="667"/>
        <v>483148.91886469931</v>
      </c>
      <c r="I1060" s="141">
        <f t="shared" si="667"/>
        <v>502474.87561928731</v>
      </c>
      <c r="J1060" s="141">
        <f t="shared" si="667"/>
        <v>522573.87064405874</v>
      </c>
      <c r="K1060" s="141">
        <f t="shared" si="667"/>
        <v>543476.82546982123</v>
      </c>
      <c r="L1060" s="141">
        <f t="shared" si="667"/>
        <v>565215.89848861413</v>
      </c>
      <c r="M1060" s="141">
        <f t="shared" si="667"/>
        <v>587824.53442815866</v>
      </c>
      <c r="N1060" s="141">
        <f t="shared" si="667"/>
        <v>611337.51580528496</v>
      </c>
      <c r="O1060" s="141">
        <f t="shared" si="667"/>
        <v>635791.01643749652</v>
      </c>
      <c r="P1060" s="141">
        <f t="shared" si="667"/>
        <v>661222.65709499631</v>
      </c>
      <c r="Q1060" s="141">
        <f t="shared" si="667"/>
        <v>687671.56337879621</v>
      </c>
      <c r="R1060" s="141">
        <f t="shared" si="667"/>
        <v>715178.42591394798</v>
      </c>
      <c r="S1060" s="141">
        <f t="shared" si="667"/>
        <v>743785.56295050611</v>
      </c>
      <c r="T1060" s="141">
        <f t="shared" si="667"/>
        <v>773536.98546852637</v>
      </c>
      <c r="U1060" s="141">
        <f t="shared" si="667"/>
        <v>804478.46488726744</v>
      </c>
      <c r="V1060" s="141">
        <f t="shared" si="667"/>
        <v>836657.60348275816</v>
      </c>
      <c r="W1060" s="141">
        <f t="shared" si="667"/>
        <v>870123.90762206854</v>
      </c>
      <c r="X1060" s="141">
        <f t="shared" si="667"/>
        <v>904928.86392695142</v>
      </c>
      <c r="Y1060" s="141">
        <f t="shared" si="667"/>
        <v>941126.01848402945</v>
      </c>
      <c r="Z1060" s="141">
        <f t="shared" si="667"/>
        <v>978771.05922339053</v>
      </c>
      <c r="AA1060" s="141">
        <f t="shared" si="667"/>
        <v>1017921.9015923262</v>
      </c>
      <c r="AB1060" s="141">
        <f t="shared" si="667"/>
        <v>1058638.7776560194</v>
      </c>
      <c r="AC1060" s="141">
        <f t="shared" si="667"/>
        <v>1100984.3287622603</v>
      </c>
      <c r="AD1060" s="141">
        <f t="shared" si="667"/>
        <v>1145023.7019127507</v>
      </c>
      <c r="AE1060" s="141">
        <f t="shared" si="667"/>
        <v>1190824.6499892608</v>
      </c>
      <c r="AF1060" s="141">
        <f t="shared" si="667"/>
        <v>1238457.6359888313</v>
      </c>
      <c r="AG1060" s="141">
        <f t="shared" si="667"/>
        <v>858663.96095225622</v>
      </c>
      <c r="AH1060" s="141">
        <f t="shared" si="667"/>
        <v>0</v>
      </c>
      <c r="AI1060" s="141">
        <f t="shared" si="667"/>
        <v>0</v>
      </c>
      <c r="AJ1060" s="141">
        <f t="shared" si="667"/>
        <v>0</v>
      </c>
      <c r="AK1060" s="141"/>
      <c r="AL1060" s="141"/>
      <c r="AM1060" s="141"/>
      <c r="AN1060" s="141"/>
      <c r="AO1060" s="141"/>
      <c r="AP1060" s="141"/>
      <c r="AQ1060" s="141"/>
      <c r="AR1060" s="141"/>
      <c r="AS1060" s="141"/>
      <c r="AT1060" s="141"/>
      <c r="AU1060" s="141"/>
      <c r="AV1060" s="141"/>
      <c r="AW1060" s="141"/>
      <c r="AX1060" s="141"/>
      <c r="AY1060" s="141"/>
      <c r="AZ1060" s="141"/>
      <c r="BA1060" s="141"/>
      <c r="BB1060" s="141"/>
      <c r="BC1060" s="141"/>
      <c r="BD1060" s="141"/>
      <c r="BE1060" s="141"/>
      <c r="BF1060" s="141"/>
      <c r="BG1060" s="141"/>
      <c r="BH1060" s="141"/>
      <c r="BI1060" s="141"/>
      <c r="BJ1060" s="142"/>
      <c r="BK1060" s="141"/>
      <c r="BL1060" s="141"/>
    </row>
    <row r="1061" spans="1:64" s="148" customFormat="1">
      <c r="A1061" s="111" t="s">
        <v>131</v>
      </c>
      <c r="B1061" s="144"/>
      <c r="C1061" s="140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  <c r="AD1061" s="146"/>
      <c r="AE1061" s="146"/>
      <c r="AF1061" s="146"/>
      <c r="AG1061" s="146"/>
      <c r="AH1061" s="146"/>
      <c r="AI1061" s="146"/>
      <c r="AJ1061" s="146"/>
      <c r="AK1061" s="146"/>
      <c r="AL1061" s="146"/>
      <c r="AM1061" s="146"/>
      <c r="AN1061" s="146"/>
      <c r="AO1061" s="146"/>
      <c r="AP1061" s="146"/>
      <c r="AQ1061" s="146"/>
      <c r="AR1061" s="146"/>
      <c r="AS1061" s="146"/>
      <c r="AT1061" s="146"/>
      <c r="AU1061" s="146"/>
      <c r="AV1061" s="146"/>
      <c r="AW1061" s="146"/>
      <c r="AX1061" s="146"/>
      <c r="AY1061" s="146"/>
      <c r="AZ1061" s="146"/>
      <c r="BA1061" s="146"/>
      <c r="BB1061" s="146"/>
      <c r="BC1061" s="146"/>
      <c r="BD1061" s="146"/>
      <c r="BE1061" s="146"/>
      <c r="BF1061" s="146"/>
      <c r="BG1061" s="146"/>
      <c r="BH1061" s="146"/>
      <c r="BI1061" s="146"/>
      <c r="BJ1061" s="147"/>
      <c r="BK1061" s="146"/>
      <c r="BL1061" s="146"/>
    </row>
    <row r="1062" spans="1:64" s="153" customFormat="1" ht="12.75">
      <c r="A1062" s="138" t="s">
        <v>126</v>
      </c>
      <c r="B1062" s="144"/>
      <c r="C1062" s="140">
        <f>C1005*(1+$G981)^(C982-1)</f>
        <v>0</v>
      </c>
      <c r="D1062" s="141">
        <f t="shared" ref="D1062:AJ1062" si="668">D1005*(1+$G981)^(D982-1)</f>
        <v>0</v>
      </c>
      <c r="E1062" s="141">
        <f t="shared" si="668"/>
        <v>62314124.823161475</v>
      </c>
      <c r="F1062" s="141">
        <f t="shared" si="668"/>
        <v>63350359.707861237</v>
      </c>
      <c r="G1062" s="141">
        <f t="shared" si="668"/>
        <v>63612499.127342053</v>
      </c>
      <c r="H1062" s="141">
        <f t="shared" si="668"/>
        <v>63794249.124848753</v>
      </c>
      <c r="I1062" s="141">
        <f t="shared" si="668"/>
        <v>63888759.123552233</v>
      </c>
      <c r="J1062" s="141">
        <f t="shared" si="668"/>
        <v>63888759.123552233</v>
      </c>
      <c r="K1062" s="141">
        <f t="shared" si="668"/>
        <v>63786537.108954564</v>
      </c>
      <c r="L1062" s="141">
        <f t="shared" si="668"/>
        <v>63573915.318591386</v>
      </c>
      <c r="M1062" s="141">
        <f t="shared" si="668"/>
        <v>63242225.325624824</v>
      </c>
      <c r="N1062" s="141">
        <f t="shared" si="668"/>
        <v>62782281.868711188</v>
      </c>
      <c r="O1062" s="141">
        <f t="shared" si="668"/>
        <v>62184355.374723487</v>
      </c>
      <c r="P1062" s="141">
        <f t="shared" si="668"/>
        <v>61438143.11022681</v>
      </c>
      <c r="Q1062" s="141">
        <f t="shared" si="668"/>
        <v>60532738.895970836</v>
      </c>
      <c r="R1062" s="141">
        <f t="shared" si="668"/>
        <v>59456601.315598026</v>
      </c>
      <c r="S1062" s="141">
        <f t="shared" si="668"/>
        <v>58197520.346561849</v>
      </c>
      <c r="T1062" s="141">
        <f t="shared" si="668"/>
        <v>56742582.337897815</v>
      </c>
      <c r="U1062" s="141">
        <f t="shared" si="668"/>
        <v>55078133.255986162</v>
      </c>
      <c r="V1062" s="141">
        <f t="shared" si="668"/>
        <v>53189740.115780927</v>
      </c>
      <c r="W1062" s="141">
        <f t="shared" si="668"/>
        <v>51062150.511149697</v>
      </c>
      <c r="X1062" s="141">
        <f t="shared" si="668"/>
        <v>48679250.153962739</v>
      </c>
      <c r="Y1062" s="141">
        <f t="shared" si="668"/>
        <v>46024018.327382959</v>
      </c>
      <c r="Z1062" s="141">
        <f t="shared" si="668"/>
        <v>43078481.154430464</v>
      </c>
      <c r="AA1062" s="141">
        <f t="shared" si="668"/>
        <v>39823662.578317955</v>
      </c>
      <c r="AB1062" s="141">
        <f t="shared" si="668"/>
        <v>36239532.946269363</v>
      </c>
      <c r="AC1062" s="141">
        <f t="shared" si="668"/>
        <v>32304955.083531559</v>
      </c>
      <c r="AD1062" s="141">
        <f t="shared" si="668"/>
        <v>27997627.739060704</v>
      </c>
      <c r="AE1062" s="141">
        <f t="shared" si="668"/>
        <v>23294026.278898537</v>
      </c>
      <c r="AF1062" s="141">
        <f t="shared" si="668"/>
        <v>18169340.497540895</v>
      </c>
      <c r="AG1062" s="141">
        <f t="shared" si="668"/>
        <v>12597409.411628397</v>
      </c>
      <c r="AH1062" s="141">
        <f t="shared" si="668"/>
        <v>6550652.8940468393</v>
      </c>
      <c r="AI1062" s="141">
        <f t="shared" si="668"/>
        <v>2270893.0032696715</v>
      </c>
      <c r="AJ1062" s="141">
        <f t="shared" si="668"/>
        <v>1.5672443256358854E-7</v>
      </c>
      <c r="AK1062" s="151"/>
      <c r="AL1062" s="151"/>
      <c r="AM1062" s="151"/>
      <c r="AN1062" s="151"/>
      <c r="AO1062" s="151"/>
      <c r="AP1062" s="151"/>
      <c r="AQ1062" s="151"/>
      <c r="AR1062" s="151"/>
      <c r="AS1062" s="151"/>
      <c r="AT1062" s="151"/>
      <c r="AU1062" s="151"/>
      <c r="AV1062" s="151"/>
      <c r="AW1062" s="151"/>
      <c r="AX1062" s="151"/>
      <c r="AY1062" s="151"/>
      <c r="AZ1062" s="151"/>
      <c r="BA1062" s="151"/>
      <c r="BB1062" s="151"/>
      <c r="BC1062" s="151"/>
      <c r="BD1062" s="151"/>
      <c r="BE1062" s="151"/>
      <c r="BF1062" s="151"/>
      <c r="BG1062" s="151"/>
      <c r="BH1062" s="151"/>
      <c r="BI1062" s="151"/>
      <c r="BJ1062" s="152"/>
      <c r="BK1062" s="151"/>
      <c r="BL1062" s="151"/>
    </row>
    <row r="1063" spans="1:64" s="153" customFormat="1" ht="12.75">
      <c r="A1063" s="138" t="s">
        <v>127</v>
      </c>
      <c r="B1063" s="144"/>
      <c r="C1063" s="140">
        <f>C1006*(1+$G981)^(C982-1)</f>
        <v>0</v>
      </c>
      <c r="D1063" s="141">
        <f t="shared" ref="D1063:AJ1063" si="669">D1006*(1+$G981)^(D982-1)</f>
        <v>0</v>
      </c>
      <c r="E1063" s="141">
        <f t="shared" si="669"/>
        <v>8556657.777777778</v>
      </c>
      <c r="F1063" s="141">
        <f t="shared" si="669"/>
        <v>8698948.2666666675</v>
      </c>
      <c r="G1063" s="141">
        <f t="shared" si="669"/>
        <v>8734943.9146666676</v>
      </c>
      <c r="H1063" s="141">
        <f t="shared" si="669"/>
        <v>8759900.897280002</v>
      </c>
      <c r="I1063" s="141">
        <f t="shared" si="669"/>
        <v>8772878.5282389335</v>
      </c>
      <c r="J1063" s="141">
        <f t="shared" si="669"/>
        <v>8772878.5282389335</v>
      </c>
      <c r="K1063" s="141">
        <f t="shared" si="669"/>
        <v>8758841.9225937519</v>
      </c>
      <c r="L1063" s="141">
        <f t="shared" si="669"/>
        <v>8729645.7828517724</v>
      </c>
      <c r="M1063" s="141">
        <f t="shared" si="669"/>
        <v>8684099.804854285</v>
      </c>
      <c r="N1063" s="141">
        <f t="shared" si="669"/>
        <v>8620942.7153644338</v>
      </c>
      <c r="O1063" s="141">
        <f t="shared" si="669"/>
        <v>8538838.4990276303</v>
      </c>
      <c r="P1063" s="141">
        <f t="shared" si="669"/>
        <v>8436372.4370392989</v>
      </c>
      <c r="Q1063" s="141">
        <f t="shared" si="669"/>
        <v>8312046.9484934555</v>
      </c>
      <c r="R1063" s="141">
        <f t="shared" si="669"/>
        <v>8164277.224964682</v>
      </c>
      <c r="S1063" s="141">
        <f t="shared" si="669"/>
        <v>7991386.6484360183</v>
      </c>
      <c r="T1063" s="141">
        <f t="shared" si="669"/>
        <v>7791601.9822251182</v>
      </c>
      <c r="U1063" s="141">
        <f t="shared" si="669"/>
        <v>7563048.3240798488</v>
      </c>
      <c r="V1063" s="141">
        <f t="shared" si="669"/>
        <v>7303743.810111396</v>
      </c>
      <c r="W1063" s="141">
        <f t="shared" si="669"/>
        <v>7011594.05770694</v>
      </c>
      <c r="X1063" s="141">
        <f t="shared" si="669"/>
        <v>6684386.3350139502</v>
      </c>
      <c r="Y1063" s="141">
        <f t="shared" si="669"/>
        <v>6319783.4440131886</v>
      </c>
      <c r="Z1063" s="141">
        <f t="shared" si="669"/>
        <v>5915317.3035963438</v>
      </c>
      <c r="AA1063" s="141">
        <f t="shared" si="669"/>
        <v>5468382.2184357308</v>
      </c>
      <c r="AB1063" s="141">
        <f t="shared" si="669"/>
        <v>4976227.8187765153</v>
      </c>
      <c r="AC1063" s="141">
        <f t="shared" si="669"/>
        <v>4435951.6555950632</v>
      </c>
      <c r="AD1063" s="141">
        <f t="shared" si="669"/>
        <v>3844491.4348490527</v>
      </c>
      <c r="AE1063" s="141">
        <f t="shared" si="669"/>
        <v>3198616.8737944104</v>
      </c>
      <c r="AF1063" s="141">
        <f t="shared" si="669"/>
        <v>2494921.1615596372</v>
      </c>
      <c r="AG1063" s="141">
        <f t="shared" si="669"/>
        <v>1729812.0053480109</v>
      </c>
      <c r="AH1063" s="141">
        <f t="shared" si="669"/>
        <v>899502.2427809597</v>
      </c>
      <c r="AI1063" s="141">
        <f t="shared" si="669"/>
        <v>311827.44416405761</v>
      </c>
      <c r="AJ1063" s="141">
        <f t="shared" si="669"/>
        <v>-1.3113460312739285E-8</v>
      </c>
      <c r="AK1063" s="151"/>
      <c r="AL1063" s="151"/>
      <c r="AM1063" s="151"/>
      <c r="AN1063" s="151"/>
      <c r="AO1063" s="151"/>
      <c r="AP1063" s="151"/>
      <c r="AQ1063" s="151"/>
      <c r="AR1063" s="151"/>
      <c r="AS1063" s="151"/>
      <c r="AT1063" s="151"/>
      <c r="AU1063" s="151"/>
      <c r="AV1063" s="151"/>
      <c r="AW1063" s="151"/>
      <c r="AX1063" s="151"/>
      <c r="AY1063" s="151"/>
      <c r="AZ1063" s="151"/>
      <c r="BA1063" s="151"/>
      <c r="BB1063" s="151"/>
      <c r="BC1063" s="151"/>
      <c r="BD1063" s="151"/>
      <c r="BE1063" s="151"/>
      <c r="BF1063" s="151"/>
      <c r="BG1063" s="151"/>
      <c r="BH1063" s="151"/>
      <c r="BI1063" s="151"/>
      <c r="BJ1063" s="152"/>
      <c r="BK1063" s="151"/>
      <c r="BL1063" s="151"/>
    </row>
    <row r="1064" spans="1:64" s="153" customFormat="1" ht="12.75">
      <c r="A1064" s="138" t="s">
        <v>128</v>
      </c>
      <c r="B1064" s="144"/>
      <c r="C1064" s="140">
        <f>C1007*(1+$G981)^(C982-1)</f>
        <v>223952328.23262462</v>
      </c>
      <c r="D1064" s="141">
        <f t="shared" ref="D1064:AJ1064" si="670">D1007*(1+$G981)^(D982-1)</f>
        <v>229784106.98123255</v>
      </c>
      <c r="E1064" s="141">
        <f t="shared" si="670"/>
        <v>234098420.8265945</v>
      </c>
      <c r="F1064" s="141">
        <f t="shared" si="670"/>
        <v>236699514.39133441</v>
      </c>
      <c r="G1064" s="141">
        <f t="shared" si="670"/>
        <v>237375798.71816683</v>
      </c>
      <c r="H1064" s="141">
        <f t="shared" si="670"/>
        <v>237727466.5681197</v>
      </c>
      <c r="I1064" s="141">
        <f t="shared" si="670"/>
        <v>237727466.5681197</v>
      </c>
      <c r="J1064" s="141">
        <f t="shared" si="670"/>
        <v>237347102.62161067</v>
      </c>
      <c r="K1064" s="141">
        <f t="shared" si="670"/>
        <v>236555945.61287203</v>
      </c>
      <c r="L1064" s="141">
        <f t="shared" si="670"/>
        <v>235321740.67923966</v>
      </c>
      <c r="M1064" s="141">
        <f t="shared" si="670"/>
        <v>233610309.8379361</v>
      </c>
      <c r="N1064" s="141">
        <f t="shared" si="670"/>
        <v>231385449.74424145</v>
      </c>
      <c r="O1064" s="141">
        <f t="shared" si="670"/>
        <v>228608824.3473106</v>
      </c>
      <c r="P1064" s="141">
        <f t="shared" si="670"/>
        <v>225239852.19903445</v>
      </c>
      <c r="Q1064" s="141">
        <f t="shared" si="670"/>
        <v>221235588.15994051</v>
      </c>
      <c r="R1064" s="141">
        <f t="shared" si="670"/>
        <v>216550599.2342006</v>
      </c>
      <c r="S1064" s="141">
        <f t="shared" si="670"/>
        <v>211136834.25334561</v>
      </c>
      <c r="T1064" s="141">
        <f t="shared" si="670"/>
        <v>204943487.11524749</v>
      </c>
      <c r="U1064" s="141">
        <f t="shared" si="670"/>
        <v>197916853.27129617</v>
      </c>
      <c r="V1064" s="141">
        <f t="shared" si="670"/>
        <v>190000179.14044431</v>
      </c>
      <c r="W1064" s="141">
        <f t="shared" si="670"/>
        <v>181133504.11389023</v>
      </c>
      <c r="X1064" s="141">
        <f t="shared" si="670"/>
        <v>171253494.79858717</v>
      </c>
      <c r="Y1064" s="141">
        <f t="shared" si="670"/>
        <v>160293271.13147759</v>
      </c>
      <c r="Z1064" s="141">
        <f t="shared" si="670"/>
        <v>148182223.97932148</v>
      </c>
      <c r="AA1064" s="141">
        <f t="shared" si="670"/>
        <v>134845823.82118258</v>
      </c>
      <c r="AB1064" s="141">
        <f t="shared" si="670"/>
        <v>120205420.09202564</v>
      </c>
      <c r="AC1064" s="141">
        <f t="shared" si="670"/>
        <v>104178030.7464222</v>
      </c>
      <c r="AD1064" s="141">
        <f t="shared" si="670"/>
        <v>86676121.581023276</v>
      </c>
      <c r="AE1064" s="141">
        <f t="shared" si="670"/>
        <v>67607374.833198175</v>
      </c>
      <c r="AF1064" s="141">
        <f t="shared" si="670"/>
        <v>46874446.551017396</v>
      </c>
      <c r="AG1064" s="141">
        <f t="shared" si="670"/>
        <v>29249654.647834852</v>
      </c>
      <c r="AH1064" s="141">
        <f t="shared" si="670"/>
        <v>15209820.416874124</v>
      </c>
      <c r="AI1064" s="141">
        <f t="shared" si="670"/>
        <v>5272737.7445163624</v>
      </c>
      <c r="AJ1064" s="141">
        <f t="shared" si="670"/>
        <v>0</v>
      </c>
      <c r="AK1064" s="151"/>
      <c r="AL1064" s="151"/>
      <c r="AM1064" s="151"/>
      <c r="AN1064" s="151"/>
      <c r="AO1064" s="151"/>
      <c r="AP1064" s="151"/>
      <c r="AQ1064" s="151"/>
      <c r="AR1064" s="151"/>
      <c r="AS1064" s="151"/>
      <c r="AT1064" s="151"/>
      <c r="AU1064" s="151"/>
      <c r="AV1064" s="151"/>
      <c r="AW1064" s="151"/>
      <c r="AX1064" s="151"/>
      <c r="AY1064" s="151"/>
      <c r="AZ1064" s="151"/>
      <c r="BA1064" s="151"/>
      <c r="BB1064" s="151"/>
      <c r="BC1064" s="151"/>
      <c r="BD1064" s="151"/>
      <c r="BE1064" s="151"/>
      <c r="BF1064" s="151"/>
      <c r="BG1064" s="151"/>
      <c r="BH1064" s="151"/>
      <c r="BI1064" s="151"/>
      <c r="BJ1064" s="152"/>
      <c r="BK1064" s="151"/>
      <c r="BL1064" s="151"/>
    </row>
    <row r="1065" spans="1:64" s="153" customFormat="1" ht="12.75">
      <c r="A1065" s="138" t="s">
        <v>129</v>
      </c>
      <c r="B1065" s="144"/>
      <c r="C1065" s="140">
        <f>C1008*(1+$G981)^(C982-1)</f>
        <v>11781024.72615234</v>
      </c>
      <c r="D1065" s="141">
        <f t="shared" ref="D1065:AJ1065" si="671">D1008*(1+$G981)^(D982-1)</f>
        <v>11839267.994461408</v>
      </c>
      <c r="E1065" s="141">
        <f t="shared" si="671"/>
        <v>11883321.084673358</v>
      </c>
      <c r="F1065" s="141">
        <f t="shared" si="671"/>
        <v>11911955.593311125</v>
      </c>
      <c r="G1065" s="141">
        <f t="shared" si="671"/>
        <v>11923867.548904439</v>
      </c>
      <c r="H1065" s="141">
        <f t="shared" si="671"/>
        <v>11917673.331995919</v>
      </c>
      <c r="I1065" s="141">
        <f t="shared" si="671"/>
        <v>11891905.389656469</v>
      </c>
      <c r="J1065" s="141">
        <f t="shared" si="671"/>
        <v>11845007.734598668</v>
      </c>
      <c r="K1065" s="141">
        <f t="shared" si="671"/>
        <v>11775331.218512796</v>
      </c>
      <c r="L1065" s="141">
        <f t="shared" si="671"/>
        <v>11681128.568764694</v>
      </c>
      <c r="M1065" s="141">
        <f t="shared" si="671"/>
        <v>11560549.177087124</v>
      </c>
      <c r="N1065" s="141">
        <f t="shared" si="671"/>
        <v>11411633.628365323</v>
      </c>
      <c r="O1065" s="141">
        <f t="shared" si="671"/>
        <v>11232307.957062444</v>
      </c>
      <c r="P1065" s="141">
        <f t="shared" si="671"/>
        <v>11020377.618249945</v>
      </c>
      <c r="Q1065" s="141">
        <f t="shared" si="671"/>
        <v>10773521.159601146</v>
      </c>
      <c r="R1065" s="141">
        <f t="shared" si="671"/>
        <v>10489283.580071244</v>
      </c>
      <c r="S1065" s="141">
        <f t="shared" si="671"/>
        <v>10165069.360323591</v>
      </c>
      <c r="T1065" s="141">
        <f t="shared" si="671"/>
        <v>9798135.1492680088</v>
      </c>
      <c r="U1065" s="141">
        <f t="shared" si="671"/>
        <v>9385582.0903514642</v>
      </c>
      <c r="V1065" s="141">
        <f t="shared" si="671"/>
        <v>8924347.7704827636</v>
      </c>
      <c r="W1065" s="141">
        <f t="shared" si="671"/>
        <v>8411197.7736800071</v>
      </c>
      <c r="X1065" s="141">
        <f t="shared" si="671"/>
        <v>7842716.820700258</v>
      </c>
      <c r="Y1065" s="141">
        <f t="shared" si="671"/>
        <v>7215299.4750442393</v>
      </c>
      <c r="Z1065" s="141">
        <f t="shared" si="671"/>
        <v>6525140.394822618</v>
      </c>
      <c r="AA1065" s="141">
        <f t="shared" si="671"/>
        <v>5768224.1090231976</v>
      </c>
      <c r="AB1065" s="141">
        <f t="shared" si="671"/>
        <v>4940314.295728107</v>
      </c>
      <c r="AC1065" s="141">
        <f t="shared" si="671"/>
        <v>4036942.5387949711</v>
      </c>
      <c r="AD1065" s="141">
        <f t="shared" si="671"/>
        <v>3053396.5384340193</v>
      </c>
      <c r="AE1065" s="141">
        <f t="shared" si="671"/>
        <v>1984707.7499821198</v>
      </c>
      <c r="AF1065" s="141">
        <f t="shared" si="671"/>
        <v>825638.4239925734</v>
      </c>
      <c r="AG1065" s="141">
        <f t="shared" si="671"/>
        <v>2.0011801741954374E-8</v>
      </c>
      <c r="AH1065" s="141">
        <f t="shared" si="671"/>
        <v>2.0812273811632551E-8</v>
      </c>
      <c r="AI1065" s="141">
        <f t="shared" si="671"/>
        <v>2.1644764764097854E-8</v>
      </c>
      <c r="AJ1065" s="141">
        <f t="shared" si="671"/>
        <v>2.2510555354661767E-8</v>
      </c>
      <c r="AK1065" s="151"/>
      <c r="AL1065" s="151"/>
      <c r="AM1065" s="151"/>
      <c r="AN1065" s="151"/>
      <c r="AO1065" s="151"/>
      <c r="AP1065" s="151"/>
      <c r="AQ1065" s="151"/>
      <c r="AR1065" s="151"/>
      <c r="AS1065" s="151"/>
      <c r="AT1065" s="151"/>
      <c r="AU1065" s="151"/>
      <c r="AV1065" s="151"/>
      <c r="AW1065" s="151"/>
      <c r="AX1065" s="151"/>
      <c r="AY1065" s="151"/>
      <c r="AZ1065" s="151"/>
      <c r="BA1065" s="151"/>
      <c r="BB1065" s="151"/>
      <c r="BC1065" s="151"/>
      <c r="BD1065" s="151"/>
      <c r="BE1065" s="151"/>
      <c r="BF1065" s="151"/>
      <c r="BG1065" s="151"/>
      <c r="BH1065" s="151"/>
      <c r="BI1065" s="151"/>
      <c r="BJ1065" s="152"/>
      <c r="BK1065" s="151"/>
      <c r="BL1065" s="151"/>
    </row>
    <row r="1066" spans="1:64" s="116" customFormat="1">
      <c r="A1066" s="111" t="s">
        <v>132</v>
      </c>
      <c r="B1066" s="155">
        <f>SUM(B1067:B1070)</f>
        <v>626122180.01885843</v>
      </c>
      <c r="C1066" s="117">
        <f>SUM(C1067:C1070)</f>
        <v>23736875.978306625</v>
      </c>
      <c r="D1066" s="118">
        <f t="shared" ref="D1066:AJ1066" si="672">SUM(D1067:D1070)</f>
        <v>24516268.707712807</v>
      </c>
      <c r="E1066" s="118">
        <f t="shared" si="672"/>
        <v>32295539.350376148</v>
      </c>
      <c r="F1066" s="118">
        <f t="shared" si="672"/>
        <v>32952662.549269542</v>
      </c>
      <c r="G1066" s="118">
        <f t="shared" si="672"/>
        <v>33348720.907754041</v>
      </c>
      <c r="H1066" s="118">
        <f t="shared" si="672"/>
        <v>33451299.368144326</v>
      </c>
      <c r="I1066" s="118">
        <f t="shared" si="672"/>
        <v>33508726.151913419</v>
      </c>
      <c r="J1066" s="118">
        <f t="shared" si="672"/>
        <v>33517224.999394998</v>
      </c>
      <c r="K1066" s="118">
        <f t="shared" si="672"/>
        <v>33472789.792832062</v>
      </c>
      <c r="L1066" s="118">
        <f t="shared" si="672"/>
        <v>33371172.209745049</v>
      </c>
      <c r="M1066" s="118">
        <f t="shared" si="672"/>
        <v>33207868.756342545</v>
      </c>
      <c r="N1066" s="118">
        <f t="shared" si="672"/>
        <v>32978107.151132241</v>
      </c>
      <c r="O1066" s="118">
        <f t="shared" si="672"/>
        <v>32676832.027494978</v>
      </c>
      <c r="P1066" s="118">
        <f t="shared" si="672"/>
        <v>32298689.922524914</v>
      </c>
      <c r="Q1066" s="118">
        <f t="shared" si="672"/>
        <v>31838013.517913256</v>
      </c>
      <c r="R1066" s="118">
        <f t="shared" si="672"/>
        <v>31288805.097056624</v>
      </c>
      <c r="S1066" s="118">
        <f t="shared" si="672"/>
        <v>30644719.180902805</v>
      </c>
      <c r="T1066" s="118">
        <f t="shared" si="672"/>
        <v>29899044.303301379</v>
      </c>
      <c r="U1066" s="118">
        <f t="shared" si="672"/>
        <v>29044683.884802397</v>
      </c>
      <c r="V1066" s="118">
        <f t="shared" si="672"/>
        <v>28074136.161938224</v>
      </c>
      <c r="W1066" s="118">
        <f t="shared" si="672"/>
        <v>0</v>
      </c>
      <c r="X1066" s="118">
        <f t="shared" si="672"/>
        <v>0</v>
      </c>
      <c r="Y1066" s="118">
        <f t="shared" si="672"/>
        <v>0</v>
      </c>
      <c r="Z1066" s="118">
        <f t="shared" si="672"/>
        <v>0</v>
      </c>
      <c r="AA1066" s="118">
        <f t="shared" si="672"/>
        <v>0</v>
      </c>
      <c r="AB1066" s="118">
        <f t="shared" si="672"/>
        <v>0</v>
      </c>
      <c r="AC1066" s="118">
        <f t="shared" si="672"/>
        <v>0</v>
      </c>
      <c r="AD1066" s="118">
        <f t="shared" si="672"/>
        <v>0</v>
      </c>
      <c r="AE1066" s="118">
        <f t="shared" si="672"/>
        <v>0</v>
      </c>
      <c r="AF1066" s="118">
        <f t="shared" si="672"/>
        <v>0</v>
      </c>
      <c r="AG1066" s="118">
        <f t="shared" si="672"/>
        <v>0</v>
      </c>
      <c r="AH1066" s="118">
        <f t="shared" si="672"/>
        <v>0</v>
      </c>
      <c r="AI1066" s="118">
        <f t="shared" si="672"/>
        <v>0</v>
      </c>
      <c r="AJ1066" s="118">
        <f t="shared" si="672"/>
        <v>0</v>
      </c>
      <c r="AK1066" s="118"/>
      <c r="AL1066" s="118"/>
      <c r="AM1066" s="118"/>
      <c r="AN1066" s="118"/>
      <c r="AO1066" s="118"/>
      <c r="AP1066" s="118"/>
      <c r="AQ1066" s="118"/>
      <c r="AR1066" s="118"/>
      <c r="AS1066" s="118"/>
      <c r="AT1066" s="118"/>
      <c r="AU1066" s="118"/>
      <c r="AV1066" s="118"/>
      <c r="AW1066" s="118"/>
      <c r="AX1066" s="118"/>
      <c r="AY1066" s="118"/>
      <c r="AZ1066" s="118"/>
      <c r="BA1066" s="118"/>
      <c r="BB1066" s="118"/>
      <c r="BC1066" s="118"/>
      <c r="BD1066" s="118"/>
      <c r="BE1066" s="118"/>
      <c r="BF1066" s="118"/>
      <c r="BG1066" s="118"/>
      <c r="BH1066" s="118"/>
      <c r="BI1066" s="118"/>
      <c r="BJ1066" s="119"/>
      <c r="BK1066" s="118"/>
      <c r="BL1066" s="118"/>
    </row>
    <row r="1067" spans="1:64" s="143" customFormat="1" ht="12.75">
      <c r="A1067" s="138" t="s">
        <v>126</v>
      </c>
      <c r="B1067" s="139">
        <f>SUM(C1067:BJ1067)</f>
        <v>115279262.02297714</v>
      </c>
      <c r="C1067" s="140">
        <f>C1010*(1+$G981)^(C982-1)</f>
        <v>0</v>
      </c>
      <c r="D1067" s="141">
        <f t="shared" ref="D1067:BJ1067" si="673">D1010*(1+$G981)^(D982-1)</f>
        <v>0</v>
      </c>
      <c r="E1067" s="141">
        <f t="shared" si="673"/>
        <v>6301428.3529039696</v>
      </c>
      <c r="F1067" s="141">
        <f t="shared" si="673"/>
        <v>6480668.9816087941</v>
      </c>
      <c r="G1067" s="141">
        <f t="shared" si="673"/>
        <v>6588437.4096175693</v>
      </c>
      <c r="H1067" s="141">
        <f t="shared" si="673"/>
        <v>6615699.9092435744</v>
      </c>
      <c r="I1067" s="141">
        <f t="shared" si="673"/>
        <v>6634601.9089842709</v>
      </c>
      <c r="J1067" s="141">
        <f t="shared" si="673"/>
        <v>6644430.9488494312</v>
      </c>
      <c r="K1067" s="141">
        <f t="shared" si="673"/>
        <v>6644430.948849434</v>
      </c>
      <c r="L1067" s="141">
        <f t="shared" si="673"/>
        <v>6633799.8593312753</v>
      </c>
      <c r="M1067" s="141">
        <f t="shared" si="673"/>
        <v>6611687.1931335041</v>
      </c>
      <c r="N1067" s="141">
        <f t="shared" si="673"/>
        <v>6577191.4338649819</v>
      </c>
      <c r="O1067" s="141">
        <f t="shared" si="673"/>
        <v>6529357.3143459652</v>
      </c>
      <c r="P1067" s="141">
        <f t="shared" si="673"/>
        <v>6467172.9589712424</v>
      </c>
      <c r="Q1067" s="141">
        <f t="shared" si="673"/>
        <v>6389566.8834635885</v>
      </c>
      <c r="R1067" s="141">
        <f t="shared" si="673"/>
        <v>6295404.8451809678</v>
      </c>
      <c r="S1067" s="141">
        <f t="shared" si="673"/>
        <v>6183486.536822197</v>
      </c>
      <c r="T1067" s="141">
        <f t="shared" si="673"/>
        <v>6052542.1160424324</v>
      </c>
      <c r="U1067" s="141">
        <f t="shared" si="673"/>
        <v>5901228.5631413739</v>
      </c>
      <c r="V1067" s="141">
        <f t="shared" si="673"/>
        <v>5728125.8586225612</v>
      </c>
      <c r="W1067" s="141">
        <f t="shared" si="673"/>
        <v>0</v>
      </c>
      <c r="X1067" s="141">
        <f t="shared" si="673"/>
        <v>0</v>
      </c>
      <c r="Y1067" s="141">
        <f t="shared" si="673"/>
        <v>0</v>
      </c>
      <c r="Z1067" s="141">
        <f t="shared" si="673"/>
        <v>0</v>
      </c>
      <c r="AA1067" s="141">
        <f t="shared" si="673"/>
        <v>0</v>
      </c>
      <c r="AB1067" s="141">
        <f t="shared" si="673"/>
        <v>0</v>
      </c>
      <c r="AC1067" s="141">
        <f t="shared" si="673"/>
        <v>0</v>
      </c>
      <c r="AD1067" s="141">
        <f t="shared" si="673"/>
        <v>0</v>
      </c>
      <c r="AE1067" s="141">
        <f t="shared" si="673"/>
        <v>0</v>
      </c>
      <c r="AF1067" s="141">
        <f t="shared" si="673"/>
        <v>0</v>
      </c>
      <c r="AG1067" s="141">
        <f t="shared" si="673"/>
        <v>0</v>
      </c>
      <c r="AH1067" s="141">
        <f t="shared" si="673"/>
        <v>0</v>
      </c>
      <c r="AI1067" s="141">
        <f t="shared" si="673"/>
        <v>0</v>
      </c>
      <c r="AJ1067" s="141">
        <f t="shared" si="673"/>
        <v>0</v>
      </c>
      <c r="AK1067" s="141">
        <f t="shared" si="673"/>
        <v>0</v>
      </c>
      <c r="AL1067" s="141">
        <f t="shared" si="673"/>
        <v>0</v>
      </c>
      <c r="AM1067" s="141">
        <f t="shared" si="673"/>
        <v>0</v>
      </c>
      <c r="AN1067" s="141">
        <f t="shared" si="673"/>
        <v>0</v>
      </c>
      <c r="AO1067" s="141">
        <f t="shared" si="673"/>
        <v>0</v>
      </c>
      <c r="AP1067" s="141">
        <f t="shared" si="673"/>
        <v>0</v>
      </c>
      <c r="AQ1067" s="141">
        <f t="shared" si="673"/>
        <v>0</v>
      </c>
      <c r="AR1067" s="141">
        <f t="shared" si="673"/>
        <v>0</v>
      </c>
      <c r="AS1067" s="141">
        <f t="shared" si="673"/>
        <v>0</v>
      </c>
      <c r="AT1067" s="141">
        <f t="shared" si="673"/>
        <v>0</v>
      </c>
      <c r="AU1067" s="141">
        <f t="shared" si="673"/>
        <v>0</v>
      </c>
      <c r="AV1067" s="141">
        <f t="shared" si="673"/>
        <v>0</v>
      </c>
      <c r="AW1067" s="141">
        <f t="shared" si="673"/>
        <v>0</v>
      </c>
      <c r="AX1067" s="141">
        <f t="shared" si="673"/>
        <v>0</v>
      </c>
      <c r="AY1067" s="141">
        <f t="shared" si="673"/>
        <v>0</v>
      </c>
      <c r="AZ1067" s="141">
        <f t="shared" si="673"/>
        <v>0</v>
      </c>
      <c r="BA1067" s="141">
        <f t="shared" si="673"/>
        <v>0</v>
      </c>
      <c r="BB1067" s="141">
        <f t="shared" si="673"/>
        <v>0</v>
      </c>
      <c r="BC1067" s="141">
        <f t="shared" si="673"/>
        <v>0</v>
      </c>
      <c r="BD1067" s="141">
        <f t="shared" si="673"/>
        <v>0</v>
      </c>
      <c r="BE1067" s="141">
        <f t="shared" si="673"/>
        <v>0</v>
      </c>
      <c r="BF1067" s="141">
        <f t="shared" si="673"/>
        <v>0</v>
      </c>
      <c r="BG1067" s="141">
        <f t="shared" si="673"/>
        <v>0</v>
      </c>
      <c r="BH1067" s="141">
        <f t="shared" si="673"/>
        <v>0</v>
      </c>
      <c r="BI1067" s="141">
        <f t="shared" si="673"/>
        <v>0</v>
      </c>
      <c r="BJ1067" s="142">
        <f t="shared" si="673"/>
        <v>0</v>
      </c>
      <c r="BK1067" s="141"/>
      <c r="BL1067" s="141"/>
    </row>
    <row r="1068" spans="1:64" s="143" customFormat="1" ht="12.75">
      <c r="A1068" s="138" t="s">
        <v>127</v>
      </c>
      <c r="B1068" s="139">
        <f>SUM(C1068:BJ1068)</f>
        <v>15829560.261091126</v>
      </c>
      <c r="C1068" s="140">
        <f>C1011*(1+$G981)^(C982-1)</f>
        <v>0</v>
      </c>
      <c r="D1068" s="141">
        <f t="shared" ref="D1068:BJ1068" si="674">D1011*(1+$G981)^(D982-1)</f>
        <v>0</v>
      </c>
      <c r="E1068" s="141">
        <f t="shared" si="674"/>
        <v>865280.00000000012</v>
      </c>
      <c r="F1068" s="141">
        <f t="shared" si="674"/>
        <v>889892.40888888901</v>
      </c>
      <c r="G1068" s="141">
        <f t="shared" si="674"/>
        <v>904690.61973333359</v>
      </c>
      <c r="H1068" s="141">
        <f t="shared" si="674"/>
        <v>908434.16712533357</v>
      </c>
      <c r="I1068" s="141">
        <f t="shared" si="674"/>
        <v>911029.69331712031</v>
      </c>
      <c r="J1068" s="141">
        <f t="shared" si="674"/>
        <v>912379.3669368492</v>
      </c>
      <c r="K1068" s="141">
        <f t="shared" si="674"/>
        <v>912379.3669368492</v>
      </c>
      <c r="L1068" s="141">
        <f t="shared" si="674"/>
        <v>910919.55994975031</v>
      </c>
      <c r="M1068" s="141">
        <f t="shared" si="674"/>
        <v>907883.16141658439</v>
      </c>
      <c r="N1068" s="141">
        <f t="shared" si="674"/>
        <v>903146.37970484549</v>
      </c>
      <c r="O1068" s="141">
        <f t="shared" si="674"/>
        <v>896578.04239790142</v>
      </c>
      <c r="P1068" s="141">
        <f t="shared" si="674"/>
        <v>888039.20389887365</v>
      </c>
      <c r="Q1068" s="141">
        <f t="shared" si="674"/>
        <v>877382.73345208704</v>
      </c>
      <c r="R1068" s="141">
        <f t="shared" si="674"/>
        <v>864452.88264331943</v>
      </c>
      <c r="S1068" s="141">
        <f t="shared" si="674"/>
        <v>849084.83139632712</v>
      </c>
      <c r="T1068" s="141">
        <f t="shared" si="674"/>
        <v>831104.21143734606</v>
      </c>
      <c r="U1068" s="141">
        <f t="shared" si="674"/>
        <v>810326.60615141236</v>
      </c>
      <c r="V1068" s="141">
        <f t="shared" si="674"/>
        <v>786557.02570430434</v>
      </c>
      <c r="W1068" s="141">
        <f t="shared" si="674"/>
        <v>0</v>
      </c>
      <c r="X1068" s="141">
        <f t="shared" si="674"/>
        <v>0</v>
      </c>
      <c r="Y1068" s="141">
        <f t="shared" si="674"/>
        <v>0</v>
      </c>
      <c r="Z1068" s="141">
        <f t="shared" si="674"/>
        <v>0</v>
      </c>
      <c r="AA1068" s="141">
        <f t="shared" si="674"/>
        <v>0</v>
      </c>
      <c r="AB1068" s="141">
        <f t="shared" si="674"/>
        <v>0</v>
      </c>
      <c r="AC1068" s="141">
        <f t="shared" si="674"/>
        <v>0</v>
      </c>
      <c r="AD1068" s="141">
        <f t="shared" si="674"/>
        <v>0</v>
      </c>
      <c r="AE1068" s="141">
        <f t="shared" si="674"/>
        <v>0</v>
      </c>
      <c r="AF1068" s="141">
        <f t="shared" si="674"/>
        <v>0</v>
      </c>
      <c r="AG1068" s="141">
        <f t="shared" si="674"/>
        <v>0</v>
      </c>
      <c r="AH1068" s="141">
        <f t="shared" si="674"/>
        <v>0</v>
      </c>
      <c r="AI1068" s="141">
        <f t="shared" si="674"/>
        <v>0</v>
      </c>
      <c r="AJ1068" s="141">
        <f t="shared" si="674"/>
        <v>0</v>
      </c>
      <c r="AK1068" s="141">
        <f t="shared" si="674"/>
        <v>0</v>
      </c>
      <c r="AL1068" s="141">
        <f t="shared" si="674"/>
        <v>0</v>
      </c>
      <c r="AM1068" s="141">
        <f t="shared" si="674"/>
        <v>0</v>
      </c>
      <c r="AN1068" s="141">
        <f t="shared" si="674"/>
        <v>0</v>
      </c>
      <c r="AO1068" s="141">
        <f t="shared" si="674"/>
        <v>0</v>
      </c>
      <c r="AP1068" s="141">
        <f t="shared" si="674"/>
        <v>0</v>
      </c>
      <c r="AQ1068" s="141">
        <f t="shared" si="674"/>
        <v>0</v>
      </c>
      <c r="AR1068" s="141">
        <f t="shared" si="674"/>
        <v>0</v>
      </c>
      <c r="AS1068" s="141">
        <f t="shared" si="674"/>
        <v>0</v>
      </c>
      <c r="AT1068" s="141">
        <f t="shared" si="674"/>
        <v>0</v>
      </c>
      <c r="AU1068" s="141">
        <f t="shared" si="674"/>
        <v>0</v>
      </c>
      <c r="AV1068" s="141">
        <f t="shared" si="674"/>
        <v>0</v>
      </c>
      <c r="AW1068" s="141">
        <f t="shared" si="674"/>
        <v>0</v>
      </c>
      <c r="AX1068" s="141">
        <f t="shared" si="674"/>
        <v>0</v>
      </c>
      <c r="AY1068" s="141">
        <f t="shared" si="674"/>
        <v>0</v>
      </c>
      <c r="AZ1068" s="141">
        <f t="shared" si="674"/>
        <v>0</v>
      </c>
      <c r="BA1068" s="141">
        <f t="shared" si="674"/>
        <v>0</v>
      </c>
      <c r="BB1068" s="141">
        <f t="shared" si="674"/>
        <v>0</v>
      </c>
      <c r="BC1068" s="141">
        <f t="shared" si="674"/>
        <v>0</v>
      </c>
      <c r="BD1068" s="141">
        <f t="shared" si="674"/>
        <v>0</v>
      </c>
      <c r="BE1068" s="141">
        <f t="shared" si="674"/>
        <v>0</v>
      </c>
      <c r="BF1068" s="141">
        <f t="shared" si="674"/>
        <v>0</v>
      </c>
      <c r="BG1068" s="141">
        <f t="shared" si="674"/>
        <v>0</v>
      </c>
      <c r="BH1068" s="141">
        <f t="shared" si="674"/>
        <v>0</v>
      </c>
      <c r="BI1068" s="141">
        <f t="shared" si="674"/>
        <v>0</v>
      </c>
      <c r="BJ1068" s="142">
        <f t="shared" si="674"/>
        <v>0</v>
      </c>
      <c r="BK1068" s="141"/>
      <c r="BL1068" s="141"/>
    </row>
    <row r="1069" spans="1:64" s="143" customFormat="1" ht="12.75">
      <c r="A1069" s="138" t="s">
        <v>128</v>
      </c>
      <c r="B1069" s="139">
        <f>SUM(C1069:BJ1069)</f>
        <v>471536176.09295428</v>
      </c>
      <c r="C1069" s="140">
        <f>C1012*(1+$G981)^(C982-1)</f>
        <v>22545536.399257511</v>
      </c>
      <c r="D1069" s="141">
        <f t="shared" ref="D1069:BJ1069" si="675">D1012*(1+$G981)^(D982-1)</f>
        <v>23291042.136192963</v>
      </c>
      <c r="E1069" s="141">
        <f t="shared" si="675"/>
        <v>23897547.126048192</v>
      </c>
      <c r="F1069" s="141">
        <f t="shared" si="675"/>
        <v>24346235.765965831</v>
      </c>
      <c r="G1069" s="141">
        <f t="shared" si="675"/>
        <v>24616749.496698782</v>
      </c>
      <c r="H1069" s="141">
        <f t="shared" si="675"/>
        <v>24687083.066689357</v>
      </c>
      <c r="I1069" s="141">
        <f t="shared" si="675"/>
        <v>24723656.523084451</v>
      </c>
      <c r="J1069" s="141">
        <f t="shared" si="675"/>
        <v>24723656.523084447</v>
      </c>
      <c r="K1069" s="141">
        <f t="shared" si="675"/>
        <v>24684098.672647517</v>
      </c>
      <c r="L1069" s="141">
        <f t="shared" si="675"/>
        <v>24601818.343738694</v>
      </c>
      <c r="M1069" s="141">
        <f t="shared" si="675"/>
        <v>24473461.030640926</v>
      </c>
      <c r="N1069" s="141">
        <f t="shared" si="675"/>
        <v>24295472.223145355</v>
      </c>
      <c r="O1069" s="141">
        <f t="shared" si="675"/>
        <v>24064086.773401119</v>
      </c>
      <c r="P1069" s="141">
        <f t="shared" si="675"/>
        <v>23775317.732120305</v>
      </c>
      <c r="Q1069" s="141">
        <f t="shared" si="675"/>
        <v>23424944.628699586</v>
      </c>
      <c r="R1069" s="141">
        <f t="shared" si="675"/>
        <v>23008501.168633815</v>
      </c>
      <c r="S1069" s="141">
        <f t="shared" si="675"/>
        <v>22521262.320356868</v>
      </c>
      <c r="T1069" s="141">
        <f t="shared" si="675"/>
        <v>21958230.762347944</v>
      </c>
      <c r="U1069" s="141">
        <f t="shared" si="675"/>
        <v>21314122.65998574</v>
      </c>
      <c r="V1069" s="141">
        <f t="shared" si="675"/>
        <v>20583352.740214802</v>
      </c>
      <c r="W1069" s="141">
        <f t="shared" si="675"/>
        <v>0</v>
      </c>
      <c r="X1069" s="141">
        <f t="shared" si="675"/>
        <v>0</v>
      </c>
      <c r="Y1069" s="141">
        <f t="shared" si="675"/>
        <v>0</v>
      </c>
      <c r="Z1069" s="141">
        <f t="shared" si="675"/>
        <v>0</v>
      </c>
      <c r="AA1069" s="141">
        <f t="shared" si="675"/>
        <v>0</v>
      </c>
      <c r="AB1069" s="141">
        <f t="shared" si="675"/>
        <v>0</v>
      </c>
      <c r="AC1069" s="141">
        <f t="shared" si="675"/>
        <v>0</v>
      </c>
      <c r="AD1069" s="141">
        <f t="shared" si="675"/>
        <v>0</v>
      </c>
      <c r="AE1069" s="141">
        <f t="shared" si="675"/>
        <v>0</v>
      </c>
      <c r="AF1069" s="141">
        <f t="shared" si="675"/>
        <v>0</v>
      </c>
      <c r="AG1069" s="141">
        <f t="shared" si="675"/>
        <v>0</v>
      </c>
      <c r="AH1069" s="141">
        <f t="shared" si="675"/>
        <v>0</v>
      </c>
      <c r="AI1069" s="141">
        <f t="shared" si="675"/>
        <v>0</v>
      </c>
      <c r="AJ1069" s="141">
        <f t="shared" si="675"/>
        <v>0</v>
      </c>
      <c r="AK1069" s="141">
        <f t="shared" si="675"/>
        <v>0</v>
      </c>
      <c r="AL1069" s="141">
        <f t="shared" si="675"/>
        <v>0</v>
      </c>
      <c r="AM1069" s="141">
        <f t="shared" si="675"/>
        <v>0</v>
      </c>
      <c r="AN1069" s="141">
        <f t="shared" si="675"/>
        <v>0</v>
      </c>
      <c r="AO1069" s="141">
        <f t="shared" si="675"/>
        <v>0</v>
      </c>
      <c r="AP1069" s="141">
        <f t="shared" si="675"/>
        <v>0</v>
      </c>
      <c r="AQ1069" s="141">
        <f t="shared" si="675"/>
        <v>0</v>
      </c>
      <c r="AR1069" s="141">
        <f t="shared" si="675"/>
        <v>0</v>
      </c>
      <c r="AS1069" s="141">
        <f t="shared" si="675"/>
        <v>0</v>
      </c>
      <c r="AT1069" s="141">
        <f t="shared" si="675"/>
        <v>0</v>
      </c>
      <c r="AU1069" s="141">
        <f t="shared" si="675"/>
        <v>0</v>
      </c>
      <c r="AV1069" s="141">
        <f t="shared" si="675"/>
        <v>0</v>
      </c>
      <c r="AW1069" s="141">
        <f t="shared" si="675"/>
        <v>0</v>
      </c>
      <c r="AX1069" s="141">
        <f t="shared" si="675"/>
        <v>0</v>
      </c>
      <c r="AY1069" s="141">
        <f t="shared" si="675"/>
        <v>0</v>
      </c>
      <c r="AZ1069" s="141">
        <f t="shared" si="675"/>
        <v>0</v>
      </c>
      <c r="BA1069" s="141">
        <f t="shared" si="675"/>
        <v>0</v>
      </c>
      <c r="BB1069" s="141">
        <f t="shared" si="675"/>
        <v>0</v>
      </c>
      <c r="BC1069" s="141">
        <f t="shared" si="675"/>
        <v>0</v>
      </c>
      <c r="BD1069" s="141">
        <f t="shared" si="675"/>
        <v>0</v>
      </c>
      <c r="BE1069" s="141">
        <f t="shared" si="675"/>
        <v>0</v>
      </c>
      <c r="BF1069" s="141">
        <f t="shared" si="675"/>
        <v>0</v>
      </c>
      <c r="BG1069" s="141">
        <f t="shared" si="675"/>
        <v>0</v>
      </c>
      <c r="BH1069" s="141">
        <f t="shared" si="675"/>
        <v>0</v>
      </c>
      <c r="BI1069" s="141">
        <f t="shared" si="675"/>
        <v>0</v>
      </c>
      <c r="BJ1069" s="142">
        <f t="shared" si="675"/>
        <v>0</v>
      </c>
      <c r="BK1069" s="141"/>
      <c r="BL1069" s="141"/>
    </row>
    <row r="1070" spans="1:64" s="143" customFormat="1" ht="12.75">
      <c r="A1070" s="138" t="s">
        <v>129</v>
      </c>
      <c r="B1070" s="139">
        <f>SUM(C1070:BJ1070)</f>
        <v>23477181.641835917</v>
      </c>
      <c r="C1070" s="140">
        <f>C1013*(1+$G981)^(C982-1)</f>
        <v>1191339.579049113</v>
      </c>
      <c r="D1070" s="141">
        <f t="shared" ref="D1070:BJ1070" si="676">D1013*(1+$G981)^(D982-1)</f>
        <v>1225226.5715198435</v>
      </c>
      <c r="E1070" s="141">
        <f t="shared" si="676"/>
        <v>1231283.8714239865</v>
      </c>
      <c r="F1070" s="141">
        <f t="shared" si="676"/>
        <v>1235865.3928060292</v>
      </c>
      <c r="G1070" s="141">
        <f t="shared" si="676"/>
        <v>1238843.3817043572</v>
      </c>
      <c r="H1070" s="141">
        <f t="shared" si="676"/>
        <v>1240082.2250860617</v>
      </c>
      <c r="I1070" s="141">
        <f t="shared" si="676"/>
        <v>1239438.0265275757</v>
      </c>
      <c r="J1070" s="141">
        <f t="shared" si="676"/>
        <v>1236758.1605242726</v>
      </c>
      <c r="K1070" s="141">
        <f t="shared" si="676"/>
        <v>1231880.8043982617</v>
      </c>
      <c r="L1070" s="141">
        <f t="shared" si="676"/>
        <v>1224634.446725331</v>
      </c>
      <c r="M1070" s="141">
        <f t="shared" si="676"/>
        <v>1214837.3711515283</v>
      </c>
      <c r="N1070" s="141">
        <f t="shared" si="676"/>
        <v>1202297.114417061</v>
      </c>
      <c r="O1070" s="141">
        <f t="shared" si="676"/>
        <v>1186809.8973499939</v>
      </c>
      <c r="P1070" s="141">
        <f t="shared" si="676"/>
        <v>1168160.0275344942</v>
      </c>
      <c r="Q1070" s="141">
        <f t="shared" si="676"/>
        <v>1146119.2722979945</v>
      </c>
      <c r="R1070" s="141">
        <f t="shared" si="676"/>
        <v>1120446.2005985193</v>
      </c>
      <c r="S1070" s="141">
        <f t="shared" si="676"/>
        <v>1090885.4923274096</v>
      </c>
      <c r="T1070" s="141">
        <f t="shared" si="676"/>
        <v>1057167.2134736537</v>
      </c>
      <c r="U1070" s="141">
        <f t="shared" si="676"/>
        <v>1019006.0555238731</v>
      </c>
      <c r="V1070" s="141">
        <f t="shared" si="676"/>
        <v>976100.53739655216</v>
      </c>
      <c r="W1070" s="141">
        <f t="shared" si="676"/>
        <v>0</v>
      </c>
      <c r="X1070" s="141">
        <f t="shared" si="676"/>
        <v>0</v>
      </c>
      <c r="Y1070" s="141">
        <f t="shared" si="676"/>
        <v>0</v>
      </c>
      <c r="Z1070" s="141">
        <f t="shared" si="676"/>
        <v>0</v>
      </c>
      <c r="AA1070" s="141">
        <f t="shared" si="676"/>
        <v>0</v>
      </c>
      <c r="AB1070" s="141">
        <f t="shared" si="676"/>
        <v>0</v>
      </c>
      <c r="AC1070" s="141">
        <f t="shared" si="676"/>
        <v>0</v>
      </c>
      <c r="AD1070" s="141">
        <f t="shared" si="676"/>
        <v>0</v>
      </c>
      <c r="AE1070" s="141">
        <f t="shared" si="676"/>
        <v>0</v>
      </c>
      <c r="AF1070" s="141">
        <f t="shared" si="676"/>
        <v>0</v>
      </c>
      <c r="AG1070" s="141">
        <f t="shared" si="676"/>
        <v>0</v>
      </c>
      <c r="AH1070" s="141">
        <f t="shared" si="676"/>
        <v>0</v>
      </c>
      <c r="AI1070" s="141">
        <f t="shared" si="676"/>
        <v>0</v>
      </c>
      <c r="AJ1070" s="141">
        <f t="shared" si="676"/>
        <v>0</v>
      </c>
      <c r="AK1070" s="141">
        <f t="shared" si="676"/>
        <v>0</v>
      </c>
      <c r="AL1070" s="141">
        <f t="shared" si="676"/>
        <v>0</v>
      </c>
      <c r="AM1070" s="141">
        <f t="shared" si="676"/>
        <v>0</v>
      </c>
      <c r="AN1070" s="141">
        <f t="shared" si="676"/>
        <v>0</v>
      </c>
      <c r="AO1070" s="141">
        <f t="shared" si="676"/>
        <v>0</v>
      </c>
      <c r="AP1070" s="141">
        <f t="shared" si="676"/>
        <v>0</v>
      </c>
      <c r="AQ1070" s="141">
        <f t="shared" si="676"/>
        <v>0</v>
      </c>
      <c r="AR1070" s="141">
        <f t="shared" si="676"/>
        <v>0</v>
      </c>
      <c r="AS1070" s="141">
        <f t="shared" si="676"/>
        <v>0</v>
      </c>
      <c r="AT1070" s="141">
        <f t="shared" si="676"/>
        <v>0</v>
      </c>
      <c r="AU1070" s="141">
        <f t="shared" si="676"/>
        <v>0</v>
      </c>
      <c r="AV1070" s="141">
        <f t="shared" si="676"/>
        <v>0</v>
      </c>
      <c r="AW1070" s="141">
        <f t="shared" si="676"/>
        <v>0</v>
      </c>
      <c r="AX1070" s="141">
        <f t="shared" si="676"/>
        <v>0</v>
      </c>
      <c r="AY1070" s="141">
        <f t="shared" si="676"/>
        <v>0</v>
      </c>
      <c r="AZ1070" s="141">
        <f t="shared" si="676"/>
        <v>0</v>
      </c>
      <c r="BA1070" s="141">
        <f t="shared" si="676"/>
        <v>0</v>
      </c>
      <c r="BB1070" s="141">
        <f t="shared" si="676"/>
        <v>0</v>
      </c>
      <c r="BC1070" s="141">
        <f t="shared" si="676"/>
        <v>0</v>
      </c>
      <c r="BD1070" s="141">
        <f t="shared" si="676"/>
        <v>0</v>
      </c>
      <c r="BE1070" s="141">
        <f t="shared" si="676"/>
        <v>0</v>
      </c>
      <c r="BF1070" s="141">
        <f t="shared" si="676"/>
        <v>0</v>
      </c>
      <c r="BG1070" s="141">
        <f t="shared" si="676"/>
        <v>0</v>
      </c>
      <c r="BH1070" s="141">
        <f t="shared" si="676"/>
        <v>0</v>
      </c>
      <c r="BI1070" s="141">
        <f t="shared" si="676"/>
        <v>0</v>
      </c>
      <c r="BJ1070" s="142">
        <f t="shared" si="676"/>
        <v>0</v>
      </c>
      <c r="BK1070" s="141"/>
      <c r="BL1070" s="141"/>
    </row>
    <row r="1071" spans="1:64" s="116" customFormat="1">
      <c r="A1071" s="111" t="s">
        <v>133</v>
      </c>
      <c r="B1071" s="155">
        <f>SUM(B1072:B1075)</f>
        <v>278548061.58592063</v>
      </c>
      <c r="C1071" s="117">
        <f>SUM(C1072:C1075)</f>
        <v>1635406.8242892909</v>
      </c>
      <c r="D1071" s="118">
        <f>SUM(D1072:D1075)</f>
        <v>3539312.1014340678</v>
      </c>
      <c r="E1071" s="118">
        <f>SUM(E1072:E1075)</f>
        <v>6102868.991554332</v>
      </c>
      <c r="F1071" s="118">
        <f t="shared" ref="F1071:AJ1071" si="677">SUM(F1072:F1075)</f>
        <v>8865847.533521926</v>
      </c>
      <c r="G1071" s="118">
        <f t="shared" si="677"/>
        <v>11840099.76846044</v>
      </c>
      <c r="H1071" s="118">
        <f t="shared" si="677"/>
        <v>12313703.759198857</v>
      </c>
      <c r="I1071" s="118">
        <f t="shared" si="677"/>
        <v>12806251.90956681</v>
      </c>
      <c r="J1071" s="118">
        <f t="shared" si="677"/>
        <v>13318501.985949483</v>
      </c>
      <c r="K1071" s="118">
        <f t="shared" si="677"/>
        <v>13851242.065387465</v>
      </c>
      <c r="L1071" s="118">
        <f t="shared" si="677"/>
        <v>14405291.748002965</v>
      </c>
      <c r="M1071" s="118">
        <f t="shared" si="677"/>
        <v>14981503.417923084</v>
      </c>
      <c r="N1071" s="118">
        <f t="shared" si="677"/>
        <v>15580763.554640006</v>
      </c>
      <c r="O1071" s="118">
        <f t="shared" si="677"/>
        <v>16203994.096825611</v>
      </c>
      <c r="P1071" s="118">
        <f t="shared" si="677"/>
        <v>16852153.860698633</v>
      </c>
      <c r="Q1071" s="118">
        <f t="shared" si="677"/>
        <v>17526240.015126579</v>
      </c>
      <c r="R1071" s="118">
        <f t="shared" si="677"/>
        <v>18227289.615731642</v>
      </c>
      <c r="S1071" s="118">
        <f t="shared" si="677"/>
        <v>18956381.200360909</v>
      </c>
      <c r="T1071" s="118">
        <f t="shared" si="677"/>
        <v>19714636.448375348</v>
      </c>
      <c r="U1071" s="118">
        <f t="shared" si="677"/>
        <v>20503221.906310365</v>
      </c>
      <c r="V1071" s="118">
        <f t="shared" si="677"/>
        <v>21323350.782562777</v>
      </c>
      <c r="W1071" s="118">
        <f t="shared" si="677"/>
        <v>0</v>
      </c>
      <c r="X1071" s="118">
        <f t="shared" si="677"/>
        <v>0</v>
      </c>
      <c r="Y1071" s="118">
        <f t="shared" si="677"/>
        <v>0</v>
      </c>
      <c r="Z1071" s="118">
        <f t="shared" si="677"/>
        <v>0</v>
      </c>
      <c r="AA1071" s="118">
        <f t="shared" si="677"/>
        <v>0</v>
      </c>
      <c r="AB1071" s="118">
        <f t="shared" si="677"/>
        <v>0</v>
      </c>
      <c r="AC1071" s="118">
        <f t="shared" si="677"/>
        <v>0</v>
      </c>
      <c r="AD1071" s="118">
        <f t="shared" si="677"/>
        <v>0</v>
      </c>
      <c r="AE1071" s="118">
        <f t="shared" si="677"/>
        <v>0</v>
      </c>
      <c r="AF1071" s="118">
        <f t="shared" si="677"/>
        <v>0</v>
      </c>
      <c r="AG1071" s="118">
        <f t="shared" si="677"/>
        <v>0</v>
      </c>
      <c r="AH1071" s="118">
        <f t="shared" si="677"/>
        <v>0</v>
      </c>
      <c r="AI1071" s="118">
        <f t="shared" si="677"/>
        <v>0</v>
      </c>
      <c r="AJ1071" s="118">
        <f t="shared" si="677"/>
        <v>0</v>
      </c>
      <c r="AK1071" s="118"/>
      <c r="AL1071" s="118"/>
      <c r="AM1071" s="118"/>
      <c r="AN1071" s="118"/>
      <c r="AO1071" s="118"/>
      <c r="AP1071" s="118"/>
      <c r="AQ1071" s="118"/>
      <c r="AR1071" s="118"/>
      <c r="AS1071" s="118"/>
      <c r="AT1071" s="118"/>
      <c r="AU1071" s="118"/>
      <c r="AV1071" s="118"/>
      <c r="AW1071" s="118"/>
      <c r="AX1071" s="118"/>
      <c r="AY1071" s="118"/>
      <c r="AZ1071" s="118"/>
      <c r="BA1071" s="118"/>
      <c r="BB1071" s="118"/>
      <c r="BC1071" s="118"/>
      <c r="BD1071" s="118"/>
      <c r="BE1071" s="118"/>
      <c r="BF1071" s="118"/>
      <c r="BG1071" s="118"/>
      <c r="BH1071" s="118"/>
      <c r="BI1071" s="118"/>
      <c r="BJ1071" s="119"/>
      <c r="BK1071" s="118"/>
      <c r="BL1071" s="118"/>
    </row>
    <row r="1072" spans="1:64" s="143" customFormat="1" ht="12.75">
      <c r="A1072" s="138" t="s">
        <v>126</v>
      </c>
      <c r="B1072" s="139">
        <f t="shared" ref="B1072:B1078" si="678">SUM(C1072:BJ1072)</f>
        <v>51739094.824825458</v>
      </c>
      <c r="C1072" s="140">
        <f>C1015*(1+$G981)^(C982-1)</f>
        <v>0</v>
      </c>
      <c r="D1072" s="141">
        <f>D1015*(1+$G981)^(D982-1)</f>
        <v>0</v>
      </c>
      <c r="E1072" s="141">
        <f t="shared" ref="E1072:BJ1072" si="679">E1015*(1+$G981)^(E982-1)</f>
        <v>700158.70587821864</v>
      </c>
      <c r="F1072" s="141">
        <f t="shared" si="679"/>
        <v>1456330.1082266949</v>
      </c>
      <c r="G1072" s="141">
        <f t="shared" si="679"/>
        <v>2271874.9688336444</v>
      </c>
      <c r="H1072" s="141">
        <f t="shared" si="679"/>
        <v>2362749.9675869904</v>
      </c>
      <c r="I1072" s="141">
        <f t="shared" si="679"/>
        <v>2457259.9662904697</v>
      </c>
      <c r="J1072" s="141">
        <f t="shared" si="679"/>
        <v>2555550.3649420887</v>
      </c>
      <c r="K1072" s="141">
        <f t="shared" si="679"/>
        <v>2657772.3795397724</v>
      </c>
      <c r="L1072" s="141">
        <f t="shared" si="679"/>
        <v>2764083.2747213636</v>
      </c>
      <c r="M1072" s="141">
        <f t="shared" si="679"/>
        <v>2874646.6057102182</v>
      </c>
      <c r="N1072" s="141">
        <f t="shared" si="679"/>
        <v>2989632.4699386265</v>
      </c>
      <c r="O1072" s="141">
        <f t="shared" si="679"/>
        <v>3109217.7687361725</v>
      </c>
      <c r="P1072" s="141">
        <f t="shared" si="679"/>
        <v>3233586.4794856193</v>
      </c>
      <c r="Q1072" s="141">
        <f t="shared" si="679"/>
        <v>3362929.938665044</v>
      </c>
      <c r="R1072" s="141">
        <f t="shared" si="679"/>
        <v>3497447.1362116458</v>
      </c>
      <c r="S1072" s="141">
        <f t="shared" si="679"/>
        <v>3637345.0216601123</v>
      </c>
      <c r="T1072" s="141">
        <f t="shared" si="679"/>
        <v>3782838.8225265169</v>
      </c>
      <c r="U1072" s="141">
        <f t="shared" si="679"/>
        <v>3934152.3754275781</v>
      </c>
      <c r="V1072" s="141">
        <f t="shared" si="679"/>
        <v>4091518.4704446811</v>
      </c>
      <c r="W1072" s="141">
        <f t="shared" si="679"/>
        <v>0</v>
      </c>
      <c r="X1072" s="141">
        <f t="shared" si="679"/>
        <v>0</v>
      </c>
      <c r="Y1072" s="141">
        <f t="shared" si="679"/>
        <v>0</v>
      </c>
      <c r="Z1072" s="141">
        <f t="shared" si="679"/>
        <v>0</v>
      </c>
      <c r="AA1072" s="141">
        <f t="shared" si="679"/>
        <v>0</v>
      </c>
      <c r="AB1072" s="141">
        <f t="shared" si="679"/>
        <v>0</v>
      </c>
      <c r="AC1072" s="141">
        <f t="shared" si="679"/>
        <v>0</v>
      </c>
      <c r="AD1072" s="141">
        <f t="shared" si="679"/>
        <v>0</v>
      </c>
      <c r="AE1072" s="141">
        <f t="shared" si="679"/>
        <v>0</v>
      </c>
      <c r="AF1072" s="141">
        <f t="shared" si="679"/>
        <v>0</v>
      </c>
      <c r="AG1072" s="141">
        <f t="shared" si="679"/>
        <v>0</v>
      </c>
      <c r="AH1072" s="141">
        <f t="shared" si="679"/>
        <v>0</v>
      </c>
      <c r="AI1072" s="141">
        <f t="shared" si="679"/>
        <v>0</v>
      </c>
      <c r="AJ1072" s="141">
        <f t="shared" si="679"/>
        <v>0</v>
      </c>
      <c r="AK1072" s="141">
        <f t="shared" si="679"/>
        <v>0</v>
      </c>
      <c r="AL1072" s="141">
        <f t="shared" si="679"/>
        <v>0</v>
      </c>
      <c r="AM1072" s="141">
        <f t="shared" si="679"/>
        <v>0</v>
      </c>
      <c r="AN1072" s="141">
        <f t="shared" si="679"/>
        <v>0</v>
      </c>
      <c r="AO1072" s="141">
        <f t="shared" si="679"/>
        <v>0</v>
      </c>
      <c r="AP1072" s="141">
        <f t="shared" si="679"/>
        <v>0</v>
      </c>
      <c r="AQ1072" s="141">
        <f t="shared" si="679"/>
        <v>0</v>
      </c>
      <c r="AR1072" s="141">
        <f t="shared" si="679"/>
        <v>0</v>
      </c>
      <c r="AS1072" s="141">
        <f t="shared" si="679"/>
        <v>0</v>
      </c>
      <c r="AT1072" s="141">
        <f t="shared" si="679"/>
        <v>0</v>
      </c>
      <c r="AU1072" s="141">
        <f t="shared" si="679"/>
        <v>0</v>
      </c>
      <c r="AV1072" s="141">
        <f t="shared" si="679"/>
        <v>0</v>
      </c>
      <c r="AW1072" s="141">
        <f t="shared" si="679"/>
        <v>0</v>
      </c>
      <c r="AX1072" s="141">
        <f t="shared" si="679"/>
        <v>0</v>
      </c>
      <c r="AY1072" s="141">
        <f t="shared" si="679"/>
        <v>0</v>
      </c>
      <c r="AZ1072" s="141">
        <f t="shared" si="679"/>
        <v>0</v>
      </c>
      <c r="BA1072" s="141">
        <f t="shared" si="679"/>
        <v>0</v>
      </c>
      <c r="BB1072" s="141">
        <f t="shared" si="679"/>
        <v>0</v>
      </c>
      <c r="BC1072" s="141">
        <f t="shared" si="679"/>
        <v>0</v>
      </c>
      <c r="BD1072" s="141">
        <f t="shared" si="679"/>
        <v>0</v>
      </c>
      <c r="BE1072" s="141">
        <f t="shared" si="679"/>
        <v>0</v>
      </c>
      <c r="BF1072" s="141">
        <f t="shared" si="679"/>
        <v>0</v>
      </c>
      <c r="BG1072" s="141">
        <f t="shared" si="679"/>
        <v>0</v>
      </c>
      <c r="BH1072" s="141">
        <f t="shared" si="679"/>
        <v>0</v>
      </c>
      <c r="BI1072" s="141">
        <f t="shared" si="679"/>
        <v>0</v>
      </c>
      <c r="BJ1072" s="142">
        <f t="shared" si="679"/>
        <v>0</v>
      </c>
      <c r="BK1072" s="141"/>
      <c r="BL1072" s="141"/>
    </row>
    <row r="1073" spans="1:64" s="143" customFormat="1" ht="12.75">
      <c r="A1073" s="138" t="s">
        <v>127</v>
      </c>
      <c r="B1073" s="139">
        <f t="shared" si="678"/>
        <v>7104548.5980005777</v>
      </c>
      <c r="C1073" s="140">
        <f>C1016*(1+$G981)^(C982-1)</f>
        <v>0</v>
      </c>
      <c r="D1073" s="141">
        <f>D1016*(1+$G981)^(D982-1)</f>
        <v>0</v>
      </c>
      <c r="E1073" s="141">
        <f t="shared" ref="E1073:BJ1073" si="680">E1016*(1+$G981)^(E982-1)</f>
        <v>96142.222222222234</v>
      </c>
      <c r="F1073" s="141">
        <f t="shared" si="680"/>
        <v>199975.82222222225</v>
      </c>
      <c r="G1073" s="141">
        <f t="shared" si="680"/>
        <v>311962.28266666672</v>
      </c>
      <c r="H1073" s="141">
        <f t="shared" si="680"/>
        <v>324440.77397333347</v>
      </c>
      <c r="I1073" s="141">
        <f t="shared" si="680"/>
        <v>337418.4049322668</v>
      </c>
      <c r="J1073" s="141">
        <f t="shared" si="680"/>
        <v>350915.14112955745</v>
      </c>
      <c r="K1073" s="141">
        <f t="shared" si="680"/>
        <v>364951.74677473976</v>
      </c>
      <c r="L1073" s="141">
        <f t="shared" si="680"/>
        <v>379549.81664572941</v>
      </c>
      <c r="M1073" s="141">
        <f t="shared" si="680"/>
        <v>394731.80931155861</v>
      </c>
      <c r="N1073" s="141">
        <f t="shared" si="680"/>
        <v>410521.08168402087</v>
      </c>
      <c r="O1073" s="141">
        <f t="shared" si="680"/>
        <v>426941.92495138181</v>
      </c>
      <c r="P1073" s="141">
        <f t="shared" si="680"/>
        <v>444019.60194943711</v>
      </c>
      <c r="Q1073" s="141">
        <f t="shared" si="680"/>
        <v>461780.38602741458</v>
      </c>
      <c r="R1073" s="141">
        <f t="shared" si="680"/>
        <v>480251.60146851116</v>
      </c>
      <c r="S1073" s="141">
        <f t="shared" si="680"/>
        <v>499461.66552725167</v>
      </c>
      <c r="T1073" s="141">
        <f t="shared" si="680"/>
        <v>519440.1321483418</v>
      </c>
      <c r="U1073" s="141">
        <f t="shared" si="680"/>
        <v>540217.73743427556</v>
      </c>
      <c r="V1073" s="141">
        <f t="shared" si="680"/>
        <v>561826.44693164655</v>
      </c>
      <c r="W1073" s="141">
        <f t="shared" si="680"/>
        <v>0</v>
      </c>
      <c r="X1073" s="141">
        <f t="shared" si="680"/>
        <v>0</v>
      </c>
      <c r="Y1073" s="141">
        <f t="shared" si="680"/>
        <v>0</v>
      </c>
      <c r="Z1073" s="141">
        <f t="shared" si="680"/>
        <v>0</v>
      </c>
      <c r="AA1073" s="141">
        <f t="shared" si="680"/>
        <v>0</v>
      </c>
      <c r="AB1073" s="141">
        <f t="shared" si="680"/>
        <v>0</v>
      </c>
      <c r="AC1073" s="141">
        <f t="shared" si="680"/>
        <v>0</v>
      </c>
      <c r="AD1073" s="141">
        <f t="shared" si="680"/>
        <v>0</v>
      </c>
      <c r="AE1073" s="141">
        <f t="shared" si="680"/>
        <v>0</v>
      </c>
      <c r="AF1073" s="141">
        <f t="shared" si="680"/>
        <v>0</v>
      </c>
      <c r="AG1073" s="141">
        <f t="shared" si="680"/>
        <v>0</v>
      </c>
      <c r="AH1073" s="141">
        <f t="shared" si="680"/>
        <v>0</v>
      </c>
      <c r="AI1073" s="141">
        <f t="shared" si="680"/>
        <v>0</v>
      </c>
      <c r="AJ1073" s="141">
        <f t="shared" si="680"/>
        <v>0</v>
      </c>
      <c r="AK1073" s="141">
        <f t="shared" si="680"/>
        <v>0</v>
      </c>
      <c r="AL1073" s="141">
        <f t="shared" si="680"/>
        <v>0</v>
      </c>
      <c r="AM1073" s="141">
        <f t="shared" si="680"/>
        <v>0</v>
      </c>
      <c r="AN1073" s="141">
        <f t="shared" si="680"/>
        <v>0</v>
      </c>
      <c r="AO1073" s="141">
        <f t="shared" si="680"/>
        <v>0</v>
      </c>
      <c r="AP1073" s="141">
        <f t="shared" si="680"/>
        <v>0</v>
      </c>
      <c r="AQ1073" s="141">
        <f t="shared" si="680"/>
        <v>0</v>
      </c>
      <c r="AR1073" s="141">
        <f t="shared" si="680"/>
        <v>0</v>
      </c>
      <c r="AS1073" s="141">
        <f t="shared" si="680"/>
        <v>0</v>
      </c>
      <c r="AT1073" s="141">
        <f t="shared" si="680"/>
        <v>0</v>
      </c>
      <c r="AU1073" s="141">
        <f t="shared" si="680"/>
        <v>0</v>
      </c>
      <c r="AV1073" s="141">
        <f t="shared" si="680"/>
        <v>0</v>
      </c>
      <c r="AW1073" s="141">
        <f t="shared" si="680"/>
        <v>0</v>
      </c>
      <c r="AX1073" s="141">
        <f t="shared" si="680"/>
        <v>0</v>
      </c>
      <c r="AY1073" s="141">
        <f t="shared" si="680"/>
        <v>0</v>
      </c>
      <c r="AZ1073" s="141">
        <f t="shared" si="680"/>
        <v>0</v>
      </c>
      <c r="BA1073" s="141">
        <f t="shared" si="680"/>
        <v>0</v>
      </c>
      <c r="BB1073" s="141">
        <f t="shared" si="680"/>
        <v>0</v>
      </c>
      <c r="BC1073" s="141">
        <f t="shared" si="680"/>
        <v>0</v>
      </c>
      <c r="BD1073" s="141">
        <f t="shared" si="680"/>
        <v>0</v>
      </c>
      <c r="BE1073" s="141">
        <f t="shared" si="680"/>
        <v>0</v>
      </c>
      <c r="BF1073" s="141">
        <f t="shared" si="680"/>
        <v>0</v>
      </c>
      <c r="BG1073" s="141">
        <f t="shared" si="680"/>
        <v>0</v>
      </c>
      <c r="BH1073" s="141">
        <f t="shared" si="680"/>
        <v>0</v>
      </c>
      <c r="BI1073" s="141">
        <f t="shared" si="680"/>
        <v>0</v>
      </c>
      <c r="BJ1073" s="142">
        <f t="shared" si="680"/>
        <v>0</v>
      </c>
      <c r="BK1073" s="141"/>
      <c r="BL1073" s="141"/>
    </row>
    <row r="1074" spans="1:64" s="143" customFormat="1" ht="12.75">
      <c r="A1074" s="138" t="s">
        <v>128</v>
      </c>
      <c r="B1074" s="139">
        <f t="shared" si="678"/>
        <v>208143892.42662972</v>
      </c>
      <c r="C1074" s="140">
        <f>C1017*(1+$G981)^(C982-1)</f>
        <v>1503035.7599505007</v>
      </c>
      <c r="D1074" s="141">
        <f>D1017*(1+$G981)^(D982-1)</f>
        <v>3126314.3806970417</v>
      </c>
      <c r="E1074" s="141">
        <f t="shared" ref="E1074:BJ1074" si="681">E1017*(1+$G981)^(E982-1)</f>
        <v>4877050.4338873848</v>
      </c>
      <c r="F1074" s="141">
        <f t="shared" si="681"/>
        <v>6762843.2683238406</v>
      </c>
      <c r="G1074" s="141">
        <f t="shared" si="681"/>
        <v>8791696.248820994</v>
      </c>
      <c r="H1074" s="141">
        <f t="shared" si="681"/>
        <v>9143364.0987738352</v>
      </c>
      <c r="I1074" s="141">
        <f t="shared" si="681"/>
        <v>9509098.6627247874</v>
      </c>
      <c r="J1074" s="141">
        <f t="shared" si="681"/>
        <v>9889462.609233778</v>
      </c>
      <c r="K1074" s="141">
        <f t="shared" si="681"/>
        <v>10285041.113603132</v>
      </c>
      <c r="L1074" s="141">
        <f t="shared" si="681"/>
        <v>10696442.758147258</v>
      </c>
      <c r="M1074" s="141">
        <f t="shared" si="681"/>
        <v>11124300.468473148</v>
      </c>
      <c r="N1074" s="141">
        <f t="shared" si="681"/>
        <v>11569272.487212073</v>
      </c>
      <c r="O1074" s="141">
        <f t="shared" si="681"/>
        <v>12032043.386700559</v>
      </c>
      <c r="P1074" s="141">
        <f t="shared" si="681"/>
        <v>12513325.122168582</v>
      </c>
      <c r="Q1074" s="141">
        <f t="shared" si="681"/>
        <v>13013858.127055325</v>
      </c>
      <c r="R1074" s="141">
        <f t="shared" si="681"/>
        <v>13534412.452137537</v>
      </c>
      <c r="S1074" s="141">
        <f t="shared" si="681"/>
        <v>14075788.95022304</v>
      </c>
      <c r="T1074" s="141">
        <f t="shared" si="681"/>
        <v>14638820.508231962</v>
      </c>
      <c r="U1074" s="141">
        <f t="shared" si="681"/>
        <v>15224373.328561243</v>
      </c>
      <c r="V1074" s="141">
        <f t="shared" si="681"/>
        <v>15833348.261703692</v>
      </c>
      <c r="W1074" s="141">
        <f t="shared" si="681"/>
        <v>0</v>
      </c>
      <c r="X1074" s="141">
        <f t="shared" si="681"/>
        <v>0</v>
      </c>
      <c r="Y1074" s="141">
        <f t="shared" si="681"/>
        <v>0</v>
      </c>
      <c r="Z1074" s="141">
        <f t="shared" si="681"/>
        <v>0</v>
      </c>
      <c r="AA1074" s="141">
        <f t="shared" si="681"/>
        <v>0</v>
      </c>
      <c r="AB1074" s="141">
        <f t="shared" si="681"/>
        <v>0</v>
      </c>
      <c r="AC1074" s="141">
        <f t="shared" si="681"/>
        <v>0</v>
      </c>
      <c r="AD1074" s="141">
        <f t="shared" si="681"/>
        <v>0</v>
      </c>
      <c r="AE1074" s="141">
        <f t="shared" si="681"/>
        <v>0</v>
      </c>
      <c r="AF1074" s="141">
        <f t="shared" si="681"/>
        <v>0</v>
      </c>
      <c r="AG1074" s="141">
        <f t="shared" si="681"/>
        <v>0</v>
      </c>
      <c r="AH1074" s="141">
        <f t="shared" si="681"/>
        <v>0</v>
      </c>
      <c r="AI1074" s="141">
        <f t="shared" si="681"/>
        <v>0</v>
      </c>
      <c r="AJ1074" s="141">
        <f t="shared" si="681"/>
        <v>0</v>
      </c>
      <c r="AK1074" s="141">
        <f t="shared" si="681"/>
        <v>0</v>
      </c>
      <c r="AL1074" s="141">
        <f t="shared" si="681"/>
        <v>0</v>
      </c>
      <c r="AM1074" s="141">
        <f t="shared" si="681"/>
        <v>0</v>
      </c>
      <c r="AN1074" s="141">
        <f t="shared" si="681"/>
        <v>0</v>
      </c>
      <c r="AO1074" s="141">
        <f t="shared" si="681"/>
        <v>0</v>
      </c>
      <c r="AP1074" s="141">
        <f t="shared" si="681"/>
        <v>0</v>
      </c>
      <c r="AQ1074" s="141">
        <f t="shared" si="681"/>
        <v>0</v>
      </c>
      <c r="AR1074" s="141">
        <f t="shared" si="681"/>
        <v>0</v>
      </c>
      <c r="AS1074" s="141">
        <f t="shared" si="681"/>
        <v>0</v>
      </c>
      <c r="AT1074" s="141">
        <f t="shared" si="681"/>
        <v>0</v>
      </c>
      <c r="AU1074" s="141">
        <f t="shared" si="681"/>
        <v>0</v>
      </c>
      <c r="AV1074" s="141">
        <f t="shared" si="681"/>
        <v>0</v>
      </c>
      <c r="AW1074" s="141">
        <f t="shared" si="681"/>
        <v>0</v>
      </c>
      <c r="AX1074" s="141">
        <f t="shared" si="681"/>
        <v>0</v>
      </c>
      <c r="AY1074" s="141">
        <f t="shared" si="681"/>
        <v>0</v>
      </c>
      <c r="AZ1074" s="141">
        <f t="shared" si="681"/>
        <v>0</v>
      </c>
      <c r="BA1074" s="141">
        <f t="shared" si="681"/>
        <v>0</v>
      </c>
      <c r="BB1074" s="141">
        <f t="shared" si="681"/>
        <v>0</v>
      </c>
      <c r="BC1074" s="141">
        <f t="shared" si="681"/>
        <v>0</v>
      </c>
      <c r="BD1074" s="141">
        <f t="shared" si="681"/>
        <v>0</v>
      </c>
      <c r="BE1074" s="141">
        <f t="shared" si="681"/>
        <v>0</v>
      </c>
      <c r="BF1074" s="141">
        <f t="shared" si="681"/>
        <v>0</v>
      </c>
      <c r="BG1074" s="141">
        <f t="shared" si="681"/>
        <v>0</v>
      </c>
      <c r="BH1074" s="141">
        <f t="shared" si="681"/>
        <v>0</v>
      </c>
      <c r="BI1074" s="141">
        <f t="shared" si="681"/>
        <v>0</v>
      </c>
      <c r="BJ1074" s="142">
        <f t="shared" si="681"/>
        <v>0</v>
      </c>
      <c r="BK1074" s="141"/>
      <c r="BL1074" s="141"/>
    </row>
    <row r="1075" spans="1:64" s="143" customFormat="1" ht="12.75">
      <c r="A1075" s="138" t="s">
        <v>129</v>
      </c>
      <c r="B1075" s="139">
        <f t="shared" si="678"/>
        <v>11560525.736464843</v>
      </c>
      <c r="C1075" s="213">
        <f>C1018*(1+$G981)^(C982-1)</f>
        <v>132371.06433879034</v>
      </c>
      <c r="D1075" s="214">
        <f>D1018*(1+$G981)^(D982-1)</f>
        <v>412997.72073702584</v>
      </c>
      <c r="E1075" s="214">
        <f t="shared" ref="E1075:BJ1075" si="682">E1018*(1+$G981)^(E982-1)</f>
        <v>429517.62956650689</v>
      </c>
      <c r="F1075" s="214">
        <f t="shared" si="682"/>
        <v>446698.33474916714</v>
      </c>
      <c r="G1075" s="214">
        <f t="shared" si="682"/>
        <v>464566.26813913393</v>
      </c>
      <c r="H1075" s="214">
        <f t="shared" si="682"/>
        <v>483148.91886469931</v>
      </c>
      <c r="I1075" s="214">
        <f t="shared" si="682"/>
        <v>502474.87561928731</v>
      </c>
      <c r="J1075" s="214">
        <f t="shared" si="682"/>
        <v>522573.87064405874</v>
      </c>
      <c r="K1075" s="214">
        <f t="shared" si="682"/>
        <v>543476.82546982123</v>
      </c>
      <c r="L1075" s="214">
        <f t="shared" si="682"/>
        <v>565215.89848861413</v>
      </c>
      <c r="M1075" s="214">
        <f t="shared" si="682"/>
        <v>587824.53442815866</v>
      </c>
      <c r="N1075" s="214">
        <f t="shared" si="682"/>
        <v>611337.51580528496</v>
      </c>
      <c r="O1075" s="214">
        <f t="shared" si="682"/>
        <v>635791.01643749652</v>
      </c>
      <c r="P1075" s="214">
        <f t="shared" si="682"/>
        <v>661222.65709499631</v>
      </c>
      <c r="Q1075" s="214">
        <f t="shared" si="682"/>
        <v>687671.56337879621</v>
      </c>
      <c r="R1075" s="214">
        <f t="shared" si="682"/>
        <v>715178.42591394798</v>
      </c>
      <c r="S1075" s="214">
        <f t="shared" si="682"/>
        <v>743785.56295050611</v>
      </c>
      <c r="T1075" s="214">
        <f t="shared" si="682"/>
        <v>773536.98546852637</v>
      </c>
      <c r="U1075" s="214">
        <f t="shared" si="682"/>
        <v>804478.46488726744</v>
      </c>
      <c r="V1075" s="214">
        <f t="shared" si="682"/>
        <v>836657.60348275816</v>
      </c>
      <c r="W1075" s="214">
        <f t="shared" si="682"/>
        <v>0</v>
      </c>
      <c r="X1075" s="214">
        <f t="shared" si="682"/>
        <v>0</v>
      </c>
      <c r="Y1075" s="214">
        <f t="shared" si="682"/>
        <v>0</v>
      </c>
      <c r="Z1075" s="214">
        <f t="shared" si="682"/>
        <v>0</v>
      </c>
      <c r="AA1075" s="214">
        <f t="shared" si="682"/>
        <v>0</v>
      </c>
      <c r="AB1075" s="214">
        <f t="shared" si="682"/>
        <v>0</v>
      </c>
      <c r="AC1075" s="214">
        <f t="shared" si="682"/>
        <v>0</v>
      </c>
      <c r="AD1075" s="214">
        <f t="shared" si="682"/>
        <v>0</v>
      </c>
      <c r="AE1075" s="214">
        <f t="shared" si="682"/>
        <v>0</v>
      </c>
      <c r="AF1075" s="214">
        <f t="shared" si="682"/>
        <v>0</v>
      </c>
      <c r="AG1075" s="214">
        <f t="shared" si="682"/>
        <v>0</v>
      </c>
      <c r="AH1075" s="214">
        <f t="shared" si="682"/>
        <v>0</v>
      </c>
      <c r="AI1075" s="214">
        <f t="shared" si="682"/>
        <v>0</v>
      </c>
      <c r="AJ1075" s="214">
        <f t="shared" si="682"/>
        <v>0</v>
      </c>
      <c r="AK1075" s="214">
        <f t="shared" si="682"/>
        <v>0</v>
      </c>
      <c r="AL1075" s="214">
        <f t="shared" si="682"/>
        <v>0</v>
      </c>
      <c r="AM1075" s="214">
        <f t="shared" si="682"/>
        <v>0</v>
      </c>
      <c r="AN1075" s="214">
        <f t="shared" si="682"/>
        <v>0</v>
      </c>
      <c r="AO1075" s="214">
        <f t="shared" si="682"/>
        <v>0</v>
      </c>
      <c r="AP1075" s="214">
        <f t="shared" si="682"/>
        <v>0</v>
      </c>
      <c r="AQ1075" s="214">
        <f t="shared" si="682"/>
        <v>0</v>
      </c>
      <c r="AR1075" s="214">
        <f t="shared" si="682"/>
        <v>0</v>
      </c>
      <c r="AS1075" s="214">
        <f t="shared" si="682"/>
        <v>0</v>
      </c>
      <c r="AT1075" s="214">
        <f t="shared" si="682"/>
        <v>0</v>
      </c>
      <c r="AU1075" s="214">
        <f t="shared" si="682"/>
        <v>0</v>
      </c>
      <c r="AV1075" s="214">
        <f t="shared" si="682"/>
        <v>0</v>
      </c>
      <c r="AW1075" s="214">
        <f t="shared" si="682"/>
        <v>0</v>
      </c>
      <c r="AX1075" s="214">
        <f t="shared" si="682"/>
        <v>0</v>
      </c>
      <c r="AY1075" s="214">
        <f t="shared" si="682"/>
        <v>0</v>
      </c>
      <c r="AZ1075" s="214">
        <f t="shared" si="682"/>
        <v>0</v>
      </c>
      <c r="BA1075" s="214">
        <f t="shared" si="682"/>
        <v>0</v>
      </c>
      <c r="BB1075" s="214">
        <f t="shared" si="682"/>
        <v>0</v>
      </c>
      <c r="BC1075" s="214">
        <f t="shared" si="682"/>
        <v>0</v>
      </c>
      <c r="BD1075" s="214">
        <f t="shared" si="682"/>
        <v>0</v>
      </c>
      <c r="BE1075" s="214">
        <f t="shared" si="682"/>
        <v>0</v>
      </c>
      <c r="BF1075" s="214">
        <f t="shared" si="682"/>
        <v>0</v>
      </c>
      <c r="BG1075" s="214">
        <f t="shared" si="682"/>
        <v>0</v>
      </c>
      <c r="BH1075" s="214">
        <f t="shared" si="682"/>
        <v>0</v>
      </c>
      <c r="BI1075" s="214">
        <f t="shared" si="682"/>
        <v>0</v>
      </c>
      <c r="BJ1075" s="215">
        <f t="shared" si="682"/>
        <v>0</v>
      </c>
      <c r="BK1075" s="141"/>
      <c r="BL1075" s="141"/>
    </row>
    <row r="1076" spans="1:64" s="160" customFormat="1">
      <c r="A1076" s="131" t="s">
        <v>134</v>
      </c>
      <c r="B1076" s="156">
        <f t="shared" si="678"/>
        <v>4369020010.1244621</v>
      </c>
      <c r="C1076" s="161">
        <f>C1050-C1051-C1071</f>
        <v>-47887018.446835756</v>
      </c>
      <c r="D1076" s="162">
        <f>D1050-D1051-D1071</f>
        <v>-55075009.008067511</v>
      </c>
      <c r="E1076" s="162">
        <f>E1050-E1051-E1071</f>
        <v>-74998669.02613622</v>
      </c>
      <c r="F1076" s="162">
        <f>F1050-F1051-F1071</f>
        <v>-80517479.569487065</v>
      </c>
      <c r="G1076" s="162">
        <f t="shared" ref="G1076:BJ1076" si="683">G1050-G1051-G1071</f>
        <v>-86357797.085864201</v>
      </c>
      <c r="H1076" s="162">
        <f t="shared" si="683"/>
        <v>51901870.160734244</v>
      </c>
      <c r="I1076" s="162">
        <f t="shared" si="683"/>
        <v>120762141.84389405</v>
      </c>
      <c r="J1076" s="162">
        <f t="shared" si="683"/>
        <v>195048192.26944944</v>
      </c>
      <c r="K1076" s="162">
        <f t="shared" si="683"/>
        <v>275083907.30209899</v>
      </c>
      <c r="L1076" s="162">
        <f t="shared" si="683"/>
        <v>395357283.7186144</v>
      </c>
      <c r="M1076" s="162">
        <f t="shared" si="683"/>
        <v>411171575.06735891</v>
      </c>
      <c r="N1076" s="162">
        <f t="shared" si="683"/>
        <v>427618438.07005328</v>
      </c>
      <c r="O1076" s="162">
        <f t="shared" si="683"/>
        <v>444723175.59285557</v>
      </c>
      <c r="P1076" s="162">
        <f t="shared" si="683"/>
        <v>462512102.61656976</v>
      </c>
      <c r="Q1076" s="162">
        <f t="shared" si="683"/>
        <v>481012586.72123253</v>
      </c>
      <c r="R1076" s="162">
        <f t="shared" si="683"/>
        <v>500253090.19008183</v>
      </c>
      <c r="S1076" s="162">
        <f t="shared" si="683"/>
        <v>376471321.79820609</v>
      </c>
      <c r="T1076" s="162">
        <f t="shared" si="683"/>
        <v>288718971.89050704</v>
      </c>
      <c r="U1076" s="162">
        <f t="shared" si="683"/>
        <v>193344079.87531471</v>
      </c>
      <c r="V1076" s="162">
        <f t="shared" si="683"/>
        <v>89877246.14388226</v>
      </c>
      <c r="W1076" s="162">
        <f t="shared" si="683"/>
        <v>0</v>
      </c>
      <c r="X1076" s="162">
        <f t="shared" si="683"/>
        <v>0</v>
      </c>
      <c r="Y1076" s="162">
        <f t="shared" si="683"/>
        <v>0</v>
      </c>
      <c r="Z1076" s="162">
        <f t="shared" si="683"/>
        <v>0</v>
      </c>
      <c r="AA1076" s="162">
        <f t="shared" si="683"/>
        <v>0</v>
      </c>
      <c r="AB1076" s="162">
        <f t="shared" si="683"/>
        <v>0</v>
      </c>
      <c r="AC1076" s="162">
        <f t="shared" si="683"/>
        <v>0</v>
      </c>
      <c r="AD1076" s="162">
        <f t="shared" si="683"/>
        <v>0</v>
      </c>
      <c r="AE1076" s="162">
        <f t="shared" si="683"/>
        <v>0</v>
      </c>
      <c r="AF1076" s="162">
        <f t="shared" si="683"/>
        <v>0</v>
      </c>
      <c r="AG1076" s="162">
        <f t="shared" si="683"/>
        <v>0</v>
      </c>
      <c r="AH1076" s="162">
        <f t="shared" si="683"/>
        <v>0</v>
      </c>
      <c r="AI1076" s="162">
        <f t="shared" si="683"/>
        <v>0</v>
      </c>
      <c r="AJ1076" s="162">
        <f t="shared" si="683"/>
        <v>0</v>
      </c>
      <c r="AK1076" s="162">
        <f t="shared" si="683"/>
        <v>0</v>
      </c>
      <c r="AL1076" s="162">
        <f t="shared" si="683"/>
        <v>0</v>
      </c>
      <c r="AM1076" s="162">
        <f t="shared" si="683"/>
        <v>0</v>
      </c>
      <c r="AN1076" s="162">
        <f t="shared" si="683"/>
        <v>0</v>
      </c>
      <c r="AO1076" s="162">
        <f t="shared" si="683"/>
        <v>0</v>
      </c>
      <c r="AP1076" s="162">
        <f t="shared" si="683"/>
        <v>0</v>
      </c>
      <c r="AQ1076" s="162">
        <f t="shared" si="683"/>
        <v>0</v>
      </c>
      <c r="AR1076" s="162">
        <f t="shared" si="683"/>
        <v>0</v>
      </c>
      <c r="AS1076" s="162">
        <f t="shared" si="683"/>
        <v>0</v>
      </c>
      <c r="AT1076" s="162">
        <f t="shared" si="683"/>
        <v>0</v>
      </c>
      <c r="AU1076" s="162">
        <f t="shared" si="683"/>
        <v>0</v>
      </c>
      <c r="AV1076" s="162">
        <f t="shared" si="683"/>
        <v>0</v>
      </c>
      <c r="AW1076" s="162">
        <f t="shared" si="683"/>
        <v>0</v>
      </c>
      <c r="AX1076" s="162">
        <f t="shared" si="683"/>
        <v>0</v>
      </c>
      <c r="AY1076" s="162">
        <f t="shared" si="683"/>
        <v>0</v>
      </c>
      <c r="AZ1076" s="162">
        <f t="shared" si="683"/>
        <v>0</v>
      </c>
      <c r="BA1076" s="162">
        <f t="shared" si="683"/>
        <v>0</v>
      </c>
      <c r="BB1076" s="162">
        <f t="shared" si="683"/>
        <v>0</v>
      </c>
      <c r="BC1076" s="162">
        <f t="shared" si="683"/>
        <v>0</v>
      </c>
      <c r="BD1076" s="162">
        <f t="shared" si="683"/>
        <v>0</v>
      </c>
      <c r="BE1076" s="162">
        <f t="shared" si="683"/>
        <v>0</v>
      </c>
      <c r="BF1076" s="162">
        <f t="shared" si="683"/>
        <v>0</v>
      </c>
      <c r="BG1076" s="162">
        <f t="shared" si="683"/>
        <v>0</v>
      </c>
      <c r="BH1076" s="162">
        <f t="shared" si="683"/>
        <v>0</v>
      </c>
      <c r="BI1076" s="162">
        <f t="shared" si="683"/>
        <v>0</v>
      </c>
      <c r="BJ1076" s="163">
        <f t="shared" si="683"/>
        <v>0</v>
      </c>
      <c r="BK1076" s="159"/>
      <c r="BL1076" s="159"/>
    </row>
    <row r="1077" spans="1:64" s="160" customFormat="1">
      <c r="A1077" s="131" t="s">
        <v>135</v>
      </c>
      <c r="B1077" s="156">
        <f t="shared" si="678"/>
        <v>1414156794.9782557</v>
      </c>
      <c r="C1077" s="161">
        <f>IF(C1076&lt;=0,0,C1076*$K981)</f>
        <v>0</v>
      </c>
      <c r="D1077" s="162">
        <f>IF(D1076&lt;=0,0,D1076*$K981)</f>
        <v>0</v>
      </c>
      <c r="E1077" s="162">
        <f t="shared" ref="E1077:BJ1077" si="684">IF(E1076&lt;=0,0,E1076*$K981)</f>
        <v>0</v>
      </c>
      <c r="F1077" s="162">
        <f t="shared" si="684"/>
        <v>0</v>
      </c>
      <c r="G1077" s="162">
        <f t="shared" si="684"/>
        <v>0</v>
      </c>
      <c r="H1077" s="162">
        <f t="shared" si="684"/>
        <v>15570561.048220273</v>
      </c>
      <c r="I1077" s="162">
        <f t="shared" si="684"/>
        <v>36228642.553168215</v>
      </c>
      <c r="J1077" s="162">
        <f t="shared" si="684"/>
        <v>58514457.68083483</v>
      </c>
      <c r="K1077" s="162">
        <f t="shared" si="684"/>
        <v>82525172.190629691</v>
      </c>
      <c r="L1077" s="162">
        <f t="shared" si="684"/>
        <v>118607185.11558431</v>
      </c>
      <c r="M1077" s="162">
        <f t="shared" si="684"/>
        <v>123351472.52020767</v>
      </c>
      <c r="N1077" s="162">
        <f t="shared" si="684"/>
        <v>128285531.42101598</v>
      </c>
      <c r="O1077" s="162">
        <f t="shared" si="684"/>
        <v>133416952.67785667</v>
      </c>
      <c r="P1077" s="162">
        <f t="shared" si="684"/>
        <v>138753630.78497091</v>
      </c>
      <c r="Q1077" s="162">
        <f t="shared" si="684"/>
        <v>144303776.01636976</v>
      </c>
      <c r="R1077" s="162">
        <f t="shared" si="684"/>
        <v>150075927.05702454</v>
      </c>
      <c r="S1077" s="162">
        <f t="shared" si="684"/>
        <v>112941396.53946182</v>
      </c>
      <c r="T1077" s="162">
        <f t="shared" si="684"/>
        <v>86615691.567152113</v>
      </c>
      <c r="U1077" s="162">
        <f t="shared" si="684"/>
        <v>58003223.962594412</v>
      </c>
      <c r="V1077" s="162">
        <f t="shared" si="684"/>
        <v>26963173.843164679</v>
      </c>
      <c r="W1077" s="162">
        <f t="shared" si="684"/>
        <v>0</v>
      </c>
      <c r="X1077" s="162">
        <f t="shared" si="684"/>
        <v>0</v>
      </c>
      <c r="Y1077" s="162">
        <f t="shared" si="684"/>
        <v>0</v>
      </c>
      <c r="Z1077" s="162">
        <f t="shared" si="684"/>
        <v>0</v>
      </c>
      <c r="AA1077" s="162">
        <f t="shared" si="684"/>
        <v>0</v>
      </c>
      <c r="AB1077" s="162">
        <f t="shared" si="684"/>
        <v>0</v>
      </c>
      <c r="AC1077" s="162">
        <f t="shared" si="684"/>
        <v>0</v>
      </c>
      <c r="AD1077" s="162">
        <f t="shared" si="684"/>
        <v>0</v>
      </c>
      <c r="AE1077" s="162">
        <f t="shared" si="684"/>
        <v>0</v>
      </c>
      <c r="AF1077" s="162">
        <f t="shared" si="684"/>
        <v>0</v>
      </c>
      <c r="AG1077" s="162">
        <f t="shared" si="684"/>
        <v>0</v>
      </c>
      <c r="AH1077" s="162">
        <f t="shared" si="684"/>
        <v>0</v>
      </c>
      <c r="AI1077" s="162">
        <f t="shared" si="684"/>
        <v>0</v>
      </c>
      <c r="AJ1077" s="162">
        <f t="shared" si="684"/>
        <v>0</v>
      </c>
      <c r="AK1077" s="162">
        <f t="shared" si="684"/>
        <v>0</v>
      </c>
      <c r="AL1077" s="162">
        <f t="shared" si="684"/>
        <v>0</v>
      </c>
      <c r="AM1077" s="162">
        <f t="shared" si="684"/>
        <v>0</v>
      </c>
      <c r="AN1077" s="162">
        <f t="shared" si="684"/>
        <v>0</v>
      </c>
      <c r="AO1077" s="162">
        <f t="shared" si="684"/>
        <v>0</v>
      </c>
      <c r="AP1077" s="162">
        <f t="shared" si="684"/>
        <v>0</v>
      </c>
      <c r="AQ1077" s="162">
        <f t="shared" si="684"/>
        <v>0</v>
      </c>
      <c r="AR1077" s="162">
        <f t="shared" si="684"/>
        <v>0</v>
      </c>
      <c r="AS1077" s="162">
        <f t="shared" si="684"/>
        <v>0</v>
      </c>
      <c r="AT1077" s="162">
        <f t="shared" si="684"/>
        <v>0</v>
      </c>
      <c r="AU1077" s="162">
        <f t="shared" si="684"/>
        <v>0</v>
      </c>
      <c r="AV1077" s="162">
        <f t="shared" si="684"/>
        <v>0</v>
      </c>
      <c r="AW1077" s="162">
        <f t="shared" si="684"/>
        <v>0</v>
      </c>
      <c r="AX1077" s="162">
        <f t="shared" si="684"/>
        <v>0</v>
      </c>
      <c r="AY1077" s="162">
        <f t="shared" si="684"/>
        <v>0</v>
      </c>
      <c r="AZ1077" s="162">
        <f t="shared" si="684"/>
        <v>0</v>
      </c>
      <c r="BA1077" s="162">
        <f t="shared" si="684"/>
        <v>0</v>
      </c>
      <c r="BB1077" s="162">
        <f t="shared" si="684"/>
        <v>0</v>
      </c>
      <c r="BC1077" s="162">
        <f t="shared" si="684"/>
        <v>0</v>
      </c>
      <c r="BD1077" s="162">
        <f t="shared" si="684"/>
        <v>0</v>
      </c>
      <c r="BE1077" s="162">
        <f t="shared" si="684"/>
        <v>0</v>
      </c>
      <c r="BF1077" s="162">
        <f t="shared" si="684"/>
        <v>0</v>
      </c>
      <c r="BG1077" s="162">
        <f t="shared" si="684"/>
        <v>0</v>
      </c>
      <c r="BH1077" s="162">
        <f t="shared" si="684"/>
        <v>0</v>
      </c>
      <c r="BI1077" s="162">
        <f t="shared" si="684"/>
        <v>0</v>
      </c>
      <c r="BJ1077" s="163">
        <f t="shared" si="684"/>
        <v>0</v>
      </c>
      <c r="BK1077" s="159"/>
      <c r="BL1077" s="159"/>
    </row>
    <row r="1078" spans="1:64" s="105" customFormat="1">
      <c r="A1078" s="164" t="s">
        <v>136</v>
      </c>
      <c r="B1078" s="161">
        <f t="shared" si="678"/>
        <v>2954863215.1462059</v>
      </c>
      <c r="C1078" s="133">
        <f>C1076-C1077</f>
        <v>-47887018.446835756</v>
      </c>
      <c r="D1078" s="134">
        <f>D1076-D1077</f>
        <v>-55075009.008067511</v>
      </c>
      <c r="E1078" s="134">
        <f>E1076-E1077</f>
        <v>-74998669.02613622</v>
      </c>
      <c r="F1078" s="134">
        <f>F1076-F1077</f>
        <v>-80517479.569487065</v>
      </c>
      <c r="G1078" s="134">
        <f t="shared" ref="G1078:BJ1078" si="685">G1076-G1077</f>
        <v>-86357797.085864201</v>
      </c>
      <c r="H1078" s="134">
        <f t="shared" si="685"/>
        <v>36331309.112513974</v>
      </c>
      <c r="I1078" s="134">
        <f t="shared" si="685"/>
        <v>84533499.290725827</v>
      </c>
      <c r="J1078" s="134">
        <f t="shared" si="685"/>
        <v>136533734.58861461</v>
      </c>
      <c r="K1078" s="134">
        <f t="shared" si="685"/>
        <v>192558735.1114693</v>
      </c>
      <c r="L1078" s="134">
        <f t="shared" si="685"/>
        <v>276750098.60303009</v>
      </c>
      <c r="M1078" s="134">
        <f t="shared" si="685"/>
        <v>287820102.54715121</v>
      </c>
      <c r="N1078" s="134">
        <f t="shared" si="685"/>
        <v>299332906.6490373</v>
      </c>
      <c r="O1078" s="134">
        <f t="shared" si="685"/>
        <v>311306222.91499889</v>
      </c>
      <c r="P1078" s="134">
        <f t="shared" si="685"/>
        <v>323758471.83159888</v>
      </c>
      <c r="Q1078" s="134">
        <f t="shared" si="685"/>
        <v>336708810.70486277</v>
      </c>
      <c r="R1078" s="134">
        <f t="shared" si="685"/>
        <v>350177163.1330573</v>
      </c>
      <c r="S1078" s="134">
        <f t="shared" si="685"/>
        <v>263529925.25874427</v>
      </c>
      <c r="T1078" s="134">
        <f t="shared" si="685"/>
        <v>202103280.32335493</v>
      </c>
      <c r="U1078" s="134">
        <f t="shared" si="685"/>
        <v>135340855.91272029</v>
      </c>
      <c r="V1078" s="134">
        <f t="shared" si="685"/>
        <v>62914072.300717577</v>
      </c>
      <c r="W1078" s="134">
        <f t="shared" si="685"/>
        <v>0</v>
      </c>
      <c r="X1078" s="134">
        <f t="shared" si="685"/>
        <v>0</v>
      </c>
      <c r="Y1078" s="134">
        <f t="shared" si="685"/>
        <v>0</v>
      </c>
      <c r="Z1078" s="134">
        <f t="shared" si="685"/>
        <v>0</v>
      </c>
      <c r="AA1078" s="134">
        <f t="shared" si="685"/>
        <v>0</v>
      </c>
      <c r="AB1078" s="134">
        <f t="shared" si="685"/>
        <v>0</v>
      </c>
      <c r="AC1078" s="134">
        <f t="shared" si="685"/>
        <v>0</v>
      </c>
      <c r="AD1078" s="134">
        <f t="shared" si="685"/>
        <v>0</v>
      </c>
      <c r="AE1078" s="134">
        <f t="shared" si="685"/>
        <v>0</v>
      </c>
      <c r="AF1078" s="134">
        <f t="shared" si="685"/>
        <v>0</v>
      </c>
      <c r="AG1078" s="134">
        <f t="shared" si="685"/>
        <v>0</v>
      </c>
      <c r="AH1078" s="134">
        <f t="shared" si="685"/>
        <v>0</v>
      </c>
      <c r="AI1078" s="134">
        <f t="shared" si="685"/>
        <v>0</v>
      </c>
      <c r="AJ1078" s="134">
        <f t="shared" si="685"/>
        <v>0</v>
      </c>
      <c r="AK1078" s="134">
        <f t="shared" si="685"/>
        <v>0</v>
      </c>
      <c r="AL1078" s="134">
        <f t="shared" si="685"/>
        <v>0</v>
      </c>
      <c r="AM1078" s="134">
        <f t="shared" si="685"/>
        <v>0</v>
      </c>
      <c r="AN1078" s="134">
        <f t="shared" si="685"/>
        <v>0</v>
      </c>
      <c r="AO1078" s="134">
        <f t="shared" si="685"/>
        <v>0</v>
      </c>
      <c r="AP1078" s="134">
        <f t="shared" si="685"/>
        <v>0</v>
      </c>
      <c r="AQ1078" s="134">
        <f t="shared" si="685"/>
        <v>0</v>
      </c>
      <c r="AR1078" s="134">
        <f t="shared" si="685"/>
        <v>0</v>
      </c>
      <c r="AS1078" s="134">
        <f t="shared" si="685"/>
        <v>0</v>
      </c>
      <c r="AT1078" s="134">
        <f t="shared" si="685"/>
        <v>0</v>
      </c>
      <c r="AU1078" s="134">
        <f t="shared" si="685"/>
        <v>0</v>
      </c>
      <c r="AV1078" s="134">
        <f t="shared" si="685"/>
        <v>0</v>
      </c>
      <c r="AW1078" s="134">
        <f t="shared" si="685"/>
        <v>0</v>
      </c>
      <c r="AX1078" s="134">
        <f t="shared" si="685"/>
        <v>0</v>
      </c>
      <c r="AY1078" s="134">
        <f t="shared" si="685"/>
        <v>0</v>
      </c>
      <c r="AZ1078" s="134">
        <f t="shared" si="685"/>
        <v>0</v>
      </c>
      <c r="BA1078" s="134">
        <f t="shared" si="685"/>
        <v>0</v>
      </c>
      <c r="BB1078" s="134">
        <f t="shared" si="685"/>
        <v>0</v>
      </c>
      <c r="BC1078" s="134">
        <f t="shared" si="685"/>
        <v>0</v>
      </c>
      <c r="BD1078" s="134">
        <f t="shared" si="685"/>
        <v>0</v>
      </c>
      <c r="BE1078" s="134">
        <f t="shared" si="685"/>
        <v>0</v>
      </c>
      <c r="BF1078" s="134">
        <f t="shared" si="685"/>
        <v>0</v>
      </c>
      <c r="BG1078" s="134">
        <f t="shared" si="685"/>
        <v>0</v>
      </c>
      <c r="BH1078" s="134">
        <f t="shared" si="685"/>
        <v>0</v>
      </c>
      <c r="BI1078" s="134">
        <f t="shared" si="685"/>
        <v>0</v>
      </c>
      <c r="BJ1078" s="135">
        <f t="shared" si="685"/>
        <v>0</v>
      </c>
      <c r="BK1078" s="109"/>
      <c r="BL1078" s="109"/>
    </row>
    <row r="1079" spans="1:64">
      <c r="A1079" s="165" t="s">
        <v>137</v>
      </c>
      <c r="B1079" s="161"/>
      <c r="C1079" s="166"/>
      <c r="D1079" s="167"/>
      <c r="E1079" s="168"/>
      <c r="F1079" s="168"/>
      <c r="G1079" s="168"/>
      <c r="H1079" s="168"/>
      <c r="I1079" s="168"/>
      <c r="J1079" s="168"/>
      <c r="K1079" s="168"/>
      <c r="L1079" s="168"/>
      <c r="M1079" s="168"/>
      <c r="N1079" s="168"/>
      <c r="O1079" s="168"/>
      <c r="P1079" s="168"/>
      <c r="Q1079" s="168"/>
      <c r="R1079" s="168"/>
      <c r="S1079" s="168"/>
      <c r="T1079" s="168"/>
      <c r="U1079" s="168"/>
      <c r="V1079" s="168"/>
      <c r="W1079" s="168"/>
      <c r="X1079" s="168"/>
      <c r="Y1079" s="168"/>
      <c r="Z1079" s="168"/>
      <c r="AA1079" s="168"/>
      <c r="AB1079" s="168"/>
      <c r="AC1079" s="168"/>
      <c r="AD1079" s="168"/>
      <c r="AE1079" s="168"/>
      <c r="AF1079" s="168"/>
      <c r="AG1079" s="168"/>
      <c r="AH1079" s="168"/>
      <c r="AI1079" s="168"/>
      <c r="AJ1079" s="168"/>
      <c r="AK1079" s="168"/>
      <c r="AL1079" s="168"/>
      <c r="AM1079" s="168"/>
      <c r="AN1079" s="168"/>
      <c r="AO1079" s="168"/>
      <c r="AP1079" s="168"/>
      <c r="AQ1079" s="168"/>
      <c r="AR1079" s="168"/>
      <c r="AS1079" s="168"/>
      <c r="AT1079" s="168"/>
      <c r="AU1079" s="168"/>
      <c r="AV1079" s="168"/>
      <c r="AW1079" s="168"/>
      <c r="AX1079" s="168"/>
      <c r="AY1079" s="168"/>
      <c r="AZ1079" s="168"/>
      <c r="BA1079" s="168"/>
      <c r="BB1079" s="168"/>
      <c r="BC1079" s="168"/>
      <c r="BD1079" s="168"/>
      <c r="BE1079" s="168"/>
      <c r="BF1079" s="168"/>
      <c r="BG1079" s="168"/>
      <c r="BH1079" s="168"/>
      <c r="BI1079" s="168"/>
      <c r="BJ1079" s="169"/>
    </row>
    <row r="1080" spans="1:64" s="174" customFormat="1" ht="12.75">
      <c r="A1080" s="120" t="s">
        <v>138</v>
      </c>
      <c r="B1080" s="170">
        <f>SUM(C1080:BJ1080)</f>
        <v>52482808.926932991</v>
      </c>
      <c r="C1080" s="171">
        <f>C1051-C1056</f>
        <v>47426797.904389441</v>
      </c>
      <c r="D1080" s="172">
        <f t="shared" ref="D1080:BJ1080" si="686">IF(AND(D1039&gt;5,D1040=0),0,D1051-D1056)</f>
        <v>51615358.023762077</v>
      </c>
      <c r="E1080" s="172">
        <f t="shared" si="686"/>
        <v>66556663.190332755</v>
      </c>
      <c r="F1080" s="172">
        <f t="shared" si="686"/>
        <v>66700065.935640626</v>
      </c>
      <c r="G1080" s="172">
        <f t="shared" si="686"/>
        <v>66748450.239468634</v>
      </c>
      <c r="H1080" s="172">
        <f t="shared" si="686"/>
        <v>-12313703.759198857</v>
      </c>
      <c r="I1080" s="172">
        <f t="shared" si="686"/>
        <v>-12806251.90956681</v>
      </c>
      <c r="J1080" s="172">
        <f t="shared" si="686"/>
        <v>-13318501.985949483</v>
      </c>
      <c r="K1080" s="172">
        <f t="shared" si="686"/>
        <v>-13851242.065387465</v>
      </c>
      <c r="L1080" s="172">
        <f t="shared" si="686"/>
        <v>-14405291.748002965</v>
      </c>
      <c r="M1080" s="172">
        <f t="shared" si="686"/>
        <v>-14981503.417923084</v>
      </c>
      <c r="N1080" s="172">
        <f t="shared" si="686"/>
        <v>-15580763.554640006</v>
      </c>
      <c r="O1080" s="172">
        <f t="shared" si="686"/>
        <v>-16203994.096825611</v>
      </c>
      <c r="P1080" s="172">
        <f t="shared" si="686"/>
        <v>-16852153.860698633</v>
      </c>
      <c r="Q1080" s="172">
        <f t="shared" si="686"/>
        <v>-17526240.015126579</v>
      </c>
      <c r="R1080" s="172">
        <f t="shared" si="686"/>
        <v>-18227289.615731642</v>
      </c>
      <c r="S1080" s="172">
        <f t="shared" si="686"/>
        <v>-18956381.200360909</v>
      </c>
      <c r="T1080" s="172">
        <f t="shared" si="686"/>
        <v>-19714636.448375348</v>
      </c>
      <c r="U1080" s="172">
        <f t="shared" si="686"/>
        <v>-20503221.906310365</v>
      </c>
      <c r="V1080" s="172">
        <f t="shared" si="686"/>
        <v>-21323350.782562777</v>
      </c>
      <c r="W1080" s="172">
        <f t="shared" si="686"/>
        <v>0</v>
      </c>
      <c r="X1080" s="172">
        <f t="shared" si="686"/>
        <v>0</v>
      </c>
      <c r="Y1080" s="172">
        <f t="shared" si="686"/>
        <v>0</v>
      </c>
      <c r="Z1080" s="172">
        <f t="shared" si="686"/>
        <v>0</v>
      </c>
      <c r="AA1080" s="172">
        <f t="shared" si="686"/>
        <v>0</v>
      </c>
      <c r="AB1080" s="172">
        <f t="shared" si="686"/>
        <v>0</v>
      </c>
      <c r="AC1080" s="172">
        <f t="shared" si="686"/>
        <v>0</v>
      </c>
      <c r="AD1080" s="172">
        <f t="shared" si="686"/>
        <v>0</v>
      </c>
      <c r="AE1080" s="172">
        <f t="shared" si="686"/>
        <v>0</v>
      </c>
      <c r="AF1080" s="172">
        <f t="shared" si="686"/>
        <v>0</v>
      </c>
      <c r="AG1080" s="172">
        <f t="shared" si="686"/>
        <v>0</v>
      </c>
      <c r="AH1080" s="172">
        <f t="shared" si="686"/>
        <v>0</v>
      </c>
      <c r="AI1080" s="172">
        <f t="shared" si="686"/>
        <v>0</v>
      </c>
      <c r="AJ1080" s="172">
        <f t="shared" si="686"/>
        <v>0</v>
      </c>
      <c r="AK1080" s="172">
        <f t="shared" si="686"/>
        <v>0</v>
      </c>
      <c r="AL1080" s="172">
        <f t="shared" si="686"/>
        <v>0</v>
      </c>
      <c r="AM1080" s="172">
        <f t="shared" si="686"/>
        <v>0</v>
      </c>
      <c r="AN1080" s="172">
        <f t="shared" si="686"/>
        <v>0</v>
      </c>
      <c r="AO1080" s="172">
        <f t="shared" si="686"/>
        <v>0</v>
      </c>
      <c r="AP1080" s="172">
        <f t="shared" si="686"/>
        <v>0</v>
      </c>
      <c r="AQ1080" s="172">
        <f t="shared" si="686"/>
        <v>0</v>
      </c>
      <c r="AR1080" s="172">
        <f t="shared" si="686"/>
        <v>0</v>
      </c>
      <c r="AS1080" s="172">
        <f t="shared" si="686"/>
        <v>0</v>
      </c>
      <c r="AT1080" s="172">
        <f t="shared" si="686"/>
        <v>0</v>
      </c>
      <c r="AU1080" s="172">
        <f t="shared" si="686"/>
        <v>0</v>
      </c>
      <c r="AV1080" s="172">
        <f t="shared" si="686"/>
        <v>0</v>
      </c>
      <c r="AW1080" s="172">
        <f t="shared" si="686"/>
        <v>0</v>
      </c>
      <c r="AX1080" s="172">
        <f t="shared" si="686"/>
        <v>0</v>
      </c>
      <c r="AY1080" s="172">
        <f t="shared" si="686"/>
        <v>0</v>
      </c>
      <c r="AZ1080" s="172">
        <f t="shared" si="686"/>
        <v>0</v>
      </c>
      <c r="BA1080" s="172">
        <f t="shared" si="686"/>
        <v>0</v>
      </c>
      <c r="BB1080" s="172">
        <f t="shared" si="686"/>
        <v>0</v>
      </c>
      <c r="BC1080" s="172">
        <f t="shared" si="686"/>
        <v>0</v>
      </c>
      <c r="BD1080" s="172">
        <f t="shared" si="686"/>
        <v>0</v>
      </c>
      <c r="BE1080" s="172">
        <f t="shared" si="686"/>
        <v>0</v>
      </c>
      <c r="BF1080" s="172">
        <f t="shared" si="686"/>
        <v>0</v>
      </c>
      <c r="BG1080" s="172">
        <f t="shared" si="686"/>
        <v>0</v>
      </c>
      <c r="BH1080" s="172">
        <f t="shared" si="686"/>
        <v>0</v>
      </c>
      <c r="BI1080" s="172">
        <f t="shared" si="686"/>
        <v>0</v>
      </c>
      <c r="BJ1080" s="173">
        <f t="shared" si="686"/>
        <v>0</v>
      </c>
      <c r="BK1080" s="172"/>
      <c r="BL1080" s="172"/>
    </row>
    <row r="1081" spans="1:64" s="174" customFormat="1" ht="12.75">
      <c r="A1081" s="120" t="s">
        <v>139</v>
      </c>
      <c r="B1081" s="170">
        <f>SUM(C1081:BJ1081)</f>
        <v>278548061.58592063</v>
      </c>
      <c r="C1081" s="171">
        <f>C1071</f>
        <v>1635406.8242892909</v>
      </c>
      <c r="D1081" s="172">
        <f>D1071</f>
        <v>3539312.1014340678</v>
      </c>
      <c r="E1081" s="172">
        <f t="shared" ref="E1081:BJ1081" si="687">E1071</f>
        <v>6102868.991554332</v>
      </c>
      <c r="F1081" s="172">
        <f t="shared" si="687"/>
        <v>8865847.533521926</v>
      </c>
      <c r="G1081" s="172">
        <f t="shared" si="687"/>
        <v>11840099.76846044</v>
      </c>
      <c r="H1081" s="172">
        <f t="shared" si="687"/>
        <v>12313703.759198857</v>
      </c>
      <c r="I1081" s="172">
        <f t="shared" si="687"/>
        <v>12806251.90956681</v>
      </c>
      <c r="J1081" s="172">
        <f t="shared" si="687"/>
        <v>13318501.985949483</v>
      </c>
      <c r="K1081" s="172">
        <f t="shared" si="687"/>
        <v>13851242.065387465</v>
      </c>
      <c r="L1081" s="172">
        <f t="shared" si="687"/>
        <v>14405291.748002965</v>
      </c>
      <c r="M1081" s="172">
        <f t="shared" si="687"/>
        <v>14981503.417923084</v>
      </c>
      <c r="N1081" s="172">
        <f t="shared" si="687"/>
        <v>15580763.554640006</v>
      </c>
      <c r="O1081" s="172">
        <f t="shared" si="687"/>
        <v>16203994.096825611</v>
      </c>
      <c r="P1081" s="172">
        <f t="shared" si="687"/>
        <v>16852153.860698633</v>
      </c>
      <c r="Q1081" s="172">
        <f t="shared" si="687"/>
        <v>17526240.015126579</v>
      </c>
      <c r="R1081" s="172">
        <f t="shared" si="687"/>
        <v>18227289.615731642</v>
      </c>
      <c r="S1081" s="172">
        <f t="shared" si="687"/>
        <v>18956381.200360909</v>
      </c>
      <c r="T1081" s="172">
        <f t="shared" si="687"/>
        <v>19714636.448375348</v>
      </c>
      <c r="U1081" s="172">
        <f t="shared" si="687"/>
        <v>20503221.906310365</v>
      </c>
      <c r="V1081" s="172">
        <f t="shared" si="687"/>
        <v>21323350.782562777</v>
      </c>
      <c r="W1081" s="172">
        <f t="shared" si="687"/>
        <v>0</v>
      </c>
      <c r="X1081" s="172">
        <f t="shared" si="687"/>
        <v>0</v>
      </c>
      <c r="Y1081" s="172">
        <f t="shared" si="687"/>
        <v>0</v>
      </c>
      <c r="Z1081" s="172">
        <f t="shared" si="687"/>
        <v>0</v>
      </c>
      <c r="AA1081" s="172">
        <f t="shared" si="687"/>
        <v>0</v>
      </c>
      <c r="AB1081" s="172">
        <f t="shared" si="687"/>
        <v>0</v>
      </c>
      <c r="AC1081" s="172">
        <f t="shared" si="687"/>
        <v>0</v>
      </c>
      <c r="AD1081" s="172">
        <f t="shared" si="687"/>
        <v>0</v>
      </c>
      <c r="AE1081" s="172">
        <f t="shared" si="687"/>
        <v>0</v>
      </c>
      <c r="AF1081" s="172">
        <f t="shared" si="687"/>
        <v>0</v>
      </c>
      <c r="AG1081" s="172">
        <f t="shared" si="687"/>
        <v>0</v>
      </c>
      <c r="AH1081" s="172">
        <f t="shared" si="687"/>
        <v>0</v>
      </c>
      <c r="AI1081" s="172">
        <f t="shared" si="687"/>
        <v>0</v>
      </c>
      <c r="AJ1081" s="172">
        <f t="shared" si="687"/>
        <v>0</v>
      </c>
      <c r="AK1081" s="172">
        <f t="shared" si="687"/>
        <v>0</v>
      </c>
      <c r="AL1081" s="172">
        <f t="shared" si="687"/>
        <v>0</v>
      </c>
      <c r="AM1081" s="172">
        <f t="shared" si="687"/>
        <v>0</v>
      </c>
      <c r="AN1081" s="172">
        <f t="shared" si="687"/>
        <v>0</v>
      </c>
      <c r="AO1081" s="172">
        <f t="shared" si="687"/>
        <v>0</v>
      </c>
      <c r="AP1081" s="172">
        <f t="shared" si="687"/>
        <v>0</v>
      </c>
      <c r="AQ1081" s="172">
        <f t="shared" si="687"/>
        <v>0</v>
      </c>
      <c r="AR1081" s="172">
        <f t="shared" si="687"/>
        <v>0</v>
      </c>
      <c r="AS1081" s="172">
        <f t="shared" si="687"/>
        <v>0</v>
      </c>
      <c r="AT1081" s="172">
        <f t="shared" si="687"/>
        <v>0</v>
      </c>
      <c r="AU1081" s="172">
        <f t="shared" si="687"/>
        <v>0</v>
      </c>
      <c r="AV1081" s="172">
        <f t="shared" si="687"/>
        <v>0</v>
      </c>
      <c r="AW1081" s="172">
        <f t="shared" si="687"/>
        <v>0</v>
      </c>
      <c r="AX1081" s="172">
        <f t="shared" si="687"/>
        <v>0</v>
      </c>
      <c r="AY1081" s="172">
        <f t="shared" si="687"/>
        <v>0</v>
      </c>
      <c r="AZ1081" s="172">
        <f t="shared" si="687"/>
        <v>0</v>
      </c>
      <c r="BA1081" s="172">
        <f t="shared" si="687"/>
        <v>0</v>
      </c>
      <c r="BB1081" s="172">
        <f t="shared" si="687"/>
        <v>0</v>
      </c>
      <c r="BC1081" s="172">
        <f t="shared" si="687"/>
        <v>0</v>
      </c>
      <c r="BD1081" s="172">
        <f t="shared" si="687"/>
        <v>0</v>
      </c>
      <c r="BE1081" s="172">
        <f t="shared" si="687"/>
        <v>0</v>
      </c>
      <c r="BF1081" s="172">
        <f t="shared" si="687"/>
        <v>0</v>
      </c>
      <c r="BG1081" s="172">
        <f t="shared" si="687"/>
        <v>0</v>
      </c>
      <c r="BH1081" s="172">
        <f t="shared" si="687"/>
        <v>0</v>
      </c>
      <c r="BI1081" s="172">
        <f t="shared" si="687"/>
        <v>0</v>
      </c>
      <c r="BJ1081" s="173">
        <f t="shared" si="687"/>
        <v>0</v>
      </c>
      <c r="BK1081" s="172"/>
      <c r="BL1081" s="172"/>
    </row>
    <row r="1082" spans="1:64" s="174" customFormat="1" ht="12.75">
      <c r="A1082" s="120" t="s">
        <v>140</v>
      </c>
      <c r="B1082" s="170" t="e">
        <f>SUM(C1082:BJ1082)</f>
        <v>#REF!</v>
      </c>
      <c r="C1082" s="171">
        <f>-C1051</f>
        <v>-49062204.728678733</v>
      </c>
      <c r="D1082" s="172">
        <f>IF(AND(D1039&gt;5,E1040=0,D1040&lt;&gt;0),SUM(D$71:$BJ1056)-D1051,-D1051)</f>
        <v>-55154670.125196144</v>
      </c>
      <c r="E1082" s="172">
        <f>IF(AND(E1039&gt;5,F1040=0,E1040&lt;&gt;0),SUM(E$71:$BJ1056)-E1051,-E1051)</f>
        <v>-72659532.18188709</v>
      </c>
      <c r="F1082" s="172">
        <f>IF(AND(F1039&gt;5,G1040=0,F1040&lt;&gt;0),SUM(F$71:$BJ1056)-F1051,-F1051)</f>
        <v>-75565913.469162554</v>
      </c>
      <c r="G1082" s="172">
        <f>IF(AND(G1039&gt;5,H1040=0,G1040&lt;&gt;0),SUM(G$71:$BJ1056)-G1051,-G1051)</f>
        <v>-78588550.007929072</v>
      </c>
      <c r="H1082" s="172">
        <f>IF(AND(H1039&gt;5,I1040=0,H1040&lt;&gt;0),SUM(H$71:$BJ1056)-H1051,-H1051)</f>
        <v>0</v>
      </c>
      <c r="I1082" s="172">
        <f>IF(AND(I1039&gt;5,J1040=0,I1040&lt;&gt;0),SUM(I$71:$BJ1056)-I1051,-I1051)</f>
        <v>0</v>
      </c>
      <c r="J1082" s="172">
        <f>IF(AND(J1039&gt;5,K1040=0,J1040&lt;&gt;0),SUM(J$71:$BJ1056)-J1051,-J1051)</f>
        <v>0</v>
      </c>
      <c r="K1082" s="172">
        <f>IF(AND(K1039&gt;5,L1040=0,K1040&lt;&gt;0),SUM(K$71:$BJ1056)-K1051,-K1051)</f>
        <v>0</v>
      </c>
      <c r="L1082" s="172">
        <f>IF(AND(L1039&gt;5,M1040=0,L1040&lt;&gt;0),SUM(L$71:$BJ1056)-L1051,-L1051)</f>
        <v>0</v>
      </c>
      <c r="M1082" s="172">
        <f>IF(AND(M1039&gt;5,N1040=0,M1040&lt;&gt;0),SUM(M$71:$BJ1056)-M1051,-M1051)</f>
        <v>0</v>
      </c>
      <c r="N1082" s="172">
        <f>IF(AND(N1039&gt;5,O1040=0,N1040&lt;&gt;0),SUM(N$71:$BJ1056)-N1051,-N1051)</f>
        <v>0</v>
      </c>
      <c r="O1082" s="172">
        <f>IF(AND(O1039&gt;5,P1040=0,O1040&lt;&gt;0),SUM(O$71:$BJ1056)-O1051,-O1051)</f>
        <v>0</v>
      </c>
      <c r="P1082" s="172">
        <f>IF(AND(P1039&gt;5,Q1040=0,P1040&lt;&gt;0),SUM(P$71:$BJ1056)-P1051,-P1051)</f>
        <v>0</v>
      </c>
      <c r="Q1082" s="172">
        <f>IF(AND(Q1039&gt;5,R1040=0,Q1040&lt;&gt;0),SUM(Q$71:$BJ1056)-Q1051,-Q1051)</f>
        <v>0</v>
      </c>
      <c r="R1082" s="172">
        <f>IF(AND(R1039&gt;5,S1040=0,R1040&lt;&gt;0),SUM(R$71:$BJ1056)-R1051,-R1051)</f>
        <v>0</v>
      </c>
      <c r="S1082" s="172">
        <f>IF(AND(S1039&gt;5,T1040=0,S1040&lt;&gt;0),SUM(S$71:$BJ1056)-S1051,-S1051)</f>
        <v>0</v>
      </c>
      <c r="T1082" s="172">
        <f>IF(AND(T1039&gt;5,U1040=0,T1040&lt;&gt;0),SUM(T$71:$BJ1056)-T1051,-T1051)</f>
        <v>0</v>
      </c>
      <c r="U1082" s="172">
        <f>IF(AND(U1039&gt;5,V1040=0,U1040&lt;&gt;0),SUM(U$71:$BJ1056)-U1051,-U1051)</f>
        <v>0</v>
      </c>
      <c r="V1082" s="172" t="e">
        <f>IF(AND(V1039&gt;5,W1040=0,V1040&lt;&gt;0),SUM(V$71:$BJ1056)-V1051,-V1051)</f>
        <v>#REF!</v>
      </c>
      <c r="W1082" s="172">
        <f>IF(AND(W1039&gt;5,X1040=0,W1040&lt;&gt;0),SUM(W$71:$BJ1056)-W1051,-W1051)</f>
        <v>0</v>
      </c>
      <c r="X1082" s="172">
        <f>IF(AND(X1039&gt;5,Y1040=0,X1040&lt;&gt;0),SUM(X$71:$BJ1056)-X1051,-X1051)</f>
        <v>0</v>
      </c>
      <c r="Y1082" s="172">
        <f>IF(AND(Y1039&gt;5,Z1040=0,Y1040&lt;&gt;0),SUM(Y$71:$BJ1056)-Y1051,-Y1051)</f>
        <v>0</v>
      </c>
      <c r="Z1082" s="175">
        <f>IF(AND(Z1039&gt;5,AA1040=0,Z1040&lt;&gt;0),SUM(Z$71:$BJ1056)-Z1051,-Z1051)</f>
        <v>0</v>
      </c>
      <c r="AA1082" s="172">
        <f>IF(AND(AA1039&gt;5,AB1040=0,AA1040&lt;&gt;0),SUM(AA$71:$BJ1056)-AA1051,-AA1051)</f>
        <v>0</v>
      </c>
      <c r="AB1082" s="172">
        <f>IF(AND(AB1039&gt;5,AC1040=0,AB1040&lt;&gt;0),SUM(AB$71:$BJ1056)-AB1051,-AB1051)</f>
        <v>0</v>
      </c>
      <c r="AC1082" s="172">
        <f>IF(AND(AC1039&gt;5,AD1040=0,AC1040&lt;&gt;0),SUM(AC$71:$BJ1056)-AC1051,-AC1051)</f>
        <v>0</v>
      </c>
      <c r="AD1082" s="172">
        <f>IF(AND(AD1039&gt;5,AE1040=0,AD1040&lt;&gt;0),SUM(AD$71:$BJ1056)-AD1051,-AD1051)</f>
        <v>0</v>
      </c>
      <c r="AE1082" s="172">
        <f>IF(AND(AE1039&gt;5,AF1040=0,AE1040&lt;&gt;0),SUM(AE$71:$BJ1056)-AE1051,-AE1051)</f>
        <v>0</v>
      </c>
      <c r="AF1082" s="172">
        <f>IF(AND(AF1039&gt;5,AG1040=0,AF1040&lt;&gt;0),SUM(AF$71:$BJ1056)-AF1051,-AF1051)</f>
        <v>0</v>
      </c>
      <c r="AG1082" s="172">
        <f>IF(AND(AG1039&gt;5,AH1040=0,AG1040&lt;&gt;0),SUM(AG$71:$BJ1056)-AG1051,-AG1051)</f>
        <v>0</v>
      </c>
      <c r="AH1082" s="172">
        <f>IF(AND(AH1039&gt;5,AI1040=0,AH1040&lt;&gt;0),SUM(AH$71:$BJ1056)-AH1051,-AH1051)</f>
        <v>0</v>
      </c>
      <c r="AI1082" s="172">
        <f>IF(AND(AI1039&gt;5,AJ1040=0,AI1040&lt;&gt;0),SUM(AI$71:$BJ1056)-AI1051,-AI1051)</f>
        <v>0</v>
      </c>
      <c r="AJ1082" s="172">
        <f>IF(AND(AJ1039&gt;5,AK1040=0,AJ1040&lt;&gt;0),SUM(AJ$71:$BJ1056)-AJ1051,-AJ1051)</f>
        <v>0</v>
      </c>
      <c r="AK1082" s="172">
        <f>IF(AND(AK1039&gt;5,AL1040=0,AK1040&lt;&gt;0),SUM(AK$71:$BJ1056)-AK1051,-AK1051)</f>
        <v>0</v>
      </c>
      <c r="AL1082" s="172">
        <f>IF(AND(AL1039&gt;5,AM1040=0,AL1040&lt;&gt;0),SUM(AL$71:$BJ1056)-AL1051,-AL1051)</f>
        <v>0</v>
      </c>
      <c r="AM1082" s="172">
        <f>IF(AND(AM1039&gt;5,AN1040=0,AM1040&lt;&gt;0),SUM(AM$71:$BJ1056)-AM1051,-AM1051)</f>
        <v>0</v>
      </c>
      <c r="AN1082" s="172">
        <f>IF(AND(AN1039&gt;5,AO1040=0,AN1040&lt;&gt;0),SUM(AN$71:$BJ1056)-AN1051,-AN1051)</f>
        <v>0</v>
      </c>
      <c r="AO1082" s="172">
        <f>IF(AND(AO1039&gt;5,AP1040=0,AO1040&lt;&gt;0),SUM(AO$71:$BJ1056)-AO1051,-AO1051)</f>
        <v>0</v>
      </c>
      <c r="AP1082" s="172">
        <f>IF(AND(AP1039&gt;5,AQ1040=0,AP1040&lt;&gt;0),SUM(AP$71:$BJ1056)-AP1051,-AP1051)</f>
        <v>0</v>
      </c>
      <c r="AQ1082" s="172">
        <f>IF(AND(AQ1039&gt;5,AR1040=0,AQ1040&lt;&gt;0),SUM(AQ$71:$BJ1056)-AQ1051,-AQ1051)</f>
        <v>0</v>
      </c>
      <c r="AR1082" s="172">
        <f>IF(AND(AR1039&gt;5,AS1040=0,AR1040&lt;&gt;0),SUM(AR$71:$BJ1056)-AR1051,-AR1051)</f>
        <v>0</v>
      </c>
      <c r="AS1082" s="172">
        <f>IF(AND(AS1039&gt;5,AT1040=0,AS1040&lt;&gt;0),SUM(AS$71:$BJ1056)-AS1051,-AS1051)</f>
        <v>0</v>
      </c>
      <c r="AT1082" s="172">
        <f>IF(AND(AT1039&gt;5,AU1040=0,AT1040&lt;&gt;0),SUM(AT$71:$BJ1056)-AT1051,-AT1051)</f>
        <v>0</v>
      </c>
      <c r="AU1082" s="172">
        <f>IF(AND(AU1039&gt;5,AV1040=0,AU1040&lt;&gt;0),SUM(AU$71:$BJ1056)-AU1051,-AU1051)</f>
        <v>0</v>
      </c>
      <c r="AV1082" s="172">
        <f>IF(AND(AV1039&gt;5,AW1040=0,AV1040&lt;&gt;0),SUM(AV$71:$BJ1056)-AV1051,-AV1051)</f>
        <v>0</v>
      </c>
      <c r="AW1082" s="172">
        <f>IF(AND(AW1039&gt;5,AX1040=0,AW1040&lt;&gt;0),SUM(AW$71:$BJ1056)-AW1051,-AW1051)</f>
        <v>0</v>
      </c>
      <c r="AX1082" s="172">
        <f>IF(AND(AX1039&gt;5,AY1040=0,AX1040&lt;&gt;0),SUM(AX$71:$BJ1056)-AX1051,-AX1051)</f>
        <v>0</v>
      </c>
      <c r="AY1082" s="172">
        <f>IF(AND(AY1039&gt;5,AZ1040=0,AY1040&lt;&gt;0),SUM(AY$71:$BJ1056)-AY1051,-AY1051)</f>
        <v>0</v>
      </c>
      <c r="AZ1082" s="172">
        <f>IF(AND(AZ1039&gt;5,BA1040=0,AZ1040&lt;&gt;0),SUM(AZ$71:$BJ1056)-AZ1051,-AZ1051)</f>
        <v>0</v>
      </c>
      <c r="BA1082" s="172">
        <f>IF(AND(BA1039&gt;5,BB1040=0,BA1040&lt;&gt;0),SUM(BA$71:$BJ1056)-BA1051,-BA1051)</f>
        <v>0</v>
      </c>
      <c r="BB1082" s="172">
        <f>IF(AND(BB1039&gt;5,BC1040=0,BB1040&lt;&gt;0),SUM(BB$71:$BJ1056)-BB1051,-BB1051)</f>
        <v>0</v>
      </c>
      <c r="BC1082" s="172">
        <f>IF(AND(BC1039&gt;5,BD1040=0,BC1040&lt;&gt;0),SUM(BC$71:$BJ1056)-BC1051,-BC1051)</f>
        <v>0</v>
      </c>
      <c r="BD1082" s="172">
        <f>IF(AND(BD1039&gt;5,BE1040=0,BD1040&lt;&gt;0),SUM(BD$71:$BJ1056)-BD1051,-BD1051)</f>
        <v>0</v>
      </c>
      <c r="BE1082" s="172">
        <f>IF(AND(BE1039&gt;5,BF1040=0,BE1040&lt;&gt;0),SUM(BE$71:$BJ1056)-BE1051,-BE1051)</f>
        <v>0</v>
      </c>
      <c r="BF1082" s="172">
        <f>IF(AND(BF1039&gt;5,BG1040=0,BF1040&lt;&gt;0),SUM(BF$71:$BJ1056)-BF1051,-BF1051)</f>
        <v>0</v>
      </c>
      <c r="BG1082" s="172">
        <f>IF(AND(BG1039&gt;5,BH1040=0,BG1040&lt;&gt;0),SUM(BG$71:$BJ1056)-BG1051,-BG1051)</f>
        <v>0</v>
      </c>
      <c r="BH1082" s="172">
        <f>IF(AND(BH1039&gt;5,BI1040=0,BH1040&lt;&gt;0),SUM(BH$71:$BJ1056)-BH1051,-BH1051)</f>
        <v>0</v>
      </c>
      <c r="BI1082" s="172">
        <f>IF(AND(BI1039&gt;5,BJ1040=0,BI1040&lt;&gt;0),SUM(BI$71:$BJ1056)-BI1051,-BI1051)</f>
        <v>0</v>
      </c>
      <c r="BJ1082" s="173">
        <f>IF(AND(BJ1039&gt;5,BK1040=0,BJ1040&lt;&gt;0),SUM(BJ$71:$BJ1056)-BJ1051,-BJ1051)</f>
        <v>0</v>
      </c>
      <c r="BK1082" s="172"/>
      <c r="BL1082" s="172"/>
    </row>
    <row r="1083" spans="1:64" s="160" customFormat="1">
      <c r="A1083" s="176" t="s">
        <v>141</v>
      </c>
      <c r="B1083" s="177">
        <f>SUM(C1083:BJ1083)</f>
        <v>3233411276.7321272</v>
      </c>
      <c r="C1083" s="178">
        <f>C1078+C1081</f>
        <v>-46251611.622546464</v>
      </c>
      <c r="D1083" s="179">
        <f t="shared" ref="D1083:BJ1083" si="688">D1078+D1081</f>
        <v>-51535696.906633444</v>
      </c>
      <c r="E1083" s="179">
        <f t="shared" si="688"/>
        <v>-68895800.034581885</v>
      </c>
      <c r="F1083" s="179">
        <f t="shared" si="688"/>
        <v>-71651632.035965145</v>
      </c>
      <c r="G1083" s="179">
        <f t="shared" si="688"/>
        <v>-74517697.317403764</v>
      </c>
      <c r="H1083" s="179">
        <f t="shared" si="688"/>
        <v>48645012.871712834</v>
      </c>
      <c r="I1083" s="179">
        <f t="shared" si="688"/>
        <v>97339751.200292632</v>
      </c>
      <c r="J1083" s="179">
        <f t="shared" si="688"/>
        <v>149852236.5745641</v>
      </c>
      <c r="K1083" s="179">
        <f t="shared" si="688"/>
        <v>206409977.17685676</v>
      </c>
      <c r="L1083" s="179">
        <f t="shared" si="688"/>
        <v>291155390.35103303</v>
      </c>
      <c r="M1083" s="179">
        <f t="shared" si="688"/>
        <v>302801605.9650743</v>
      </c>
      <c r="N1083" s="179">
        <f t="shared" si="688"/>
        <v>314913670.2036773</v>
      </c>
      <c r="O1083" s="179">
        <f t="shared" si="688"/>
        <v>327510217.01182449</v>
      </c>
      <c r="P1083" s="179">
        <f t="shared" si="688"/>
        <v>340610625.69229752</v>
      </c>
      <c r="Q1083" s="179">
        <f t="shared" si="688"/>
        <v>354235050.71998936</v>
      </c>
      <c r="R1083" s="179">
        <f t="shared" si="688"/>
        <v>368404452.74878895</v>
      </c>
      <c r="S1083" s="179">
        <f t="shared" si="688"/>
        <v>282486306.45910519</v>
      </c>
      <c r="T1083" s="179">
        <f t="shared" si="688"/>
        <v>221817916.77173027</v>
      </c>
      <c r="U1083" s="179">
        <f t="shared" si="688"/>
        <v>155844077.81903064</v>
      </c>
      <c r="V1083" s="179">
        <f t="shared" si="688"/>
        <v>84237423.083280355</v>
      </c>
      <c r="W1083" s="179">
        <f t="shared" si="688"/>
        <v>0</v>
      </c>
      <c r="X1083" s="179">
        <f t="shared" si="688"/>
        <v>0</v>
      </c>
      <c r="Y1083" s="179">
        <f t="shared" si="688"/>
        <v>0</v>
      </c>
      <c r="Z1083" s="179">
        <f t="shared" si="688"/>
        <v>0</v>
      </c>
      <c r="AA1083" s="179">
        <f t="shared" si="688"/>
        <v>0</v>
      </c>
      <c r="AB1083" s="179">
        <f t="shared" si="688"/>
        <v>0</v>
      </c>
      <c r="AC1083" s="179">
        <f t="shared" si="688"/>
        <v>0</v>
      </c>
      <c r="AD1083" s="179">
        <f t="shared" si="688"/>
        <v>0</v>
      </c>
      <c r="AE1083" s="179">
        <f t="shared" si="688"/>
        <v>0</v>
      </c>
      <c r="AF1083" s="179">
        <f t="shared" si="688"/>
        <v>0</v>
      </c>
      <c r="AG1083" s="179">
        <f t="shared" si="688"/>
        <v>0</v>
      </c>
      <c r="AH1083" s="179">
        <f t="shared" si="688"/>
        <v>0</v>
      </c>
      <c r="AI1083" s="179">
        <f t="shared" si="688"/>
        <v>0</v>
      </c>
      <c r="AJ1083" s="179">
        <f t="shared" si="688"/>
        <v>0</v>
      </c>
      <c r="AK1083" s="179">
        <f t="shared" si="688"/>
        <v>0</v>
      </c>
      <c r="AL1083" s="179">
        <f t="shared" si="688"/>
        <v>0</v>
      </c>
      <c r="AM1083" s="179">
        <f t="shared" si="688"/>
        <v>0</v>
      </c>
      <c r="AN1083" s="179">
        <f t="shared" si="688"/>
        <v>0</v>
      </c>
      <c r="AO1083" s="179">
        <f t="shared" si="688"/>
        <v>0</v>
      </c>
      <c r="AP1083" s="179">
        <f t="shared" si="688"/>
        <v>0</v>
      </c>
      <c r="AQ1083" s="179">
        <f t="shared" si="688"/>
        <v>0</v>
      </c>
      <c r="AR1083" s="179">
        <f t="shared" si="688"/>
        <v>0</v>
      </c>
      <c r="AS1083" s="179">
        <f t="shared" si="688"/>
        <v>0</v>
      </c>
      <c r="AT1083" s="179">
        <f t="shared" si="688"/>
        <v>0</v>
      </c>
      <c r="AU1083" s="179">
        <f t="shared" si="688"/>
        <v>0</v>
      </c>
      <c r="AV1083" s="179">
        <f t="shared" si="688"/>
        <v>0</v>
      </c>
      <c r="AW1083" s="179">
        <f t="shared" si="688"/>
        <v>0</v>
      </c>
      <c r="AX1083" s="179">
        <f t="shared" si="688"/>
        <v>0</v>
      </c>
      <c r="AY1083" s="179">
        <f t="shared" si="688"/>
        <v>0</v>
      </c>
      <c r="AZ1083" s="179">
        <f t="shared" si="688"/>
        <v>0</v>
      </c>
      <c r="BA1083" s="179">
        <f t="shared" si="688"/>
        <v>0</v>
      </c>
      <c r="BB1083" s="179">
        <f t="shared" si="688"/>
        <v>0</v>
      </c>
      <c r="BC1083" s="179">
        <f t="shared" si="688"/>
        <v>0</v>
      </c>
      <c r="BD1083" s="179">
        <f t="shared" si="688"/>
        <v>0</v>
      </c>
      <c r="BE1083" s="179">
        <f t="shared" si="688"/>
        <v>0</v>
      </c>
      <c r="BF1083" s="179">
        <f t="shared" si="688"/>
        <v>0</v>
      </c>
      <c r="BG1083" s="179">
        <f t="shared" si="688"/>
        <v>0</v>
      </c>
      <c r="BH1083" s="179">
        <f t="shared" si="688"/>
        <v>0</v>
      </c>
      <c r="BI1083" s="179">
        <f t="shared" si="688"/>
        <v>0</v>
      </c>
      <c r="BJ1083" s="180">
        <f t="shared" si="688"/>
        <v>0</v>
      </c>
    </row>
    <row r="1084" spans="1:64" s="80" customFormat="1">
      <c r="A1084" s="176" t="s">
        <v>142</v>
      </c>
      <c r="B1084" s="177">
        <f>SUM(C1084:BJ1084)</f>
        <v>685885228.59920943</v>
      </c>
      <c r="C1084" s="181">
        <f>C1083*(1+$C981)^-(C1039-1)</f>
        <v>-46251611.622546464</v>
      </c>
      <c r="D1084" s="182">
        <f>D1083*(1+$C981)^-(D1039-1)</f>
        <v>-46014015.095208429</v>
      </c>
      <c r="E1084" s="182">
        <f t="shared" ref="E1084:BJ1084" si="689">E1083*(1+$C981)^-(E1039-1)</f>
        <v>-54923309.976548053</v>
      </c>
      <c r="F1084" s="182">
        <f t="shared" si="689"/>
        <v>-51000216.4067946</v>
      </c>
      <c r="G1084" s="182">
        <f t="shared" si="689"/>
        <v>-47357343.806309283</v>
      </c>
      <c r="H1084" s="182">
        <f t="shared" si="689"/>
        <v>27602486.7001868</v>
      </c>
      <c r="I1084" s="182">
        <f t="shared" si="689"/>
        <v>49315347.285725705</v>
      </c>
      <c r="J1084" s="182">
        <f t="shared" si="689"/>
        <v>67785541.630982593</v>
      </c>
      <c r="K1084" s="182">
        <f t="shared" si="689"/>
        <v>83365527.869336814</v>
      </c>
      <c r="L1084" s="182">
        <f t="shared" si="689"/>
        <v>104993552.58800757</v>
      </c>
      <c r="M1084" s="182">
        <f t="shared" si="689"/>
        <v>97494013.117435575</v>
      </c>
      <c r="N1084" s="182">
        <f t="shared" si="689"/>
        <v>90530155.037618741</v>
      </c>
      <c r="O1084" s="182">
        <f t="shared" si="689"/>
        <v>84063715.392074585</v>
      </c>
      <c r="P1084" s="182">
        <f t="shared" si="689"/>
        <v>78059164.292640671</v>
      </c>
      <c r="Q1084" s="182">
        <f t="shared" si="689"/>
        <v>72483509.700309172</v>
      </c>
      <c r="R1084" s="182">
        <f t="shared" si="689"/>
        <v>67306116.150287107</v>
      </c>
      <c r="S1084" s="182">
        <f t="shared" si="689"/>
        <v>46079635.757510118</v>
      </c>
      <c r="T1084" s="182">
        <f t="shared" si="689"/>
        <v>32306524.29496846</v>
      </c>
      <c r="U1084" s="182">
        <f t="shared" si="689"/>
        <v>20265900.001782168</v>
      </c>
      <c r="V1084" s="182">
        <f t="shared" si="689"/>
        <v>9780535.687750211</v>
      </c>
      <c r="W1084" s="182">
        <f t="shared" si="689"/>
        <v>0</v>
      </c>
      <c r="X1084" s="182">
        <f t="shared" si="689"/>
        <v>0</v>
      </c>
      <c r="Y1084" s="182">
        <f t="shared" si="689"/>
        <v>0</v>
      </c>
      <c r="Z1084" s="182">
        <f t="shared" si="689"/>
        <v>0</v>
      </c>
      <c r="AA1084" s="182">
        <f t="shared" si="689"/>
        <v>0</v>
      </c>
      <c r="AB1084" s="182">
        <f t="shared" si="689"/>
        <v>0</v>
      </c>
      <c r="AC1084" s="182">
        <f t="shared" si="689"/>
        <v>0</v>
      </c>
      <c r="AD1084" s="182">
        <f t="shared" si="689"/>
        <v>0</v>
      </c>
      <c r="AE1084" s="182">
        <f t="shared" si="689"/>
        <v>0</v>
      </c>
      <c r="AF1084" s="182">
        <f t="shared" si="689"/>
        <v>0</v>
      </c>
      <c r="AG1084" s="182">
        <f t="shared" si="689"/>
        <v>0</v>
      </c>
      <c r="AH1084" s="182">
        <f t="shared" si="689"/>
        <v>0</v>
      </c>
      <c r="AI1084" s="182">
        <f t="shared" si="689"/>
        <v>0</v>
      </c>
      <c r="AJ1084" s="182">
        <f t="shared" si="689"/>
        <v>0</v>
      </c>
      <c r="AK1084" s="182">
        <f t="shared" si="689"/>
        <v>0</v>
      </c>
      <c r="AL1084" s="182">
        <f t="shared" si="689"/>
        <v>0</v>
      </c>
      <c r="AM1084" s="182">
        <f t="shared" si="689"/>
        <v>0</v>
      </c>
      <c r="AN1084" s="182">
        <f t="shared" si="689"/>
        <v>0</v>
      </c>
      <c r="AO1084" s="182">
        <f t="shared" si="689"/>
        <v>0</v>
      </c>
      <c r="AP1084" s="182">
        <f t="shared" si="689"/>
        <v>0</v>
      </c>
      <c r="AQ1084" s="182">
        <f t="shared" si="689"/>
        <v>0</v>
      </c>
      <c r="AR1084" s="182">
        <f t="shared" si="689"/>
        <v>0</v>
      </c>
      <c r="AS1084" s="182">
        <f t="shared" si="689"/>
        <v>0</v>
      </c>
      <c r="AT1084" s="182">
        <f t="shared" si="689"/>
        <v>0</v>
      </c>
      <c r="AU1084" s="182">
        <f t="shared" si="689"/>
        <v>0</v>
      </c>
      <c r="AV1084" s="182">
        <f t="shared" si="689"/>
        <v>0</v>
      </c>
      <c r="AW1084" s="182">
        <f t="shared" si="689"/>
        <v>0</v>
      </c>
      <c r="AX1084" s="182">
        <f t="shared" si="689"/>
        <v>0</v>
      </c>
      <c r="AY1084" s="182">
        <f t="shared" si="689"/>
        <v>0</v>
      </c>
      <c r="AZ1084" s="182">
        <f t="shared" si="689"/>
        <v>0</v>
      </c>
      <c r="BA1084" s="182">
        <f t="shared" si="689"/>
        <v>0</v>
      </c>
      <c r="BB1084" s="182">
        <f t="shared" si="689"/>
        <v>0</v>
      </c>
      <c r="BC1084" s="182">
        <f t="shared" si="689"/>
        <v>0</v>
      </c>
      <c r="BD1084" s="182">
        <f t="shared" si="689"/>
        <v>0</v>
      </c>
      <c r="BE1084" s="182">
        <f t="shared" si="689"/>
        <v>0</v>
      </c>
      <c r="BF1084" s="182">
        <f t="shared" si="689"/>
        <v>0</v>
      </c>
      <c r="BG1084" s="182">
        <f t="shared" si="689"/>
        <v>0</v>
      </c>
      <c r="BH1084" s="182">
        <f t="shared" si="689"/>
        <v>0</v>
      </c>
      <c r="BI1084" s="182">
        <f t="shared" si="689"/>
        <v>0</v>
      </c>
      <c r="BJ1084" s="183">
        <f t="shared" si="689"/>
        <v>0</v>
      </c>
    </row>
    <row r="1085" spans="1:64" s="80" customFormat="1">
      <c r="A1085" s="184" t="s">
        <v>143</v>
      </c>
      <c r="B1085" s="177"/>
      <c r="C1085" s="181">
        <f>C1084</f>
        <v>-46251611.622546464</v>
      </c>
      <c r="D1085" s="182">
        <f t="shared" ref="D1085:BJ1085" si="690">IF(D1084=0, 0, C1085+D1084)</f>
        <v>-92265626.7177549</v>
      </c>
      <c r="E1085" s="182">
        <f t="shared" si="690"/>
        <v>-147188936.69430295</v>
      </c>
      <c r="F1085" s="182">
        <f t="shared" si="690"/>
        <v>-198189153.10109755</v>
      </c>
      <c r="G1085" s="182">
        <f t="shared" si="690"/>
        <v>-245546496.90740684</v>
      </c>
      <c r="H1085" s="182">
        <f t="shared" si="690"/>
        <v>-217944010.20722005</v>
      </c>
      <c r="I1085" s="182">
        <f t="shared" si="690"/>
        <v>-168628662.92149433</v>
      </c>
      <c r="J1085" s="182">
        <f t="shared" si="690"/>
        <v>-100843121.29051174</v>
      </c>
      <c r="K1085" s="182">
        <f t="shared" si="690"/>
        <v>-17477593.421174929</v>
      </c>
      <c r="L1085" s="182">
        <f t="shared" si="690"/>
        <v>87515959.166832641</v>
      </c>
      <c r="M1085" s="182">
        <f t="shared" si="690"/>
        <v>185009972.2842682</v>
      </c>
      <c r="N1085" s="182">
        <f t="shared" si="690"/>
        <v>275540127.32188696</v>
      </c>
      <c r="O1085" s="182">
        <f t="shared" si="690"/>
        <v>359603842.71396154</v>
      </c>
      <c r="P1085" s="182">
        <f t="shared" si="690"/>
        <v>437663007.00660223</v>
      </c>
      <c r="Q1085" s="182">
        <f t="shared" si="690"/>
        <v>510146516.70691139</v>
      </c>
      <c r="R1085" s="182">
        <f t="shared" si="690"/>
        <v>577452632.85719848</v>
      </c>
      <c r="S1085" s="182">
        <f t="shared" si="690"/>
        <v>623532268.61470854</v>
      </c>
      <c r="T1085" s="182">
        <f t="shared" si="690"/>
        <v>655838792.90967703</v>
      </c>
      <c r="U1085" s="182">
        <f t="shared" si="690"/>
        <v>676104692.91145921</v>
      </c>
      <c r="V1085" s="182">
        <f t="shared" si="690"/>
        <v>685885228.59920943</v>
      </c>
      <c r="W1085" s="182">
        <f t="shared" si="690"/>
        <v>0</v>
      </c>
      <c r="X1085" s="182">
        <f t="shared" si="690"/>
        <v>0</v>
      </c>
      <c r="Y1085" s="182">
        <f t="shared" si="690"/>
        <v>0</v>
      </c>
      <c r="Z1085" s="182">
        <f t="shared" si="690"/>
        <v>0</v>
      </c>
      <c r="AA1085" s="182">
        <f t="shared" si="690"/>
        <v>0</v>
      </c>
      <c r="AB1085" s="182">
        <f t="shared" si="690"/>
        <v>0</v>
      </c>
      <c r="AC1085" s="182">
        <f t="shared" si="690"/>
        <v>0</v>
      </c>
      <c r="AD1085" s="182">
        <f t="shared" si="690"/>
        <v>0</v>
      </c>
      <c r="AE1085" s="182">
        <f t="shared" si="690"/>
        <v>0</v>
      </c>
      <c r="AF1085" s="182">
        <f t="shared" si="690"/>
        <v>0</v>
      </c>
      <c r="AG1085" s="182">
        <f t="shared" si="690"/>
        <v>0</v>
      </c>
      <c r="AH1085" s="182">
        <f t="shared" si="690"/>
        <v>0</v>
      </c>
      <c r="AI1085" s="182">
        <f t="shared" si="690"/>
        <v>0</v>
      </c>
      <c r="AJ1085" s="182">
        <f t="shared" si="690"/>
        <v>0</v>
      </c>
      <c r="AK1085" s="182">
        <f t="shared" si="690"/>
        <v>0</v>
      </c>
      <c r="AL1085" s="182">
        <f t="shared" si="690"/>
        <v>0</v>
      </c>
      <c r="AM1085" s="182">
        <f t="shared" si="690"/>
        <v>0</v>
      </c>
      <c r="AN1085" s="182">
        <f t="shared" si="690"/>
        <v>0</v>
      </c>
      <c r="AO1085" s="182">
        <f t="shared" si="690"/>
        <v>0</v>
      </c>
      <c r="AP1085" s="182">
        <f t="shared" si="690"/>
        <v>0</v>
      </c>
      <c r="AQ1085" s="182">
        <f t="shared" si="690"/>
        <v>0</v>
      </c>
      <c r="AR1085" s="182">
        <f t="shared" si="690"/>
        <v>0</v>
      </c>
      <c r="AS1085" s="182">
        <f t="shared" si="690"/>
        <v>0</v>
      </c>
      <c r="AT1085" s="182">
        <f t="shared" si="690"/>
        <v>0</v>
      </c>
      <c r="AU1085" s="182">
        <f t="shared" si="690"/>
        <v>0</v>
      </c>
      <c r="AV1085" s="182">
        <f t="shared" si="690"/>
        <v>0</v>
      </c>
      <c r="AW1085" s="182">
        <f t="shared" si="690"/>
        <v>0</v>
      </c>
      <c r="AX1085" s="182">
        <f t="shared" si="690"/>
        <v>0</v>
      </c>
      <c r="AY1085" s="182">
        <f t="shared" si="690"/>
        <v>0</v>
      </c>
      <c r="AZ1085" s="182">
        <f t="shared" si="690"/>
        <v>0</v>
      </c>
      <c r="BA1085" s="182">
        <f t="shared" si="690"/>
        <v>0</v>
      </c>
      <c r="BB1085" s="182">
        <f t="shared" si="690"/>
        <v>0</v>
      </c>
      <c r="BC1085" s="182">
        <f t="shared" si="690"/>
        <v>0</v>
      </c>
      <c r="BD1085" s="182">
        <f t="shared" si="690"/>
        <v>0</v>
      </c>
      <c r="BE1085" s="182">
        <f t="shared" si="690"/>
        <v>0</v>
      </c>
      <c r="BF1085" s="182">
        <f t="shared" si="690"/>
        <v>0</v>
      </c>
      <c r="BG1085" s="182">
        <f t="shared" si="690"/>
        <v>0</v>
      </c>
      <c r="BH1085" s="182">
        <f t="shared" si="690"/>
        <v>0</v>
      </c>
      <c r="BI1085" s="182">
        <f t="shared" si="690"/>
        <v>0</v>
      </c>
      <c r="BJ1085" s="183">
        <f t="shared" si="690"/>
        <v>0</v>
      </c>
    </row>
    <row r="1086" spans="1:64" s="83" customFormat="1">
      <c r="A1086" s="78"/>
      <c r="B1086" s="81"/>
      <c r="C1086" s="82"/>
      <c r="D1086" s="82"/>
      <c r="E1086" s="82"/>
      <c r="F1086" s="82"/>
      <c r="G1086" s="82"/>
      <c r="H1086" s="82"/>
      <c r="I1086" s="82"/>
      <c r="J1086" s="82"/>
      <c r="K1086" s="82"/>
      <c r="L1086" s="82"/>
      <c r="M1086" s="82"/>
      <c r="N1086" s="82"/>
      <c r="O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2"/>
      <c r="AD1086" s="82"/>
      <c r="AE1086" s="82"/>
      <c r="AF1086" s="82"/>
      <c r="AG1086" s="82"/>
      <c r="AH1086" s="82"/>
      <c r="AI1086" s="82"/>
      <c r="AJ1086" s="82"/>
      <c r="AK1086" s="82"/>
      <c r="AL1086" s="82"/>
      <c r="AM1086" s="82"/>
      <c r="AN1086" s="82"/>
      <c r="AO1086" s="82"/>
      <c r="AP1086" s="82"/>
      <c r="AQ1086" s="82"/>
      <c r="AR1086" s="82"/>
      <c r="AS1086" s="82"/>
      <c r="AT1086" s="82"/>
      <c r="AU1086" s="82"/>
      <c r="AV1086" s="82"/>
      <c r="AW1086" s="82"/>
      <c r="AX1086" s="82"/>
      <c r="AY1086" s="82"/>
      <c r="AZ1086" s="82"/>
      <c r="BA1086" s="82"/>
      <c r="BB1086" s="82"/>
      <c r="BC1086" s="82"/>
      <c r="BD1086" s="82"/>
      <c r="BE1086" s="82"/>
      <c r="BF1086" s="82"/>
      <c r="BG1086" s="82"/>
      <c r="BH1086" s="82"/>
      <c r="BI1086" s="82"/>
      <c r="BJ1086" s="82"/>
    </row>
    <row r="1087" spans="1:64" ht="21">
      <c r="A1087" s="185" t="s">
        <v>163</v>
      </c>
      <c r="B1087" s="93"/>
      <c r="C1087" s="186"/>
      <c r="D1087" s="186"/>
      <c r="E1087" s="186"/>
      <c r="F1087" s="186"/>
      <c r="G1087" s="186"/>
      <c r="H1087" s="186"/>
      <c r="I1087" s="186"/>
      <c r="J1087" s="186"/>
      <c r="K1087" s="186"/>
      <c r="L1087" s="186"/>
      <c r="M1087" s="186"/>
      <c r="N1087" s="186"/>
      <c r="O1087" s="186"/>
      <c r="P1087" s="186"/>
      <c r="Q1087" s="186"/>
      <c r="R1087" s="186"/>
      <c r="S1087" s="186"/>
      <c r="T1087" s="186"/>
      <c r="U1087" s="186"/>
      <c r="V1087" s="186"/>
      <c r="W1087" s="186"/>
      <c r="X1087" s="186"/>
      <c r="Y1087" s="186"/>
      <c r="Z1087" s="186"/>
      <c r="AA1087" s="186"/>
      <c r="AB1087" s="186"/>
      <c r="AC1087" s="186"/>
      <c r="AD1087" s="186"/>
      <c r="AE1087" s="186"/>
      <c r="AF1087" s="186"/>
      <c r="AG1087" s="186"/>
      <c r="AH1087" s="186"/>
      <c r="AI1087" s="186"/>
      <c r="AJ1087" s="186"/>
      <c r="AK1087" s="186"/>
      <c r="AL1087" s="186"/>
      <c r="AM1087" s="186"/>
      <c r="AN1087" s="186"/>
      <c r="AO1087" s="186"/>
      <c r="AP1087" s="186"/>
      <c r="AQ1087" s="186"/>
      <c r="AR1087" s="186"/>
      <c r="AS1087" s="186"/>
      <c r="AT1087" s="186"/>
      <c r="AU1087" s="186"/>
      <c r="AV1087" s="186"/>
      <c r="AW1087" s="186"/>
      <c r="AX1087" s="186"/>
      <c r="AY1087" s="186"/>
      <c r="AZ1087" s="186"/>
      <c r="BA1087" s="186"/>
      <c r="BB1087" s="186"/>
      <c r="BC1087" s="186"/>
      <c r="BD1087" s="186"/>
      <c r="BE1087" s="186"/>
      <c r="BF1087" s="186"/>
      <c r="BG1087" s="186"/>
      <c r="BH1087" s="186"/>
      <c r="BI1087" s="186"/>
      <c r="BJ1087" s="186"/>
    </row>
    <row r="1088" spans="1:64">
      <c r="A1088" s="187" t="s">
        <v>158</v>
      </c>
      <c r="B1088" s="188">
        <f>SUM(C1088:BJ1088)</f>
        <v>773.50486269787007</v>
      </c>
      <c r="C1088" s="189">
        <f>(C1040*(1-$K981))/(1+$C981)^(C1039-1)</f>
        <v>0</v>
      </c>
      <c r="D1088" s="190">
        <f>(D1040*(1-$K981))/(1+$C981)^(D1039-1)</f>
        <v>0</v>
      </c>
      <c r="E1088" s="190">
        <f t="shared" ref="E1088:BJ1088" si="691">(E1040*(1-$K981))/(1+$C981)^(E1039-1)</f>
        <v>0</v>
      </c>
      <c r="F1088" s="190">
        <f t="shared" si="691"/>
        <v>0</v>
      </c>
      <c r="G1088" s="190">
        <f t="shared" si="691"/>
        <v>0</v>
      </c>
      <c r="H1088" s="190">
        <f t="shared" si="691"/>
        <v>27.30741743145758</v>
      </c>
      <c r="I1088" s="190">
        <f t="shared" si="691"/>
        <v>48.763245413317101</v>
      </c>
      <c r="J1088" s="190">
        <f t="shared" si="691"/>
        <v>65.307917964263979</v>
      </c>
      <c r="K1088" s="190">
        <f t="shared" si="691"/>
        <v>77.747521386028538</v>
      </c>
      <c r="L1088" s="190">
        <f t="shared" si="691"/>
        <v>94.660131557664641</v>
      </c>
      <c r="M1088" s="190">
        <f t="shared" si="691"/>
        <v>84.517974605057702</v>
      </c>
      <c r="N1088" s="190">
        <f t="shared" si="691"/>
        <v>75.462477325944363</v>
      </c>
      <c r="O1088" s="190">
        <f t="shared" si="691"/>
        <v>67.377211898164617</v>
      </c>
      <c r="P1088" s="190">
        <f t="shared" si="691"/>
        <v>60.158224909075543</v>
      </c>
      <c r="Q1088" s="190">
        <f t="shared" si="691"/>
        <v>53.712700811674587</v>
      </c>
      <c r="R1088" s="190">
        <f t="shared" si="691"/>
        <v>47.957768581852314</v>
      </c>
      <c r="S1088" s="190">
        <f t="shared" si="691"/>
        <v>31.400919904784235</v>
      </c>
      <c r="T1088" s="190">
        <f t="shared" si="691"/>
        <v>21.02740172195373</v>
      </c>
      <c r="U1088" s="190">
        <f t="shared" si="691"/>
        <v>12.516310548781981</v>
      </c>
      <c r="V1088" s="190">
        <f t="shared" si="691"/>
        <v>5.5876386378490972</v>
      </c>
      <c r="W1088" s="190">
        <f t="shared" si="691"/>
        <v>0</v>
      </c>
      <c r="X1088" s="190">
        <f t="shared" si="691"/>
        <v>0</v>
      </c>
      <c r="Y1088" s="190">
        <f t="shared" si="691"/>
        <v>0</v>
      </c>
      <c r="Z1088" s="190">
        <f t="shared" si="691"/>
        <v>0</v>
      </c>
      <c r="AA1088" s="190">
        <f t="shared" si="691"/>
        <v>0</v>
      </c>
      <c r="AB1088" s="190">
        <f t="shared" si="691"/>
        <v>0</v>
      </c>
      <c r="AC1088" s="190">
        <f t="shared" si="691"/>
        <v>0</v>
      </c>
      <c r="AD1088" s="190">
        <f t="shared" si="691"/>
        <v>0</v>
      </c>
      <c r="AE1088" s="190">
        <f t="shared" si="691"/>
        <v>0</v>
      </c>
      <c r="AF1088" s="190">
        <f t="shared" si="691"/>
        <v>0</v>
      </c>
      <c r="AG1088" s="190">
        <f t="shared" si="691"/>
        <v>0</v>
      </c>
      <c r="AH1088" s="190">
        <f t="shared" si="691"/>
        <v>0</v>
      </c>
      <c r="AI1088" s="190">
        <f t="shared" si="691"/>
        <v>0</v>
      </c>
      <c r="AJ1088" s="190">
        <f t="shared" si="691"/>
        <v>0</v>
      </c>
      <c r="AK1088" s="190">
        <f t="shared" si="691"/>
        <v>0</v>
      </c>
      <c r="AL1088" s="190">
        <f t="shared" si="691"/>
        <v>0</v>
      </c>
      <c r="AM1088" s="190">
        <f t="shared" si="691"/>
        <v>0</v>
      </c>
      <c r="AN1088" s="190">
        <f t="shared" si="691"/>
        <v>0</v>
      </c>
      <c r="AO1088" s="190">
        <f t="shared" si="691"/>
        <v>0</v>
      </c>
      <c r="AP1088" s="190">
        <f t="shared" si="691"/>
        <v>0</v>
      </c>
      <c r="AQ1088" s="190">
        <f t="shared" si="691"/>
        <v>0</v>
      </c>
      <c r="AR1088" s="190">
        <f t="shared" si="691"/>
        <v>0</v>
      </c>
      <c r="AS1088" s="190">
        <f t="shared" si="691"/>
        <v>0</v>
      </c>
      <c r="AT1088" s="190">
        <f t="shared" si="691"/>
        <v>0</v>
      </c>
      <c r="AU1088" s="190">
        <f t="shared" si="691"/>
        <v>0</v>
      </c>
      <c r="AV1088" s="190">
        <f t="shared" si="691"/>
        <v>0</v>
      </c>
      <c r="AW1088" s="190">
        <f t="shared" si="691"/>
        <v>0</v>
      </c>
      <c r="AX1088" s="190">
        <f t="shared" si="691"/>
        <v>0</v>
      </c>
      <c r="AY1088" s="190">
        <f t="shared" si="691"/>
        <v>0</v>
      </c>
      <c r="AZ1088" s="190">
        <f t="shared" si="691"/>
        <v>0</v>
      </c>
      <c r="BA1088" s="190">
        <f t="shared" si="691"/>
        <v>0</v>
      </c>
      <c r="BB1088" s="190">
        <f t="shared" si="691"/>
        <v>0</v>
      </c>
      <c r="BC1088" s="190">
        <f t="shared" si="691"/>
        <v>0</v>
      </c>
      <c r="BD1088" s="190">
        <f t="shared" si="691"/>
        <v>0</v>
      </c>
      <c r="BE1088" s="190">
        <f t="shared" si="691"/>
        <v>0</v>
      </c>
      <c r="BF1088" s="190">
        <f t="shared" si="691"/>
        <v>0</v>
      </c>
      <c r="BG1088" s="190">
        <f t="shared" si="691"/>
        <v>0</v>
      </c>
      <c r="BH1088" s="190">
        <f t="shared" si="691"/>
        <v>0</v>
      </c>
      <c r="BI1088" s="190">
        <f t="shared" si="691"/>
        <v>0</v>
      </c>
      <c r="BJ1088" s="191">
        <f t="shared" si="691"/>
        <v>0</v>
      </c>
    </row>
    <row r="1089" spans="1:63">
      <c r="A1089" s="192" t="s">
        <v>159</v>
      </c>
      <c r="B1089" s="193">
        <f>SUM(C1089:BJ1089)</f>
        <v>680848439.52103794</v>
      </c>
      <c r="C1089" s="194">
        <f>(((C1042+C1071)*(1-$K981))-(C1081-C1051))/(1+$C981)^(C1039-1)</f>
        <v>58314972.115983821</v>
      </c>
      <c r="D1089" s="186">
        <f>(((D1042+D1071)*(1-$K981))-(D1081-D1051))/(1+$C981)^(D1039-1)</f>
        <v>57344644.202447742</v>
      </c>
      <c r="E1089" s="186">
        <f t="shared" ref="E1089:BJ1089" si="692">(((E1042+E1071)*(1-$K981))-(E1081-E1051))/(1+$C981)^(E1039-1)</f>
        <v>64865371.091259047</v>
      </c>
      <c r="F1089" s="186">
        <f t="shared" si="692"/>
        <v>59694267.052872971</v>
      </c>
      <c r="G1089" s="186">
        <f t="shared" si="692"/>
        <v>54930946.391954012</v>
      </c>
      <c r="H1089" s="186">
        <f t="shared" si="692"/>
        <v>9244779.247999398</v>
      </c>
      <c r="I1089" s="186">
        <f t="shared" si="692"/>
        <v>19115289.475191507</v>
      </c>
      <c r="J1089" s="186">
        <f t="shared" si="692"/>
        <v>27528559.571723517</v>
      </c>
      <c r="K1089" s="186">
        <f t="shared" si="692"/>
        <v>34642406.953061216</v>
      </c>
      <c r="L1089" s="186">
        <f t="shared" si="692"/>
        <v>44432079.167626359</v>
      </c>
      <c r="M1089" s="186">
        <f t="shared" si="692"/>
        <v>41258359.227081612</v>
      </c>
      <c r="N1089" s="186">
        <f t="shared" si="692"/>
        <v>38311333.56800434</v>
      </c>
      <c r="O1089" s="186">
        <f t="shared" si="692"/>
        <v>35574809.741718322</v>
      </c>
      <c r="P1089" s="186">
        <f t="shared" si="692"/>
        <v>33033751.903024159</v>
      </c>
      <c r="Q1089" s="186">
        <f t="shared" si="692"/>
        <v>30674198.195665285</v>
      </c>
      <c r="R1089" s="186">
        <f t="shared" si="692"/>
        <v>28483184.038832046</v>
      </c>
      <c r="S1089" s="186">
        <f t="shared" si="692"/>
        <v>19148316.276032902</v>
      </c>
      <c r="T1089" s="186">
        <f t="shared" si="692"/>
        <v>13120085.1569633</v>
      </c>
      <c r="U1089" s="186">
        <f t="shared" si="692"/>
        <v>7855334.4208422434</v>
      </c>
      <c r="V1089" s="186">
        <f t="shared" si="692"/>
        <v>3275751.7227539788</v>
      </c>
      <c r="W1089" s="186">
        <f t="shared" si="692"/>
        <v>0</v>
      </c>
      <c r="X1089" s="186">
        <f t="shared" si="692"/>
        <v>0</v>
      </c>
      <c r="Y1089" s="186">
        <f t="shared" si="692"/>
        <v>0</v>
      </c>
      <c r="Z1089" s="186">
        <f t="shared" si="692"/>
        <v>0</v>
      </c>
      <c r="AA1089" s="186">
        <f t="shared" si="692"/>
        <v>0</v>
      </c>
      <c r="AB1089" s="186">
        <f t="shared" si="692"/>
        <v>0</v>
      </c>
      <c r="AC1089" s="186">
        <f t="shared" si="692"/>
        <v>0</v>
      </c>
      <c r="AD1089" s="186">
        <f t="shared" si="692"/>
        <v>0</v>
      </c>
      <c r="AE1089" s="186">
        <f t="shared" si="692"/>
        <v>0</v>
      </c>
      <c r="AF1089" s="186">
        <f t="shared" si="692"/>
        <v>0</v>
      </c>
      <c r="AG1089" s="186">
        <f t="shared" si="692"/>
        <v>0</v>
      </c>
      <c r="AH1089" s="186">
        <f t="shared" si="692"/>
        <v>0</v>
      </c>
      <c r="AI1089" s="186">
        <f t="shared" si="692"/>
        <v>0</v>
      </c>
      <c r="AJ1089" s="186">
        <f t="shared" si="692"/>
        <v>0</v>
      </c>
      <c r="AK1089" s="186">
        <f t="shared" si="692"/>
        <v>0</v>
      </c>
      <c r="AL1089" s="186">
        <f t="shared" si="692"/>
        <v>0</v>
      </c>
      <c r="AM1089" s="186">
        <f t="shared" si="692"/>
        <v>0</v>
      </c>
      <c r="AN1089" s="186">
        <f t="shared" si="692"/>
        <v>0</v>
      </c>
      <c r="AO1089" s="186">
        <f t="shared" si="692"/>
        <v>0</v>
      </c>
      <c r="AP1089" s="186">
        <f t="shared" si="692"/>
        <v>0</v>
      </c>
      <c r="AQ1089" s="186">
        <f t="shared" si="692"/>
        <v>0</v>
      </c>
      <c r="AR1089" s="186">
        <f t="shared" si="692"/>
        <v>0</v>
      </c>
      <c r="AS1089" s="186">
        <f t="shared" si="692"/>
        <v>0</v>
      </c>
      <c r="AT1089" s="186">
        <f t="shared" si="692"/>
        <v>0</v>
      </c>
      <c r="AU1089" s="186">
        <f t="shared" si="692"/>
        <v>0</v>
      </c>
      <c r="AV1089" s="186">
        <f t="shared" si="692"/>
        <v>0</v>
      </c>
      <c r="AW1089" s="186">
        <f t="shared" si="692"/>
        <v>0</v>
      </c>
      <c r="AX1089" s="186">
        <f t="shared" si="692"/>
        <v>0</v>
      </c>
      <c r="AY1089" s="186">
        <f t="shared" si="692"/>
        <v>0</v>
      </c>
      <c r="AZ1089" s="186">
        <f t="shared" si="692"/>
        <v>0</v>
      </c>
      <c r="BA1089" s="186">
        <f t="shared" si="692"/>
        <v>0</v>
      </c>
      <c r="BB1089" s="186">
        <f t="shared" si="692"/>
        <v>0</v>
      </c>
      <c r="BC1089" s="186">
        <f t="shared" si="692"/>
        <v>0</v>
      </c>
      <c r="BD1089" s="186">
        <f t="shared" si="692"/>
        <v>0</v>
      </c>
      <c r="BE1089" s="186">
        <f t="shared" si="692"/>
        <v>0</v>
      </c>
      <c r="BF1089" s="186">
        <f t="shared" si="692"/>
        <v>0</v>
      </c>
      <c r="BG1089" s="186">
        <f t="shared" si="692"/>
        <v>0</v>
      </c>
      <c r="BH1089" s="186">
        <f t="shared" si="692"/>
        <v>0</v>
      </c>
      <c r="BI1089" s="186">
        <f t="shared" si="692"/>
        <v>0</v>
      </c>
      <c r="BJ1089" s="195">
        <f t="shared" si="692"/>
        <v>0</v>
      </c>
    </row>
    <row r="1090" spans="1:63">
      <c r="A1090" s="196" t="s">
        <v>160</v>
      </c>
      <c r="B1090" s="197">
        <f>B1089/B1088</f>
        <v>880212.22923711129</v>
      </c>
      <c r="C1090" s="166"/>
      <c r="D1090" s="167"/>
      <c r="E1090" s="167"/>
      <c r="F1090" s="167"/>
      <c r="G1090" s="167"/>
      <c r="H1090" s="167"/>
      <c r="I1090" s="167"/>
      <c r="J1090" s="167"/>
      <c r="K1090" s="167"/>
      <c r="L1090" s="167"/>
      <c r="M1090" s="167"/>
      <c r="N1090" s="167"/>
      <c r="O1090" s="167"/>
      <c r="P1090" s="167"/>
      <c r="Q1090" s="167"/>
      <c r="R1090" s="167"/>
      <c r="S1090" s="167"/>
      <c r="T1090" s="167"/>
      <c r="U1090" s="167"/>
      <c r="V1090" s="167"/>
      <c r="W1090" s="167"/>
      <c r="X1090" s="167"/>
      <c r="Y1090" s="167"/>
      <c r="Z1090" s="167"/>
      <c r="AA1090" s="167"/>
      <c r="AB1090" s="167"/>
      <c r="AC1090" s="167"/>
      <c r="AD1090" s="167"/>
      <c r="AE1090" s="167"/>
      <c r="AF1090" s="167"/>
      <c r="AG1090" s="167"/>
      <c r="AH1090" s="167"/>
      <c r="AI1090" s="167"/>
      <c r="AJ1090" s="167"/>
      <c r="AK1090" s="167"/>
      <c r="AL1090" s="167"/>
      <c r="AM1090" s="167"/>
      <c r="AN1090" s="167"/>
      <c r="AO1090" s="167"/>
      <c r="AP1090" s="167"/>
      <c r="AQ1090" s="167"/>
      <c r="AR1090" s="167"/>
      <c r="AS1090" s="167"/>
      <c r="AT1090" s="167"/>
      <c r="AU1090" s="167"/>
      <c r="AV1090" s="167"/>
      <c r="AW1090" s="167"/>
      <c r="AX1090" s="167"/>
      <c r="AY1090" s="167"/>
      <c r="AZ1090" s="167"/>
      <c r="BA1090" s="167"/>
      <c r="BB1090" s="167"/>
      <c r="BC1090" s="167"/>
      <c r="BD1090" s="167"/>
      <c r="BE1090" s="167"/>
      <c r="BF1090" s="167"/>
      <c r="BG1090" s="167"/>
      <c r="BH1090" s="167"/>
      <c r="BI1090" s="167"/>
      <c r="BJ1090" s="198"/>
    </row>
    <row r="1091" spans="1:63">
      <c r="A1091" s="187" t="s">
        <v>158</v>
      </c>
      <c r="B1091" s="188">
        <f>SUM(C1091:BJ1091)</f>
        <v>2800</v>
      </c>
      <c r="C1091" s="189">
        <f>(C1040*(1-$K981))/(1)^(C1039-1)</f>
        <v>0</v>
      </c>
      <c r="D1091" s="190">
        <f>(D1040*(1-$K981))/(1)^(D1039-1)</f>
        <v>0</v>
      </c>
      <c r="E1091" s="190">
        <f t="shared" ref="E1091:BJ1091" si="693">(E1040*(1-$K981))/(1)^(E1039-1)</f>
        <v>0</v>
      </c>
      <c r="F1091" s="190">
        <f t="shared" si="693"/>
        <v>0</v>
      </c>
      <c r="G1091" s="190">
        <f t="shared" si="693"/>
        <v>0</v>
      </c>
      <c r="H1091" s="190">
        <f t="shared" si="693"/>
        <v>48.124999999999986</v>
      </c>
      <c r="I1091" s="190">
        <f t="shared" si="693"/>
        <v>96.249999999999972</v>
      </c>
      <c r="J1091" s="190">
        <f t="shared" si="693"/>
        <v>144.37499999999997</v>
      </c>
      <c r="K1091" s="190">
        <f t="shared" si="693"/>
        <v>192.49999999999994</v>
      </c>
      <c r="L1091" s="190">
        <f t="shared" si="693"/>
        <v>262.5</v>
      </c>
      <c r="M1091" s="190">
        <f t="shared" si="693"/>
        <v>262.5</v>
      </c>
      <c r="N1091" s="190">
        <f t="shared" si="693"/>
        <v>262.5</v>
      </c>
      <c r="O1091" s="190">
        <f t="shared" si="693"/>
        <v>262.5</v>
      </c>
      <c r="P1091" s="190">
        <f t="shared" si="693"/>
        <v>262.5</v>
      </c>
      <c r="Q1091" s="190">
        <f t="shared" si="693"/>
        <v>262.5</v>
      </c>
      <c r="R1091" s="190">
        <f t="shared" si="693"/>
        <v>262.5</v>
      </c>
      <c r="S1091" s="190">
        <f t="shared" si="693"/>
        <v>192.49999999999994</v>
      </c>
      <c r="T1091" s="190">
        <f t="shared" si="693"/>
        <v>144.37499999999997</v>
      </c>
      <c r="U1091" s="190">
        <f t="shared" si="693"/>
        <v>96.249999999999972</v>
      </c>
      <c r="V1091" s="190">
        <f t="shared" si="693"/>
        <v>48.124999999999986</v>
      </c>
      <c r="W1091" s="190">
        <f t="shared" si="693"/>
        <v>0</v>
      </c>
      <c r="X1091" s="190">
        <f t="shared" si="693"/>
        <v>0</v>
      </c>
      <c r="Y1091" s="190">
        <f t="shared" si="693"/>
        <v>0</v>
      </c>
      <c r="Z1091" s="190">
        <f t="shared" si="693"/>
        <v>0</v>
      </c>
      <c r="AA1091" s="190">
        <f t="shared" si="693"/>
        <v>0</v>
      </c>
      <c r="AB1091" s="190">
        <f t="shared" si="693"/>
        <v>0</v>
      </c>
      <c r="AC1091" s="190">
        <f t="shared" si="693"/>
        <v>0</v>
      </c>
      <c r="AD1091" s="190">
        <f t="shared" si="693"/>
        <v>0</v>
      </c>
      <c r="AE1091" s="190">
        <f t="shared" si="693"/>
        <v>0</v>
      </c>
      <c r="AF1091" s="190">
        <f t="shared" si="693"/>
        <v>0</v>
      </c>
      <c r="AG1091" s="190">
        <f t="shared" si="693"/>
        <v>0</v>
      </c>
      <c r="AH1091" s="190">
        <f t="shared" si="693"/>
        <v>0</v>
      </c>
      <c r="AI1091" s="190">
        <f t="shared" si="693"/>
        <v>0</v>
      </c>
      <c r="AJ1091" s="190">
        <f t="shared" si="693"/>
        <v>0</v>
      </c>
      <c r="AK1091" s="190">
        <f t="shared" si="693"/>
        <v>0</v>
      </c>
      <c r="AL1091" s="190">
        <f t="shared" si="693"/>
        <v>0</v>
      </c>
      <c r="AM1091" s="190">
        <f t="shared" si="693"/>
        <v>0</v>
      </c>
      <c r="AN1091" s="190">
        <f t="shared" si="693"/>
        <v>0</v>
      </c>
      <c r="AO1091" s="190">
        <f t="shared" si="693"/>
        <v>0</v>
      </c>
      <c r="AP1091" s="190">
        <f t="shared" si="693"/>
        <v>0</v>
      </c>
      <c r="AQ1091" s="190">
        <f t="shared" si="693"/>
        <v>0</v>
      </c>
      <c r="AR1091" s="190">
        <f t="shared" si="693"/>
        <v>0</v>
      </c>
      <c r="AS1091" s="190">
        <f t="shared" si="693"/>
        <v>0</v>
      </c>
      <c r="AT1091" s="190">
        <f t="shared" si="693"/>
        <v>0</v>
      </c>
      <c r="AU1091" s="190">
        <f t="shared" si="693"/>
        <v>0</v>
      </c>
      <c r="AV1091" s="190">
        <f t="shared" si="693"/>
        <v>0</v>
      </c>
      <c r="AW1091" s="190">
        <f t="shared" si="693"/>
        <v>0</v>
      </c>
      <c r="AX1091" s="190">
        <f t="shared" si="693"/>
        <v>0</v>
      </c>
      <c r="AY1091" s="190">
        <f t="shared" si="693"/>
        <v>0</v>
      </c>
      <c r="AZ1091" s="190">
        <f t="shared" si="693"/>
        <v>0</v>
      </c>
      <c r="BA1091" s="190">
        <f t="shared" si="693"/>
        <v>0</v>
      </c>
      <c r="BB1091" s="190">
        <f t="shared" si="693"/>
        <v>0</v>
      </c>
      <c r="BC1091" s="190">
        <f t="shared" si="693"/>
        <v>0</v>
      </c>
      <c r="BD1091" s="190">
        <f t="shared" si="693"/>
        <v>0</v>
      </c>
      <c r="BE1091" s="190">
        <f t="shared" si="693"/>
        <v>0</v>
      </c>
      <c r="BF1091" s="190">
        <f t="shared" si="693"/>
        <v>0</v>
      </c>
      <c r="BG1091" s="190">
        <f t="shared" si="693"/>
        <v>0</v>
      </c>
      <c r="BH1091" s="190">
        <f t="shared" si="693"/>
        <v>0</v>
      </c>
      <c r="BI1091" s="190">
        <f t="shared" si="693"/>
        <v>0</v>
      </c>
      <c r="BJ1091" s="191">
        <f t="shared" si="693"/>
        <v>0</v>
      </c>
    </row>
    <row r="1092" spans="1:63">
      <c r="A1092" s="192" t="s">
        <v>159</v>
      </c>
      <c r="B1092" s="193">
        <f>SUM(C1092:BJ1092)</f>
        <v>1844130010.5374391</v>
      </c>
      <c r="C1092" s="194">
        <f>(((C1042+C1071)*(1-$K981))-(C1081-C1051))/(1)^(C1039-1)</f>
        <v>58314972.115983821</v>
      </c>
      <c r="D1092" s="186">
        <f>(((D1042+D1071)*(1-$K981))-(D1081-D1051))/(1)^(D1039-1)</f>
        <v>64226001.506741479</v>
      </c>
      <c r="E1092" s="186">
        <f t="shared" ref="E1092:BJ1092" si="694">(((E1042+E1071)*(1-$K981))-(E1081-E1051))/(1)^(E1039-1)</f>
        <v>81367121.496875361</v>
      </c>
      <c r="F1092" s="186">
        <f t="shared" si="694"/>
        <v>83866147.222058743</v>
      </c>
      <c r="G1092" s="186">
        <f t="shared" si="694"/>
        <v>86434907.610861808</v>
      </c>
      <c r="H1092" s="186">
        <f t="shared" si="694"/>
        <v>16292459.820731694</v>
      </c>
      <c r="I1092" s="186">
        <f t="shared" si="694"/>
        <v>37730191.999991968</v>
      </c>
      <c r="J1092" s="186">
        <f t="shared" si="694"/>
        <v>60856874.817879885</v>
      </c>
      <c r="K1092" s="186">
        <f t="shared" si="694"/>
        <v>85773323.953998893</v>
      </c>
      <c r="L1092" s="186">
        <f t="shared" si="694"/>
        <v>123213654.88908969</v>
      </c>
      <c r="M1092" s="186">
        <f t="shared" si="694"/>
        <v>128142201.08465327</v>
      </c>
      <c r="N1092" s="186">
        <f t="shared" si="694"/>
        <v>133267889.12803937</v>
      </c>
      <c r="O1092" s="186">
        <f t="shared" si="694"/>
        <v>138598604.69316098</v>
      </c>
      <c r="P1092" s="186">
        <f t="shared" si="694"/>
        <v>144142548.88088745</v>
      </c>
      <c r="Q1092" s="186">
        <f t="shared" si="694"/>
        <v>149908250.83612293</v>
      </c>
      <c r="R1092" s="186">
        <f t="shared" si="694"/>
        <v>155904580.86956781</v>
      </c>
      <c r="S1092" s="186">
        <f t="shared" si="694"/>
        <v>117386716.5138282</v>
      </c>
      <c r="T1092" s="186">
        <f t="shared" si="694"/>
        <v>90083041.147157863</v>
      </c>
      <c r="U1092" s="186">
        <f t="shared" si="694"/>
        <v>60407253.00473173</v>
      </c>
      <c r="V1092" s="186">
        <f t="shared" si="694"/>
        <v>28213268.945076086</v>
      </c>
      <c r="W1092" s="186">
        <f t="shared" si="694"/>
        <v>0</v>
      </c>
      <c r="X1092" s="186">
        <f t="shared" si="694"/>
        <v>0</v>
      </c>
      <c r="Y1092" s="186">
        <f t="shared" si="694"/>
        <v>0</v>
      </c>
      <c r="Z1092" s="186">
        <f t="shared" si="694"/>
        <v>0</v>
      </c>
      <c r="AA1092" s="186">
        <f t="shared" si="694"/>
        <v>0</v>
      </c>
      <c r="AB1092" s="186">
        <f t="shared" si="694"/>
        <v>0</v>
      </c>
      <c r="AC1092" s="186">
        <f t="shared" si="694"/>
        <v>0</v>
      </c>
      <c r="AD1092" s="186">
        <f t="shared" si="694"/>
        <v>0</v>
      </c>
      <c r="AE1092" s="186">
        <f t="shared" si="694"/>
        <v>0</v>
      </c>
      <c r="AF1092" s="186">
        <f t="shared" si="694"/>
        <v>0</v>
      </c>
      <c r="AG1092" s="186">
        <f t="shared" si="694"/>
        <v>0</v>
      </c>
      <c r="AH1092" s="186">
        <f t="shared" si="694"/>
        <v>0</v>
      </c>
      <c r="AI1092" s="186">
        <f t="shared" si="694"/>
        <v>0</v>
      </c>
      <c r="AJ1092" s="186">
        <f t="shared" si="694"/>
        <v>0</v>
      </c>
      <c r="AK1092" s="186">
        <f t="shared" si="694"/>
        <v>0</v>
      </c>
      <c r="AL1092" s="186">
        <f t="shared" si="694"/>
        <v>0</v>
      </c>
      <c r="AM1092" s="186">
        <f t="shared" si="694"/>
        <v>0</v>
      </c>
      <c r="AN1092" s="186">
        <f t="shared" si="694"/>
        <v>0</v>
      </c>
      <c r="AO1092" s="186">
        <f t="shared" si="694"/>
        <v>0</v>
      </c>
      <c r="AP1092" s="186">
        <f t="shared" si="694"/>
        <v>0</v>
      </c>
      <c r="AQ1092" s="186">
        <f t="shared" si="694"/>
        <v>0</v>
      </c>
      <c r="AR1092" s="186">
        <f t="shared" si="694"/>
        <v>0</v>
      </c>
      <c r="AS1092" s="186">
        <f t="shared" si="694"/>
        <v>0</v>
      </c>
      <c r="AT1092" s="186">
        <f t="shared" si="694"/>
        <v>0</v>
      </c>
      <c r="AU1092" s="186">
        <f t="shared" si="694"/>
        <v>0</v>
      </c>
      <c r="AV1092" s="186">
        <f t="shared" si="694"/>
        <v>0</v>
      </c>
      <c r="AW1092" s="186">
        <f t="shared" si="694"/>
        <v>0</v>
      </c>
      <c r="AX1092" s="186">
        <f t="shared" si="694"/>
        <v>0</v>
      </c>
      <c r="AY1092" s="186">
        <f t="shared" si="694"/>
        <v>0</v>
      </c>
      <c r="AZ1092" s="186">
        <f t="shared" si="694"/>
        <v>0</v>
      </c>
      <c r="BA1092" s="186">
        <f t="shared" si="694"/>
        <v>0</v>
      </c>
      <c r="BB1092" s="186">
        <f t="shared" si="694"/>
        <v>0</v>
      </c>
      <c r="BC1092" s="186">
        <f t="shared" si="694"/>
        <v>0</v>
      </c>
      <c r="BD1092" s="186">
        <f t="shared" si="694"/>
        <v>0</v>
      </c>
      <c r="BE1092" s="186">
        <f t="shared" si="694"/>
        <v>0</v>
      </c>
      <c r="BF1092" s="186">
        <f t="shared" si="694"/>
        <v>0</v>
      </c>
      <c r="BG1092" s="186">
        <f t="shared" si="694"/>
        <v>0</v>
      </c>
      <c r="BH1092" s="186">
        <f t="shared" si="694"/>
        <v>0</v>
      </c>
      <c r="BI1092" s="186">
        <f t="shared" si="694"/>
        <v>0</v>
      </c>
      <c r="BJ1092" s="195">
        <f t="shared" si="694"/>
        <v>0</v>
      </c>
      <c r="BK1092" s="186"/>
    </row>
    <row r="1093" spans="1:63">
      <c r="A1093" s="196" t="s">
        <v>161</v>
      </c>
      <c r="B1093" s="197">
        <f>B1092/B1091</f>
        <v>658617.86090622831</v>
      </c>
      <c r="C1093" s="166"/>
      <c r="D1093" s="167"/>
      <c r="E1093" s="167"/>
      <c r="F1093" s="167"/>
      <c r="G1093" s="167"/>
      <c r="H1093" s="167"/>
      <c r="I1093" s="167"/>
      <c r="J1093" s="167"/>
      <c r="K1093" s="167"/>
      <c r="L1093" s="167"/>
      <c r="M1093" s="167"/>
      <c r="N1093" s="167"/>
      <c r="O1093" s="167"/>
      <c r="P1093" s="167"/>
      <c r="Q1093" s="167"/>
      <c r="R1093" s="167"/>
      <c r="S1093" s="167"/>
      <c r="T1093" s="167"/>
      <c r="U1093" s="167"/>
      <c r="V1093" s="167"/>
      <c r="W1093" s="167"/>
      <c r="X1093" s="167"/>
      <c r="Y1093" s="167"/>
      <c r="Z1093" s="167"/>
      <c r="AA1093" s="167"/>
      <c r="AB1093" s="167"/>
      <c r="AC1093" s="167"/>
      <c r="AD1093" s="167"/>
      <c r="AE1093" s="167"/>
      <c r="AF1093" s="167"/>
      <c r="AG1093" s="167"/>
      <c r="AH1093" s="167"/>
      <c r="AI1093" s="167"/>
      <c r="AJ1093" s="167"/>
      <c r="AK1093" s="167"/>
      <c r="AL1093" s="167"/>
      <c r="AM1093" s="167"/>
      <c r="AN1093" s="167"/>
      <c r="AO1093" s="167"/>
      <c r="AP1093" s="167"/>
      <c r="AQ1093" s="167"/>
      <c r="AR1093" s="167"/>
      <c r="AS1093" s="167"/>
      <c r="AT1093" s="167"/>
      <c r="AU1093" s="167"/>
      <c r="AV1093" s="167"/>
      <c r="AW1093" s="167"/>
      <c r="AX1093" s="167"/>
      <c r="AY1093" s="167"/>
      <c r="AZ1093" s="167"/>
      <c r="BA1093" s="167"/>
      <c r="BB1093" s="167"/>
      <c r="BC1093" s="167"/>
      <c r="BD1093" s="167"/>
      <c r="BE1093" s="167"/>
      <c r="BF1093" s="167"/>
      <c r="BG1093" s="167"/>
      <c r="BH1093" s="167"/>
      <c r="BI1093" s="167"/>
      <c r="BJ1093" s="198"/>
    </row>
    <row r="1094" spans="1:63">
      <c r="A1094" s="216" t="s">
        <v>164</v>
      </c>
      <c r="B1094" s="235">
        <v>10</v>
      </c>
      <c r="C1094" s="218"/>
      <c r="D1094" s="186"/>
      <c r="E1094" s="186"/>
      <c r="F1094" s="186"/>
      <c r="G1094" s="186"/>
      <c r="H1094" s="186"/>
      <c r="I1094" s="186"/>
      <c r="J1094" s="186"/>
      <c r="K1094" s="186"/>
      <c r="L1094" s="186"/>
      <c r="M1094" s="186"/>
      <c r="N1094" s="186"/>
      <c r="O1094" s="186"/>
      <c r="P1094" s="186"/>
      <c r="Q1094" s="186"/>
      <c r="R1094" s="186"/>
      <c r="S1094" s="186"/>
      <c r="T1094" s="186"/>
      <c r="U1094" s="186"/>
      <c r="V1094" s="186"/>
      <c r="W1094" s="186"/>
      <c r="X1094" s="186"/>
      <c r="Y1094" s="186"/>
      <c r="Z1094" s="186"/>
      <c r="AA1094" s="186"/>
      <c r="AB1094" s="186"/>
      <c r="AC1094" s="186"/>
      <c r="AD1094" s="186"/>
      <c r="AE1094" s="186"/>
      <c r="AF1094" s="186"/>
      <c r="AG1094" s="186"/>
      <c r="AH1094" s="186"/>
      <c r="AI1094" s="186"/>
      <c r="AJ1094" s="186"/>
      <c r="AK1094" s="186"/>
      <c r="AL1094" s="186"/>
      <c r="AM1094" s="186"/>
      <c r="AN1094" s="186"/>
      <c r="AO1094" s="186"/>
      <c r="AP1094" s="186"/>
      <c r="AQ1094" s="186"/>
      <c r="AR1094" s="186"/>
      <c r="AS1094" s="186"/>
      <c r="AT1094" s="186"/>
      <c r="AU1094" s="186"/>
      <c r="AV1094" s="186"/>
      <c r="AW1094" s="186"/>
      <c r="AX1094" s="186"/>
      <c r="AY1094" s="186"/>
      <c r="AZ1094" s="186"/>
      <c r="BA1094" s="186"/>
      <c r="BB1094" s="186"/>
      <c r="BC1094" s="186"/>
      <c r="BD1094" s="186"/>
      <c r="BE1094" s="186"/>
      <c r="BF1094" s="186"/>
      <c r="BG1094" s="186"/>
      <c r="BH1094" s="186"/>
      <c r="BI1094" s="186"/>
      <c r="BJ1094" s="186"/>
    </row>
    <row r="1097" spans="1:63" ht="28.5">
      <c r="A1097" s="84">
        <v>10</v>
      </c>
      <c r="B1097" s="85" t="s">
        <v>147</v>
      </c>
      <c r="C1097" s="86">
        <v>0.12</v>
      </c>
      <c r="D1097" s="85" t="s">
        <v>148</v>
      </c>
      <c r="E1097" s="86">
        <v>0.25</v>
      </c>
      <c r="F1097" s="85" t="s">
        <v>149</v>
      </c>
      <c r="G1097" s="86">
        <v>0.04</v>
      </c>
      <c r="H1097" s="85" t="s">
        <v>150</v>
      </c>
      <c r="I1097" s="87">
        <v>0.1</v>
      </c>
      <c r="J1097" s="85" t="s">
        <v>151</v>
      </c>
      <c r="K1097" s="86">
        <v>0.3</v>
      </c>
      <c r="L1097" s="85" t="s">
        <v>152</v>
      </c>
      <c r="M1097" s="87">
        <v>0.26</v>
      </c>
      <c r="N1097" s="85" t="s">
        <v>153</v>
      </c>
      <c r="O1097" s="88">
        <v>30</v>
      </c>
    </row>
    <row r="1098" spans="1:63" s="94" customFormat="1">
      <c r="A1098" s="90" t="s">
        <v>154</v>
      </c>
      <c r="B1098" s="91" t="s">
        <v>155</v>
      </c>
      <c r="C1098" s="91">
        <v>1</v>
      </c>
      <c r="D1098" s="92">
        <v>2</v>
      </c>
      <c r="E1098" s="92">
        <v>3</v>
      </c>
      <c r="F1098" s="92">
        <v>4</v>
      </c>
      <c r="G1098" s="92">
        <v>5</v>
      </c>
      <c r="H1098" s="92">
        <v>6</v>
      </c>
      <c r="I1098" s="92">
        <v>7</v>
      </c>
      <c r="J1098" s="92">
        <v>8</v>
      </c>
      <c r="K1098" s="92">
        <v>9</v>
      </c>
      <c r="L1098" s="92">
        <v>10</v>
      </c>
      <c r="M1098" s="92">
        <v>11</v>
      </c>
      <c r="N1098" s="92">
        <v>12</v>
      </c>
      <c r="O1098" s="92">
        <v>13</v>
      </c>
      <c r="P1098" s="92">
        <v>14</v>
      </c>
      <c r="Q1098" s="92">
        <v>15</v>
      </c>
      <c r="R1098" s="92">
        <v>16</v>
      </c>
      <c r="S1098" s="92">
        <v>17</v>
      </c>
      <c r="T1098" s="92">
        <v>18</v>
      </c>
      <c r="U1098" s="92">
        <v>19</v>
      </c>
      <c r="V1098" s="92">
        <v>20</v>
      </c>
      <c r="W1098" s="92">
        <v>21</v>
      </c>
      <c r="X1098" s="92">
        <v>22</v>
      </c>
      <c r="Y1098" s="92">
        <v>23</v>
      </c>
      <c r="Z1098" s="92">
        <v>24</v>
      </c>
      <c r="AA1098" s="92">
        <v>25</v>
      </c>
      <c r="AB1098" s="92">
        <v>26</v>
      </c>
      <c r="AC1098" s="92">
        <v>27</v>
      </c>
      <c r="AD1098" s="92">
        <v>28</v>
      </c>
      <c r="AE1098" s="92">
        <v>29</v>
      </c>
      <c r="AF1098" s="92">
        <v>30</v>
      </c>
      <c r="AG1098" s="92">
        <v>31</v>
      </c>
      <c r="AH1098" s="92">
        <v>32</v>
      </c>
      <c r="AI1098" s="92">
        <v>33</v>
      </c>
      <c r="AJ1098" s="92">
        <v>34</v>
      </c>
      <c r="AK1098" s="92">
        <v>35</v>
      </c>
      <c r="AL1098" s="92">
        <v>36</v>
      </c>
      <c r="AM1098" s="92">
        <v>37</v>
      </c>
      <c r="AN1098" s="92">
        <v>38</v>
      </c>
      <c r="AO1098" s="92">
        <v>39</v>
      </c>
      <c r="AP1098" s="92">
        <v>40</v>
      </c>
      <c r="AQ1098" s="92">
        <v>41</v>
      </c>
      <c r="AR1098" s="92">
        <v>42</v>
      </c>
      <c r="AS1098" s="92">
        <v>43</v>
      </c>
      <c r="AT1098" s="92">
        <v>44</v>
      </c>
      <c r="AU1098" s="92">
        <v>45</v>
      </c>
      <c r="AV1098" s="92">
        <v>46</v>
      </c>
      <c r="AW1098" s="92">
        <v>47</v>
      </c>
      <c r="AX1098" s="92">
        <v>48</v>
      </c>
      <c r="AY1098" s="92">
        <v>49</v>
      </c>
      <c r="AZ1098" s="92">
        <v>50</v>
      </c>
      <c r="BA1098" s="92">
        <v>51</v>
      </c>
      <c r="BB1098" s="92">
        <v>52</v>
      </c>
      <c r="BC1098" s="92">
        <v>53</v>
      </c>
      <c r="BD1098" s="92">
        <v>54</v>
      </c>
      <c r="BE1098" s="92">
        <v>55</v>
      </c>
      <c r="BF1098" s="92">
        <v>56</v>
      </c>
      <c r="BG1098" s="92">
        <v>57</v>
      </c>
      <c r="BH1098" s="92">
        <v>58</v>
      </c>
      <c r="BI1098" s="92">
        <v>59</v>
      </c>
      <c r="BJ1098" s="93">
        <v>60</v>
      </c>
    </row>
    <row r="1099" spans="1:63" s="100" customFormat="1">
      <c r="A1099" s="95" t="s">
        <v>156</v>
      </c>
      <c r="B1099" s="97">
        <f>SUM(C1099:BJ1099)</f>
        <v>4000</v>
      </c>
      <c r="C1099" s="97">
        <v>0</v>
      </c>
      <c r="D1099" s="98">
        <v>0</v>
      </c>
      <c r="E1099" s="98">
        <v>0</v>
      </c>
      <c r="F1099" s="98">
        <v>0</v>
      </c>
      <c r="G1099" s="98">
        <v>0</v>
      </c>
      <c r="H1099" s="98">
        <v>55.2</v>
      </c>
      <c r="I1099" s="98">
        <v>110.4</v>
      </c>
      <c r="J1099" s="98">
        <v>165.6</v>
      </c>
      <c r="K1099" s="98">
        <v>220.8</v>
      </c>
      <c r="L1099" s="98">
        <v>362</v>
      </c>
      <c r="M1099" s="98">
        <v>362</v>
      </c>
      <c r="N1099" s="98">
        <v>362</v>
      </c>
      <c r="O1099" s="98">
        <v>362</v>
      </c>
      <c r="P1099" s="98">
        <v>362</v>
      </c>
      <c r="Q1099" s="98">
        <v>362</v>
      </c>
      <c r="R1099" s="98">
        <v>362</v>
      </c>
      <c r="S1099" s="98">
        <v>362</v>
      </c>
      <c r="T1099" s="98">
        <v>220.8</v>
      </c>
      <c r="U1099" s="98">
        <v>165.6</v>
      </c>
      <c r="V1099" s="98">
        <v>110.4</v>
      </c>
      <c r="W1099" s="98">
        <v>55.2</v>
      </c>
      <c r="X1099" s="98">
        <v>0</v>
      </c>
      <c r="Y1099" s="98">
        <v>0</v>
      </c>
      <c r="Z1099" s="98">
        <v>0</v>
      </c>
      <c r="AA1099" s="98">
        <v>0</v>
      </c>
      <c r="AB1099" s="98">
        <v>0</v>
      </c>
      <c r="AC1099" s="98">
        <v>0</v>
      </c>
      <c r="AD1099" s="98">
        <v>0</v>
      </c>
      <c r="AE1099" s="98">
        <v>0</v>
      </c>
      <c r="AF1099" s="98">
        <v>0</v>
      </c>
      <c r="AG1099" s="98">
        <v>0</v>
      </c>
      <c r="AH1099" s="98">
        <v>0</v>
      </c>
      <c r="AI1099" s="98">
        <v>0</v>
      </c>
      <c r="AJ1099" s="98">
        <v>0</v>
      </c>
      <c r="AK1099" s="98">
        <v>0</v>
      </c>
      <c r="AL1099" s="98">
        <v>0</v>
      </c>
      <c r="AM1099" s="98">
        <v>0</v>
      </c>
      <c r="AN1099" s="98">
        <v>0</v>
      </c>
      <c r="AO1099" s="98">
        <v>0</v>
      </c>
      <c r="AP1099" s="98">
        <v>0</v>
      </c>
      <c r="AQ1099" s="98">
        <v>0</v>
      </c>
      <c r="AR1099" s="98">
        <v>0</v>
      </c>
      <c r="AS1099" s="98">
        <v>0</v>
      </c>
      <c r="AT1099" s="98">
        <v>0</v>
      </c>
      <c r="AU1099" s="98">
        <v>0</v>
      </c>
      <c r="AV1099" s="98">
        <v>0</v>
      </c>
      <c r="AW1099" s="98">
        <v>0</v>
      </c>
      <c r="AX1099" s="98">
        <v>0</v>
      </c>
      <c r="AY1099" s="98">
        <v>0</v>
      </c>
      <c r="AZ1099" s="98">
        <v>0</v>
      </c>
      <c r="BA1099" s="98">
        <v>0</v>
      </c>
      <c r="BB1099" s="98">
        <v>0</v>
      </c>
      <c r="BC1099" s="98">
        <v>0</v>
      </c>
      <c r="BD1099" s="98">
        <v>0</v>
      </c>
      <c r="BE1099" s="98">
        <v>0</v>
      </c>
      <c r="BF1099" s="98">
        <v>0</v>
      </c>
      <c r="BG1099" s="98">
        <v>0</v>
      </c>
      <c r="BH1099" s="98">
        <v>0</v>
      </c>
      <c r="BI1099" s="98">
        <v>0</v>
      </c>
      <c r="BJ1099" s="99">
        <v>0</v>
      </c>
    </row>
    <row r="1100" spans="1:63" s="105" customFormat="1">
      <c r="A1100" s="101" t="s">
        <v>115</v>
      </c>
      <c r="B1100" s="102">
        <f>SUM(C1100:BJ1100)</f>
        <v>3859806572.3071847</v>
      </c>
      <c r="C1100" s="222">
        <f>(C1108*(1+$E1097))+(C1099*$B1206)+(C1099*$B1206*$M1097)</f>
        <v>13081423.155158337</v>
      </c>
      <c r="D1100" s="103">
        <f>(D1108*(1+$E1097))+(D1099*$B1206)+(D1099*$B1206*$M1097)</f>
        <v>13081423.155158337</v>
      </c>
      <c r="E1100" s="103">
        <f t="shared" ref="E1100:BJ1100" si="695">(E1108*(1+$E1097))+(E1099*$B1206)+(E1099*$B1206*$M1097)</f>
        <v>13081423.155158337</v>
      </c>
      <c r="F1100" s="103">
        <f t="shared" si="695"/>
        <v>13081423.155158337</v>
      </c>
      <c r="G1100" s="103">
        <f t="shared" si="695"/>
        <v>13081423.155158337</v>
      </c>
      <c r="H1100" s="103">
        <f t="shared" si="695"/>
        <v>52362712.500133224</v>
      </c>
      <c r="I1100" s="103">
        <f t="shared" si="695"/>
        <v>104725425.00026645</v>
      </c>
      <c r="J1100" s="103">
        <f t="shared" si="695"/>
        <v>157088137.50039968</v>
      </c>
      <c r="K1100" s="103">
        <f t="shared" si="695"/>
        <v>209450850.0005329</v>
      </c>
      <c r="L1100" s="103">
        <f t="shared" si="695"/>
        <v>343393150.81609106</v>
      </c>
      <c r="M1100" s="103">
        <f t="shared" si="695"/>
        <v>343393150.81609106</v>
      </c>
      <c r="N1100" s="103">
        <f t="shared" si="695"/>
        <v>343393150.81609106</v>
      </c>
      <c r="O1100" s="103">
        <f t="shared" si="695"/>
        <v>343393150.81609106</v>
      </c>
      <c r="P1100" s="103">
        <f t="shared" si="695"/>
        <v>343393150.81609106</v>
      </c>
      <c r="Q1100" s="103">
        <f t="shared" si="695"/>
        <v>343393150.81609106</v>
      </c>
      <c r="R1100" s="103">
        <f t="shared" si="695"/>
        <v>343393150.81609106</v>
      </c>
      <c r="S1100" s="103">
        <f t="shared" si="695"/>
        <v>343393150.81609106</v>
      </c>
      <c r="T1100" s="103">
        <f t="shared" si="695"/>
        <v>209450850.0005329</v>
      </c>
      <c r="U1100" s="103">
        <f t="shared" si="695"/>
        <v>157088137.50039968</v>
      </c>
      <c r="V1100" s="103">
        <f t="shared" si="695"/>
        <v>104725425.00026645</v>
      </c>
      <c r="W1100" s="103">
        <f t="shared" si="695"/>
        <v>52362712.500133224</v>
      </c>
      <c r="X1100" s="103">
        <f t="shared" si="695"/>
        <v>0</v>
      </c>
      <c r="Y1100" s="103">
        <f t="shared" si="695"/>
        <v>0</v>
      </c>
      <c r="Z1100" s="103">
        <f t="shared" si="695"/>
        <v>0</v>
      </c>
      <c r="AA1100" s="103">
        <f t="shared" si="695"/>
        <v>0</v>
      </c>
      <c r="AB1100" s="103">
        <f t="shared" si="695"/>
        <v>0</v>
      </c>
      <c r="AC1100" s="103">
        <f t="shared" si="695"/>
        <v>0</v>
      </c>
      <c r="AD1100" s="103">
        <f t="shared" si="695"/>
        <v>0</v>
      </c>
      <c r="AE1100" s="103">
        <f t="shared" si="695"/>
        <v>0</v>
      </c>
      <c r="AF1100" s="103">
        <f t="shared" si="695"/>
        <v>0</v>
      </c>
      <c r="AG1100" s="103">
        <f t="shared" si="695"/>
        <v>0</v>
      </c>
      <c r="AH1100" s="103">
        <f t="shared" si="695"/>
        <v>0</v>
      </c>
      <c r="AI1100" s="103">
        <f t="shared" si="695"/>
        <v>0</v>
      </c>
      <c r="AJ1100" s="103">
        <f t="shared" si="695"/>
        <v>0</v>
      </c>
      <c r="AK1100" s="103">
        <f t="shared" si="695"/>
        <v>0</v>
      </c>
      <c r="AL1100" s="103">
        <f t="shared" si="695"/>
        <v>0</v>
      </c>
      <c r="AM1100" s="103">
        <f t="shared" si="695"/>
        <v>0</v>
      </c>
      <c r="AN1100" s="103">
        <f t="shared" si="695"/>
        <v>0</v>
      </c>
      <c r="AO1100" s="103">
        <f t="shared" si="695"/>
        <v>0</v>
      </c>
      <c r="AP1100" s="103">
        <f t="shared" si="695"/>
        <v>0</v>
      </c>
      <c r="AQ1100" s="103">
        <f t="shared" si="695"/>
        <v>0</v>
      </c>
      <c r="AR1100" s="103">
        <f t="shared" si="695"/>
        <v>0</v>
      </c>
      <c r="AS1100" s="103">
        <f t="shared" si="695"/>
        <v>0</v>
      </c>
      <c r="AT1100" s="103">
        <f t="shared" si="695"/>
        <v>0</v>
      </c>
      <c r="AU1100" s="103">
        <f t="shared" si="695"/>
        <v>0</v>
      </c>
      <c r="AV1100" s="103">
        <f t="shared" si="695"/>
        <v>0</v>
      </c>
      <c r="AW1100" s="103">
        <f t="shared" si="695"/>
        <v>0</v>
      </c>
      <c r="AX1100" s="103">
        <f t="shared" si="695"/>
        <v>0</v>
      </c>
      <c r="AY1100" s="103">
        <f t="shared" si="695"/>
        <v>0</v>
      </c>
      <c r="AZ1100" s="103">
        <f t="shared" si="695"/>
        <v>0</v>
      </c>
      <c r="BA1100" s="103">
        <f t="shared" si="695"/>
        <v>0</v>
      </c>
      <c r="BB1100" s="103">
        <f t="shared" si="695"/>
        <v>0</v>
      </c>
      <c r="BC1100" s="103">
        <f t="shared" si="695"/>
        <v>0</v>
      </c>
      <c r="BD1100" s="103">
        <f t="shared" si="695"/>
        <v>0</v>
      </c>
      <c r="BE1100" s="103">
        <f t="shared" si="695"/>
        <v>0</v>
      </c>
      <c r="BF1100" s="103">
        <f t="shared" si="695"/>
        <v>0</v>
      </c>
      <c r="BG1100" s="103">
        <f t="shared" si="695"/>
        <v>0</v>
      </c>
      <c r="BH1100" s="103">
        <f t="shared" si="695"/>
        <v>0</v>
      </c>
      <c r="BI1100" s="103">
        <f t="shared" si="695"/>
        <v>0</v>
      </c>
      <c r="BJ1100" s="104">
        <f t="shared" si="695"/>
        <v>0</v>
      </c>
    </row>
    <row r="1101" spans="1:63" s="105" customFormat="1">
      <c r="A1101" s="106" t="s">
        <v>116</v>
      </c>
      <c r="B1101" s="107">
        <f>SUM(B1108,B1102:B1103)</f>
        <v>1278333370.6525102</v>
      </c>
      <c r="C1101" s="133">
        <f>SUM(C1102,C1103,C1108)</f>
        <v>10465138.524126669</v>
      </c>
      <c r="D1101" s="134">
        <f>D1102+D1103+D1108</f>
        <v>10465138.524126669</v>
      </c>
      <c r="E1101" s="134">
        <f t="shared" ref="E1101:BJ1101" si="696">E1102+E1103+E1108</f>
        <v>10465138.524126669</v>
      </c>
      <c r="F1101" s="134">
        <f t="shared" si="696"/>
        <v>10465138.524126669</v>
      </c>
      <c r="G1101" s="134">
        <f t="shared" si="696"/>
        <v>10465138.524126669</v>
      </c>
      <c r="H1101" s="134">
        <f t="shared" si="696"/>
        <v>16918905.9568399</v>
      </c>
      <c r="I1101" s="134">
        <f t="shared" si="696"/>
        <v>33837811.913679801</v>
      </c>
      <c r="J1101" s="134">
        <f t="shared" si="696"/>
        <v>50756717.870519698</v>
      </c>
      <c r="K1101" s="134">
        <f t="shared" si="696"/>
        <v>67675623.827359602</v>
      </c>
      <c r="L1101" s="134">
        <f t="shared" si="696"/>
        <v>110953694.86188483</v>
      </c>
      <c r="M1101" s="134">
        <f t="shared" si="696"/>
        <v>110953694.86188483</v>
      </c>
      <c r="N1101" s="134">
        <f t="shared" si="696"/>
        <v>110953694.86188483</v>
      </c>
      <c r="O1101" s="134">
        <f t="shared" si="696"/>
        <v>110953694.86188483</v>
      </c>
      <c r="P1101" s="134">
        <f t="shared" si="696"/>
        <v>110953694.86188483</v>
      </c>
      <c r="Q1101" s="134">
        <f t="shared" si="696"/>
        <v>110953694.86188483</v>
      </c>
      <c r="R1101" s="134">
        <f t="shared" si="696"/>
        <v>110953694.86188483</v>
      </c>
      <c r="S1101" s="134">
        <f t="shared" si="696"/>
        <v>110953694.86188483</v>
      </c>
      <c r="T1101" s="134">
        <f t="shared" si="696"/>
        <v>67675623.827359602</v>
      </c>
      <c r="U1101" s="134">
        <f t="shared" si="696"/>
        <v>50756717.870519698</v>
      </c>
      <c r="V1101" s="134">
        <f t="shared" si="696"/>
        <v>33837811.913679801</v>
      </c>
      <c r="W1101" s="134">
        <f t="shared" si="696"/>
        <v>16918905.9568399</v>
      </c>
      <c r="X1101" s="134">
        <f t="shared" si="696"/>
        <v>0</v>
      </c>
      <c r="Y1101" s="134">
        <f t="shared" si="696"/>
        <v>0</v>
      </c>
      <c r="Z1101" s="134">
        <f t="shared" si="696"/>
        <v>0</v>
      </c>
      <c r="AA1101" s="134">
        <f t="shared" si="696"/>
        <v>0</v>
      </c>
      <c r="AB1101" s="134">
        <f t="shared" si="696"/>
        <v>0</v>
      </c>
      <c r="AC1101" s="134">
        <f t="shared" si="696"/>
        <v>0</v>
      </c>
      <c r="AD1101" s="134">
        <f t="shared" si="696"/>
        <v>0</v>
      </c>
      <c r="AE1101" s="134">
        <f t="shared" si="696"/>
        <v>0</v>
      </c>
      <c r="AF1101" s="134">
        <f t="shared" si="696"/>
        <v>0</v>
      </c>
      <c r="AG1101" s="134">
        <f t="shared" si="696"/>
        <v>0</v>
      </c>
      <c r="AH1101" s="134">
        <f t="shared" si="696"/>
        <v>0</v>
      </c>
      <c r="AI1101" s="134">
        <f t="shared" si="696"/>
        <v>0</v>
      </c>
      <c r="AJ1101" s="134">
        <f t="shared" si="696"/>
        <v>0</v>
      </c>
      <c r="AK1101" s="134">
        <f t="shared" si="696"/>
        <v>0</v>
      </c>
      <c r="AL1101" s="134">
        <f t="shared" si="696"/>
        <v>0</v>
      </c>
      <c r="AM1101" s="134">
        <f t="shared" si="696"/>
        <v>0</v>
      </c>
      <c r="AN1101" s="134">
        <f t="shared" si="696"/>
        <v>0</v>
      </c>
      <c r="AO1101" s="134">
        <f t="shared" si="696"/>
        <v>0</v>
      </c>
      <c r="AP1101" s="134">
        <f t="shared" si="696"/>
        <v>0</v>
      </c>
      <c r="AQ1101" s="134">
        <f t="shared" si="696"/>
        <v>0</v>
      </c>
      <c r="AR1101" s="134">
        <f t="shared" si="696"/>
        <v>0</v>
      </c>
      <c r="AS1101" s="134">
        <f t="shared" si="696"/>
        <v>0</v>
      </c>
      <c r="AT1101" s="134">
        <f t="shared" si="696"/>
        <v>0</v>
      </c>
      <c r="AU1101" s="134">
        <f t="shared" si="696"/>
        <v>0</v>
      </c>
      <c r="AV1101" s="134">
        <f t="shared" si="696"/>
        <v>0</v>
      </c>
      <c r="AW1101" s="134">
        <f t="shared" si="696"/>
        <v>0</v>
      </c>
      <c r="AX1101" s="134">
        <f t="shared" si="696"/>
        <v>0</v>
      </c>
      <c r="AY1101" s="134">
        <f t="shared" si="696"/>
        <v>0</v>
      </c>
      <c r="AZ1101" s="134">
        <f t="shared" si="696"/>
        <v>0</v>
      </c>
      <c r="BA1101" s="134">
        <f t="shared" si="696"/>
        <v>0</v>
      </c>
      <c r="BB1101" s="134">
        <f t="shared" si="696"/>
        <v>0</v>
      </c>
      <c r="BC1101" s="134">
        <f t="shared" si="696"/>
        <v>0</v>
      </c>
      <c r="BD1101" s="134">
        <f t="shared" si="696"/>
        <v>0</v>
      </c>
      <c r="BE1101" s="134">
        <f t="shared" si="696"/>
        <v>0</v>
      </c>
      <c r="BF1101" s="134">
        <f t="shared" si="696"/>
        <v>0</v>
      </c>
      <c r="BG1101" s="134">
        <f t="shared" si="696"/>
        <v>0</v>
      </c>
      <c r="BH1101" s="134">
        <f t="shared" si="696"/>
        <v>0</v>
      </c>
      <c r="BI1101" s="134">
        <f t="shared" si="696"/>
        <v>0</v>
      </c>
      <c r="BJ1101" s="135">
        <f t="shared" si="696"/>
        <v>0</v>
      </c>
    </row>
    <row r="1102" spans="1:63" s="116" customFormat="1">
      <c r="A1102" s="111" t="s">
        <v>117</v>
      </c>
      <c r="B1102" s="112">
        <f>SUM(C1102:BJ1102)</f>
        <v>774541314.5384841</v>
      </c>
      <c r="C1102" s="223">
        <v>0</v>
      </c>
      <c r="D1102" s="118">
        <v>0</v>
      </c>
      <c r="E1102" s="118">
        <v>0</v>
      </c>
      <c r="F1102" s="118">
        <v>0</v>
      </c>
      <c r="G1102" s="118">
        <v>0</v>
      </c>
      <c r="H1102" s="118">
        <v>10688670.14063108</v>
      </c>
      <c r="I1102" s="118">
        <v>21377340.281262159</v>
      </c>
      <c r="J1102" s="118">
        <v>32066010.421893235</v>
      </c>
      <c r="K1102" s="118">
        <v>42754680.562524319</v>
      </c>
      <c r="L1102" s="118">
        <v>70095988.965732798</v>
      </c>
      <c r="M1102" s="118">
        <v>70095988.965732798</v>
      </c>
      <c r="N1102" s="118">
        <v>70095988.965732798</v>
      </c>
      <c r="O1102" s="118">
        <v>70095988.965732798</v>
      </c>
      <c r="P1102" s="118">
        <v>70095988.965732798</v>
      </c>
      <c r="Q1102" s="118">
        <v>70095988.965732798</v>
      </c>
      <c r="R1102" s="118">
        <v>70095988.965732798</v>
      </c>
      <c r="S1102" s="118">
        <v>70095988.965732798</v>
      </c>
      <c r="T1102" s="118">
        <v>42754680.562524319</v>
      </c>
      <c r="U1102" s="118">
        <v>32066010.421893235</v>
      </c>
      <c r="V1102" s="118">
        <v>21377340.281262159</v>
      </c>
      <c r="W1102" s="118">
        <v>10688670.14063108</v>
      </c>
      <c r="X1102" s="118">
        <v>0</v>
      </c>
      <c r="Y1102" s="118">
        <v>0</v>
      </c>
      <c r="Z1102" s="118">
        <v>0</v>
      </c>
      <c r="AA1102" s="118">
        <v>0</v>
      </c>
      <c r="AB1102" s="118">
        <v>0</v>
      </c>
      <c r="AC1102" s="118">
        <v>0</v>
      </c>
      <c r="AD1102" s="118">
        <v>0</v>
      </c>
      <c r="AE1102" s="118">
        <v>0</v>
      </c>
      <c r="AF1102" s="118">
        <v>0</v>
      </c>
      <c r="AG1102" s="118">
        <v>0</v>
      </c>
      <c r="AH1102" s="118">
        <v>0</v>
      </c>
      <c r="AI1102" s="118">
        <v>0</v>
      </c>
      <c r="AJ1102" s="118">
        <v>0</v>
      </c>
      <c r="AK1102" s="118">
        <v>0</v>
      </c>
      <c r="AL1102" s="118">
        <v>0</v>
      </c>
      <c r="AM1102" s="118">
        <v>0</v>
      </c>
      <c r="AN1102" s="118">
        <v>0</v>
      </c>
      <c r="AO1102" s="118">
        <v>0</v>
      </c>
      <c r="AP1102" s="118">
        <v>0</v>
      </c>
      <c r="AQ1102" s="118">
        <v>0</v>
      </c>
      <c r="AR1102" s="118">
        <v>0</v>
      </c>
      <c r="AS1102" s="118">
        <v>0</v>
      </c>
      <c r="AT1102" s="118">
        <v>0</v>
      </c>
      <c r="AU1102" s="118">
        <v>0</v>
      </c>
      <c r="AV1102" s="118">
        <v>0</v>
      </c>
      <c r="AW1102" s="118">
        <v>0</v>
      </c>
      <c r="AX1102" s="118">
        <v>0</v>
      </c>
      <c r="AY1102" s="118">
        <v>0</v>
      </c>
      <c r="AZ1102" s="118">
        <v>0</v>
      </c>
      <c r="BA1102" s="118">
        <v>0</v>
      </c>
      <c r="BB1102" s="118">
        <v>0</v>
      </c>
      <c r="BC1102" s="118">
        <v>0</v>
      </c>
      <c r="BD1102" s="118">
        <v>0</v>
      </c>
      <c r="BE1102" s="118">
        <v>0</v>
      </c>
      <c r="BF1102" s="118">
        <v>0</v>
      </c>
      <c r="BG1102" s="118">
        <v>0</v>
      </c>
      <c r="BH1102" s="118">
        <v>0</v>
      </c>
      <c r="BI1102" s="118">
        <v>0</v>
      </c>
      <c r="BJ1102" s="119">
        <v>0</v>
      </c>
    </row>
    <row r="1103" spans="1:63" s="116" customFormat="1">
      <c r="A1103" s="111" t="s">
        <v>118</v>
      </c>
      <c r="B1103" s="112">
        <f>SUM(B1104:B1107)</f>
        <v>451466363.49339277</v>
      </c>
      <c r="C1103" s="117">
        <f>SUM(C1104:C1107)</f>
        <v>0</v>
      </c>
      <c r="D1103" s="118">
        <f>SUM(D1104:D1107)</f>
        <v>0</v>
      </c>
      <c r="E1103" s="118">
        <f t="shared" ref="E1103:BJ1103" si="697">SUM(E1104:E1107)</f>
        <v>0</v>
      </c>
      <c r="F1103" s="118">
        <f t="shared" si="697"/>
        <v>0</v>
      </c>
      <c r="G1103" s="118">
        <f t="shared" si="697"/>
        <v>0</v>
      </c>
      <c r="H1103" s="118">
        <f t="shared" si="697"/>
        <v>6230235.8162088199</v>
      </c>
      <c r="I1103" s="118">
        <f t="shared" si="697"/>
        <v>12460471.63241764</v>
      </c>
      <c r="J1103" s="118">
        <f t="shared" si="697"/>
        <v>18690707.448626459</v>
      </c>
      <c r="K1103" s="118">
        <f t="shared" si="697"/>
        <v>24920943.264835279</v>
      </c>
      <c r="L1103" s="118">
        <f t="shared" si="697"/>
        <v>40857705.896152034</v>
      </c>
      <c r="M1103" s="118">
        <f t="shared" si="697"/>
        <v>40857705.896152034</v>
      </c>
      <c r="N1103" s="118">
        <f t="shared" si="697"/>
        <v>40857705.896152034</v>
      </c>
      <c r="O1103" s="118">
        <f t="shared" si="697"/>
        <v>40857705.896152034</v>
      </c>
      <c r="P1103" s="118">
        <f t="shared" si="697"/>
        <v>40857705.896152034</v>
      </c>
      <c r="Q1103" s="118">
        <f t="shared" si="697"/>
        <v>40857705.896152034</v>
      </c>
      <c r="R1103" s="118">
        <f t="shared" si="697"/>
        <v>40857705.896152034</v>
      </c>
      <c r="S1103" s="118">
        <f t="shared" si="697"/>
        <v>40857705.896152034</v>
      </c>
      <c r="T1103" s="118">
        <f t="shared" si="697"/>
        <v>24920943.264835279</v>
      </c>
      <c r="U1103" s="118">
        <f t="shared" si="697"/>
        <v>18690707.448626459</v>
      </c>
      <c r="V1103" s="118">
        <f t="shared" si="697"/>
        <v>12460471.63241764</v>
      </c>
      <c r="W1103" s="118">
        <f t="shared" si="697"/>
        <v>6230235.8162088199</v>
      </c>
      <c r="X1103" s="118">
        <f t="shared" si="697"/>
        <v>0</v>
      </c>
      <c r="Y1103" s="118">
        <f t="shared" si="697"/>
        <v>0</v>
      </c>
      <c r="Z1103" s="118">
        <f t="shared" si="697"/>
        <v>0</v>
      </c>
      <c r="AA1103" s="118">
        <f t="shared" si="697"/>
        <v>0</v>
      </c>
      <c r="AB1103" s="118">
        <f t="shared" si="697"/>
        <v>0</v>
      </c>
      <c r="AC1103" s="118">
        <f t="shared" si="697"/>
        <v>0</v>
      </c>
      <c r="AD1103" s="118">
        <f t="shared" si="697"/>
        <v>0</v>
      </c>
      <c r="AE1103" s="118">
        <f t="shared" si="697"/>
        <v>0</v>
      </c>
      <c r="AF1103" s="118">
        <f t="shared" si="697"/>
        <v>0</v>
      </c>
      <c r="AG1103" s="118">
        <f t="shared" si="697"/>
        <v>0</v>
      </c>
      <c r="AH1103" s="118">
        <f t="shared" si="697"/>
        <v>0</v>
      </c>
      <c r="AI1103" s="118">
        <f t="shared" si="697"/>
        <v>0</v>
      </c>
      <c r="AJ1103" s="118">
        <f t="shared" si="697"/>
        <v>0</v>
      </c>
      <c r="AK1103" s="118">
        <f t="shared" si="697"/>
        <v>0</v>
      </c>
      <c r="AL1103" s="118">
        <f t="shared" si="697"/>
        <v>0</v>
      </c>
      <c r="AM1103" s="118">
        <f t="shared" si="697"/>
        <v>0</v>
      </c>
      <c r="AN1103" s="118">
        <f t="shared" si="697"/>
        <v>0</v>
      </c>
      <c r="AO1103" s="118">
        <f t="shared" si="697"/>
        <v>0</v>
      </c>
      <c r="AP1103" s="118">
        <f t="shared" si="697"/>
        <v>0</v>
      </c>
      <c r="AQ1103" s="118">
        <f t="shared" si="697"/>
        <v>0</v>
      </c>
      <c r="AR1103" s="118">
        <f t="shared" si="697"/>
        <v>0</v>
      </c>
      <c r="AS1103" s="118">
        <f t="shared" si="697"/>
        <v>0</v>
      </c>
      <c r="AT1103" s="118">
        <f t="shared" si="697"/>
        <v>0</v>
      </c>
      <c r="AU1103" s="118">
        <f t="shared" si="697"/>
        <v>0</v>
      </c>
      <c r="AV1103" s="118">
        <f t="shared" si="697"/>
        <v>0</v>
      </c>
      <c r="AW1103" s="118">
        <f t="shared" si="697"/>
        <v>0</v>
      </c>
      <c r="AX1103" s="118">
        <f t="shared" si="697"/>
        <v>0</v>
      </c>
      <c r="AY1103" s="118">
        <f t="shared" si="697"/>
        <v>0</v>
      </c>
      <c r="AZ1103" s="118">
        <f t="shared" si="697"/>
        <v>0</v>
      </c>
      <c r="BA1103" s="118">
        <f t="shared" si="697"/>
        <v>0</v>
      </c>
      <c r="BB1103" s="118">
        <f t="shared" si="697"/>
        <v>0</v>
      </c>
      <c r="BC1103" s="118">
        <f t="shared" si="697"/>
        <v>0</v>
      </c>
      <c r="BD1103" s="118">
        <f t="shared" si="697"/>
        <v>0</v>
      </c>
      <c r="BE1103" s="118">
        <f t="shared" si="697"/>
        <v>0</v>
      </c>
      <c r="BF1103" s="118">
        <f t="shared" si="697"/>
        <v>0</v>
      </c>
      <c r="BG1103" s="118">
        <f t="shared" si="697"/>
        <v>0</v>
      </c>
      <c r="BH1103" s="118">
        <f t="shared" si="697"/>
        <v>0</v>
      </c>
      <c r="BI1103" s="118">
        <f t="shared" si="697"/>
        <v>0</v>
      </c>
      <c r="BJ1103" s="119">
        <f t="shared" si="697"/>
        <v>0</v>
      </c>
    </row>
    <row r="1104" spans="1:63" s="125" customFormat="1" ht="12.75">
      <c r="A1104" s="120" t="s">
        <v>119</v>
      </c>
      <c r="B1104" s="121">
        <f t="shared" ref="B1104:B1109" si="698">SUM(C1104:BJ1104)</f>
        <v>216738856.94563419</v>
      </c>
      <c r="C1104" s="224">
        <v>0</v>
      </c>
      <c r="D1104" s="123">
        <v>0</v>
      </c>
      <c r="E1104" s="123">
        <v>0</v>
      </c>
      <c r="F1104" s="123">
        <v>0</v>
      </c>
      <c r="G1104" s="123">
        <v>0</v>
      </c>
      <c r="H1104" s="123">
        <v>2990996.2258497514</v>
      </c>
      <c r="I1104" s="123">
        <v>5981992.4516995028</v>
      </c>
      <c r="J1104" s="123">
        <v>8972988.6775492541</v>
      </c>
      <c r="K1104" s="123">
        <v>11963984.903399006</v>
      </c>
      <c r="L1104" s="123">
        <v>19614866.553579889</v>
      </c>
      <c r="M1104" s="123">
        <v>19614866.553579889</v>
      </c>
      <c r="N1104" s="123">
        <v>19614866.553579889</v>
      </c>
      <c r="O1104" s="123">
        <v>19614866.553579889</v>
      </c>
      <c r="P1104" s="123">
        <v>19614866.553579889</v>
      </c>
      <c r="Q1104" s="123">
        <v>19614866.553579889</v>
      </c>
      <c r="R1104" s="123">
        <v>19614866.553579889</v>
      </c>
      <c r="S1104" s="123">
        <v>19614866.553579889</v>
      </c>
      <c r="T1104" s="123">
        <v>11963984.903399006</v>
      </c>
      <c r="U1104" s="123">
        <v>8972988.6775492541</v>
      </c>
      <c r="V1104" s="123">
        <v>5981992.4516995028</v>
      </c>
      <c r="W1104" s="123">
        <v>2990996.2258497514</v>
      </c>
      <c r="X1104" s="123">
        <v>0</v>
      </c>
      <c r="Y1104" s="123">
        <v>0</v>
      </c>
      <c r="Z1104" s="123">
        <v>0</v>
      </c>
      <c r="AA1104" s="123">
        <v>0</v>
      </c>
      <c r="AB1104" s="123">
        <v>0</v>
      </c>
      <c r="AC1104" s="123">
        <v>0</v>
      </c>
      <c r="AD1104" s="123">
        <v>0</v>
      </c>
      <c r="AE1104" s="123">
        <v>0</v>
      </c>
      <c r="AF1104" s="123">
        <v>0</v>
      </c>
      <c r="AG1104" s="123">
        <v>0</v>
      </c>
      <c r="AH1104" s="123">
        <v>0</v>
      </c>
      <c r="AI1104" s="123">
        <v>0</v>
      </c>
      <c r="AJ1104" s="123">
        <v>0</v>
      </c>
      <c r="AK1104" s="123">
        <v>0</v>
      </c>
      <c r="AL1104" s="123">
        <v>0</v>
      </c>
      <c r="AM1104" s="123">
        <v>0</v>
      </c>
      <c r="AN1104" s="123">
        <v>0</v>
      </c>
      <c r="AO1104" s="123">
        <v>0</v>
      </c>
      <c r="AP1104" s="123">
        <v>0</v>
      </c>
      <c r="AQ1104" s="123">
        <v>0</v>
      </c>
      <c r="AR1104" s="123">
        <v>0</v>
      </c>
      <c r="AS1104" s="123">
        <v>0</v>
      </c>
      <c r="AT1104" s="123">
        <v>0</v>
      </c>
      <c r="AU1104" s="123">
        <v>0</v>
      </c>
      <c r="AV1104" s="123">
        <v>0</v>
      </c>
      <c r="AW1104" s="123">
        <v>0</v>
      </c>
      <c r="AX1104" s="123">
        <v>0</v>
      </c>
      <c r="AY1104" s="123">
        <v>0</v>
      </c>
      <c r="AZ1104" s="123">
        <v>0</v>
      </c>
      <c r="BA1104" s="123">
        <v>0</v>
      </c>
      <c r="BB1104" s="123">
        <v>0</v>
      </c>
      <c r="BC1104" s="123">
        <v>0</v>
      </c>
      <c r="BD1104" s="123">
        <v>0</v>
      </c>
      <c r="BE1104" s="123">
        <v>0</v>
      </c>
      <c r="BF1104" s="123">
        <v>0</v>
      </c>
      <c r="BG1104" s="123">
        <v>0</v>
      </c>
      <c r="BH1104" s="123">
        <v>0</v>
      </c>
      <c r="BI1104" s="123">
        <v>0</v>
      </c>
      <c r="BJ1104" s="124">
        <v>0</v>
      </c>
    </row>
    <row r="1105" spans="1:67" s="125" customFormat="1" ht="12.75">
      <c r="A1105" s="120" t="s">
        <v>120</v>
      </c>
      <c r="B1105" s="121">
        <f t="shared" si="698"/>
        <v>182155724.68048185</v>
      </c>
      <c r="C1105" s="224">
        <v>0</v>
      </c>
      <c r="D1105" s="123">
        <v>0</v>
      </c>
      <c r="E1105" s="123">
        <v>0</v>
      </c>
      <c r="F1105" s="123">
        <v>0</v>
      </c>
      <c r="G1105" s="123">
        <v>0</v>
      </c>
      <c r="H1105" s="123">
        <v>2513749.0005906494</v>
      </c>
      <c r="I1105" s="123">
        <v>5027498.0011812989</v>
      </c>
      <c r="J1105" s="123">
        <v>7541247.0017719474</v>
      </c>
      <c r="K1105" s="123">
        <v>10054996.002362598</v>
      </c>
      <c r="L1105" s="123">
        <v>16485093.083583605</v>
      </c>
      <c r="M1105" s="123">
        <v>16485093.083583605</v>
      </c>
      <c r="N1105" s="123">
        <v>16485093.083583605</v>
      </c>
      <c r="O1105" s="123">
        <v>16485093.083583605</v>
      </c>
      <c r="P1105" s="123">
        <v>16485093.083583605</v>
      </c>
      <c r="Q1105" s="123">
        <v>16485093.083583605</v>
      </c>
      <c r="R1105" s="123">
        <v>16485093.083583605</v>
      </c>
      <c r="S1105" s="123">
        <v>16485093.083583605</v>
      </c>
      <c r="T1105" s="123">
        <v>10054996.002362598</v>
      </c>
      <c r="U1105" s="123">
        <v>7541247.0017719474</v>
      </c>
      <c r="V1105" s="123">
        <v>5027498.0011812989</v>
      </c>
      <c r="W1105" s="123">
        <v>2513749.0005906494</v>
      </c>
      <c r="X1105" s="123">
        <v>0</v>
      </c>
      <c r="Y1105" s="123">
        <v>0</v>
      </c>
      <c r="Z1105" s="123">
        <v>0</v>
      </c>
      <c r="AA1105" s="123">
        <v>0</v>
      </c>
      <c r="AB1105" s="123">
        <v>0</v>
      </c>
      <c r="AC1105" s="123">
        <v>0</v>
      </c>
      <c r="AD1105" s="123">
        <v>0</v>
      </c>
      <c r="AE1105" s="123">
        <v>0</v>
      </c>
      <c r="AF1105" s="123">
        <v>0</v>
      </c>
      <c r="AG1105" s="123">
        <v>0</v>
      </c>
      <c r="AH1105" s="123">
        <v>0</v>
      </c>
      <c r="AI1105" s="123">
        <v>0</v>
      </c>
      <c r="AJ1105" s="123">
        <v>0</v>
      </c>
      <c r="AK1105" s="123">
        <v>0</v>
      </c>
      <c r="AL1105" s="123">
        <v>0</v>
      </c>
      <c r="AM1105" s="123">
        <v>0</v>
      </c>
      <c r="AN1105" s="123">
        <v>0</v>
      </c>
      <c r="AO1105" s="123">
        <v>0</v>
      </c>
      <c r="AP1105" s="123">
        <v>0</v>
      </c>
      <c r="AQ1105" s="123">
        <v>0</v>
      </c>
      <c r="AR1105" s="123">
        <v>0</v>
      </c>
      <c r="AS1105" s="123">
        <v>0</v>
      </c>
      <c r="AT1105" s="123">
        <v>0</v>
      </c>
      <c r="AU1105" s="123">
        <v>0</v>
      </c>
      <c r="AV1105" s="123">
        <v>0</v>
      </c>
      <c r="AW1105" s="123">
        <v>0</v>
      </c>
      <c r="AX1105" s="123">
        <v>0</v>
      </c>
      <c r="AY1105" s="123">
        <v>0</v>
      </c>
      <c r="AZ1105" s="123">
        <v>0</v>
      </c>
      <c r="BA1105" s="123">
        <v>0</v>
      </c>
      <c r="BB1105" s="123">
        <v>0</v>
      </c>
      <c r="BC1105" s="123">
        <v>0</v>
      </c>
      <c r="BD1105" s="123">
        <v>0</v>
      </c>
      <c r="BE1105" s="123">
        <v>0</v>
      </c>
      <c r="BF1105" s="123">
        <v>0</v>
      </c>
      <c r="BG1105" s="123">
        <v>0</v>
      </c>
      <c r="BH1105" s="123">
        <v>0</v>
      </c>
      <c r="BI1105" s="123">
        <v>0</v>
      </c>
      <c r="BJ1105" s="124">
        <v>0</v>
      </c>
      <c r="BO1105" s="126"/>
    </row>
    <row r="1106" spans="1:67" s="125" customFormat="1" ht="12.75">
      <c r="A1106" s="120" t="s">
        <v>121</v>
      </c>
      <c r="B1106" s="121">
        <f t="shared" si="698"/>
        <v>44139125.379935734</v>
      </c>
      <c r="C1106" s="224">
        <v>0</v>
      </c>
      <c r="D1106" s="123">
        <v>0</v>
      </c>
      <c r="E1106" s="123">
        <v>0</v>
      </c>
      <c r="F1106" s="123">
        <v>0</v>
      </c>
      <c r="G1106" s="123">
        <v>0</v>
      </c>
      <c r="H1106" s="123">
        <v>609119.93024311331</v>
      </c>
      <c r="I1106" s="123">
        <v>1218239.8604862266</v>
      </c>
      <c r="J1106" s="123">
        <v>1827359.7907293397</v>
      </c>
      <c r="K1106" s="123">
        <v>2436479.7209724532</v>
      </c>
      <c r="L1106" s="123">
        <v>3994590.846884185</v>
      </c>
      <c r="M1106" s="123">
        <v>3994590.846884185</v>
      </c>
      <c r="N1106" s="123">
        <v>3994590.846884185</v>
      </c>
      <c r="O1106" s="123">
        <v>3994590.846884185</v>
      </c>
      <c r="P1106" s="123">
        <v>3994590.846884185</v>
      </c>
      <c r="Q1106" s="123">
        <v>3994590.846884185</v>
      </c>
      <c r="R1106" s="123">
        <v>3994590.846884185</v>
      </c>
      <c r="S1106" s="123">
        <v>3994590.846884185</v>
      </c>
      <c r="T1106" s="123">
        <v>2436479.7209724532</v>
      </c>
      <c r="U1106" s="123">
        <v>1827359.7907293397</v>
      </c>
      <c r="V1106" s="123">
        <v>1218239.8604862266</v>
      </c>
      <c r="W1106" s="123">
        <v>609119.93024311331</v>
      </c>
      <c r="X1106" s="123">
        <v>0</v>
      </c>
      <c r="Y1106" s="123">
        <v>0</v>
      </c>
      <c r="Z1106" s="123">
        <v>0</v>
      </c>
      <c r="AA1106" s="123">
        <v>0</v>
      </c>
      <c r="AB1106" s="123">
        <v>0</v>
      </c>
      <c r="AC1106" s="123">
        <v>0</v>
      </c>
      <c r="AD1106" s="123">
        <v>0</v>
      </c>
      <c r="AE1106" s="123">
        <v>0</v>
      </c>
      <c r="AF1106" s="123">
        <v>0</v>
      </c>
      <c r="AG1106" s="123">
        <v>0</v>
      </c>
      <c r="AH1106" s="123">
        <v>0</v>
      </c>
      <c r="AI1106" s="123">
        <v>0</v>
      </c>
      <c r="AJ1106" s="123">
        <v>0</v>
      </c>
      <c r="AK1106" s="123">
        <v>0</v>
      </c>
      <c r="AL1106" s="123">
        <v>0</v>
      </c>
      <c r="AM1106" s="123">
        <v>0</v>
      </c>
      <c r="AN1106" s="123">
        <v>0</v>
      </c>
      <c r="AO1106" s="123">
        <v>0</v>
      </c>
      <c r="AP1106" s="123">
        <v>0</v>
      </c>
      <c r="AQ1106" s="123">
        <v>0</v>
      </c>
      <c r="AR1106" s="123">
        <v>0</v>
      </c>
      <c r="AS1106" s="123">
        <v>0</v>
      </c>
      <c r="AT1106" s="123">
        <v>0</v>
      </c>
      <c r="AU1106" s="123">
        <v>0</v>
      </c>
      <c r="AV1106" s="123">
        <v>0</v>
      </c>
      <c r="AW1106" s="123">
        <v>0</v>
      </c>
      <c r="AX1106" s="123">
        <v>0</v>
      </c>
      <c r="AY1106" s="123">
        <v>0</v>
      </c>
      <c r="AZ1106" s="123">
        <v>0</v>
      </c>
      <c r="BA1106" s="123">
        <v>0</v>
      </c>
      <c r="BB1106" s="123">
        <v>0</v>
      </c>
      <c r="BC1106" s="123">
        <v>0</v>
      </c>
      <c r="BD1106" s="123">
        <v>0</v>
      </c>
      <c r="BE1106" s="123">
        <v>0</v>
      </c>
      <c r="BF1106" s="123">
        <v>0</v>
      </c>
      <c r="BG1106" s="123">
        <v>0</v>
      </c>
      <c r="BH1106" s="123">
        <v>0</v>
      </c>
      <c r="BI1106" s="123">
        <v>0</v>
      </c>
      <c r="BJ1106" s="124">
        <v>0</v>
      </c>
    </row>
    <row r="1107" spans="1:67" s="125" customFormat="1" ht="12.75">
      <c r="A1107" s="120" t="s">
        <v>122</v>
      </c>
      <c r="B1107" s="121">
        <f t="shared" si="698"/>
        <v>8432656.4873410147</v>
      </c>
      <c r="C1107" s="224">
        <v>0</v>
      </c>
      <c r="D1107" s="123">
        <v>0</v>
      </c>
      <c r="E1107" s="123">
        <v>0</v>
      </c>
      <c r="F1107" s="123">
        <v>0</v>
      </c>
      <c r="G1107" s="123">
        <v>0</v>
      </c>
      <c r="H1107" s="123">
        <v>116370.65952530604</v>
      </c>
      <c r="I1107" s="123">
        <v>232741.31905061207</v>
      </c>
      <c r="J1107" s="123">
        <v>349111.97857591807</v>
      </c>
      <c r="K1107" s="123">
        <v>465482.63810122415</v>
      </c>
      <c r="L1107" s="123">
        <v>763155.41210436204</v>
      </c>
      <c r="M1107" s="123">
        <v>763155.41210436204</v>
      </c>
      <c r="N1107" s="123">
        <v>763155.41210436204</v>
      </c>
      <c r="O1107" s="123">
        <v>763155.41210436204</v>
      </c>
      <c r="P1107" s="123">
        <v>763155.41210436204</v>
      </c>
      <c r="Q1107" s="123">
        <v>763155.41210436204</v>
      </c>
      <c r="R1107" s="123">
        <v>763155.41210436204</v>
      </c>
      <c r="S1107" s="123">
        <v>763155.41210436204</v>
      </c>
      <c r="T1107" s="123">
        <v>465482.63810122415</v>
      </c>
      <c r="U1107" s="123">
        <v>349111.97857591807</v>
      </c>
      <c r="V1107" s="123">
        <v>232741.31905061207</v>
      </c>
      <c r="W1107" s="123">
        <v>116370.65952530604</v>
      </c>
      <c r="X1107" s="123">
        <v>0</v>
      </c>
      <c r="Y1107" s="123">
        <v>0</v>
      </c>
      <c r="Z1107" s="123">
        <v>0</v>
      </c>
      <c r="AA1107" s="123">
        <v>0</v>
      </c>
      <c r="AB1107" s="123">
        <v>0</v>
      </c>
      <c r="AC1107" s="123">
        <v>0</v>
      </c>
      <c r="AD1107" s="123">
        <v>0</v>
      </c>
      <c r="AE1107" s="123">
        <v>0</v>
      </c>
      <c r="AF1107" s="123">
        <v>0</v>
      </c>
      <c r="AG1107" s="123">
        <v>0</v>
      </c>
      <c r="AH1107" s="123">
        <v>0</v>
      </c>
      <c r="AI1107" s="123">
        <v>0</v>
      </c>
      <c r="AJ1107" s="123">
        <v>0</v>
      </c>
      <c r="AK1107" s="123">
        <v>0</v>
      </c>
      <c r="AL1107" s="123">
        <v>0</v>
      </c>
      <c r="AM1107" s="123">
        <v>0</v>
      </c>
      <c r="AN1107" s="123">
        <v>0</v>
      </c>
      <c r="AO1107" s="123">
        <v>0</v>
      </c>
      <c r="AP1107" s="123">
        <v>0</v>
      </c>
      <c r="AQ1107" s="123">
        <v>0</v>
      </c>
      <c r="AR1107" s="123">
        <v>0</v>
      </c>
      <c r="AS1107" s="123">
        <v>0</v>
      </c>
      <c r="AT1107" s="123">
        <v>0</v>
      </c>
      <c r="AU1107" s="123">
        <v>0</v>
      </c>
      <c r="AV1107" s="123">
        <v>0</v>
      </c>
      <c r="AW1107" s="123">
        <v>0</v>
      </c>
      <c r="AX1107" s="123">
        <v>0</v>
      </c>
      <c r="AY1107" s="123">
        <v>0</v>
      </c>
      <c r="AZ1107" s="123">
        <v>0</v>
      </c>
      <c r="BA1107" s="123">
        <v>0</v>
      </c>
      <c r="BB1107" s="123">
        <v>0</v>
      </c>
      <c r="BC1107" s="123">
        <v>0</v>
      </c>
      <c r="BD1107" s="123">
        <v>0</v>
      </c>
      <c r="BE1107" s="123">
        <v>0</v>
      </c>
      <c r="BF1107" s="123">
        <v>0</v>
      </c>
      <c r="BG1107" s="123">
        <v>0</v>
      </c>
      <c r="BH1107" s="123">
        <v>0</v>
      </c>
      <c r="BI1107" s="123">
        <v>0</v>
      </c>
      <c r="BJ1107" s="124">
        <v>0</v>
      </c>
    </row>
    <row r="1108" spans="1:67" s="116" customFormat="1">
      <c r="A1108" s="127" t="s">
        <v>123</v>
      </c>
      <c r="B1108" s="112">
        <f t="shared" si="698"/>
        <v>52325692.620633349</v>
      </c>
      <c r="C1108" s="225">
        <v>10465138.524126669</v>
      </c>
      <c r="D1108" s="129">
        <f>C1108</f>
        <v>10465138.524126669</v>
      </c>
      <c r="E1108" s="129">
        <f>D1108</f>
        <v>10465138.524126669</v>
      </c>
      <c r="F1108" s="129">
        <f>E1108</f>
        <v>10465138.524126669</v>
      </c>
      <c r="G1108" s="129">
        <f>F1108</f>
        <v>10465138.524126669</v>
      </c>
      <c r="H1108" s="129"/>
      <c r="I1108" s="129"/>
      <c r="J1108" s="129"/>
      <c r="K1108" s="129"/>
      <c r="L1108" s="129"/>
      <c r="M1108" s="129"/>
      <c r="N1108" s="129"/>
      <c r="O1108" s="129"/>
      <c r="P1108" s="129"/>
      <c r="Q1108" s="129"/>
      <c r="R1108" s="129"/>
      <c r="S1108" s="129"/>
      <c r="T1108" s="129"/>
      <c r="U1108" s="129"/>
      <c r="V1108" s="129"/>
      <c r="W1108" s="129"/>
      <c r="X1108" s="129"/>
      <c r="Y1108" s="129"/>
      <c r="Z1108" s="129"/>
      <c r="AA1108" s="129"/>
      <c r="AB1108" s="129"/>
      <c r="AC1108" s="129"/>
      <c r="AD1108" s="129"/>
      <c r="AE1108" s="129"/>
      <c r="AF1108" s="129"/>
      <c r="AG1108" s="129"/>
      <c r="AH1108" s="129"/>
      <c r="AI1108" s="129"/>
      <c r="AJ1108" s="129"/>
      <c r="AK1108" s="129"/>
      <c r="AL1108" s="129"/>
      <c r="AM1108" s="129"/>
      <c r="AN1108" s="129"/>
      <c r="AO1108" s="129"/>
      <c r="AP1108" s="129"/>
      <c r="AQ1108" s="129"/>
      <c r="AR1108" s="129"/>
      <c r="AS1108" s="129"/>
      <c r="AT1108" s="129"/>
      <c r="AU1108" s="129"/>
      <c r="AV1108" s="129"/>
      <c r="AW1108" s="129"/>
      <c r="AX1108" s="129"/>
      <c r="AY1108" s="129"/>
      <c r="AZ1108" s="129"/>
      <c r="BA1108" s="129"/>
      <c r="BB1108" s="129"/>
      <c r="BC1108" s="129"/>
      <c r="BD1108" s="129"/>
      <c r="BE1108" s="129"/>
      <c r="BF1108" s="129"/>
      <c r="BG1108" s="129"/>
      <c r="BH1108" s="129"/>
      <c r="BI1108" s="129"/>
      <c r="BJ1108" s="130"/>
    </row>
    <row r="1109" spans="1:67" s="105" customFormat="1" ht="22.5" customHeight="1">
      <c r="A1109" s="131" t="s">
        <v>124</v>
      </c>
      <c r="B1109" s="132">
        <f t="shared" si="698"/>
        <v>2581473201.654675</v>
      </c>
      <c r="C1109" s="102">
        <f>C1100-C1102-C1103-C1108</f>
        <v>2616284.6310316678</v>
      </c>
      <c r="D1109" s="103">
        <f>D1100-D1102-D1103-D1108</f>
        <v>2616284.6310316678</v>
      </c>
      <c r="E1109" s="103">
        <f t="shared" ref="E1109:BJ1109" si="699">E1100-E1102-E1103-E1108</f>
        <v>2616284.6310316678</v>
      </c>
      <c r="F1109" s="103">
        <f t="shared" si="699"/>
        <v>2616284.6310316678</v>
      </c>
      <c r="G1109" s="103">
        <f t="shared" si="699"/>
        <v>2616284.6310316678</v>
      </c>
      <c r="H1109" s="103">
        <f t="shared" si="699"/>
        <v>35443806.543293327</v>
      </c>
      <c r="I1109" s="103">
        <f t="shared" si="699"/>
        <v>70887613.086586654</v>
      </c>
      <c r="J1109" s="103">
        <f t="shared" si="699"/>
        <v>106331419.62987998</v>
      </c>
      <c r="K1109" s="103">
        <f t="shared" si="699"/>
        <v>141775226.17317331</v>
      </c>
      <c r="L1109" s="103">
        <f t="shared" si="699"/>
        <v>232439455.95420623</v>
      </c>
      <c r="M1109" s="103">
        <f t="shared" si="699"/>
        <v>232439455.95420623</v>
      </c>
      <c r="N1109" s="103">
        <f t="shared" si="699"/>
        <v>232439455.95420623</v>
      </c>
      <c r="O1109" s="103">
        <f t="shared" si="699"/>
        <v>232439455.95420623</v>
      </c>
      <c r="P1109" s="103">
        <f t="shared" si="699"/>
        <v>232439455.95420623</v>
      </c>
      <c r="Q1109" s="103">
        <f t="shared" si="699"/>
        <v>232439455.95420623</v>
      </c>
      <c r="R1109" s="103">
        <f t="shared" si="699"/>
        <v>232439455.95420623</v>
      </c>
      <c r="S1109" s="103">
        <f t="shared" si="699"/>
        <v>232439455.95420623</v>
      </c>
      <c r="T1109" s="103">
        <f t="shared" si="699"/>
        <v>141775226.17317331</v>
      </c>
      <c r="U1109" s="103">
        <f t="shared" si="699"/>
        <v>106331419.62987998</v>
      </c>
      <c r="V1109" s="103">
        <f t="shared" si="699"/>
        <v>70887613.086586654</v>
      </c>
      <c r="W1109" s="103">
        <f t="shared" si="699"/>
        <v>35443806.543293327</v>
      </c>
      <c r="X1109" s="103">
        <f t="shared" si="699"/>
        <v>0</v>
      </c>
      <c r="Y1109" s="103">
        <f t="shared" si="699"/>
        <v>0</v>
      </c>
      <c r="Z1109" s="103">
        <f t="shared" si="699"/>
        <v>0</v>
      </c>
      <c r="AA1109" s="103">
        <f t="shared" si="699"/>
        <v>0</v>
      </c>
      <c r="AB1109" s="103">
        <f t="shared" si="699"/>
        <v>0</v>
      </c>
      <c r="AC1109" s="103">
        <f t="shared" si="699"/>
        <v>0</v>
      </c>
      <c r="AD1109" s="103">
        <f t="shared" si="699"/>
        <v>0</v>
      </c>
      <c r="AE1109" s="103">
        <f t="shared" si="699"/>
        <v>0</v>
      </c>
      <c r="AF1109" s="103">
        <f t="shared" si="699"/>
        <v>0</v>
      </c>
      <c r="AG1109" s="103">
        <f t="shared" si="699"/>
        <v>0</v>
      </c>
      <c r="AH1109" s="103">
        <f t="shared" si="699"/>
        <v>0</v>
      </c>
      <c r="AI1109" s="103">
        <f t="shared" si="699"/>
        <v>0</v>
      </c>
      <c r="AJ1109" s="103">
        <f t="shared" si="699"/>
        <v>0</v>
      </c>
      <c r="AK1109" s="103">
        <f t="shared" si="699"/>
        <v>0</v>
      </c>
      <c r="AL1109" s="103">
        <f t="shared" si="699"/>
        <v>0</v>
      </c>
      <c r="AM1109" s="103">
        <f t="shared" si="699"/>
        <v>0</v>
      </c>
      <c r="AN1109" s="103">
        <f t="shared" si="699"/>
        <v>0</v>
      </c>
      <c r="AO1109" s="103">
        <f t="shared" si="699"/>
        <v>0</v>
      </c>
      <c r="AP1109" s="103">
        <f t="shared" si="699"/>
        <v>0</v>
      </c>
      <c r="AQ1109" s="103">
        <f t="shared" si="699"/>
        <v>0</v>
      </c>
      <c r="AR1109" s="103">
        <f t="shared" si="699"/>
        <v>0</v>
      </c>
      <c r="AS1109" s="103">
        <f t="shared" si="699"/>
        <v>0</v>
      </c>
      <c r="AT1109" s="103">
        <f t="shared" si="699"/>
        <v>0</v>
      </c>
      <c r="AU1109" s="103">
        <f t="shared" si="699"/>
        <v>0</v>
      </c>
      <c r="AV1109" s="103">
        <f t="shared" si="699"/>
        <v>0</v>
      </c>
      <c r="AW1109" s="103">
        <f t="shared" si="699"/>
        <v>0</v>
      </c>
      <c r="AX1109" s="103">
        <f t="shared" si="699"/>
        <v>0</v>
      </c>
      <c r="AY1109" s="103">
        <f t="shared" si="699"/>
        <v>0</v>
      </c>
      <c r="AZ1109" s="103">
        <f t="shared" si="699"/>
        <v>0</v>
      </c>
      <c r="BA1109" s="103">
        <f t="shared" si="699"/>
        <v>0</v>
      </c>
      <c r="BB1109" s="103">
        <f t="shared" si="699"/>
        <v>0</v>
      </c>
      <c r="BC1109" s="103">
        <f t="shared" si="699"/>
        <v>0</v>
      </c>
      <c r="BD1109" s="103">
        <f t="shared" si="699"/>
        <v>0</v>
      </c>
      <c r="BE1109" s="103">
        <f t="shared" si="699"/>
        <v>0</v>
      </c>
      <c r="BF1109" s="103">
        <f t="shared" si="699"/>
        <v>0</v>
      </c>
      <c r="BG1109" s="103">
        <f t="shared" si="699"/>
        <v>0</v>
      </c>
      <c r="BH1109" s="103">
        <f t="shared" si="699"/>
        <v>0</v>
      </c>
      <c r="BI1109" s="103">
        <f t="shared" si="699"/>
        <v>0</v>
      </c>
      <c r="BJ1109" s="104">
        <f t="shared" si="699"/>
        <v>0</v>
      </c>
      <c r="BK1109" s="109"/>
      <c r="BL1109" s="109"/>
    </row>
    <row r="1110" spans="1:67" s="116" customFormat="1">
      <c r="A1110" s="136" t="s">
        <v>125</v>
      </c>
      <c r="B1110" s="137">
        <f t="shared" ref="B1110:G1110" si="700">SUM(B1111:B1114)</f>
        <v>223309208.37074649</v>
      </c>
      <c r="C1110" s="113">
        <f t="shared" si="700"/>
        <v>32355010.346362535</v>
      </c>
      <c r="D1110" s="114">
        <f t="shared" si="700"/>
        <v>34870019.266862445</v>
      </c>
      <c r="E1110" s="114">
        <f t="shared" si="700"/>
        <v>52028059.585840508</v>
      </c>
      <c r="F1110" s="114">
        <f t="shared" si="700"/>
        <v>52028059.585840508</v>
      </c>
      <c r="G1110" s="114">
        <f t="shared" si="700"/>
        <v>52028059.585840508</v>
      </c>
      <c r="H1110" s="114"/>
      <c r="I1110" s="114"/>
      <c r="J1110" s="114"/>
      <c r="K1110" s="114"/>
      <c r="L1110" s="114"/>
      <c r="M1110" s="114"/>
      <c r="N1110" s="114"/>
      <c r="O1110" s="114"/>
      <c r="P1110" s="114"/>
      <c r="Q1110" s="114"/>
      <c r="R1110" s="114"/>
      <c r="S1110" s="114"/>
      <c r="T1110" s="114"/>
      <c r="U1110" s="114"/>
      <c r="V1110" s="114"/>
      <c r="W1110" s="114"/>
      <c r="X1110" s="114"/>
      <c r="Y1110" s="114"/>
      <c r="Z1110" s="114"/>
      <c r="AA1110" s="114"/>
      <c r="AB1110" s="114"/>
      <c r="AC1110" s="114"/>
      <c r="AD1110" s="114"/>
      <c r="AE1110" s="114"/>
      <c r="AF1110" s="114"/>
      <c r="AG1110" s="114"/>
      <c r="AH1110" s="114"/>
      <c r="AI1110" s="114"/>
      <c r="AJ1110" s="114"/>
      <c r="AK1110" s="114"/>
      <c r="AL1110" s="114"/>
      <c r="AM1110" s="114"/>
      <c r="AN1110" s="114"/>
      <c r="AO1110" s="114"/>
      <c r="AP1110" s="114"/>
      <c r="AQ1110" s="114"/>
      <c r="AR1110" s="114"/>
      <c r="AS1110" s="114"/>
      <c r="AT1110" s="114"/>
      <c r="AU1110" s="114"/>
      <c r="AV1110" s="114"/>
      <c r="AW1110" s="114"/>
      <c r="AX1110" s="114"/>
      <c r="AY1110" s="114"/>
      <c r="AZ1110" s="114"/>
      <c r="BA1110" s="114"/>
      <c r="BB1110" s="114"/>
      <c r="BC1110" s="114"/>
      <c r="BD1110" s="114"/>
      <c r="BE1110" s="114"/>
      <c r="BF1110" s="114"/>
      <c r="BG1110" s="114"/>
      <c r="BH1110" s="114"/>
      <c r="BI1110" s="114"/>
      <c r="BJ1110" s="115"/>
    </row>
    <row r="1111" spans="1:67" s="143" customFormat="1" ht="12.75">
      <c r="A1111" s="138" t="s">
        <v>126</v>
      </c>
      <c r="B1111" s="139">
        <f>SUM(C1111:BJ1111)</f>
        <v>58564174.479933649</v>
      </c>
      <c r="C1111" s="140"/>
      <c r="D1111" s="141"/>
      <c r="E1111" s="141">
        <v>19521391.493311215</v>
      </c>
      <c r="F1111" s="141">
        <f t="shared" ref="F1111:G1113" si="701">E1111</f>
        <v>19521391.493311215</v>
      </c>
      <c r="G1111" s="141">
        <f t="shared" si="701"/>
        <v>19521391.493311215</v>
      </c>
      <c r="H1111" s="141"/>
      <c r="I1111" s="141"/>
      <c r="J1111" s="141"/>
      <c r="K1111" s="141"/>
      <c r="L1111" s="141"/>
      <c r="M1111" s="141"/>
      <c r="N1111" s="141"/>
      <c r="O1111" s="141"/>
      <c r="P1111" s="141"/>
      <c r="Q1111" s="141"/>
      <c r="R1111" s="141"/>
      <c r="S1111" s="141"/>
      <c r="T1111" s="141"/>
      <c r="U1111" s="141"/>
      <c r="V1111" s="141"/>
      <c r="W1111" s="141"/>
      <c r="X1111" s="141"/>
      <c r="Y1111" s="141"/>
      <c r="Z1111" s="141"/>
      <c r="AA1111" s="141"/>
      <c r="AB1111" s="141"/>
      <c r="AC1111" s="141"/>
      <c r="AD1111" s="141"/>
      <c r="AE1111" s="141"/>
      <c r="AF1111" s="141"/>
      <c r="AG1111" s="141"/>
      <c r="AH1111" s="141"/>
      <c r="AI1111" s="141"/>
      <c r="AJ1111" s="141"/>
      <c r="AK1111" s="141"/>
      <c r="AL1111" s="141"/>
      <c r="AM1111" s="141"/>
      <c r="AN1111" s="141"/>
      <c r="AO1111" s="141"/>
      <c r="AP1111" s="141"/>
      <c r="AQ1111" s="141"/>
      <c r="AR1111" s="141"/>
      <c r="AS1111" s="141"/>
      <c r="AT1111" s="141"/>
      <c r="AU1111" s="141"/>
      <c r="AV1111" s="141"/>
      <c r="AW1111" s="141"/>
      <c r="AX1111" s="141"/>
      <c r="AY1111" s="141"/>
      <c r="AZ1111" s="141"/>
      <c r="BA1111" s="141"/>
      <c r="BB1111" s="141"/>
      <c r="BC1111" s="141"/>
      <c r="BD1111" s="141"/>
      <c r="BE1111" s="141"/>
      <c r="BF1111" s="141"/>
      <c r="BG1111" s="141"/>
      <c r="BH1111" s="141"/>
      <c r="BI1111" s="141"/>
      <c r="BJ1111" s="142"/>
      <c r="BK1111" s="141"/>
      <c r="BL1111" s="141"/>
    </row>
    <row r="1112" spans="1:67" s="143" customFormat="1" ht="12.75">
      <c r="A1112" s="138" t="s">
        <v>127</v>
      </c>
      <c r="B1112" s="139">
        <f>SUM(C1112:BJ1112)</f>
        <v>8000000</v>
      </c>
      <c r="C1112" s="140"/>
      <c r="D1112" s="141"/>
      <c r="E1112" s="141">
        <v>2666666.6666666665</v>
      </c>
      <c r="F1112" s="141">
        <f t="shared" si="701"/>
        <v>2666666.6666666665</v>
      </c>
      <c r="G1112" s="141">
        <f t="shared" si="701"/>
        <v>2666666.6666666665</v>
      </c>
      <c r="H1112" s="141"/>
      <c r="I1112" s="141"/>
      <c r="J1112" s="141"/>
      <c r="K1112" s="141"/>
      <c r="L1112" s="141"/>
      <c r="M1112" s="141"/>
      <c r="N1112" s="141"/>
      <c r="O1112" s="141"/>
      <c r="P1112" s="141"/>
      <c r="Q1112" s="141"/>
      <c r="R1112" s="141"/>
      <c r="S1112" s="141"/>
      <c r="T1112" s="141"/>
      <c r="U1112" s="141"/>
      <c r="V1112" s="141"/>
      <c r="W1112" s="141"/>
      <c r="X1112" s="141"/>
      <c r="Y1112" s="141"/>
      <c r="Z1112" s="141"/>
      <c r="AA1112" s="141"/>
      <c r="AB1112" s="141"/>
      <c r="AC1112" s="141"/>
      <c r="AD1112" s="141"/>
      <c r="AE1112" s="141"/>
      <c r="AF1112" s="141"/>
      <c r="AG1112" s="141"/>
      <c r="AH1112" s="141"/>
      <c r="AI1112" s="141"/>
      <c r="AJ1112" s="141"/>
      <c r="AK1112" s="141"/>
      <c r="AL1112" s="141"/>
      <c r="AM1112" s="141"/>
      <c r="AN1112" s="141"/>
      <c r="AO1112" s="141"/>
      <c r="AP1112" s="141"/>
      <c r="AQ1112" s="141"/>
      <c r="AR1112" s="141"/>
      <c r="AS1112" s="141"/>
      <c r="AT1112" s="141"/>
      <c r="AU1112" s="141"/>
      <c r="AV1112" s="141"/>
      <c r="AW1112" s="141"/>
      <c r="AX1112" s="141"/>
      <c r="AY1112" s="141"/>
      <c r="AZ1112" s="141"/>
      <c r="BA1112" s="141"/>
      <c r="BB1112" s="141"/>
      <c r="BC1112" s="141"/>
      <c r="BD1112" s="141"/>
      <c r="BE1112" s="141"/>
      <c r="BF1112" s="141"/>
      <c r="BG1112" s="141"/>
      <c r="BH1112" s="141"/>
      <c r="BI1112" s="141"/>
      <c r="BJ1112" s="142"/>
      <c r="BK1112" s="141"/>
      <c r="BL1112" s="141"/>
    </row>
    <row r="1113" spans="1:67" s="143" customFormat="1" ht="12.75">
      <c r="A1113" s="138" t="s">
        <v>128</v>
      </c>
      <c r="B1113" s="139">
        <f>SUM(C1113:BJ1113)</f>
        <v>149200007.12931311</v>
      </c>
      <c r="C1113" s="140">
        <v>29840001.425862622</v>
      </c>
      <c r="D1113" s="141">
        <f>C1113</f>
        <v>29840001.425862622</v>
      </c>
      <c r="E1113" s="141">
        <f>D1113</f>
        <v>29840001.425862622</v>
      </c>
      <c r="F1113" s="141">
        <f t="shared" si="701"/>
        <v>29840001.425862622</v>
      </c>
      <c r="G1113" s="141">
        <f t="shared" si="701"/>
        <v>29840001.425862622</v>
      </c>
      <c r="H1113" s="141"/>
      <c r="I1113" s="141"/>
      <c r="J1113" s="141"/>
      <c r="K1113" s="141"/>
      <c r="L1113" s="141"/>
      <c r="M1113" s="141"/>
      <c r="N1113" s="141"/>
      <c r="O1113" s="141"/>
      <c r="P1113" s="141"/>
      <c r="Q1113" s="141"/>
      <c r="R1113" s="141"/>
      <c r="S1113" s="141"/>
      <c r="T1113" s="141"/>
      <c r="U1113" s="141"/>
      <c r="V1113" s="141"/>
      <c r="W1113" s="141"/>
      <c r="X1113" s="141"/>
      <c r="Y1113" s="141"/>
      <c r="Z1113" s="141"/>
      <c r="AA1113" s="141"/>
      <c r="AB1113" s="141"/>
      <c r="AC1113" s="141"/>
      <c r="AD1113" s="141"/>
      <c r="AE1113" s="141"/>
      <c r="AF1113" s="141"/>
      <c r="AG1113" s="141"/>
      <c r="AH1113" s="141"/>
      <c r="AI1113" s="141"/>
      <c r="AJ1113" s="141"/>
      <c r="AK1113" s="141"/>
      <c r="AL1113" s="141"/>
      <c r="AM1113" s="141"/>
      <c r="AN1113" s="141"/>
      <c r="AO1113" s="141"/>
      <c r="AP1113" s="141"/>
      <c r="AQ1113" s="141"/>
      <c r="AR1113" s="141"/>
      <c r="AS1113" s="141"/>
      <c r="AT1113" s="141"/>
      <c r="AU1113" s="141"/>
      <c r="AV1113" s="141"/>
      <c r="AW1113" s="141"/>
      <c r="AX1113" s="141"/>
      <c r="AY1113" s="141"/>
      <c r="AZ1113" s="141"/>
      <c r="BA1113" s="141"/>
      <c r="BB1113" s="141"/>
      <c r="BC1113" s="141"/>
      <c r="BD1113" s="141"/>
      <c r="BE1113" s="141"/>
      <c r="BF1113" s="141"/>
      <c r="BG1113" s="141"/>
      <c r="BH1113" s="141"/>
      <c r="BI1113" s="141"/>
      <c r="BJ1113" s="142"/>
      <c r="BK1113" s="141"/>
      <c r="BL1113" s="141"/>
    </row>
    <row r="1114" spans="1:67" s="143" customFormat="1" ht="12.75">
      <c r="A1114" s="138" t="s">
        <v>129</v>
      </c>
      <c r="B1114" s="139">
        <f>SUM(C1114:BJ1114)</f>
        <v>7545026.7614997374</v>
      </c>
      <c r="C1114" s="140">
        <v>2515008.9204999125</v>
      </c>
      <c r="D1114" s="141">
        <v>5030017.8409998249</v>
      </c>
      <c r="E1114" s="141"/>
      <c r="F1114" s="141"/>
      <c r="G1114" s="141"/>
      <c r="H1114" s="141"/>
      <c r="I1114" s="141"/>
      <c r="J1114" s="141"/>
      <c r="K1114" s="141"/>
      <c r="L1114" s="141"/>
      <c r="M1114" s="141"/>
      <c r="N1114" s="141"/>
      <c r="O1114" s="141"/>
      <c r="P1114" s="141"/>
      <c r="Q1114" s="141"/>
      <c r="R1114" s="141"/>
      <c r="S1114" s="141"/>
      <c r="T1114" s="141"/>
      <c r="U1114" s="141"/>
      <c r="V1114" s="141"/>
      <c r="W1114" s="141"/>
      <c r="X1114" s="141"/>
      <c r="Y1114" s="141"/>
      <c r="Z1114" s="141"/>
      <c r="AA1114" s="141"/>
      <c r="AB1114" s="141"/>
      <c r="AC1114" s="141"/>
      <c r="AD1114" s="141"/>
      <c r="AE1114" s="141"/>
      <c r="AF1114" s="141"/>
      <c r="AG1114" s="141"/>
      <c r="AH1114" s="141"/>
      <c r="AI1114" s="141"/>
      <c r="AJ1114" s="141"/>
      <c r="AK1114" s="141"/>
      <c r="AL1114" s="141"/>
      <c r="AM1114" s="141"/>
      <c r="AN1114" s="141"/>
      <c r="AO1114" s="141"/>
      <c r="AP1114" s="141"/>
      <c r="AQ1114" s="141"/>
      <c r="AR1114" s="141"/>
      <c r="AS1114" s="141"/>
      <c r="AT1114" s="141"/>
      <c r="AU1114" s="141"/>
      <c r="AV1114" s="141"/>
      <c r="AW1114" s="141"/>
      <c r="AX1114" s="141"/>
      <c r="AY1114" s="141"/>
      <c r="AZ1114" s="141"/>
      <c r="BA1114" s="141"/>
      <c r="BB1114" s="141"/>
      <c r="BC1114" s="141"/>
      <c r="BD1114" s="141"/>
      <c r="BE1114" s="141"/>
      <c r="BF1114" s="141"/>
      <c r="BG1114" s="141"/>
      <c r="BH1114" s="141"/>
      <c r="BI1114" s="141"/>
      <c r="BJ1114" s="142"/>
      <c r="BK1114" s="141"/>
      <c r="BL1114" s="141"/>
    </row>
    <row r="1115" spans="1:67" s="116" customFormat="1">
      <c r="A1115" s="111" t="s">
        <v>130</v>
      </c>
      <c r="B1115" s="137">
        <f>SUM(B1116:B1119)</f>
        <v>223309208.37074652</v>
      </c>
      <c r="C1115" s="117">
        <f>SUM(C1116:C1119)</f>
        <v>1078500.3448787511</v>
      </c>
      <c r="D1115" s="118">
        <f>SUM(D1116:D1119)</f>
        <v>2240834.3204408325</v>
      </c>
      <c r="E1115" s="118">
        <f t="shared" ref="E1115:BJ1115" si="702">SUM(E1116:E1119)</f>
        <v>3975102.9733021823</v>
      </c>
      <c r="F1115" s="118">
        <f t="shared" si="702"/>
        <v>5709371.626163533</v>
      </c>
      <c r="G1115" s="118">
        <f t="shared" si="702"/>
        <v>7443640.2790248832</v>
      </c>
      <c r="H1115" s="118">
        <f t="shared" si="702"/>
        <v>7443640.2790248832</v>
      </c>
      <c r="I1115" s="118">
        <f t="shared" si="702"/>
        <v>7443640.2790248832</v>
      </c>
      <c r="J1115" s="118">
        <f t="shared" si="702"/>
        <v>7443640.2790248832</v>
      </c>
      <c r="K1115" s="118">
        <f t="shared" si="702"/>
        <v>7443640.2790248832</v>
      </c>
      <c r="L1115" s="118">
        <f t="shared" si="702"/>
        <v>7443640.2790248832</v>
      </c>
      <c r="M1115" s="118">
        <f t="shared" si="702"/>
        <v>7443640.2790248832</v>
      </c>
      <c r="N1115" s="118">
        <f t="shared" si="702"/>
        <v>7443640.2790248832</v>
      </c>
      <c r="O1115" s="118">
        <f t="shared" si="702"/>
        <v>7443640.2790248832</v>
      </c>
      <c r="P1115" s="118">
        <f t="shared" si="702"/>
        <v>7443640.2790248832</v>
      </c>
      <c r="Q1115" s="118">
        <f t="shared" si="702"/>
        <v>7443640.2790248832</v>
      </c>
      <c r="R1115" s="118">
        <f t="shared" si="702"/>
        <v>7443640.2790248832</v>
      </c>
      <c r="S1115" s="118">
        <f t="shared" si="702"/>
        <v>7443640.2790248832</v>
      </c>
      <c r="T1115" s="118">
        <f t="shared" si="702"/>
        <v>7443640.2790248832</v>
      </c>
      <c r="U1115" s="118">
        <f t="shared" si="702"/>
        <v>7443640.2790248832</v>
      </c>
      <c r="V1115" s="118">
        <f t="shared" si="702"/>
        <v>7443640.2790248832</v>
      </c>
      <c r="W1115" s="118">
        <f t="shared" si="702"/>
        <v>7443640.2790248832</v>
      </c>
      <c r="X1115" s="118">
        <f t="shared" si="702"/>
        <v>7443640.2790248832</v>
      </c>
      <c r="Y1115" s="118">
        <f t="shared" si="702"/>
        <v>7443640.2790248832</v>
      </c>
      <c r="Z1115" s="118">
        <f t="shared" si="702"/>
        <v>7443640.2790248832</v>
      </c>
      <c r="AA1115" s="118">
        <f t="shared" si="702"/>
        <v>7443640.2790248832</v>
      </c>
      <c r="AB1115" s="118">
        <f t="shared" si="702"/>
        <v>7443640.2790248832</v>
      </c>
      <c r="AC1115" s="118">
        <f t="shared" si="702"/>
        <v>7443640.2790248832</v>
      </c>
      <c r="AD1115" s="118">
        <f t="shared" si="702"/>
        <v>7443640.2790248832</v>
      </c>
      <c r="AE1115" s="118">
        <f t="shared" si="702"/>
        <v>7443640.2790248832</v>
      </c>
      <c r="AF1115" s="118">
        <f t="shared" si="702"/>
        <v>7443640.2790248832</v>
      </c>
      <c r="AG1115" s="118">
        <f t="shared" si="702"/>
        <v>6365139.9341461314</v>
      </c>
      <c r="AH1115" s="118">
        <f t="shared" si="702"/>
        <v>5202805.9585840497</v>
      </c>
      <c r="AI1115" s="118">
        <f t="shared" si="702"/>
        <v>3468537.3057227004</v>
      </c>
      <c r="AJ1115" s="118">
        <f t="shared" si="702"/>
        <v>1734268.6528613502</v>
      </c>
      <c r="AK1115" s="118">
        <f t="shared" si="702"/>
        <v>0</v>
      </c>
      <c r="AL1115" s="118">
        <f t="shared" si="702"/>
        <v>0</v>
      </c>
      <c r="AM1115" s="118">
        <f t="shared" si="702"/>
        <v>0</v>
      </c>
      <c r="AN1115" s="118">
        <f t="shared" si="702"/>
        <v>0</v>
      </c>
      <c r="AO1115" s="118">
        <f t="shared" si="702"/>
        <v>0</v>
      </c>
      <c r="AP1115" s="118">
        <f t="shared" si="702"/>
        <v>0</v>
      </c>
      <c r="AQ1115" s="118">
        <f t="shared" si="702"/>
        <v>0</v>
      </c>
      <c r="AR1115" s="118">
        <f t="shared" si="702"/>
        <v>0</v>
      </c>
      <c r="AS1115" s="118">
        <f t="shared" si="702"/>
        <v>0</v>
      </c>
      <c r="AT1115" s="118">
        <f t="shared" si="702"/>
        <v>0</v>
      </c>
      <c r="AU1115" s="118">
        <f t="shared" si="702"/>
        <v>0</v>
      </c>
      <c r="AV1115" s="118">
        <f t="shared" si="702"/>
        <v>0</v>
      </c>
      <c r="AW1115" s="118">
        <f t="shared" si="702"/>
        <v>0</v>
      </c>
      <c r="AX1115" s="118">
        <f t="shared" si="702"/>
        <v>0</v>
      </c>
      <c r="AY1115" s="118">
        <f t="shared" si="702"/>
        <v>0</v>
      </c>
      <c r="AZ1115" s="118">
        <f t="shared" si="702"/>
        <v>0</v>
      </c>
      <c r="BA1115" s="118">
        <f t="shared" si="702"/>
        <v>0</v>
      </c>
      <c r="BB1115" s="118">
        <f t="shared" si="702"/>
        <v>0</v>
      </c>
      <c r="BC1115" s="118">
        <f t="shared" si="702"/>
        <v>0</v>
      </c>
      <c r="BD1115" s="118">
        <f t="shared" si="702"/>
        <v>0</v>
      </c>
      <c r="BE1115" s="118">
        <f t="shared" si="702"/>
        <v>0</v>
      </c>
      <c r="BF1115" s="118">
        <f t="shared" si="702"/>
        <v>0</v>
      </c>
      <c r="BG1115" s="118">
        <f t="shared" si="702"/>
        <v>0</v>
      </c>
      <c r="BH1115" s="118">
        <f t="shared" si="702"/>
        <v>0</v>
      </c>
      <c r="BI1115" s="118">
        <f t="shared" si="702"/>
        <v>0</v>
      </c>
      <c r="BJ1115" s="119">
        <f t="shared" si="702"/>
        <v>0</v>
      </c>
      <c r="BK1115" s="118"/>
      <c r="BL1115" s="118"/>
    </row>
    <row r="1116" spans="1:67" s="143" customFormat="1" ht="12.75">
      <c r="A1116" s="138" t="s">
        <v>126</v>
      </c>
      <c r="B1116" s="139">
        <f>SUM(C1116:BJ1116)</f>
        <v>58564174.479933664</v>
      </c>
      <c r="C1116" s="140"/>
      <c r="D1116" s="141"/>
      <c r="E1116" s="226">
        <f>$C1111/$O1097+$D1111/$O1097+$E1111/$O1097</f>
        <v>650713.04977704049</v>
      </c>
      <c r="F1116" s="141">
        <f>$C1111/$O1097+$D1111/$O1097+$E1111/$O1097+$F1111/$O1097</f>
        <v>1301426.099554081</v>
      </c>
      <c r="G1116" s="141">
        <f>$C1111/$O1097+$D1111/$O1097+$E1111/$O1097+$F1111/$O1097+$G1111/$O1097</f>
        <v>1952139.1493311215</v>
      </c>
      <c r="H1116" s="141">
        <f t="shared" ref="H1116:AH1119" si="703">G1116</f>
        <v>1952139.1493311215</v>
      </c>
      <c r="I1116" s="141">
        <f t="shared" si="703"/>
        <v>1952139.1493311215</v>
      </c>
      <c r="J1116" s="141">
        <f t="shared" si="703"/>
        <v>1952139.1493311215</v>
      </c>
      <c r="K1116" s="141">
        <f t="shared" si="703"/>
        <v>1952139.1493311215</v>
      </c>
      <c r="L1116" s="141">
        <f t="shared" si="703"/>
        <v>1952139.1493311215</v>
      </c>
      <c r="M1116" s="141">
        <f t="shared" si="703"/>
        <v>1952139.1493311215</v>
      </c>
      <c r="N1116" s="141">
        <f t="shared" si="703"/>
        <v>1952139.1493311215</v>
      </c>
      <c r="O1116" s="141">
        <f t="shared" si="703"/>
        <v>1952139.1493311215</v>
      </c>
      <c r="P1116" s="141">
        <f t="shared" si="703"/>
        <v>1952139.1493311215</v>
      </c>
      <c r="Q1116" s="141">
        <f t="shared" si="703"/>
        <v>1952139.1493311215</v>
      </c>
      <c r="R1116" s="141">
        <f t="shared" si="703"/>
        <v>1952139.1493311215</v>
      </c>
      <c r="S1116" s="141">
        <f t="shared" si="703"/>
        <v>1952139.1493311215</v>
      </c>
      <c r="T1116" s="141">
        <f t="shared" si="703"/>
        <v>1952139.1493311215</v>
      </c>
      <c r="U1116" s="141">
        <f t="shared" si="703"/>
        <v>1952139.1493311215</v>
      </c>
      <c r="V1116" s="141">
        <f t="shared" si="703"/>
        <v>1952139.1493311215</v>
      </c>
      <c r="W1116" s="141">
        <f t="shared" si="703"/>
        <v>1952139.1493311215</v>
      </c>
      <c r="X1116" s="141">
        <f t="shared" si="703"/>
        <v>1952139.1493311215</v>
      </c>
      <c r="Y1116" s="141">
        <f t="shared" si="703"/>
        <v>1952139.1493311215</v>
      </c>
      <c r="Z1116" s="141">
        <f t="shared" si="703"/>
        <v>1952139.1493311215</v>
      </c>
      <c r="AA1116" s="141">
        <f t="shared" si="703"/>
        <v>1952139.1493311215</v>
      </c>
      <c r="AB1116" s="141">
        <f t="shared" si="703"/>
        <v>1952139.1493311215</v>
      </c>
      <c r="AC1116" s="141">
        <f t="shared" si="703"/>
        <v>1952139.1493311215</v>
      </c>
      <c r="AD1116" s="141">
        <f t="shared" si="703"/>
        <v>1952139.1493311215</v>
      </c>
      <c r="AE1116" s="141">
        <f t="shared" si="703"/>
        <v>1952139.1493311215</v>
      </c>
      <c r="AF1116" s="141">
        <f t="shared" si="703"/>
        <v>1952139.1493311215</v>
      </c>
      <c r="AG1116" s="141">
        <f t="shared" si="703"/>
        <v>1952139.1493311215</v>
      </c>
      <c r="AH1116" s="141">
        <f t="shared" si="703"/>
        <v>1952139.1493311215</v>
      </c>
      <c r="AI1116" s="141">
        <f>F1116</f>
        <v>1301426.099554081</v>
      </c>
      <c r="AJ1116" s="141">
        <f>E1116</f>
        <v>650713.04977704049</v>
      </c>
      <c r="AK1116" s="141"/>
      <c r="AL1116" s="141"/>
      <c r="AM1116" s="141"/>
      <c r="AN1116" s="141"/>
      <c r="AO1116" s="141"/>
      <c r="AP1116" s="141"/>
      <c r="AQ1116" s="141"/>
      <c r="AR1116" s="141"/>
      <c r="AS1116" s="141"/>
      <c r="AT1116" s="141"/>
      <c r="AU1116" s="141"/>
      <c r="AV1116" s="141"/>
      <c r="AW1116" s="141"/>
      <c r="AX1116" s="141"/>
      <c r="AY1116" s="141"/>
      <c r="AZ1116" s="141"/>
      <c r="BA1116" s="141"/>
      <c r="BB1116" s="141"/>
      <c r="BC1116" s="141"/>
      <c r="BD1116" s="141"/>
      <c r="BE1116" s="141"/>
      <c r="BF1116" s="141"/>
      <c r="BG1116" s="141"/>
      <c r="BH1116" s="141"/>
      <c r="BI1116" s="141"/>
      <c r="BJ1116" s="142"/>
      <c r="BK1116" s="141"/>
      <c r="BL1116" s="141"/>
    </row>
    <row r="1117" spans="1:67" s="143" customFormat="1" ht="12.75">
      <c r="A1117" s="138" t="s">
        <v>127</v>
      </c>
      <c r="B1117" s="139">
        <f>SUM(C1117:BJ1117)</f>
        <v>8000000.0000000037</v>
      </c>
      <c r="C1117" s="140"/>
      <c r="D1117" s="141"/>
      <c r="E1117" s="226">
        <f>$C1112/$O1097+$D1112/$O1097+$E1112/$O1097</f>
        <v>88888.888888888891</v>
      </c>
      <c r="F1117" s="141">
        <f>$C1112/$O1097+$D1112/$O1097+$E1112/$O1097+$F1112/$O1097</f>
        <v>177777.77777777778</v>
      </c>
      <c r="G1117" s="141">
        <f>$C1112/$O1097+$D1112/$O1097+$E1112/$O1097+$F1112/$O1097+$G1112/$O1097</f>
        <v>266666.66666666669</v>
      </c>
      <c r="H1117" s="141">
        <f t="shared" si="703"/>
        <v>266666.66666666669</v>
      </c>
      <c r="I1117" s="141">
        <f t="shared" si="703"/>
        <v>266666.66666666669</v>
      </c>
      <c r="J1117" s="141">
        <f t="shared" si="703"/>
        <v>266666.66666666669</v>
      </c>
      <c r="K1117" s="141">
        <f t="shared" si="703"/>
        <v>266666.66666666669</v>
      </c>
      <c r="L1117" s="141">
        <f t="shared" si="703"/>
        <v>266666.66666666669</v>
      </c>
      <c r="M1117" s="141">
        <f t="shared" si="703"/>
        <v>266666.66666666669</v>
      </c>
      <c r="N1117" s="141">
        <f t="shared" si="703"/>
        <v>266666.66666666669</v>
      </c>
      <c r="O1117" s="141">
        <f t="shared" si="703"/>
        <v>266666.66666666669</v>
      </c>
      <c r="P1117" s="141">
        <f t="shared" si="703"/>
        <v>266666.66666666669</v>
      </c>
      <c r="Q1117" s="141">
        <f t="shared" si="703"/>
        <v>266666.66666666669</v>
      </c>
      <c r="R1117" s="141">
        <f t="shared" si="703"/>
        <v>266666.66666666669</v>
      </c>
      <c r="S1117" s="141">
        <f t="shared" si="703"/>
        <v>266666.66666666669</v>
      </c>
      <c r="T1117" s="141">
        <f t="shared" si="703"/>
        <v>266666.66666666669</v>
      </c>
      <c r="U1117" s="141">
        <f t="shared" si="703"/>
        <v>266666.66666666669</v>
      </c>
      <c r="V1117" s="141">
        <f t="shared" si="703"/>
        <v>266666.66666666669</v>
      </c>
      <c r="W1117" s="141">
        <f t="shared" si="703"/>
        <v>266666.66666666669</v>
      </c>
      <c r="X1117" s="141">
        <f t="shared" si="703"/>
        <v>266666.66666666669</v>
      </c>
      <c r="Y1117" s="141">
        <f t="shared" si="703"/>
        <v>266666.66666666669</v>
      </c>
      <c r="Z1117" s="141">
        <f t="shared" si="703"/>
        <v>266666.66666666669</v>
      </c>
      <c r="AA1117" s="141">
        <f t="shared" si="703"/>
        <v>266666.66666666669</v>
      </c>
      <c r="AB1117" s="141">
        <f t="shared" si="703"/>
        <v>266666.66666666669</v>
      </c>
      <c r="AC1117" s="141">
        <f t="shared" si="703"/>
        <v>266666.66666666669</v>
      </c>
      <c r="AD1117" s="141">
        <f t="shared" si="703"/>
        <v>266666.66666666669</v>
      </c>
      <c r="AE1117" s="141">
        <f t="shared" si="703"/>
        <v>266666.66666666669</v>
      </c>
      <c r="AF1117" s="141">
        <f t="shared" si="703"/>
        <v>266666.66666666669</v>
      </c>
      <c r="AG1117" s="141">
        <f t="shared" si="703"/>
        <v>266666.66666666669</v>
      </c>
      <c r="AH1117" s="141">
        <f t="shared" si="703"/>
        <v>266666.66666666669</v>
      </c>
      <c r="AI1117" s="141">
        <f>F1117</f>
        <v>177777.77777777778</v>
      </c>
      <c r="AJ1117" s="141">
        <f>E1117</f>
        <v>88888.888888888891</v>
      </c>
      <c r="AK1117" s="141"/>
      <c r="AL1117" s="141"/>
      <c r="AM1117" s="141"/>
      <c r="AN1117" s="141"/>
      <c r="AO1117" s="141"/>
      <c r="AP1117" s="141"/>
      <c r="AQ1117" s="141"/>
      <c r="AR1117" s="141"/>
      <c r="AS1117" s="141"/>
      <c r="AT1117" s="141"/>
      <c r="AU1117" s="141"/>
      <c r="AV1117" s="141"/>
      <c r="AW1117" s="141"/>
      <c r="AX1117" s="141"/>
      <c r="AY1117" s="141"/>
      <c r="AZ1117" s="141"/>
      <c r="BA1117" s="141"/>
      <c r="BB1117" s="141"/>
      <c r="BC1117" s="141"/>
      <c r="BD1117" s="141"/>
      <c r="BE1117" s="141"/>
      <c r="BF1117" s="141"/>
      <c r="BG1117" s="141"/>
      <c r="BH1117" s="141"/>
      <c r="BI1117" s="141"/>
      <c r="BJ1117" s="142"/>
      <c r="BK1117" s="141"/>
      <c r="BL1117" s="141"/>
    </row>
    <row r="1118" spans="1:67" s="143" customFormat="1" ht="12.75">
      <c r="A1118" s="138" t="s">
        <v>128</v>
      </c>
      <c r="B1118" s="139">
        <f>SUM(C1118:BJ1118)</f>
        <v>149200007.12931314</v>
      </c>
      <c r="C1118" s="227">
        <f>$C1113/$O1097</f>
        <v>994666.71419542073</v>
      </c>
      <c r="D1118" s="141">
        <f>$C1113/$O1097+$D1113/$O1097</f>
        <v>1989333.4283908415</v>
      </c>
      <c r="E1118" s="141">
        <f>$C1113/$O1097+$D1113/$O1097+$E1113/$O1097</f>
        <v>2984000.142586262</v>
      </c>
      <c r="F1118" s="141">
        <f>$C1113/$O1097+$D1113/$O1097+$E1113/$O1097+$F1113/$O1097</f>
        <v>3978666.8567816829</v>
      </c>
      <c r="G1118" s="141">
        <f>$C1113/$O1097+$D1113/$O1097+$E1113/$O1097+$F1113/$O1097+$G1113/$O1097</f>
        <v>4973333.5709771039</v>
      </c>
      <c r="H1118" s="141">
        <f t="shared" si="703"/>
        <v>4973333.5709771039</v>
      </c>
      <c r="I1118" s="141">
        <f t="shared" si="703"/>
        <v>4973333.5709771039</v>
      </c>
      <c r="J1118" s="141">
        <f t="shared" si="703"/>
        <v>4973333.5709771039</v>
      </c>
      <c r="K1118" s="141">
        <f t="shared" si="703"/>
        <v>4973333.5709771039</v>
      </c>
      <c r="L1118" s="141">
        <f t="shared" si="703"/>
        <v>4973333.5709771039</v>
      </c>
      <c r="M1118" s="141">
        <f t="shared" si="703"/>
        <v>4973333.5709771039</v>
      </c>
      <c r="N1118" s="141">
        <f t="shared" si="703"/>
        <v>4973333.5709771039</v>
      </c>
      <c r="O1118" s="141">
        <f t="shared" si="703"/>
        <v>4973333.5709771039</v>
      </c>
      <c r="P1118" s="141">
        <f t="shared" si="703"/>
        <v>4973333.5709771039</v>
      </c>
      <c r="Q1118" s="141">
        <f t="shared" si="703"/>
        <v>4973333.5709771039</v>
      </c>
      <c r="R1118" s="141">
        <f t="shared" si="703"/>
        <v>4973333.5709771039</v>
      </c>
      <c r="S1118" s="141">
        <f t="shared" si="703"/>
        <v>4973333.5709771039</v>
      </c>
      <c r="T1118" s="141">
        <f t="shared" si="703"/>
        <v>4973333.5709771039</v>
      </c>
      <c r="U1118" s="141">
        <f t="shared" si="703"/>
        <v>4973333.5709771039</v>
      </c>
      <c r="V1118" s="141">
        <f t="shared" si="703"/>
        <v>4973333.5709771039</v>
      </c>
      <c r="W1118" s="141">
        <f t="shared" si="703"/>
        <v>4973333.5709771039</v>
      </c>
      <c r="X1118" s="141">
        <f t="shared" si="703"/>
        <v>4973333.5709771039</v>
      </c>
      <c r="Y1118" s="141">
        <f t="shared" si="703"/>
        <v>4973333.5709771039</v>
      </c>
      <c r="Z1118" s="141">
        <f t="shared" si="703"/>
        <v>4973333.5709771039</v>
      </c>
      <c r="AA1118" s="141">
        <f t="shared" si="703"/>
        <v>4973333.5709771039</v>
      </c>
      <c r="AB1118" s="141">
        <f t="shared" si="703"/>
        <v>4973333.5709771039</v>
      </c>
      <c r="AC1118" s="141">
        <f t="shared" si="703"/>
        <v>4973333.5709771039</v>
      </c>
      <c r="AD1118" s="141">
        <f t="shared" si="703"/>
        <v>4973333.5709771039</v>
      </c>
      <c r="AE1118" s="141">
        <f t="shared" si="703"/>
        <v>4973333.5709771039</v>
      </c>
      <c r="AF1118" s="141">
        <f t="shared" si="703"/>
        <v>4973333.5709771039</v>
      </c>
      <c r="AG1118" s="141">
        <f>F1118</f>
        <v>3978666.8567816829</v>
      </c>
      <c r="AH1118" s="141">
        <f>E1118</f>
        <v>2984000.142586262</v>
      </c>
      <c r="AI1118" s="141">
        <f>D1118</f>
        <v>1989333.4283908415</v>
      </c>
      <c r="AJ1118" s="141">
        <f>C1118</f>
        <v>994666.71419542073</v>
      </c>
      <c r="AK1118" s="141"/>
      <c r="AL1118" s="141"/>
      <c r="AM1118" s="141"/>
      <c r="AN1118" s="141"/>
      <c r="AO1118" s="141"/>
      <c r="AP1118" s="141"/>
      <c r="AQ1118" s="141"/>
      <c r="AR1118" s="141"/>
      <c r="AS1118" s="141"/>
      <c r="AT1118" s="141"/>
      <c r="AU1118" s="141"/>
      <c r="AV1118" s="141"/>
      <c r="AW1118" s="141"/>
      <c r="AX1118" s="141"/>
      <c r="AY1118" s="141"/>
      <c r="AZ1118" s="141"/>
      <c r="BA1118" s="141"/>
      <c r="BB1118" s="141"/>
      <c r="BC1118" s="141"/>
      <c r="BD1118" s="141"/>
      <c r="BE1118" s="141"/>
      <c r="BF1118" s="141"/>
      <c r="BG1118" s="141"/>
      <c r="BH1118" s="141"/>
      <c r="BI1118" s="141"/>
      <c r="BJ1118" s="142"/>
      <c r="BK1118" s="141"/>
      <c r="BL1118" s="141"/>
    </row>
    <row r="1119" spans="1:67" s="143" customFormat="1" ht="12.75">
      <c r="A1119" s="138" t="s">
        <v>129</v>
      </c>
      <c r="B1119" s="139">
        <f>SUM(C1119:BJ1119)</f>
        <v>7545026.7614997393</v>
      </c>
      <c r="C1119" s="227">
        <f>$C1114/$O1097</f>
        <v>83833.630683330412</v>
      </c>
      <c r="D1119" s="141">
        <f>$C1114/$O1097+$D1114/$O1097</f>
        <v>251500.89204999123</v>
      </c>
      <c r="E1119" s="141">
        <f>$C1114/$O1097+$D1114/$O1097+$E1114/$O1097</f>
        <v>251500.89204999123</v>
      </c>
      <c r="F1119" s="141">
        <f>$C1114/$O1097+$D1114/$O1097+$E1114/$O1097+$F1114/$O1097</f>
        <v>251500.89204999123</v>
      </c>
      <c r="G1119" s="141">
        <f>$C1114/$O1097+$D1114/$O1097+$E1114/$O1097+$F1114/$O1097+$G1114/$O1097</f>
        <v>251500.89204999123</v>
      </c>
      <c r="H1119" s="141">
        <f t="shared" si="703"/>
        <v>251500.89204999123</v>
      </c>
      <c r="I1119" s="141">
        <f t="shared" si="703"/>
        <v>251500.89204999123</v>
      </c>
      <c r="J1119" s="141">
        <f t="shared" si="703"/>
        <v>251500.89204999123</v>
      </c>
      <c r="K1119" s="141">
        <f t="shared" si="703"/>
        <v>251500.89204999123</v>
      </c>
      <c r="L1119" s="141">
        <f t="shared" si="703"/>
        <v>251500.89204999123</v>
      </c>
      <c r="M1119" s="141">
        <f t="shared" si="703"/>
        <v>251500.89204999123</v>
      </c>
      <c r="N1119" s="141">
        <f t="shared" si="703"/>
        <v>251500.89204999123</v>
      </c>
      <c r="O1119" s="141">
        <f t="shared" si="703"/>
        <v>251500.89204999123</v>
      </c>
      <c r="P1119" s="141">
        <f t="shared" si="703"/>
        <v>251500.89204999123</v>
      </c>
      <c r="Q1119" s="141">
        <f t="shared" si="703"/>
        <v>251500.89204999123</v>
      </c>
      <c r="R1119" s="141">
        <f t="shared" si="703"/>
        <v>251500.89204999123</v>
      </c>
      <c r="S1119" s="141">
        <f t="shared" si="703"/>
        <v>251500.89204999123</v>
      </c>
      <c r="T1119" s="141">
        <f t="shared" si="703"/>
        <v>251500.89204999123</v>
      </c>
      <c r="U1119" s="141">
        <f t="shared" si="703"/>
        <v>251500.89204999123</v>
      </c>
      <c r="V1119" s="141">
        <f t="shared" si="703"/>
        <v>251500.89204999123</v>
      </c>
      <c r="W1119" s="141">
        <f t="shared" si="703"/>
        <v>251500.89204999123</v>
      </c>
      <c r="X1119" s="141">
        <f t="shared" si="703"/>
        <v>251500.89204999123</v>
      </c>
      <c r="Y1119" s="141">
        <f t="shared" si="703"/>
        <v>251500.89204999123</v>
      </c>
      <c r="Z1119" s="141">
        <f t="shared" si="703"/>
        <v>251500.89204999123</v>
      </c>
      <c r="AA1119" s="141">
        <f t="shared" si="703"/>
        <v>251500.89204999123</v>
      </c>
      <c r="AB1119" s="141">
        <f t="shared" si="703"/>
        <v>251500.89204999123</v>
      </c>
      <c r="AC1119" s="141">
        <f t="shared" si="703"/>
        <v>251500.89204999123</v>
      </c>
      <c r="AD1119" s="141">
        <f t="shared" si="703"/>
        <v>251500.89204999123</v>
      </c>
      <c r="AE1119" s="141">
        <f t="shared" si="703"/>
        <v>251500.89204999123</v>
      </c>
      <c r="AF1119" s="141">
        <f t="shared" si="703"/>
        <v>251500.89204999123</v>
      </c>
      <c r="AG1119" s="141">
        <f>AF1119-C1119</f>
        <v>167667.26136666082</v>
      </c>
      <c r="AH1119" s="141"/>
      <c r="AI1119" s="141"/>
      <c r="AJ1119" s="141"/>
      <c r="AK1119" s="141"/>
      <c r="AL1119" s="141"/>
      <c r="AM1119" s="141"/>
      <c r="AN1119" s="141"/>
      <c r="AO1119" s="141"/>
      <c r="AP1119" s="141"/>
      <c r="AQ1119" s="141"/>
      <c r="AR1119" s="141"/>
      <c r="AS1119" s="141"/>
      <c r="AT1119" s="141"/>
      <c r="AU1119" s="141"/>
      <c r="AV1119" s="141"/>
      <c r="AW1119" s="141"/>
      <c r="AX1119" s="141"/>
      <c r="AY1119" s="141"/>
      <c r="AZ1119" s="141"/>
      <c r="BA1119" s="141"/>
      <c r="BB1119" s="141"/>
      <c r="BC1119" s="141"/>
      <c r="BD1119" s="141"/>
      <c r="BE1119" s="141"/>
      <c r="BF1119" s="141"/>
      <c r="BG1119" s="141"/>
      <c r="BH1119" s="141"/>
      <c r="BI1119" s="141"/>
      <c r="BJ1119" s="142"/>
      <c r="BK1119" s="141"/>
      <c r="BL1119" s="141"/>
    </row>
    <row r="1120" spans="1:67" s="148" customFormat="1">
      <c r="A1120" s="111" t="s">
        <v>131</v>
      </c>
      <c r="B1120" s="144"/>
      <c r="C1120" s="145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  <c r="AD1120" s="146"/>
      <c r="AE1120" s="146"/>
      <c r="AF1120" s="146"/>
      <c r="AG1120" s="146"/>
      <c r="AH1120" s="146"/>
      <c r="AI1120" s="146"/>
      <c r="AJ1120" s="146"/>
      <c r="AK1120" s="146"/>
      <c r="AL1120" s="146"/>
      <c r="AM1120" s="146"/>
      <c r="AN1120" s="146"/>
      <c r="AO1120" s="146"/>
      <c r="AP1120" s="146"/>
      <c r="AQ1120" s="146"/>
      <c r="AR1120" s="146"/>
      <c r="AS1120" s="146"/>
      <c r="AT1120" s="146"/>
      <c r="AU1120" s="146"/>
      <c r="AV1120" s="146"/>
      <c r="AW1120" s="146"/>
      <c r="AX1120" s="146"/>
      <c r="AY1120" s="146"/>
      <c r="AZ1120" s="146"/>
      <c r="BA1120" s="146"/>
      <c r="BB1120" s="146"/>
      <c r="BC1120" s="146"/>
      <c r="BD1120" s="146"/>
      <c r="BE1120" s="146"/>
      <c r="BF1120" s="146"/>
      <c r="BG1120" s="146"/>
      <c r="BH1120" s="146"/>
      <c r="BI1120" s="146"/>
      <c r="BJ1120" s="147"/>
      <c r="BK1120" s="146"/>
      <c r="BL1120" s="146"/>
    </row>
    <row r="1121" spans="1:64" s="153" customFormat="1" ht="12.75">
      <c r="A1121" s="138" t="s">
        <v>126</v>
      </c>
      <c r="B1121" s="144"/>
      <c r="C1121" s="149"/>
      <c r="D1121" s="150"/>
      <c r="E1121" s="151">
        <f>$B1111-E1116</f>
        <v>57913461.430156611</v>
      </c>
      <c r="F1121" s="151">
        <f t="shared" ref="F1121:AJ1124" si="704">E1121-F1116</f>
        <v>56612035.330602527</v>
      </c>
      <c r="G1121" s="151">
        <f t="shared" si="704"/>
        <v>54659896.181271404</v>
      </c>
      <c r="H1121" s="151">
        <f t="shared" si="704"/>
        <v>52707757.031940281</v>
      </c>
      <c r="I1121" s="151">
        <f t="shared" si="704"/>
        <v>50755617.882609159</v>
      </c>
      <c r="J1121" s="151">
        <f t="shared" si="704"/>
        <v>48803478.733278036</v>
      </c>
      <c r="K1121" s="151">
        <f t="shared" si="704"/>
        <v>46851339.583946913</v>
      </c>
      <c r="L1121" s="151">
        <f t="shared" si="704"/>
        <v>44899200.434615791</v>
      </c>
      <c r="M1121" s="151">
        <f t="shared" si="704"/>
        <v>42947061.285284668</v>
      </c>
      <c r="N1121" s="151">
        <f t="shared" si="704"/>
        <v>40994922.135953546</v>
      </c>
      <c r="O1121" s="151">
        <f t="shared" si="704"/>
        <v>39042782.986622423</v>
      </c>
      <c r="P1121" s="151">
        <f t="shared" si="704"/>
        <v>37090643.8372913</v>
      </c>
      <c r="Q1121" s="151">
        <f t="shared" si="704"/>
        <v>35138504.687960178</v>
      </c>
      <c r="R1121" s="151">
        <f t="shared" si="704"/>
        <v>33186365.538629055</v>
      </c>
      <c r="S1121" s="151">
        <f t="shared" si="704"/>
        <v>31234226.389297932</v>
      </c>
      <c r="T1121" s="151">
        <f t="shared" si="704"/>
        <v>29282087.23996681</v>
      </c>
      <c r="U1121" s="151">
        <f t="shared" si="704"/>
        <v>27329948.090635687</v>
      </c>
      <c r="V1121" s="151">
        <f t="shared" si="704"/>
        <v>25377808.941304564</v>
      </c>
      <c r="W1121" s="151">
        <f t="shared" si="704"/>
        <v>23425669.791973442</v>
      </c>
      <c r="X1121" s="151">
        <f t="shared" si="704"/>
        <v>21473530.642642319</v>
      </c>
      <c r="Y1121" s="151">
        <f t="shared" si="704"/>
        <v>19521391.493311197</v>
      </c>
      <c r="Z1121" s="151">
        <f t="shared" si="704"/>
        <v>17569252.343980074</v>
      </c>
      <c r="AA1121" s="151">
        <f t="shared" si="704"/>
        <v>15617113.194648953</v>
      </c>
      <c r="AB1121" s="151">
        <f t="shared" si="704"/>
        <v>13664974.045317832</v>
      </c>
      <c r="AC1121" s="151">
        <f t="shared" si="704"/>
        <v>11712834.895986712</v>
      </c>
      <c r="AD1121" s="151">
        <f t="shared" si="704"/>
        <v>9760695.7466555908</v>
      </c>
      <c r="AE1121" s="151">
        <f t="shared" si="704"/>
        <v>7808556.5973244691</v>
      </c>
      <c r="AF1121" s="151">
        <f t="shared" si="704"/>
        <v>5856417.4479933474</v>
      </c>
      <c r="AG1121" s="151">
        <f t="shared" si="704"/>
        <v>3904278.2986622257</v>
      </c>
      <c r="AH1121" s="151">
        <f t="shared" si="704"/>
        <v>1952139.1493311042</v>
      </c>
      <c r="AI1121" s="151">
        <f t="shared" si="704"/>
        <v>650713.04977702326</v>
      </c>
      <c r="AJ1121" s="151">
        <f t="shared" si="704"/>
        <v>-1.7229467630386353E-8</v>
      </c>
      <c r="AK1121" s="151"/>
      <c r="AL1121" s="151"/>
      <c r="AM1121" s="151"/>
      <c r="AN1121" s="151"/>
      <c r="AO1121" s="151"/>
      <c r="AP1121" s="151"/>
      <c r="AQ1121" s="151"/>
      <c r="AR1121" s="151"/>
      <c r="AS1121" s="151"/>
      <c r="AT1121" s="151"/>
      <c r="AU1121" s="151"/>
      <c r="AV1121" s="151"/>
      <c r="AW1121" s="151"/>
      <c r="AX1121" s="151"/>
      <c r="AY1121" s="151"/>
      <c r="AZ1121" s="151"/>
      <c r="BA1121" s="151"/>
      <c r="BB1121" s="151"/>
      <c r="BC1121" s="151"/>
      <c r="BD1121" s="151"/>
      <c r="BE1121" s="151"/>
      <c r="BF1121" s="151"/>
      <c r="BG1121" s="151"/>
      <c r="BH1121" s="151"/>
      <c r="BI1121" s="151"/>
      <c r="BJ1121" s="152"/>
      <c r="BK1121" s="151"/>
      <c r="BL1121" s="151"/>
    </row>
    <row r="1122" spans="1:64" s="153" customFormat="1" ht="12.75">
      <c r="A1122" s="138" t="s">
        <v>127</v>
      </c>
      <c r="B1122" s="144"/>
      <c r="C1122" s="149"/>
      <c r="D1122" s="150"/>
      <c r="E1122" s="151">
        <f>$B1112-E1117</f>
        <v>7911111.111111111</v>
      </c>
      <c r="F1122" s="151">
        <f t="shared" si="704"/>
        <v>7733333.333333333</v>
      </c>
      <c r="G1122" s="151">
        <f t="shared" si="704"/>
        <v>7466666.666666666</v>
      </c>
      <c r="H1122" s="151">
        <f t="shared" si="704"/>
        <v>7199999.9999999991</v>
      </c>
      <c r="I1122" s="151">
        <f t="shared" si="704"/>
        <v>6933333.3333333321</v>
      </c>
      <c r="J1122" s="151">
        <f t="shared" si="704"/>
        <v>6666666.6666666651</v>
      </c>
      <c r="K1122" s="151">
        <f t="shared" si="704"/>
        <v>6399999.9999999981</v>
      </c>
      <c r="L1122" s="151">
        <f t="shared" si="704"/>
        <v>6133333.3333333312</v>
      </c>
      <c r="M1122" s="151">
        <f t="shared" si="704"/>
        <v>5866666.6666666642</v>
      </c>
      <c r="N1122" s="151">
        <f t="shared" si="704"/>
        <v>5599999.9999999972</v>
      </c>
      <c r="O1122" s="151">
        <f t="shared" si="704"/>
        <v>5333333.3333333302</v>
      </c>
      <c r="P1122" s="151">
        <f t="shared" si="704"/>
        <v>5066666.6666666633</v>
      </c>
      <c r="Q1122" s="151">
        <f t="shared" si="704"/>
        <v>4799999.9999999963</v>
      </c>
      <c r="R1122" s="151">
        <f t="shared" si="704"/>
        <v>4533333.3333333293</v>
      </c>
      <c r="S1122" s="151">
        <f t="shared" si="704"/>
        <v>4266666.6666666623</v>
      </c>
      <c r="T1122" s="151">
        <f t="shared" si="704"/>
        <v>3999999.9999999958</v>
      </c>
      <c r="U1122" s="151">
        <f t="shared" si="704"/>
        <v>3733333.3333333293</v>
      </c>
      <c r="V1122" s="151">
        <f t="shared" si="704"/>
        <v>3466666.6666666628</v>
      </c>
      <c r="W1122" s="151">
        <f t="shared" si="704"/>
        <v>3199999.9999999963</v>
      </c>
      <c r="X1122" s="151">
        <f t="shared" si="704"/>
        <v>2933333.3333333298</v>
      </c>
      <c r="Y1122" s="151">
        <f t="shared" si="704"/>
        <v>2666666.6666666633</v>
      </c>
      <c r="Z1122" s="151">
        <f t="shared" si="704"/>
        <v>2399999.9999999967</v>
      </c>
      <c r="AA1122" s="151">
        <f t="shared" si="704"/>
        <v>2133333.3333333302</v>
      </c>
      <c r="AB1122" s="151">
        <f t="shared" si="704"/>
        <v>1866666.6666666635</v>
      </c>
      <c r="AC1122" s="151">
        <f t="shared" si="704"/>
        <v>1599999.9999999967</v>
      </c>
      <c r="AD1122" s="151">
        <f t="shared" si="704"/>
        <v>1333333.33333333</v>
      </c>
      <c r="AE1122" s="151">
        <f t="shared" si="704"/>
        <v>1066666.6666666633</v>
      </c>
      <c r="AF1122" s="151">
        <f t="shared" si="704"/>
        <v>799999.99999999651</v>
      </c>
      <c r="AG1122" s="151">
        <f t="shared" si="704"/>
        <v>533333.33333332976</v>
      </c>
      <c r="AH1122" s="151">
        <f t="shared" si="704"/>
        <v>266666.66666666308</v>
      </c>
      <c r="AI1122" s="151">
        <f t="shared" si="704"/>
        <v>88888.888888885296</v>
      </c>
      <c r="AJ1122" s="151">
        <f t="shared" si="704"/>
        <v>-3.5943230614066124E-9</v>
      </c>
      <c r="AK1122" s="151"/>
      <c r="AL1122" s="151"/>
      <c r="AM1122" s="151"/>
      <c r="AN1122" s="151"/>
      <c r="AO1122" s="151"/>
      <c r="AP1122" s="151"/>
      <c r="AQ1122" s="151"/>
      <c r="AR1122" s="151"/>
      <c r="AS1122" s="151"/>
      <c r="AT1122" s="151"/>
      <c r="AU1122" s="151"/>
      <c r="AV1122" s="151"/>
      <c r="AW1122" s="151"/>
      <c r="AX1122" s="151"/>
      <c r="AY1122" s="151"/>
      <c r="AZ1122" s="151"/>
      <c r="BA1122" s="151"/>
      <c r="BB1122" s="151"/>
      <c r="BC1122" s="151"/>
      <c r="BD1122" s="151"/>
      <c r="BE1122" s="151"/>
      <c r="BF1122" s="151"/>
      <c r="BG1122" s="151"/>
      <c r="BH1122" s="151"/>
      <c r="BI1122" s="151"/>
      <c r="BJ1122" s="152"/>
      <c r="BK1122" s="151"/>
      <c r="BL1122" s="151"/>
    </row>
    <row r="1123" spans="1:64" s="153" customFormat="1" ht="12.75">
      <c r="A1123" s="138" t="s">
        <v>128</v>
      </c>
      <c r="B1123" s="144"/>
      <c r="C1123" s="154">
        <f>$B1113-C1118</f>
        <v>148205340.41511768</v>
      </c>
      <c r="D1123" s="151">
        <f>C1123-D1118</f>
        <v>146216006.98672685</v>
      </c>
      <c r="E1123" s="151">
        <f>D1123-E1118</f>
        <v>143232006.84414059</v>
      </c>
      <c r="F1123" s="151">
        <f t="shared" si="704"/>
        <v>139253339.9873589</v>
      </c>
      <c r="G1123" s="151">
        <f t="shared" si="704"/>
        <v>134280006.41638181</v>
      </c>
      <c r="H1123" s="151">
        <f t="shared" si="704"/>
        <v>129306672.8454047</v>
      </c>
      <c r="I1123" s="151">
        <f t="shared" si="704"/>
        <v>124333339.27442759</v>
      </c>
      <c r="J1123" s="151">
        <f t="shared" si="704"/>
        <v>119360005.70345049</v>
      </c>
      <c r="K1123" s="151">
        <f t="shared" si="704"/>
        <v>114386672.13247338</v>
      </c>
      <c r="L1123" s="151">
        <f t="shared" si="704"/>
        <v>109413338.56149627</v>
      </c>
      <c r="M1123" s="151">
        <f t="shared" si="704"/>
        <v>104440004.99051917</v>
      </c>
      <c r="N1123" s="151">
        <f t="shared" si="704"/>
        <v>99466671.419542059</v>
      </c>
      <c r="O1123" s="151">
        <f t="shared" si="704"/>
        <v>94493337.848564953</v>
      </c>
      <c r="P1123" s="151">
        <f t="shared" si="704"/>
        <v>89520004.277587846</v>
      </c>
      <c r="Q1123" s="151">
        <f t="shared" si="704"/>
        <v>84546670.706610739</v>
      </c>
      <c r="R1123" s="151">
        <f t="shared" si="704"/>
        <v>79573337.135633633</v>
      </c>
      <c r="S1123" s="151">
        <f t="shared" si="704"/>
        <v>74600003.564656526</v>
      </c>
      <c r="T1123" s="151">
        <f t="shared" si="704"/>
        <v>69626669.993679419</v>
      </c>
      <c r="U1123" s="151">
        <f t="shared" si="704"/>
        <v>64653336.422702312</v>
      </c>
      <c r="V1123" s="151">
        <f t="shared" si="704"/>
        <v>59680002.851725206</v>
      </c>
      <c r="W1123" s="151">
        <f t="shared" si="704"/>
        <v>54706669.280748099</v>
      </c>
      <c r="X1123" s="151">
        <f t="shared" si="704"/>
        <v>49733335.709770992</v>
      </c>
      <c r="Y1123" s="151">
        <f t="shared" si="704"/>
        <v>44760002.138793886</v>
      </c>
      <c r="Z1123" s="151">
        <f t="shared" si="704"/>
        <v>39786668.567816779</v>
      </c>
      <c r="AA1123" s="151">
        <f t="shared" si="704"/>
        <v>34813334.996839672</v>
      </c>
      <c r="AB1123" s="151">
        <f t="shared" si="704"/>
        <v>29840001.425862569</v>
      </c>
      <c r="AC1123" s="151">
        <f t="shared" si="704"/>
        <v>24866667.854885466</v>
      </c>
      <c r="AD1123" s="151">
        <f t="shared" si="704"/>
        <v>19893334.283908363</v>
      </c>
      <c r="AE1123" s="151">
        <f t="shared" si="704"/>
        <v>14920000.71293126</v>
      </c>
      <c r="AF1123" s="151">
        <f t="shared" si="704"/>
        <v>9946667.1419541575</v>
      </c>
      <c r="AG1123" s="151">
        <f t="shared" si="704"/>
        <v>5968000.2851724746</v>
      </c>
      <c r="AH1123" s="151">
        <f t="shared" si="704"/>
        <v>2984000.1425862126</v>
      </c>
      <c r="AI1123" s="151">
        <f t="shared" si="704"/>
        <v>994666.71419537114</v>
      </c>
      <c r="AJ1123" s="151">
        <f t="shared" si="704"/>
        <v>-4.9592927098274231E-8</v>
      </c>
      <c r="AK1123" s="151"/>
      <c r="AL1123" s="151"/>
      <c r="AM1123" s="151"/>
      <c r="AN1123" s="151"/>
      <c r="AO1123" s="151"/>
      <c r="AP1123" s="151"/>
      <c r="AQ1123" s="151"/>
      <c r="AR1123" s="151"/>
      <c r="AS1123" s="151"/>
      <c r="AT1123" s="151"/>
      <c r="AU1123" s="151"/>
      <c r="AV1123" s="151"/>
      <c r="AW1123" s="151"/>
      <c r="AX1123" s="151"/>
      <c r="AY1123" s="151"/>
      <c r="AZ1123" s="151"/>
      <c r="BA1123" s="151"/>
      <c r="BB1123" s="151"/>
      <c r="BC1123" s="151"/>
      <c r="BD1123" s="151"/>
      <c r="BE1123" s="151"/>
      <c r="BF1123" s="151"/>
      <c r="BG1123" s="151"/>
      <c r="BH1123" s="151"/>
      <c r="BI1123" s="151"/>
      <c r="BJ1123" s="152"/>
      <c r="BK1123" s="151"/>
      <c r="BL1123" s="151"/>
    </row>
    <row r="1124" spans="1:64" s="153" customFormat="1" ht="12.75">
      <c r="A1124" s="138" t="s">
        <v>129</v>
      </c>
      <c r="B1124" s="144"/>
      <c r="C1124" s="154">
        <f>$B1114-C1119</f>
        <v>7461193.1308164066</v>
      </c>
      <c r="D1124" s="151">
        <f>C1124-D1119</f>
        <v>7209692.238766415</v>
      </c>
      <c r="E1124" s="151">
        <f>D1124-E1119</f>
        <v>6958191.3467164235</v>
      </c>
      <c r="F1124" s="151">
        <f t="shared" si="704"/>
        <v>6706690.454666432</v>
      </c>
      <c r="G1124" s="151">
        <f t="shared" si="704"/>
        <v>6455189.5626164405</v>
      </c>
      <c r="H1124" s="151">
        <f t="shared" si="704"/>
        <v>6203688.6705664489</v>
      </c>
      <c r="I1124" s="151">
        <f t="shared" si="704"/>
        <v>5952187.7785164574</v>
      </c>
      <c r="J1124" s="151">
        <f t="shared" si="704"/>
        <v>5700686.8864664659</v>
      </c>
      <c r="K1124" s="151">
        <f t="shared" si="704"/>
        <v>5449185.9944164744</v>
      </c>
      <c r="L1124" s="151">
        <f t="shared" si="704"/>
        <v>5197685.1023664828</v>
      </c>
      <c r="M1124" s="151">
        <f t="shared" si="704"/>
        <v>4946184.2103164913</v>
      </c>
      <c r="N1124" s="151">
        <f t="shared" si="704"/>
        <v>4694683.3182664998</v>
      </c>
      <c r="O1124" s="151">
        <f t="shared" si="704"/>
        <v>4443182.4262165083</v>
      </c>
      <c r="P1124" s="151">
        <f t="shared" si="704"/>
        <v>4191681.5341665172</v>
      </c>
      <c r="Q1124" s="151">
        <f t="shared" si="704"/>
        <v>3940180.6421165261</v>
      </c>
      <c r="R1124" s="151">
        <f t="shared" si="704"/>
        <v>3688679.7500665351</v>
      </c>
      <c r="S1124" s="151">
        <f t="shared" si="704"/>
        <v>3437178.858016544</v>
      </c>
      <c r="T1124" s="151">
        <f t="shared" si="704"/>
        <v>3185677.965966553</v>
      </c>
      <c r="U1124" s="151">
        <f t="shared" si="704"/>
        <v>2934177.0739165619</v>
      </c>
      <c r="V1124" s="151">
        <f t="shared" si="704"/>
        <v>2682676.1818665708</v>
      </c>
      <c r="W1124" s="151">
        <f t="shared" si="704"/>
        <v>2431175.2898165798</v>
      </c>
      <c r="X1124" s="151">
        <f t="shared" si="704"/>
        <v>2179674.3977665887</v>
      </c>
      <c r="Y1124" s="151">
        <f t="shared" si="704"/>
        <v>1928173.5057165974</v>
      </c>
      <c r="Z1124" s="151">
        <f t="shared" si="704"/>
        <v>1676672.6136666061</v>
      </c>
      <c r="AA1124" s="151">
        <f t="shared" si="704"/>
        <v>1425171.7216166148</v>
      </c>
      <c r="AB1124" s="151">
        <f t="shared" si="704"/>
        <v>1173670.8295666235</v>
      </c>
      <c r="AC1124" s="151">
        <f t="shared" si="704"/>
        <v>922169.93751663226</v>
      </c>
      <c r="AD1124" s="151">
        <f t="shared" si="704"/>
        <v>670669.04546664096</v>
      </c>
      <c r="AE1124" s="151">
        <f t="shared" si="704"/>
        <v>419168.15341664973</v>
      </c>
      <c r="AF1124" s="151">
        <f t="shared" si="704"/>
        <v>167667.26136665849</v>
      </c>
      <c r="AG1124" s="151">
        <f t="shared" si="704"/>
        <v>-2.3283064365386963E-9</v>
      </c>
      <c r="AH1124" s="151">
        <f t="shared" si="704"/>
        <v>-2.3283064365386963E-9</v>
      </c>
      <c r="AI1124" s="151">
        <f t="shared" si="704"/>
        <v>-2.3283064365386963E-9</v>
      </c>
      <c r="AJ1124" s="151">
        <f t="shared" si="704"/>
        <v>-2.3283064365386963E-9</v>
      </c>
      <c r="AK1124" s="151"/>
      <c r="AL1124" s="151"/>
      <c r="AM1124" s="151"/>
      <c r="AN1124" s="151"/>
      <c r="AO1124" s="151"/>
      <c r="AP1124" s="151"/>
      <c r="AQ1124" s="151"/>
      <c r="AR1124" s="151"/>
      <c r="AS1124" s="151"/>
      <c r="AT1124" s="151"/>
      <c r="AU1124" s="151"/>
      <c r="AV1124" s="151"/>
      <c r="AW1124" s="151"/>
      <c r="AX1124" s="151"/>
      <c r="AY1124" s="151"/>
      <c r="AZ1124" s="151"/>
      <c r="BA1124" s="151"/>
      <c r="BB1124" s="151"/>
      <c r="BC1124" s="151"/>
      <c r="BD1124" s="151"/>
      <c r="BE1124" s="151"/>
      <c r="BF1124" s="151"/>
      <c r="BG1124" s="151"/>
      <c r="BH1124" s="151"/>
      <c r="BI1124" s="151"/>
      <c r="BJ1124" s="152"/>
      <c r="BK1124" s="151"/>
      <c r="BL1124" s="151"/>
    </row>
    <row r="1125" spans="1:64" s="116" customFormat="1">
      <c r="A1125" s="111" t="s">
        <v>132</v>
      </c>
      <c r="B1125" s="155">
        <f>SUM(B1126:B1129)</f>
        <v>331127291.8728255</v>
      </c>
      <c r="C1125" s="117">
        <f>SUM(C1126:C1129)</f>
        <v>15674503.389081286</v>
      </c>
      <c r="D1125" s="118">
        <f t="shared" ref="D1125:AJ1125" si="705">SUM(D1126:D1129)</f>
        <v>15566653.354593409</v>
      </c>
      <c r="E1125" s="118">
        <f t="shared" si="705"/>
        <v>21998987.37054269</v>
      </c>
      <c r="F1125" s="118">
        <f t="shared" si="705"/>
        <v>21601477.073212475</v>
      </c>
      <c r="G1125" s="118">
        <f t="shared" si="705"/>
        <v>21030539.910596117</v>
      </c>
      <c r="H1125" s="118">
        <f t="shared" si="705"/>
        <v>20286175.882693633</v>
      </c>
      <c r="I1125" s="118">
        <f t="shared" si="705"/>
        <v>19541811.854791146</v>
      </c>
      <c r="J1125" s="118">
        <f t="shared" si="705"/>
        <v>18797447.826888654</v>
      </c>
      <c r="K1125" s="118">
        <f t="shared" si="705"/>
        <v>18053083.79898617</v>
      </c>
      <c r="L1125" s="118">
        <f t="shared" si="705"/>
        <v>17308719.771083675</v>
      </c>
      <c r="M1125" s="118">
        <f t="shared" si="705"/>
        <v>16564355.74318119</v>
      </c>
      <c r="N1125" s="118">
        <f t="shared" si="705"/>
        <v>15819991.715278698</v>
      </c>
      <c r="O1125" s="118">
        <f t="shared" si="705"/>
        <v>15075627.68737621</v>
      </c>
      <c r="P1125" s="118">
        <f t="shared" si="705"/>
        <v>14331263.659473723</v>
      </c>
      <c r="Q1125" s="118">
        <f t="shared" si="705"/>
        <v>13586899.631571233</v>
      </c>
      <c r="R1125" s="118">
        <f t="shared" si="705"/>
        <v>12842535.603668742</v>
      </c>
      <c r="S1125" s="118">
        <f t="shared" si="705"/>
        <v>12098171.575766256</v>
      </c>
      <c r="T1125" s="118">
        <f t="shared" si="705"/>
        <v>11353807.547863767</v>
      </c>
      <c r="U1125" s="118">
        <f t="shared" si="705"/>
        <v>10609443.519961279</v>
      </c>
      <c r="V1125" s="118">
        <f t="shared" si="705"/>
        <v>9865079.4920587912</v>
      </c>
      <c r="W1125" s="118">
        <f t="shared" si="705"/>
        <v>9120715.4641562998</v>
      </c>
      <c r="X1125" s="118">
        <f t="shared" si="705"/>
        <v>0</v>
      </c>
      <c r="Y1125" s="118">
        <f t="shared" si="705"/>
        <v>0</v>
      </c>
      <c r="Z1125" s="118">
        <f t="shared" si="705"/>
        <v>0</v>
      </c>
      <c r="AA1125" s="118">
        <f t="shared" si="705"/>
        <v>0</v>
      </c>
      <c r="AB1125" s="118">
        <f t="shared" si="705"/>
        <v>0</v>
      </c>
      <c r="AC1125" s="118">
        <f t="shared" si="705"/>
        <v>0</v>
      </c>
      <c r="AD1125" s="118">
        <f t="shared" si="705"/>
        <v>0</v>
      </c>
      <c r="AE1125" s="118">
        <f t="shared" si="705"/>
        <v>0</v>
      </c>
      <c r="AF1125" s="118">
        <f t="shared" si="705"/>
        <v>0</v>
      </c>
      <c r="AG1125" s="118">
        <f t="shared" si="705"/>
        <v>0</v>
      </c>
      <c r="AH1125" s="118">
        <f t="shared" si="705"/>
        <v>0</v>
      </c>
      <c r="AI1125" s="118">
        <f t="shared" si="705"/>
        <v>0</v>
      </c>
      <c r="AJ1125" s="118">
        <f t="shared" si="705"/>
        <v>0</v>
      </c>
      <c r="AK1125" s="118"/>
      <c r="AL1125" s="118"/>
      <c r="AM1125" s="118"/>
      <c r="AN1125" s="118"/>
      <c r="AO1125" s="118"/>
      <c r="AP1125" s="118"/>
      <c r="AQ1125" s="118"/>
      <c r="AR1125" s="118"/>
      <c r="AS1125" s="118"/>
      <c r="AT1125" s="118"/>
      <c r="AU1125" s="118"/>
      <c r="AV1125" s="118"/>
      <c r="AW1125" s="118"/>
      <c r="AX1125" s="118"/>
      <c r="AY1125" s="118"/>
      <c r="AZ1125" s="118"/>
      <c r="BA1125" s="118"/>
      <c r="BB1125" s="118"/>
      <c r="BC1125" s="118"/>
      <c r="BD1125" s="118"/>
      <c r="BE1125" s="118"/>
      <c r="BF1125" s="118"/>
      <c r="BG1125" s="118"/>
      <c r="BH1125" s="118"/>
      <c r="BI1125" s="118"/>
      <c r="BJ1125" s="119"/>
      <c r="BK1125" s="118"/>
      <c r="BL1125" s="118"/>
    </row>
    <row r="1126" spans="1:64" s="143" customFormat="1" ht="12.75">
      <c r="A1126" s="138" t="s">
        <v>126</v>
      </c>
      <c r="B1126" s="139">
        <f>SUM(C1126:BJ1126)</f>
        <v>81339131.22213006</v>
      </c>
      <c r="C1126" s="140"/>
      <c r="D1126" s="141"/>
      <c r="E1126" s="226">
        <f>IF(AND(E1098&gt;5,E1099=0),0,(E1121+E1116)*$I1097)</f>
        <v>5856417.4479933651</v>
      </c>
      <c r="F1126" s="141">
        <f>IF(AND(F1098&gt;5,F1099=0),0,(F1121+F1116)*$I1097)</f>
        <v>5791346.1430156613</v>
      </c>
      <c r="G1126" s="141">
        <f t="shared" ref="G1126:BJ1126" si="706">IF(AND(G1098&gt;5,G1099=0),0,(G1121+G1116)*$I1097)</f>
        <v>5661203.5330602527</v>
      </c>
      <c r="H1126" s="141">
        <f t="shared" si="706"/>
        <v>5465989.6181271411</v>
      </c>
      <c r="I1126" s="141">
        <f t="shared" si="706"/>
        <v>5270775.7031940287</v>
      </c>
      <c r="J1126" s="141">
        <f t="shared" si="706"/>
        <v>5075561.7882609162</v>
      </c>
      <c r="K1126" s="141">
        <f t="shared" si="706"/>
        <v>4880347.8733278038</v>
      </c>
      <c r="L1126" s="141">
        <f t="shared" si="706"/>
        <v>4685133.9583946913</v>
      </c>
      <c r="M1126" s="141">
        <f t="shared" si="706"/>
        <v>4489920.0434615789</v>
      </c>
      <c r="N1126" s="141">
        <f t="shared" si="706"/>
        <v>4294706.1285284674</v>
      </c>
      <c r="O1126" s="141">
        <f t="shared" si="706"/>
        <v>4099492.2135953549</v>
      </c>
      <c r="P1126" s="141">
        <f t="shared" si="706"/>
        <v>3904278.2986622425</v>
      </c>
      <c r="Q1126" s="141">
        <f t="shared" si="706"/>
        <v>3709064.38372913</v>
      </c>
      <c r="R1126" s="141">
        <f t="shared" si="706"/>
        <v>3513850.468796018</v>
      </c>
      <c r="S1126" s="141">
        <f t="shared" si="706"/>
        <v>3318636.5538629056</v>
      </c>
      <c r="T1126" s="141">
        <f t="shared" si="706"/>
        <v>3123422.6389297936</v>
      </c>
      <c r="U1126" s="141">
        <f t="shared" si="706"/>
        <v>2928208.7239966812</v>
      </c>
      <c r="V1126" s="141">
        <f t="shared" si="706"/>
        <v>2732994.8090635687</v>
      </c>
      <c r="W1126" s="141">
        <f t="shared" si="706"/>
        <v>2537780.8941304567</v>
      </c>
      <c r="X1126" s="141">
        <f t="shared" si="706"/>
        <v>0</v>
      </c>
      <c r="Y1126" s="141">
        <f t="shared" si="706"/>
        <v>0</v>
      </c>
      <c r="Z1126" s="141">
        <f t="shared" si="706"/>
        <v>0</v>
      </c>
      <c r="AA1126" s="141">
        <f t="shared" si="706"/>
        <v>0</v>
      </c>
      <c r="AB1126" s="141">
        <f t="shared" si="706"/>
        <v>0</v>
      </c>
      <c r="AC1126" s="141">
        <f t="shared" si="706"/>
        <v>0</v>
      </c>
      <c r="AD1126" s="141">
        <f t="shared" si="706"/>
        <v>0</v>
      </c>
      <c r="AE1126" s="141">
        <f t="shared" si="706"/>
        <v>0</v>
      </c>
      <c r="AF1126" s="141">
        <f t="shared" si="706"/>
        <v>0</v>
      </c>
      <c r="AG1126" s="141">
        <f t="shared" si="706"/>
        <v>0</v>
      </c>
      <c r="AH1126" s="141">
        <f t="shared" si="706"/>
        <v>0</v>
      </c>
      <c r="AI1126" s="141">
        <f t="shared" si="706"/>
        <v>0</v>
      </c>
      <c r="AJ1126" s="141">
        <f t="shared" si="706"/>
        <v>0</v>
      </c>
      <c r="AK1126" s="141">
        <f t="shared" si="706"/>
        <v>0</v>
      </c>
      <c r="AL1126" s="141">
        <f t="shared" si="706"/>
        <v>0</v>
      </c>
      <c r="AM1126" s="141">
        <f t="shared" si="706"/>
        <v>0</v>
      </c>
      <c r="AN1126" s="141">
        <f t="shared" si="706"/>
        <v>0</v>
      </c>
      <c r="AO1126" s="141">
        <f t="shared" si="706"/>
        <v>0</v>
      </c>
      <c r="AP1126" s="141">
        <f t="shared" si="706"/>
        <v>0</v>
      </c>
      <c r="AQ1126" s="141">
        <f t="shared" si="706"/>
        <v>0</v>
      </c>
      <c r="AR1126" s="141">
        <f t="shared" si="706"/>
        <v>0</v>
      </c>
      <c r="AS1126" s="141">
        <f t="shared" si="706"/>
        <v>0</v>
      </c>
      <c r="AT1126" s="141">
        <f t="shared" si="706"/>
        <v>0</v>
      </c>
      <c r="AU1126" s="141">
        <f t="shared" si="706"/>
        <v>0</v>
      </c>
      <c r="AV1126" s="141">
        <f t="shared" si="706"/>
        <v>0</v>
      </c>
      <c r="AW1126" s="141">
        <f t="shared" si="706"/>
        <v>0</v>
      </c>
      <c r="AX1126" s="141">
        <f t="shared" si="706"/>
        <v>0</v>
      </c>
      <c r="AY1126" s="141">
        <f t="shared" si="706"/>
        <v>0</v>
      </c>
      <c r="AZ1126" s="141">
        <f t="shared" si="706"/>
        <v>0</v>
      </c>
      <c r="BA1126" s="141">
        <f t="shared" si="706"/>
        <v>0</v>
      </c>
      <c r="BB1126" s="141">
        <f t="shared" si="706"/>
        <v>0</v>
      </c>
      <c r="BC1126" s="141">
        <f t="shared" si="706"/>
        <v>0</v>
      </c>
      <c r="BD1126" s="141">
        <f t="shared" si="706"/>
        <v>0</v>
      </c>
      <c r="BE1126" s="141">
        <f t="shared" si="706"/>
        <v>0</v>
      </c>
      <c r="BF1126" s="141">
        <f t="shared" si="706"/>
        <v>0</v>
      </c>
      <c r="BG1126" s="141">
        <f t="shared" si="706"/>
        <v>0</v>
      </c>
      <c r="BH1126" s="141">
        <f t="shared" si="706"/>
        <v>0</v>
      </c>
      <c r="BI1126" s="141">
        <f t="shared" si="706"/>
        <v>0</v>
      </c>
      <c r="BJ1126" s="142">
        <f t="shared" si="706"/>
        <v>0</v>
      </c>
      <c r="BK1126" s="141"/>
      <c r="BL1126" s="141"/>
    </row>
    <row r="1127" spans="1:64" s="143" customFormat="1" ht="12.75">
      <c r="A1127" s="138" t="s">
        <v>127</v>
      </c>
      <c r="B1127" s="139">
        <f>SUM(C1127:BJ1127)</f>
        <v>11111111.111111104</v>
      </c>
      <c r="C1127" s="140"/>
      <c r="D1127" s="141"/>
      <c r="E1127" s="226">
        <f>IF(AND(E1098&gt;5,E1099=0),0,(E1122+E1117)*$I1097)</f>
        <v>800000</v>
      </c>
      <c r="F1127" s="141">
        <f t="shared" ref="F1127:BJ1127" si="707">IF(AND(F1098&gt;5,F1099=0),0,(F1122+F1117)*$I1097)</f>
        <v>791111.11111111112</v>
      </c>
      <c r="G1127" s="141">
        <f t="shared" si="707"/>
        <v>773333.33333333337</v>
      </c>
      <c r="H1127" s="141">
        <f t="shared" si="707"/>
        <v>746666.66666666663</v>
      </c>
      <c r="I1127" s="141">
        <f t="shared" si="707"/>
        <v>720000</v>
      </c>
      <c r="J1127" s="141">
        <f t="shared" si="707"/>
        <v>693333.33333333326</v>
      </c>
      <c r="K1127" s="141">
        <f t="shared" si="707"/>
        <v>666666.66666666651</v>
      </c>
      <c r="L1127" s="141">
        <f t="shared" si="707"/>
        <v>639999.99999999988</v>
      </c>
      <c r="M1127" s="141">
        <f t="shared" si="707"/>
        <v>613333.33333333314</v>
      </c>
      <c r="N1127" s="141">
        <f t="shared" si="707"/>
        <v>586666.6666666664</v>
      </c>
      <c r="O1127" s="141">
        <f t="shared" si="707"/>
        <v>559999.99999999977</v>
      </c>
      <c r="P1127" s="141">
        <f t="shared" si="707"/>
        <v>533333.33333333302</v>
      </c>
      <c r="Q1127" s="141">
        <f t="shared" si="707"/>
        <v>506666.66666666634</v>
      </c>
      <c r="R1127" s="141">
        <f t="shared" si="707"/>
        <v>479999.99999999965</v>
      </c>
      <c r="S1127" s="141">
        <f t="shared" si="707"/>
        <v>453333.33333333296</v>
      </c>
      <c r="T1127" s="141">
        <f t="shared" si="707"/>
        <v>426666.66666666628</v>
      </c>
      <c r="U1127" s="141">
        <f t="shared" si="707"/>
        <v>399999.99999999959</v>
      </c>
      <c r="V1127" s="141">
        <f t="shared" si="707"/>
        <v>373333.33333333296</v>
      </c>
      <c r="W1127" s="141">
        <f t="shared" si="707"/>
        <v>346666.66666666628</v>
      </c>
      <c r="X1127" s="141">
        <f t="shared" si="707"/>
        <v>0</v>
      </c>
      <c r="Y1127" s="141">
        <f t="shared" si="707"/>
        <v>0</v>
      </c>
      <c r="Z1127" s="141">
        <f t="shared" si="707"/>
        <v>0</v>
      </c>
      <c r="AA1127" s="141">
        <f t="shared" si="707"/>
        <v>0</v>
      </c>
      <c r="AB1127" s="141">
        <f t="shared" si="707"/>
        <v>0</v>
      </c>
      <c r="AC1127" s="141">
        <f t="shared" si="707"/>
        <v>0</v>
      </c>
      <c r="AD1127" s="141">
        <f t="shared" si="707"/>
        <v>0</v>
      </c>
      <c r="AE1127" s="141">
        <f t="shared" si="707"/>
        <v>0</v>
      </c>
      <c r="AF1127" s="141">
        <f t="shared" si="707"/>
        <v>0</v>
      </c>
      <c r="AG1127" s="141">
        <f t="shared" si="707"/>
        <v>0</v>
      </c>
      <c r="AH1127" s="141">
        <f t="shared" si="707"/>
        <v>0</v>
      </c>
      <c r="AI1127" s="141">
        <f t="shared" si="707"/>
        <v>0</v>
      </c>
      <c r="AJ1127" s="141">
        <f t="shared" si="707"/>
        <v>0</v>
      </c>
      <c r="AK1127" s="141">
        <f t="shared" si="707"/>
        <v>0</v>
      </c>
      <c r="AL1127" s="141">
        <f t="shared" si="707"/>
        <v>0</v>
      </c>
      <c r="AM1127" s="141">
        <f t="shared" si="707"/>
        <v>0</v>
      </c>
      <c r="AN1127" s="141">
        <f t="shared" si="707"/>
        <v>0</v>
      </c>
      <c r="AO1127" s="141">
        <f t="shared" si="707"/>
        <v>0</v>
      </c>
      <c r="AP1127" s="141">
        <f t="shared" si="707"/>
        <v>0</v>
      </c>
      <c r="AQ1127" s="141">
        <f t="shared" si="707"/>
        <v>0</v>
      </c>
      <c r="AR1127" s="141">
        <f t="shared" si="707"/>
        <v>0</v>
      </c>
      <c r="AS1127" s="141">
        <f t="shared" si="707"/>
        <v>0</v>
      </c>
      <c r="AT1127" s="141">
        <f t="shared" si="707"/>
        <v>0</v>
      </c>
      <c r="AU1127" s="141">
        <f t="shared" si="707"/>
        <v>0</v>
      </c>
      <c r="AV1127" s="141">
        <f t="shared" si="707"/>
        <v>0</v>
      </c>
      <c r="AW1127" s="141">
        <f t="shared" si="707"/>
        <v>0</v>
      </c>
      <c r="AX1127" s="141">
        <f t="shared" si="707"/>
        <v>0</v>
      </c>
      <c r="AY1127" s="141">
        <f t="shared" si="707"/>
        <v>0</v>
      </c>
      <c r="AZ1127" s="141">
        <f t="shared" si="707"/>
        <v>0</v>
      </c>
      <c r="BA1127" s="141">
        <f t="shared" si="707"/>
        <v>0</v>
      </c>
      <c r="BB1127" s="141">
        <f t="shared" si="707"/>
        <v>0</v>
      </c>
      <c r="BC1127" s="141">
        <f t="shared" si="707"/>
        <v>0</v>
      </c>
      <c r="BD1127" s="141">
        <f t="shared" si="707"/>
        <v>0</v>
      </c>
      <c r="BE1127" s="141">
        <f t="shared" si="707"/>
        <v>0</v>
      </c>
      <c r="BF1127" s="141">
        <f t="shared" si="707"/>
        <v>0</v>
      </c>
      <c r="BG1127" s="141">
        <f t="shared" si="707"/>
        <v>0</v>
      </c>
      <c r="BH1127" s="141">
        <f t="shared" si="707"/>
        <v>0</v>
      </c>
      <c r="BI1127" s="141">
        <f t="shared" si="707"/>
        <v>0</v>
      </c>
      <c r="BJ1127" s="142">
        <f t="shared" si="707"/>
        <v>0</v>
      </c>
      <c r="BK1127" s="141"/>
      <c r="BL1127" s="141"/>
    </row>
    <row r="1128" spans="1:64" s="143" customFormat="1" ht="12.75">
      <c r="A1128" s="138" t="s">
        <v>128</v>
      </c>
      <c r="B1128" s="139">
        <f>SUM(C1128:BJ1128)</f>
        <v>227778677.55075136</v>
      </c>
      <c r="C1128" s="227">
        <f>IF(AND(C1098&gt;5,C1099=0),0,(C1123+C1118)*$I1097)</f>
        <v>14920000.712931313</v>
      </c>
      <c r="D1128" s="141">
        <f>IF(AND(D1098&gt;5,D1099=0),0,(D1123+D1118)*$I1097)</f>
        <v>14820534.041511768</v>
      </c>
      <c r="E1128" s="141">
        <f t="shared" ref="E1128:BJ1128" si="708">IF(AND(E1098&gt;5,E1099=0),0,(E1123+E1118)*$I1097)</f>
        <v>14621600.698672686</v>
      </c>
      <c r="F1128" s="141">
        <f t="shared" si="708"/>
        <v>14323200.684414059</v>
      </c>
      <c r="G1128" s="141">
        <f t="shared" si="708"/>
        <v>13925333.99873589</v>
      </c>
      <c r="H1128" s="141">
        <f t="shared" si="708"/>
        <v>13428000.641638182</v>
      </c>
      <c r="I1128" s="141">
        <f t="shared" si="708"/>
        <v>12930667.284540471</v>
      </c>
      <c r="J1128" s="141">
        <f t="shared" si="708"/>
        <v>12433333.927442759</v>
      </c>
      <c r="K1128" s="141">
        <f t="shared" si="708"/>
        <v>11936000.57034505</v>
      </c>
      <c r="L1128" s="141">
        <f t="shared" si="708"/>
        <v>11438667.213247338</v>
      </c>
      <c r="M1128" s="141">
        <f t="shared" si="708"/>
        <v>10941333.856149629</v>
      </c>
      <c r="N1128" s="141">
        <f t="shared" si="708"/>
        <v>10444000.499051917</v>
      </c>
      <c r="O1128" s="141">
        <f t="shared" si="708"/>
        <v>9946667.1419542059</v>
      </c>
      <c r="P1128" s="141">
        <f t="shared" si="708"/>
        <v>9449333.7848564964</v>
      </c>
      <c r="Q1128" s="141">
        <f t="shared" si="708"/>
        <v>8952000.427758785</v>
      </c>
      <c r="R1128" s="141">
        <f t="shared" si="708"/>
        <v>8454667.0706610736</v>
      </c>
      <c r="S1128" s="141">
        <f t="shared" si="708"/>
        <v>7957333.713563364</v>
      </c>
      <c r="T1128" s="141">
        <f t="shared" si="708"/>
        <v>7460000.3564656526</v>
      </c>
      <c r="U1128" s="141">
        <f t="shared" si="708"/>
        <v>6962666.9993679421</v>
      </c>
      <c r="V1128" s="141">
        <f t="shared" si="708"/>
        <v>6465333.6422702316</v>
      </c>
      <c r="W1128" s="141">
        <f t="shared" si="708"/>
        <v>5968000.2851725211</v>
      </c>
      <c r="X1128" s="141">
        <f t="shared" si="708"/>
        <v>0</v>
      </c>
      <c r="Y1128" s="141">
        <f t="shared" si="708"/>
        <v>0</v>
      </c>
      <c r="Z1128" s="141">
        <f t="shared" si="708"/>
        <v>0</v>
      </c>
      <c r="AA1128" s="141">
        <f t="shared" si="708"/>
        <v>0</v>
      </c>
      <c r="AB1128" s="141">
        <f t="shared" si="708"/>
        <v>0</v>
      </c>
      <c r="AC1128" s="141">
        <f t="shared" si="708"/>
        <v>0</v>
      </c>
      <c r="AD1128" s="141">
        <f t="shared" si="708"/>
        <v>0</v>
      </c>
      <c r="AE1128" s="141">
        <f t="shared" si="708"/>
        <v>0</v>
      </c>
      <c r="AF1128" s="141">
        <f t="shared" si="708"/>
        <v>0</v>
      </c>
      <c r="AG1128" s="141">
        <f t="shared" si="708"/>
        <v>0</v>
      </c>
      <c r="AH1128" s="141">
        <f t="shared" si="708"/>
        <v>0</v>
      </c>
      <c r="AI1128" s="141">
        <f t="shared" si="708"/>
        <v>0</v>
      </c>
      <c r="AJ1128" s="141">
        <f t="shared" si="708"/>
        <v>0</v>
      </c>
      <c r="AK1128" s="141">
        <f t="shared" si="708"/>
        <v>0</v>
      </c>
      <c r="AL1128" s="141">
        <f t="shared" si="708"/>
        <v>0</v>
      </c>
      <c r="AM1128" s="141">
        <f t="shared" si="708"/>
        <v>0</v>
      </c>
      <c r="AN1128" s="141">
        <f t="shared" si="708"/>
        <v>0</v>
      </c>
      <c r="AO1128" s="141">
        <f t="shared" si="708"/>
        <v>0</v>
      </c>
      <c r="AP1128" s="141">
        <f t="shared" si="708"/>
        <v>0</v>
      </c>
      <c r="AQ1128" s="141">
        <f t="shared" si="708"/>
        <v>0</v>
      </c>
      <c r="AR1128" s="141">
        <f t="shared" si="708"/>
        <v>0</v>
      </c>
      <c r="AS1128" s="141">
        <f t="shared" si="708"/>
        <v>0</v>
      </c>
      <c r="AT1128" s="141">
        <f t="shared" si="708"/>
        <v>0</v>
      </c>
      <c r="AU1128" s="141">
        <f t="shared" si="708"/>
        <v>0</v>
      </c>
      <c r="AV1128" s="141">
        <f t="shared" si="708"/>
        <v>0</v>
      </c>
      <c r="AW1128" s="141">
        <f t="shared" si="708"/>
        <v>0</v>
      </c>
      <c r="AX1128" s="141">
        <f t="shared" si="708"/>
        <v>0</v>
      </c>
      <c r="AY1128" s="141">
        <f t="shared" si="708"/>
        <v>0</v>
      </c>
      <c r="AZ1128" s="141">
        <f t="shared" si="708"/>
        <v>0</v>
      </c>
      <c r="BA1128" s="141">
        <f t="shared" si="708"/>
        <v>0</v>
      </c>
      <c r="BB1128" s="141">
        <f t="shared" si="708"/>
        <v>0</v>
      </c>
      <c r="BC1128" s="141">
        <f t="shared" si="708"/>
        <v>0</v>
      </c>
      <c r="BD1128" s="141">
        <f t="shared" si="708"/>
        <v>0</v>
      </c>
      <c r="BE1128" s="141">
        <f t="shared" si="708"/>
        <v>0</v>
      </c>
      <c r="BF1128" s="141">
        <f t="shared" si="708"/>
        <v>0</v>
      </c>
      <c r="BG1128" s="141">
        <f t="shared" si="708"/>
        <v>0</v>
      </c>
      <c r="BH1128" s="141">
        <f t="shared" si="708"/>
        <v>0</v>
      </c>
      <c r="BI1128" s="141">
        <f t="shared" si="708"/>
        <v>0</v>
      </c>
      <c r="BJ1128" s="142">
        <f t="shared" si="708"/>
        <v>0</v>
      </c>
      <c r="BK1128" s="141"/>
      <c r="BL1128" s="141"/>
    </row>
    <row r="1129" spans="1:64" s="143" customFormat="1" ht="12.75">
      <c r="A1129" s="138" t="s">
        <v>129</v>
      </c>
      <c r="B1129" s="139">
        <f>SUM(C1129:BJ1129)</f>
        <v>10898371.988832947</v>
      </c>
      <c r="C1129" s="227">
        <f>IF(AND(C1098&gt;5,C1099=0),0,(C1124+C1119)*$I1097)</f>
        <v>754502.67614997376</v>
      </c>
      <c r="D1129" s="141">
        <f>IF(AND(D1098&gt;5,D1099=0),0,(D1124+D1119)*$I1097)</f>
        <v>746119.31308164075</v>
      </c>
      <c r="E1129" s="141">
        <f t="shared" ref="E1129:BJ1129" si="709">IF(AND(E1098&gt;5,E1099=0),0,(E1124+E1119)*$I1097)</f>
        <v>720969.2238766416</v>
      </c>
      <c r="F1129" s="141">
        <f t="shared" si="709"/>
        <v>695819.13467164245</v>
      </c>
      <c r="G1129" s="141">
        <f t="shared" si="709"/>
        <v>670669.04546664329</v>
      </c>
      <c r="H1129" s="141">
        <f t="shared" si="709"/>
        <v>645518.95626164414</v>
      </c>
      <c r="I1129" s="141">
        <f t="shared" si="709"/>
        <v>620368.86705664487</v>
      </c>
      <c r="J1129" s="141">
        <f t="shared" si="709"/>
        <v>595218.77785164572</v>
      </c>
      <c r="K1129" s="141">
        <f t="shared" si="709"/>
        <v>570068.68864664657</v>
      </c>
      <c r="L1129" s="141">
        <f t="shared" si="709"/>
        <v>544918.59944164741</v>
      </c>
      <c r="M1129" s="141">
        <f t="shared" si="709"/>
        <v>519768.51023664832</v>
      </c>
      <c r="N1129" s="141">
        <f t="shared" si="709"/>
        <v>494618.42103164917</v>
      </c>
      <c r="O1129" s="141">
        <f t="shared" si="709"/>
        <v>469468.33182665001</v>
      </c>
      <c r="P1129" s="141">
        <f t="shared" si="709"/>
        <v>444318.24262165086</v>
      </c>
      <c r="Q1129" s="141">
        <f t="shared" si="709"/>
        <v>419168.15341665177</v>
      </c>
      <c r="R1129" s="141">
        <f t="shared" si="709"/>
        <v>394018.06421165261</v>
      </c>
      <c r="S1129" s="141">
        <f t="shared" si="709"/>
        <v>368867.97500665352</v>
      </c>
      <c r="T1129" s="141">
        <f t="shared" si="709"/>
        <v>343717.88580165443</v>
      </c>
      <c r="U1129" s="141">
        <f t="shared" si="709"/>
        <v>318567.79659665533</v>
      </c>
      <c r="V1129" s="141">
        <f t="shared" si="709"/>
        <v>293417.70739165618</v>
      </c>
      <c r="W1129" s="141">
        <f t="shared" si="709"/>
        <v>268267.61818665708</v>
      </c>
      <c r="X1129" s="141">
        <f t="shared" si="709"/>
        <v>0</v>
      </c>
      <c r="Y1129" s="141">
        <f t="shared" si="709"/>
        <v>0</v>
      </c>
      <c r="Z1129" s="141">
        <f t="shared" si="709"/>
        <v>0</v>
      </c>
      <c r="AA1129" s="141">
        <f t="shared" si="709"/>
        <v>0</v>
      </c>
      <c r="AB1129" s="141">
        <f t="shared" si="709"/>
        <v>0</v>
      </c>
      <c r="AC1129" s="141">
        <f t="shared" si="709"/>
        <v>0</v>
      </c>
      <c r="AD1129" s="141">
        <f t="shared" si="709"/>
        <v>0</v>
      </c>
      <c r="AE1129" s="141">
        <f t="shared" si="709"/>
        <v>0</v>
      </c>
      <c r="AF1129" s="141">
        <f t="shared" si="709"/>
        <v>0</v>
      </c>
      <c r="AG1129" s="141">
        <f t="shared" si="709"/>
        <v>0</v>
      </c>
      <c r="AH1129" s="141">
        <f t="shared" si="709"/>
        <v>0</v>
      </c>
      <c r="AI1129" s="141">
        <f t="shared" si="709"/>
        <v>0</v>
      </c>
      <c r="AJ1129" s="141">
        <f t="shared" si="709"/>
        <v>0</v>
      </c>
      <c r="AK1129" s="141">
        <f t="shared" si="709"/>
        <v>0</v>
      </c>
      <c r="AL1129" s="141">
        <f t="shared" si="709"/>
        <v>0</v>
      </c>
      <c r="AM1129" s="141">
        <f t="shared" si="709"/>
        <v>0</v>
      </c>
      <c r="AN1129" s="141">
        <f t="shared" si="709"/>
        <v>0</v>
      </c>
      <c r="AO1129" s="141">
        <f t="shared" si="709"/>
        <v>0</v>
      </c>
      <c r="AP1129" s="141">
        <f t="shared" si="709"/>
        <v>0</v>
      </c>
      <c r="AQ1129" s="141">
        <f t="shared" si="709"/>
        <v>0</v>
      </c>
      <c r="AR1129" s="141">
        <f t="shared" si="709"/>
        <v>0</v>
      </c>
      <c r="AS1129" s="141">
        <f t="shared" si="709"/>
        <v>0</v>
      </c>
      <c r="AT1129" s="141">
        <f t="shared" si="709"/>
        <v>0</v>
      </c>
      <c r="AU1129" s="141">
        <f t="shared" si="709"/>
        <v>0</v>
      </c>
      <c r="AV1129" s="141">
        <f t="shared" si="709"/>
        <v>0</v>
      </c>
      <c r="AW1129" s="141">
        <f t="shared" si="709"/>
        <v>0</v>
      </c>
      <c r="AX1129" s="141">
        <f t="shared" si="709"/>
        <v>0</v>
      </c>
      <c r="AY1129" s="141">
        <f t="shared" si="709"/>
        <v>0</v>
      </c>
      <c r="AZ1129" s="141">
        <f t="shared" si="709"/>
        <v>0</v>
      </c>
      <c r="BA1129" s="141">
        <f t="shared" si="709"/>
        <v>0</v>
      </c>
      <c r="BB1129" s="141">
        <f t="shared" si="709"/>
        <v>0</v>
      </c>
      <c r="BC1129" s="141">
        <f t="shared" si="709"/>
        <v>0</v>
      </c>
      <c r="BD1129" s="141">
        <f t="shared" si="709"/>
        <v>0</v>
      </c>
      <c r="BE1129" s="141">
        <f t="shared" si="709"/>
        <v>0</v>
      </c>
      <c r="BF1129" s="141">
        <f t="shared" si="709"/>
        <v>0</v>
      </c>
      <c r="BG1129" s="141">
        <f t="shared" si="709"/>
        <v>0</v>
      </c>
      <c r="BH1129" s="141">
        <f t="shared" si="709"/>
        <v>0</v>
      </c>
      <c r="BI1129" s="141">
        <f t="shared" si="709"/>
        <v>0</v>
      </c>
      <c r="BJ1129" s="142">
        <f t="shared" si="709"/>
        <v>0</v>
      </c>
      <c r="BK1129" s="141"/>
      <c r="BL1129" s="141"/>
    </row>
    <row r="1130" spans="1:64" s="116" customFormat="1">
      <c r="A1130" s="111" t="s">
        <v>133</v>
      </c>
      <c r="B1130" s="155">
        <f>SUM(B1131:B1134)</f>
        <v>139545694.00820833</v>
      </c>
      <c r="C1130" s="117">
        <f>SUM(C1131:C1134)</f>
        <v>1078500.3448787511</v>
      </c>
      <c r="D1130" s="118">
        <f>SUM(D1131:D1134)</f>
        <v>2240834.3204408325</v>
      </c>
      <c r="E1130" s="118">
        <f>SUM(E1131:E1134)</f>
        <v>3975102.9733021823</v>
      </c>
      <c r="F1130" s="118">
        <f t="shared" ref="F1130:AJ1130" si="710">SUM(F1131:F1134)</f>
        <v>5709371.626163533</v>
      </c>
      <c r="G1130" s="118">
        <f t="shared" si="710"/>
        <v>7443640.2790248832</v>
      </c>
      <c r="H1130" s="118">
        <f t="shared" si="710"/>
        <v>7443640.2790248832</v>
      </c>
      <c r="I1130" s="118">
        <f t="shared" si="710"/>
        <v>7443640.2790248832</v>
      </c>
      <c r="J1130" s="118">
        <f t="shared" si="710"/>
        <v>7443640.2790248832</v>
      </c>
      <c r="K1130" s="118">
        <f t="shared" si="710"/>
        <v>7443640.2790248832</v>
      </c>
      <c r="L1130" s="118">
        <f t="shared" si="710"/>
        <v>7443640.2790248832</v>
      </c>
      <c r="M1130" s="118">
        <f t="shared" si="710"/>
        <v>7443640.2790248832</v>
      </c>
      <c r="N1130" s="118">
        <f t="shared" si="710"/>
        <v>7443640.2790248832</v>
      </c>
      <c r="O1130" s="118">
        <f t="shared" si="710"/>
        <v>7443640.2790248832</v>
      </c>
      <c r="P1130" s="118">
        <f t="shared" si="710"/>
        <v>7443640.2790248832</v>
      </c>
      <c r="Q1130" s="118">
        <f t="shared" si="710"/>
        <v>7443640.2790248832</v>
      </c>
      <c r="R1130" s="118">
        <f t="shared" si="710"/>
        <v>7443640.2790248832</v>
      </c>
      <c r="S1130" s="118">
        <f t="shared" si="710"/>
        <v>7443640.2790248832</v>
      </c>
      <c r="T1130" s="118">
        <f t="shared" si="710"/>
        <v>7443640.2790248832</v>
      </c>
      <c r="U1130" s="118">
        <f t="shared" si="710"/>
        <v>7443640.2790248832</v>
      </c>
      <c r="V1130" s="118">
        <f t="shared" si="710"/>
        <v>7443640.2790248832</v>
      </c>
      <c r="W1130" s="118">
        <f t="shared" si="710"/>
        <v>7443640.2790248832</v>
      </c>
      <c r="X1130" s="118">
        <f t="shared" si="710"/>
        <v>0</v>
      </c>
      <c r="Y1130" s="118">
        <f t="shared" si="710"/>
        <v>0</v>
      </c>
      <c r="Z1130" s="118">
        <f t="shared" si="710"/>
        <v>0</v>
      </c>
      <c r="AA1130" s="118">
        <f t="shared" si="710"/>
        <v>0</v>
      </c>
      <c r="AB1130" s="118">
        <f t="shared" si="710"/>
        <v>0</v>
      </c>
      <c r="AC1130" s="118">
        <f t="shared" si="710"/>
        <v>0</v>
      </c>
      <c r="AD1130" s="118">
        <f t="shared" si="710"/>
        <v>0</v>
      </c>
      <c r="AE1130" s="118">
        <f t="shared" si="710"/>
        <v>0</v>
      </c>
      <c r="AF1130" s="118">
        <f t="shared" si="710"/>
        <v>0</v>
      </c>
      <c r="AG1130" s="118">
        <f t="shared" si="710"/>
        <v>0</v>
      </c>
      <c r="AH1130" s="118">
        <f t="shared" si="710"/>
        <v>0</v>
      </c>
      <c r="AI1130" s="118">
        <f t="shared" si="710"/>
        <v>0</v>
      </c>
      <c r="AJ1130" s="118">
        <f t="shared" si="710"/>
        <v>0</v>
      </c>
      <c r="AK1130" s="118"/>
      <c r="AL1130" s="118"/>
      <c r="AM1130" s="118"/>
      <c r="AN1130" s="118"/>
      <c r="AO1130" s="118"/>
      <c r="AP1130" s="118"/>
      <c r="AQ1130" s="118"/>
      <c r="AR1130" s="118"/>
      <c r="AS1130" s="118"/>
      <c r="AT1130" s="118"/>
      <c r="AU1130" s="118"/>
      <c r="AV1130" s="118"/>
      <c r="AW1130" s="118"/>
      <c r="AX1130" s="118"/>
      <c r="AY1130" s="118"/>
      <c r="AZ1130" s="118"/>
      <c r="BA1130" s="118"/>
      <c r="BB1130" s="118"/>
      <c r="BC1130" s="118"/>
      <c r="BD1130" s="118"/>
      <c r="BE1130" s="118"/>
      <c r="BF1130" s="118"/>
      <c r="BG1130" s="118"/>
      <c r="BH1130" s="118"/>
      <c r="BI1130" s="118"/>
      <c r="BJ1130" s="119"/>
      <c r="BK1130" s="118"/>
      <c r="BL1130" s="118"/>
    </row>
    <row r="1131" spans="1:64" s="143" customFormat="1" ht="12.75">
      <c r="A1131" s="138" t="s">
        <v>126</v>
      </c>
      <c r="B1131" s="139">
        <f t="shared" ref="B1131:B1137" si="711">SUM(C1131:BJ1131)</f>
        <v>35138504.687960193</v>
      </c>
      <c r="C1131" s="227">
        <f>IF(AND(C1098&gt;5,C1099=0),0,C1116)</f>
        <v>0</v>
      </c>
      <c r="D1131" s="141">
        <f>IF(AND(D1098&gt;5,D1099=0),0,D1116)</f>
        <v>0</v>
      </c>
      <c r="E1131" s="141">
        <f t="shared" ref="E1131:BJ1131" si="712">IF(AND(E1098&gt;5,E1099=0),0,E1116)</f>
        <v>650713.04977704049</v>
      </c>
      <c r="F1131" s="141">
        <f t="shared" si="712"/>
        <v>1301426.099554081</v>
      </c>
      <c r="G1131" s="141">
        <f t="shared" si="712"/>
        <v>1952139.1493311215</v>
      </c>
      <c r="H1131" s="141">
        <f t="shared" si="712"/>
        <v>1952139.1493311215</v>
      </c>
      <c r="I1131" s="141">
        <f t="shared" si="712"/>
        <v>1952139.1493311215</v>
      </c>
      <c r="J1131" s="141">
        <f t="shared" si="712"/>
        <v>1952139.1493311215</v>
      </c>
      <c r="K1131" s="141">
        <f t="shared" si="712"/>
        <v>1952139.1493311215</v>
      </c>
      <c r="L1131" s="141">
        <f t="shared" si="712"/>
        <v>1952139.1493311215</v>
      </c>
      <c r="M1131" s="141">
        <f t="shared" si="712"/>
        <v>1952139.1493311215</v>
      </c>
      <c r="N1131" s="141">
        <f t="shared" si="712"/>
        <v>1952139.1493311215</v>
      </c>
      <c r="O1131" s="141">
        <f t="shared" si="712"/>
        <v>1952139.1493311215</v>
      </c>
      <c r="P1131" s="141">
        <f t="shared" si="712"/>
        <v>1952139.1493311215</v>
      </c>
      <c r="Q1131" s="141">
        <f t="shared" si="712"/>
        <v>1952139.1493311215</v>
      </c>
      <c r="R1131" s="141">
        <f t="shared" si="712"/>
        <v>1952139.1493311215</v>
      </c>
      <c r="S1131" s="141">
        <f t="shared" si="712"/>
        <v>1952139.1493311215</v>
      </c>
      <c r="T1131" s="141">
        <f t="shared" si="712"/>
        <v>1952139.1493311215</v>
      </c>
      <c r="U1131" s="141">
        <f t="shared" si="712"/>
        <v>1952139.1493311215</v>
      </c>
      <c r="V1131" s="141">
        <f t="shared" si="712"/>
        <v>1952139.1493311215</v>
      </c>
      <c r="W1131" s="141">
        <f t="shared" si="712"/>
        <v>1952139.1493311215</v>
      </c>
      <c r="X1131" s="141">
        <f t="shared" si="712"/>
        <v>0</v>
      </c>
      <c r="Y1131" s="141">
        <f t="shared" si="712"/>
        <v>0</v>
      </c>
      <c r="Z1131" s="141">
        <f t="shared" si="712"/>
        <v>0</v>
      </c>
      <c r="AA1131" s="141">
        <f t="shared" si="712"/>
        <v>0</v>
      </c>
      <c r="AB1131" s="141">
        <f t="shared" si="712"/>
        <v>0</v>
      </c>
      <c r="AC1131" s="141">
        <f t="shared" si="712"/>
        <v>0</v>
      </c>
      <c r="AD1131" s="141">
        <f t="shared" si="712"/>
        <v>0</v>
      </c>
      <c r="AE1131" s="141">
        <f t="shared" si="712"/>
        <v>0</v>
      </c>
      <c r="AF1131" s="141">
        <f t="shared" si="712"/>
        <v>0</v>
      </c>
      <c r="AG1131" s="141">
        <f t="shared" si="712"/>
        <v>0</v>
      </c>
      <c r="AH1131" s="141">
        <f t="shared" si="712"/>
        <v>0</v>
      </c>
      <c r="AI1131" s="141">
        <f t="shared" si="712"/>
        <v>0</v>
      </c>
      <c r="AJ1131" s="141">
        <f t="shared" si="712"/>
        <v>0</v>
      </c>
      <c r="AK1131" s="141">
        <f t="shared" si="712"/>
        <v>0</v>
      </c>
      <c r="AL1131" s="141">
        <f t="shared" si="712"/>
        <v>0</v>
      </c>
      <c r="AM1131" s="141">
        <f t="shared" si="712"/>
        <v>0</v>
      </c>
      <c r="AN1131" s="141">
        <f t="shared" si="712"/>
        <v>0</v>
      </c>
      <c r="AO1131" s="141">
        <f t="shared" si="712"/>
        <v>0</v>
      </c>
      <c r="AP1131" s="141">
        <f t="shared" si="712"/>
        <v>0</v>
      </c>
      <c r="AQ1131" s="141">
        <f t="shared" si="712"/>
        <v>0</v>
      </c>
      <c r="AR1131" s="141">
        <f t="shared" si="712"/>
        <v>0</v>
      </c>
      <c r="AS1131" s="141">
        <f t="shared" si="712"/>
        <v>0</v>
      </c>
      <c r="AT1131" s="141">
        <f t="shared" si="712"/>
        <v>0</v>
      </c>
      <c r="AU1131" s="141">
        <f t="shared" si="712"/>
        <v>0</v>
      </c>
      <c r="AV1131" s="141">
        <f t="shared" si="712"/>
        <v>0</v>
      </c>
      <c r="AW1131" s="141">
        <f t="shared" si="712"/>
        <v>0</v>
      </c>
      <c r="AX1131" s="141">
        <f t="shared" si="712"/>
        <v>0</v>
      </c>
      <c r="AY1131" s="141">
        <f t="shared" si="712"/>
        <v>0</v>
      </c>
      <c r="AZ1131" s="141">
        <f t="shared" si="712"/>
        <v>0</v>
      </c>
      <c r="BA1131" s="141">
        <f t="shared" si="712"/>
        <v>0</v>
      </c>
      <c r="BB1131" s="141">
        <f t="shared" si="712"/>
        <v>0</v>
      </c>
      <c r="BC1131" s="141">
        <f t="shared" si="712"/>
        <v>0</v>
      </c>
      <c r="BD1131" s="141">
        <f t="shared" si="712"/>
        <v>0</v>
      </c>
      <c r="BE1131" s="141">
        <f t="shared" si="712"/>
        <v>0</v>
      </c>
      <c r="BF1131" s="141">
        <f t="shared" si="712"/>
        <v>0</v>
      </c>
      <c r="BG1131" s="141">
        <f t="shared" si="712"/>
        <v>0</v>
      </c>
      <c r="BH1131" s="141">
        <f t="shared" si="712"/>
        <v>0</v>
      </c>
      <c r="BI1131" s="141">
        <f t="shared" si="712"/>
        <v>0</v>
      </c>
      <c r="BJ1131" s="142">
        <f t="shared" si="712"/>
        <v>0</v>
      </c>
      <c r="BK1131" s="141"/>
      <c r="BL1131" s="141"/>
    </row>
    <row r="1132" spans="1:64" s="143" customFormat="1" ht="12.75">
      <c r="A1132" s="138" t="s">
        <v>127</v>
      </c>
      <c r="B1132" s="139">
        <f t="shared" si="711"/>
        <v>4800000</v>
      </c>
      <c r="C1132" s="227">
        <f>IF(AND(C1098&gt;5,C1099=0),0,C1117)</f>
        <v>0</v>
      </c>
      <c r="D1132" s="141">
        <f>IF(AND(D1098&gt;5,D1099=0),0,D1117)</f>
        <v>0</v>
      </c>
      <c r="E1132" s="141">
        <f t="shared" ref="E1132:BJ1132" si="713">IF(AND(E1098&gt;5,E1099=0),0,E1117)</f>
        <v>88888.888888888891</v>
      </c>
      <c r="F1132" s="141">
        <f t="shared" si="713"/>
        <v>177777.77777777778</v>
      </c>
      <c r="G1132" s="141">
        <f t="shared" si="713"/>
        <v>266666.66666666669</v>
      </c>
      <c r="H1132" s="141">
        <f t="shared" si="713"/>
        <v>266666.66666666669</v>
      </c>
      <c r="I1132" s="141">
        <f t="shared" si="713"/>
        <v>266666.66666666669</v>
      </c>
      <c r="J1132" s="141">
        <f t="shared" si="713"/>
        <v>266666.66666666669</v>
      </c>
      <c r="K1132" s="141">
        <f t="shared" si="713"/>
        <v>266666.66666666669</v>
      </c>
      <c r="L1132" s="141">
        <f t="shared" si="713"/>
        <v>266666.66666666669</v>
      </c>
      <c r="M1132" s="141">
        <f t="shared" si="713"/>
        <v>266666.66666666669</v>
      </c>
      <c r="N1132" s="141">
        <f t="shared" si="713"/>
        <v>266666.66666666669</v>
      </c>
      <c r="O1132" s="141">
        <f t="shared" si="713"/>
        <v>266666.66666666669</v>
      </c>
      <c r="P1132" s="141">
        <f t="shared" si="713"/>
        <v>266666.66666666669</v>
      </c>
      <c r="Q1132" s="141">
        <f t="shared" si="713"/>
        <v>266666.66666666669</v>
      </c>
      <c r="R1132" s="141">
        <f t="shared" si="713"/>
        <v>266666.66666666669</v>
      </c>
      <c r="S1132" s="141">
        <f t="shared" si="713"/>
        <v>266666.66666666669</v>
      </c>
      <c r="T1132" s="141">
        <f t="shared" si="713"/>
        <v>266666.66666666669</v>
      </c>
      <c r="U1132" s="141">
        <f t="shared" si="713"/>
        <v>266666.66666666669</v>
      </c>
      <c r="V1132" s="141">
        <f t="shared" si="713"/>
        <v>266666.66666666669</v>
      </c>
      <c r="W1132" s="141">
        <f t="shared" si="713"/>
        <v>266666.66666666669</v>
      </c>
      <c r="X1132" s="141">
        <f t="shared" si="713"/>
        <v>0</v>
      </c>
      <c r="Y1132" s="141">
        <f t="shared" si="713"/>
        <v>0</v>
      </c>
      <c r="Z1132" s="141">
        <f t="shared" si="713"/>
        <v>0</v>
      </c>
      <c r="AA1132" s="141">
        <f t="shared" si="713"/>
        <v>0</v>
      </c>
      <c r="AB1132" s="141">
        <f t="shared" si="713"/>
        <v>0</v>
      </c>
      <c r="AC1132" s="141">
        <f t="shared" si="713"/>
        <v>0</v>
      </c>
      <c r="AD1132" s="141">
        <f t="shared" si="713"/>
        <v>0</v>
      </c>
      <c r="AE1132" s="141">
        <f t="shared" si="713"/>
        <v>0</v>
      </c>
      <c r="AF1132" s="141">
        <f t="shared" si="713"/>
        <v>0</v>
      </c>
      <c r="AG1132" s="141">
        <f t="shared" si="713"/>
        <v>0</v>
      </c>
      <c r="AH1132" s="141">
        <f t="shared" si="713"/>
        <v>0</v>
      </c>
      <c r="AI1132" s="141">
        <f t="shared" si="713"/>
        <v>0</v>
      </c>
      <c r="AJ1132" s="141">
        <f t="shared" si="713"/>
        <v>0</v>
      </c>
      <c r="AK1132" s="141">
        <f t="shared" si="713"/>
        <v>0</v>
      </c>
      <c r="AL1132" s="141">
        <f t="shared" si="713"/>
        <v>0</v>
      </c>
      <c r="AM1132" s="141">
        <f t="shared" si="713"/>
        <v>0</v>
      </c>
      <c r="AN1132" s="141">
        <f t="shared" si="713"/>
        <v>0</v>
      </c>
      <c r="AO1132" s="141">
        <f t="shared" si="713"/>
        <v>0</v>
      </c>
      <c r="AP1132" s="141">
        <f t="shared" si="713"/>
        <v>0</v>
      </c>
      <c r="AQ1132" s="141">
        <f t="shared" si="713"/>
        <v>0</v>
      </c>
      <c r="AR1132" s="141">
        <f t="shared" si="713"/>
        <v>0</v>
      </c>
      <c r="AS1132" s="141">
        <f t="shared" si="713"/>
        <v>0</v>
      </c>
      <c r="AT1132" s="141">
        <f t="shared" si="713"/>
        <v>0</v>
      </c>
      <c r="AU1132" s="141">
        <f t="shared" si="713"/>
        <v>0</v>
      </c>
      <c r="AV1132" s="141">
        <f t="shared" si="713"/>
        <v>0</v>
      </c>
      <c r="AW1132" s="141">
        <f t="shared" si="713"/>
        <v>0</v>
      </c>
      <c r="AX1132" s="141">
        <f t="shared" si="713"/>
        <v>0</v>
      </c>
      <c r="AY1132" s="141">
        <f t="shared" si="713"/>
        <v>0</v>
      </c>
      <c r="AZ1132" s="141">
        <f t="shared" si="713"/>
        <v>0</v>
      </c>
      <c r="BA1132" s="141">
        <f t="shared" si="713"/>
        <v>0</v>
      </c>
      <c r="BB1132" s="141">
        <f t="shared" si="713"/>
        <v>0</v>
      </c>
      <c r="BC1132" s="141">
        <f t="shared" si="713"/>
        <v>0</v>
      </c>
      <c r="BD1132" s="141">
        <f t="shared" si="713"/>
        <v>0</v>
      </c>
      <c r="BE1132" s="141">
        <f t="shared" si="713"/>
        <v>0</v>
      </c>
      <c r="BF1132" s="141">
        <f t="shared" si="713"/>
        <v>0</v>
      </c>
      <c r="BG1132" s="141">
        <f t="shared" si="713"/>
        <v>0</v>
      </c>
      <c r="BH1132" s="141">
        <f t="shared" si="713"/>
        <v>0</v>
      </c>
      <c r="BI1132" s="141">
        <f t="shared" si="713"/>
        <v>0</v>
      </c>
      <c r="BJ1132" s="142">
        <f t="shared" si="713"/>
        <v>0</v>
      </c>
      <c r="BK1132" s="141"/>
      <c r="BL1132" s="141"/>
    </row>
    <row r="1133" spans="1:64" s="143" customFormat="1" ht="12.75">
      <c r="A1133" s="138" t="s">
        <v>128</v>
      </c>
      <c r="B1133" s="139">
        <f t="shared" si="711"/>
        <v>94493337.848564997</v>
      </c>
      <c r="C1133" s="227">
        <f>IF(AND(C1098&gt;5,C1099=0),0,C1118)</f>
        <v>994666.71419542073</v>
      </c>
      <c r="D1133" s="141">
        <f>IF(AND(D1098&gt;5,D1099=0),0,D1118)</f>
        <v>1989333.4283908415</v>
      </c>
      <c r="E1133" s="141">
        <f t="shared" ref="E1133:BJ1133" si="714">IF(AND(E1098&gt;5,E1099=0),0,E1118)</f>
        <v>2984000.142586262</v>
      </c>
      <c r="F1133" s="141">
        <f t="shared" si="714"/>
        <v>3978666.8567816829</v>
      </c>
      <c r="G1133" s="141">
        <f t="shared" si="714"/>
        <v>4973333.5709771039</v>
      </c>
      <c r="H1133" s="141">
        <f t="shared" si="714"/>
        <v>4973333.5709771039</v>
      </c>
      <c r="I1133" s="141">
        <f t="shared" si="714"/>
        <v>4973333.5709771039</v>
      </c>
      <c r="J1133" s="141">
        <f t="shared" si="714"/>
        <v>4973333.5709771039</v>
      </c>
      <c r="K1133" s="141">
        <f t="shared" si="714"/>
        <v>4973333.5709771039</v>
      </c>
      <c r="L1133" s="141">
        <f t="shared" si="714"/>
        <v>4973333.5709771039</v>
      </c>
      <c r="M1133" s="141">
        <f t="shared" si="714"/>
        <v>4973333.5709771039</v>
      </c>
      <c r="N1133" s="141">
        <f t="shared" si="714"/>
        <v>4973333.5709771039</v>
      </c>
      <c r="O1133" s="141">
        <f t="shared" si="714"/>
        <v>4973333.5709771039</v>
      </c>
      <c r="P1133" s="141">
        <f t="shared" si="714"/>
        <v>4973333.5709771039</v>
      </c>
      <c r="Q1133" s="141">
        <f t="shared" si="714"/>
        <v>4973333.5709771039</v>
      </c>
      <c r="R1133" s="141">
        <f t="shared" si="714"/>
        <v>4973333.5709771039</v>
      </c>
      <c r="S1133" s="141">
        <f t="shared" si="714"/>
        <v>4973333.5709771039</v>
      </c>
      <c r="T1133" s="141">
        <f t="shared" si="714"/>
        <v>4973333.5709771039</v>
      </c>
      <c r="U1133" s="141">
        <f t="shared" si="714"/>
        <v>4973333.5709771039</v>
      </c>
      <c r="V1133" s="141">
        <f t="shared" si="714"/>
        <v>4973333.5709771039</v>
      </c>
      <c r="W1133" s="141">
        <f t="shared" si="714"/>
        <v>4973333.5709771039</v>
      </c>
      <c r="X1133" s="141">
        <f t="shared" si="714"/>
        <v>0</v>
      </c>
      <c r="Y1133" s="141">
        <f t="shared" si="714"/>
        <v>0</v>
      </c>
      <c r="Z1133" s="141">
        <f t="shared" si="714"/>
        <v>0</v>
      </c>
      <c r="AA1133" s="141">
        <f t="shared" si="714"/>
        <v>0</v>
      </c>
      <c r="AB1133" s="141">
        <f t="shared" si="714"/>
        <v>0</v>
      </c>
      <c r="AC1133" s="141">
        <f t="shared" si="714"/>
        <v>0</v>
      </c>
      <c r="AD1133" s="141">
        <f t="shared" si="714"/>
        <v>0</v>
      </c>
      <c r="AE1133" s="141">
        <f t="shared" si="714"/>
        <v>0</v>
      </c>
      <c r="AF1133" s="141">
        <f t="shared" si="714"/>
        <v>0</v>
      </c>
      <c r="AG1133" s="141">
        <f t="shared" si="714"/>
        <v>0</v>
      </c>
      <c r="AH1133" s="141">
        <f t="shared" si="714"/>
        <v>0</v>
      </c>
      <c r="AI1133" s="141">
        <f t="shared" si="714"/>
        <v>0</v>
      </c>
      <c r="AJ1133" s="141">
        <f t="shared" si="714"/>
        <v>0</v>
      </c>
      <c r="AK1133" s="141">
        <f t="shared" si="714"/>
        <v>0</v>
      </c>
      <c r="AL1133" s="141">
        <f t="shared" si="714"/>
        <v>0</v>
      </c>
      <c r="AM1133" s="141">
        <f t="shared" si="714"/>
        <v>0</v>
      </c>
      <c r="AN1133" s="141">
        <f t="shared" si="714"/>
        <v>0</v>
      </c>
      <c r="AO1133" s="141">
        <f t="shared" si="714"/>
        <v>0</v>
      </c>
      <c r="AP1133" s="141">
        <f t="shared" si="714"/>
        <v>0</v>
      </c>
      <c r="AQ1133" s="141">
        <f t="shared" si="714"/>
        <v>0</v>
      </c>
      <c r="AR1133" s="141">
        <f t="shared" si="714"/>
        <v>0</v>
      </c>
      <c r="AS1133" s="141">
        <f t="shared" si="714"/>
        <v>0</v>
      </c>
      <c r="AT1133" s="141">
        <f t="shared" si="714"/>
        <v>0</v>
      </c>
      <c r="AU1133" s="141">
        <f t="shared" si="714"/>
        <v>0</v>
      </c>
      <c r="AV1133" s="141">
        <f t="shared" si="714"/>
        <v>0</v>
      </c>
      <c r="AW1133" s="141">
        <f t="shared" si="714"/>
        <v>0</v>
      </c>
      <c r="AX1133" s="141">
        <f t="shared" si="714"/>
        <v>0</v>
      </c>
      <c r="AY1133" s="141">
        <f t="shared" si="714"/>
        <v>0</v>
      </c>
      <c r="AZ1133" s="141">
        <f t="shared" si="714"/>
        <v>0</v>
      </c>
      <c r="BA1133" s="141">
        <f t="shared" si="714"/>
        <v>0</v>
      </c>
      <c r="BB1133" s="141">
        <f t="shared" si="714"/>
        <v>0</v>
      </c>
      <c r="BC1133" s="141">
        <f t="shared" si="714"/>
        <v>0</v>
      </c>
      <c r="BD1133" s="141">
        <f t="shared" si="714"/>
        <v>0</v>
      </c>
      <c r="BE1133" s="141">
        <f t="shared" si="714"/>
        <v>0</v>
      </c>
      <c r="BF1133" s="141">
        <f t="shared" si="714"/>
        <v>0</v>
      </c>
      <c r="BG1133" s="141">
        <f t="shared" si="714"/>
        <v>0</v>
      </c>
      <c r="BH1133" s="141">
        <f t="shared" si="714"/>
        <v>0</v>
      </c>
      <c r="BI1133" s="141">
        <f t="shared" si="714"/>
        <v>0</v>
      </c>
      <c r="BJ1133" s="142">
        <f t="shared" si="714"/>
        <v>0</v>
      </c>
      <c r="BK1133" s="141"/>
      <c r="BL1133" s="141"/>
    </row>
    <row r="1134" spans="1:64" s="143" customFormat="1" ht="12.75">
      <c r="A1134" s="228" t="s">
        <v>129</v>
      </c>
      <c r="B1134" s="229">
        <f t="shared" si="711"/>
        <v>5113851.4716831548</v>
      </c>
      <c r="C1134" s="230">
        <f>IF(AND(C1098&gt;5,C1099=0),0,C1119)</f>
        <v>83833.630683330412</v>
      </c>
      <c r="D1134" s="214">
        <f>IF(AND(D1098&gt;5,D1099=0),0,D1119)</f>
        <v>251500.89204999123</v>
      </c>
      <c r="E1134" s="214">
        <f t="shared" ref="E1134:BJ1134" si="715">IF(AND(E1098&gt;5,E1099=0),0,E1119)</f>
        <v>251500.89204999123</v>
      </c>
      <c r="F1134" s="214">
        <f t="shared" si="715"/>
        <v>251500.89204999123</v>
      </c>
      <c r="G1134" s="214">
        <f t="shared" si="715"/>
        <v>251500.89204999123</v>
      </c>
      <c r="H1134" s="214">
        <f t="shared" si="715"/>
        <v>251500.89204999123</v>
      </c>
      <c r="I1134" s="214">
        <f t="shared" si="715"/>
        <v>251500.89204999123</v>
      </c>
      <c r="J1134" s="214">
        <f t="shared" si="715"/>
        <v>251500.89204999123</v>
      </c>
      <c r="K1134" s="214">
        <f t="shared" si="715"/>
        <v>251500.89204999123</v>
      </c>
      <c r="L1134" s="214">
        <f t="shared" si="715"/>
        <v>251500.89204999123</v>
      </c>
      <c r="M1134" s="214">
        <f t="shared" si="715"/>
        <v>251500.89204999123</v>
      </c>
      <c r="N1134" s="214">
        <f t="shared" si="715"/>
        <v>251500.89204999123</v>
      </c>
      <c r="O1134" s="214">
        <f t="shared" si="715"/>
        <v>251500.89204999123</v>
      </c>
      <c r="P1134" s="214">
        <f t="shared" si="715"/>
        <v>251500.89204999123</v>
      </c>
      <c r="Q1134" s="214">
        <f t="shared" si="715"/>
        <v>251500.89204999123</v>
      </c>
      <c r="R1134" s="214">
        <f t="shared" si="715"/>
        <v>251500.89204999123</v>
      </c>
      <c r="S1134" s="214">
        <f t="shared" si="715"/>
        <v>251500.89204999123</v>
      </c>
      <c r="T1134" s="214">
        <f t="shared" si="715"/>
        <v>251500.89204999123</v>
      </c>
      <c r="U1134" s="214">
        <f t="shared" si="715"/>
        <v>251500.89204999123</v>
      </c>
      <c r="V1134" s="214">
        <f t="shared" si="715"/>
        <v>251500.89204999123</v>
      </c>
      <c r="W1134" s="214">
        <f t="shared" si="715"/>
        <v>251500.89204999123</v>
      </c>
      <c r="X1134" s="214">
        <f t="shared" si="715"/>
        <v>0</v>
      </c>
      <c r="Y1134" s="214">
        <f t="shared" si="715"/>
        <v>0</v>
      </c>
      <c r="Z1134" s="214">
        <f t="shared" si="715"/>
        <v>0</v>
      </c>
      <c r="AA1134" s="214">
        <f t="shared" si="715"/>
        <v>0</v>
      </c>
      <c r="AB1134" s="214">
        <f t="shared" si="715"/>
        <v>0</v>
      </c>
      <c r="AC1134" s="214">
        <f t="shared" si="715"/>
        <v>0</v>
      </c>
      <c r="AD1134" s="214">
        <f t="shared" si="715"/>
        <v>0</v>
      </c>
      <c r="AE1134" s="214">
        <f t="shared" si="715"/>
        <v>0</v>
      </c>
      <c r="AF1134" s="214">
        <f t="shared" si="715"/>
        <v>0</v>
      </c>
      <c r="AG1134" s="214">
        <f t="shared" si="715"/>
        <v>0</v>
      </c>
      <c r="AH1134" s="214">
        <f t="shared" si="715"/>
        <v>0</v>
      </c>
      <c r="AI1134" s="214">
        <f t="shared" si="715"/>
        <v>0</v>
      </c>
      <c r="AJ1134" s="214">
        <f t="shared" si="715"/>
        <v>0</v>
      </c>
      <c r="AK1134" s="214">
        <f t="shared" si="715"/>
        <v>0</v>
      </c>
      <c r="AL1134" s="214">
        <f t="shared" si="715"/>
        <v>0</v>
      </c>
      <c r="AM1134" s="214">
        <f t="shared" si="715"/>
        <v>0</v>
      </c>
      <c r="AN1134" s="214">
        <f t="shared" si="715"/>
        <v>0</v>
      </c>
      <c r="AO1134" s="214">
        <f t="shared" si="715"/>
        <v>0</v>
      </c>
      <c r="AP1134" s="214">
        <f t="shared" si="715"/>
        <v>0</v>
      </c>
      <c r="AQ1134" s="214">
        <f t="shared" si="715"/>
        <v>0</v>
      </c>
      <c r="AR1134" s="214">
        <f t="shared" si="715"/>
        <v>0</v>
      </c>
      <c r="AS1134" s="214">
        <f t="shared" si="715"/>
        <v>0</v>
      </c>
      <c r="AT1134" s="214">
        <f t="shared" si="715"/>
        <v>0</v>
      </c>
      <c r="AU1134" s="214">
        <f t="shared" si="715"/>
        <v>0</v>
      </c>
      <c r="AV1134" s="214">
        <f t="shared" si="715"/>
        <v>0</v>
      </c>
      <c r="AW1134" s="214">
        <f t="shared" si="715"/>
        <v>0</v>
      </c>
      <c r="AX1134" s="214">
        <f t="shared" si="715"/>
        <v>0</v>
      </c>
      <c r="AY1134" s="214">
        <f t="shared" si="715"/>
        <v>0</v>
      </c>
      <c r="AZ1134" s="214">
        <f t="shared" si="715"/>
        <v>0</v>
      </c>
      <c r="BA1134" s="214">
        <f t="shared" si="715"/>
        <v>0</v>
      </c>
      <c r="BB1134" s="214">
        <f t="shared" si="715"/>
        <v>0</v>
      </c>
      <c r="BC1134" s="214">
        <f t="shared" si="715"/>
        <v>0</v>
      </c>
      <c r="BD1134" s="214">
        <f t="shared" si="715"/>
        <v>0</v>
      </c>
      <c r="BE1134" s="214">
        <f t="shared" si="715"/>
        <v>0</v>
      </c>
      <c r="BF1134" s="214">
        <f t="shared" si="715"/>
        <v>0</v>
      </c>
      <c r="BG1134" s="214">
        <f t="shared" si="715"/>
        <v>0</v>
      </c>
      <c r="BH1134" s="214">
        <f t="shared" si="715"/>
        <v>0</v>
      </c>
      <c r="BI1134" s="214">
        <f t="shared" si="715"/>
        <v>0</v>
      </c>
      <c r="BJ1134" s="215">
        <f t="shared" si="715"/>
        <v>0</v>
      </c>
      <c r="BK1134" s="141"/>
      <c r="BL1134" s="141"/>
    </row>
    <row r="1135" spans="1:64" s="160" customFormat="1">
      <c r="A1135" s="131" t="s">
        <v>134</v>
      </c>
      <c r="B1135" s="156">
        <f t="shared" si="711"/>
        <v>2218618299.2757201</v>
      </c>
      <c r="C1135" s="156">
        <f>C1109-C1110-C1130</f>
        <v>-30817226.060209621</v>
      </c>
      <c r="D1135" s="157">
        <f t="shared" ref="D1135:BJ1135" si="716">D1109-D1110-D1130</f>
        <v>-34494568.956271604</v>
      </c>
      <c r="E1135" s="157">
        <f t="shared" si="716"/>
        <v>-53386877.928111024</v>
      </c>
      <c r="F1135" s="157">
        <f t="shared" si="716"/>
        <v>-55121146.580972373</v>
      </c>
      <c r="G1135" s="157">
        <f t="shared" si="716"/>
        <v>-56855415.233833723</v>
      </c>
      <c r="H1135" s="157">
        <f t="shared" si="716"/>
        <v>28000166.264268443</v>
      </c>
      <c r="I1135" s="157">
        <f t="shared" si="716"/>
        <v>63443972.80756177</v>
      </c>
      <c r="J1135" s="157">
        <f t="shared" si="716"/>
        <v>98887779.350855097</v>
      </c>
      <c r="K1135" s="157">
        <f t="shared" si="716"/>
        <v>134331585.89414844</v>
      </c>
      <c r="L1135" s="157">
        <f t="shared" si="716"/>
        <v>224995815.67518136</v>
      </c>
      <c r="M1135" s="157">
        <f t="shared" si="716"/>
        <v>224995815.67518136</v>
      </c>
      <c r="N1135" s="157">
        <f t="shared" si="716"/>
        <v>224995815.67518136</v>
      </c>
      <c r="O1135" s="157">
        <f t="shared" si="716"/>
        <v>224995815.67518136</v>
      </c>
      <c r="P1135" s="157">
        <f t="shared" si="716"/>
        <v>224995815.67518136</v>
      </c>
      <c r="Q1135" s="157">
        <f t="shared" si="716"/>
        <v>224995815.67518136</v>
      </c>
      <c r="R1135" s="157">
        <f t="shared" si="716"/>
        <v>224995815.67518136</v>
      </c>
      <c r="S1135" s="157">
        <f t="shared" si="716"/>
        <v>224995815.67518136</v>
      </c>
      <c r="T1135" s="157">
        <f t="shared" si="716"/>
        <v>134331585.89414844</v>
      </c>
      <c r="U1135" s="157">
        <f t="shared" si="716"/>
        <v>98887779.350855097</v>
      </c>
      <c r="V1135" s="157">
        <f t="shared" si="716"/>
        <v>63443972.80756177</v>
      </c>
      <c r="W1135" s="157">
        <f t="shared" si="716"/>
        <v>28000166.264268443</v>
      </c>
      <c r="X1135" s="157">
        <f t="shared" si="716"/>
        <v>0</v>
      </c>
      <c r="Y1135" s="157">
        <f t="shared" si="716"/>
        <v>0</v>
      </c>
      <c r="Z1135" s="157">
        <f t="shared" si="716"/>
        <v>0</v>
      </c>
      <c r="AA1135" s="157">
        <f t="shared" si="716"/>
        <v>0</v>
      </c>
      <c r="AB1135" s="157">
        <f t="shared" si="716"/>
        <v>0</v>
      </c>
      <c r="AC1135" s="157">
        <f t="shared" si="716"/>
        <v>0</v>
      </c>
      <c r="AD1135" s="157">
        <f t="shared" si="716"/>
        <v>0</v>
      </c>
      <c r="AE1135" s="157">
        <f t="shared" si="716"/>
        <v>0</v>
      </c>
      <c r="AF1135" s="157">
        <f t="shared" si="716"/>
        <v>0</v>
      </c>
      <c r="AG1135" s="157">
        <f t="shared" si="716"/>
        <v>0</v>
      </c>
      <c r="AH1135" s="157">
        <f t="shared" si="716"/>
        <v>0</v>
      </c>
      <c r="AI1135" s="157">
        <f t="shared" si="716"/>
        <v>0</v>
      </c>
      <c r="AJ1135" s="157">
        <f t="shared" si="716"/>
        <v>0</v>
      </c>
      <c r="AK1135" s="157">
        <f t="shared" si="716"/>
        <v>0</v>
      </c>
      <c r="AL1135" s="157">
        <f t="shared" si="716"/>
        <v>0</v>
      </c>
      <c r="AM1135" s="157">
        <f t="shared" si="716"/>
        <v>0</v>
      </c>
      <c r="AN1135" s="157">
        <f t="shared" si="716"/>
        <v>0</v>
      </c>
      <c r="AO1135" s="157">
        <f t="shared" si="716"/>
        <v>0</v>
      </c>
      <c r="AP1135" s="157">
        <f t="shared" si="716"/>
        <v>0</v>
      </c>
      <c r="AQ1135" s="157">
        <f t="shared" si="716"/>
        <v>0</v>
      </c>
      <c r="AR1135" s="157">
        <f t="shared" si="716"/>
        <v>0</v>
      </c>
      <c r="AS1135" s="157">
        <f t="shared" si="716"/>
        <v>0</v>
      </c>
      <c r="AT1135" s="157">
        <f t="shared" si="716"/>
        <v>0</v>
      </c>
      <c r="AU1135" s="157">
        <f t="shared" si="716"/>
        <v>0</v>
      </c>
      <c r="AV1135" s="157">
        <f t="shared" si="716"/>
        <v>0</v>
      </c>
      <c r="AW1135" s="157">
        <f t="shared" si="716"/>
        <v>0</v>
      </c>
      <c r="AX1135" s="157">
        <f t="shared" si="716"/>
        <v>0</v>
      </c>
      <c r="AY1135" s="157">
        <f t="shared" si="716"/>
        <v>0</v>
      </c>
      <c r="AZ1135" s="157">
        <f t="shared" si="716"/>
        <v>0</v>
      </c>
      <c r="BA1135" s="157">
        <f t="shared" si="716"/>
        <v>0</v>
      </c>
      <c r="BB1135" s="157">
        <f t="shared" si="716"/>
        <v>0</v>
      </c>
      <c r="BC1135" s="157">
        <f t="shared" si="716"/>
        <v>0</v>
      </c>
      <c r="BD1135" s="157">
        <f t="shared" si="716"/>
        <v>0</v>
      </c>
      <c r="BE1135" s="157">
        <f t="shared" si="716"/>
        <v>0</v>
      </c>
      <c r="BF1135" s="157">
        <f t="shared" si="716"/>
        <v>0</v>
      </c>
      <c r="BG1135" s="157">
        <f t="shared" si="716"/>
        <v>0</v>
      </c>
      <c r="BH1135" s="157">
        <f t="shared" si="716"/>
        <v>0</v>
      </c>
      <c r="BI1135" s="157">
        <f t="shared" si="716"/>
        <v>0</v>
      </c>
      <c r="BJ1135" s="158">
        <f t="shared" si="716"/>
        <v>0</v>
      </c>
      <c r="BK1135" s="159"/>
      <c r="BL1135" s="159"/>
    </row>
    <row r="1136" spans="1:64" s="160" customFormat="1">
      <c r="A1136" s="131" t="s">
        <v>135</v>
      </c>
      <c r="B1136" s="156">
        <f t="shared" si="711"/>
        <v>734788060.21053553</v>
      </c>
      <c r="C1136" s="231">
        <f>IF(C1135&lt;=0,0,C1135*$K1097)</f>
        <v>0</v>
      </c>
      <c r="D1136" s="157">
        <f>IF(D1135&lt;=0,0,D1135*$K1097)</f>
        <v>0</v>
      </c>
      <c r="E1136" s="157">
        <f t="shared" ref="E1136:BJ1136" si="717">IF(E1135&lt;=0,0,E1135*$K1097)</f>
        <v>0</v>
      </c>
      <c r="F1136" s="157">
        <f t="shared" si="717"/>
        <v>0</v>
      </c>
      <c r="G1136" s="157">
        <f t="shared" si="717"/>
        <v>0</v>
      </c>
      <c r="H1136" s="157">
        <f t="shared" si="717"/>
        <v>8400049.8792805318</v>
      </c>
      <c r="I1136" s="157">
        <f t="shared" si="717"/>
        <v>19033191.84226853</v>
      </c>
      <c r="J1136" s="157">
        <f t="shared" si="717"/>
        <v>29666333.805256527</v>
      </c>
      <c r="K1136" s="157">
        <f t="shared" si="717"/>
        <v>40299475.768244527</v>
      </c>
      <c r="L1136" s="157">
        <f t="shared" si="717"/>
        <v>67498744.702554405</v>
      </c>
      <c r="M1136" s="157">
        <f t="shared" si="717"/>
        <v>67498744.702554405</v>
      </c>
      <c r="N1136" s="157">
        <f t="shared" si="717"/>
        <v>67498744.702554405</v>
      </c>
      <c r="O1136" s="157">
        <f t="shared" si="717"/>
        <v>67498744.702554405</v>
      </c>
      <c r="P1136" s="157">
        <f t="shared" si="717"/>
        <v>67498744.702554405</v>
      </c>
      <c r="Q1136" s="157">
        <f t="shared" si="717"/>
        <v>67498744.702554405</v>
      </c>
      <c r="R1136" s="157">
        <f t="shared" si="717"/>
        <v>67498744.702554405</v>
      </c>
      <c r="S1136" s="157">
        <f t="shared" si="717"/>
        <v>67498744.702554405</v>
      </c>
      <c r="T1136" s="157">
        <f t="shared" si="717"/>
        <v>40299475.768244527</v>
      </c>
      <c r="U1136" s="157">
        <f t="shared" si="717"/>
        <v>29666333.805256527</v>
      </c>
      <c r="V1136" s="157">
        <f t="shared" si="717"/>
        <v>19033191.84226853</v>
      </c>
      <c r="W1136" s="157">
        <f t="shared" si="717"/>
        <v>8400049.8792805318</v>
      </c>
      <c r="X1136" s="157">
        <f t="shared" si="717"/>
        <v>0</v>
      </c>
      <c r="Y1136" s="157">
        <f t="shared" si="717"/>
        <v>0</v>
      </c>
      <c r="Z1136" s="157">
        <f t="shared" si="717"/>
        <v>0</v>
      </c>
      <c r="AA1136" s="157">
        <f t="shared" si="717"/>
        <v>0</v>
      </c>
      <c r="AB1136" s="157">
        <f t="shared" si="717"/>
        <v>0</v>
      </c>
      <c r="AC1136" s="157">
        <f t="shared" si="717"/>
        <v>0</v>
      </c>
      <c r="AD1136" s="157">
        <f t="shared" si="717"/>
        <v>0</v>
      </c>
      <c r="AE1136" s="157">
        <f t="shared" si="717"/>
        <v>0</v>
      </c>
      <c r="AF1136" s="157">
        <f t="shared" si="717"/>
        <v>0</v>
      </c>
      <c r="AG1136" s="157">
        <f t="shared" si="717"/>
        <v>0</v>
      </c>
      <c r="AH1136" s="157">
        <f t="shared" si="717"/>
        <v>0</v>
      </c>
      <c r="AI1136" s="157">
        <f t="shared" si="717"/>
        <v>0</v>
      </c>
      <c r="AJ1136" s="157">
        <f t="shared" si="717"/>
        <v>0</v>
      </c>
      <c r="AK1136" s="157">
        <f t="shared" si="717"/>
        <v>0</v>
      </c>
      <c r="AL1136" s="157">
        <f t="shared" si="717"/>
        <v>0</v>
      </c>
      <c r="AM1136" s="157">
        <f t="shared" si="717"/>
        <v>0</v>
      </c>
      <c r="AN1136" s="157">
        <f t="shared" si="717"/>
        <v>0</v>
      </c>
      <c r="AO1136" s="157">
        <f t="shared" si="717"/>
        <v>0</v>
      </c>
      <c r="AP1136" s="157">
        <f t="shared" si="717"/>
        <v>0</v>
      </c>
      <c r="AQ1136" s="157">
        <f t="shared" si="717"/>
        <v>0</v>
      </c>
      <c r="AR1136" s="157">
        <f t="shared" si="717"/>
        <v>0</v>
      </c>
      <c r="AS1136" s="157">
        <f t="shared" si="717"/>
        <v>0</v>
      </c>
      <c r="AT1136" s="157">
        <f t="shared" si="717"/>
        <v>0</v>
      </c>
      <c r="AU1136" s="157">
        <f t="shared" si="717"/>
        <v>0</v>
      </c>
      <c r="AV1136" s="157">
        <f t="shared" si="717"/>
        <v>0</v>
      </c>
      <c r="AW1136" s="157">
        <f t="shared" si="717"/>
        <v>0</v>
      </c>
      <c r="AX1136" s="157">
        <f t="shared" si="717"/>
        <v>0</v>
      </c>
      <c r="AY1136" s="157">
        <f t="shared" si="717"/>
        <v>0</v>
      </c>
      <c r="AZ1136" s="157">
        <f t="shared" si="717"/>
        <v>0</v>
      </c>
      <c r="BA1136" s="157">
        <f t="shared" si="717"/>
        <v>0</v>
      </c>
      <c r="BB1136" s="157">
        <f t="shared" si="717"/>
        <v>0</v>
      </c>
      <c r="BC1136" s="157">
        <f t="shared" si="717"/>
        <v>0</v>
      </c>
      <c r="BD1136" s="157">
        <f t="shared" si="717"/>
        <v>0</v>
      </c>
      <c r="BE1136" s="157">
        <f t="shared" si="717"/>
        <v>0</v>
      </c>
      <c r="BF1136" s="157">
        <f t="shared" si="717"/>
        <v>0</v>
      </c>
      <c r="BG1136" s="157">
        <f t="shared" si="717"/>
        <v>0</v>
      </c>
      <c r="BH1136" s="157">
        <f t="shared" si="717"/>
        <v>0</v>
      </c>
      <c r="BI1136" s="157">
        <f t="shared" si="717"/>
        <v>0</v>
      </c>
      <c r="BJ1136" s="158">
        <f t="shared" si="717"/>
        <v>0</v>
      </c>
      <c r="BK1136" s="159"/>
      <c r="BL1136" s="159"/>
    </row>
    <row r="1137" spans="1:64" s="105" customFormat="1">
      <c r="A1137" s="164" t="s">
        <v>136</v>
      </c>
      <c r="B1137" s="161">
        <f t="shared" si="711"/>
        <v>1483830239.0651841</v>
      </c>
      <c r="C1137" s="133">
        <f>C1135-C1136</f>
        <v>-30817226.060209621</v>
      </c>
      <c r="D1137" s="134">
        <f>D1135-D1136</f>
        <v>-34494568.956271604</v>
      </c>
      <c r="E1137" s="134">
        <f>E1135-E1136</f>
        <v>-53386877.928111024</v>
      </c>
      <c r="F1137" s="134">
        <f>F1135-F1136</f>
        <v>-55121146.580972373</v>
      </c>
      <c r="G1137" s="134">
        <f t="shared" ref="G1137:BJ1137" si="718">G1135-G1136</f>
        <v>-56855415.233833723</v>
      </c>
      <c r="H1137" s="134">
        <f t="shared" si="718"/>
        <v>19600116.384987913</v>
      </c>
      <c r="I1137" s="134">
        <f t="shared" si="718"/>
        <v>44410780.965293244</v>
      </c>
      <c r="J1137" s="134">
        <f t="shared" si="718"/>
        <v>69221445.545598567</v>
      </c>
      <c r="K1137" s="134">
        <f t="shared" si="718"/>
        <v>94032110.125903904</v>
      </c>
      <c r="L1137" s="134">
        <f t="shared" si="718"/>
        <v>157497070.97262695</v>
      </c>
      <c r="M1137" s="134">
        <f t="shared" si="718"/>
        <v>157497070.97262695</v>
      </c>
      <c r="N1137" s="134">
        <f t="shared" si="718"/>
        <v>157497070.97262695</v>
      </c>
      <c r="O1137" s="134">
        <f t="shared" si="718"/>
        <v>157497070.97262695</v>
      </c>
      <c r="P1137" s="134">
        <f t="shared" si="718"/>
        <v>157497070.97262695</v>
      </c>
      <c r="Q1137" s="134">
        <f t="shared" si="718"/>
        <v>157497070.97262695</v>
      </c>
      <c r="R1137" s="134">
        <f t="shared" si="718"/>
        <v>157497070.97262695</v>
      </c>
      <c r="S1137" s="134">
        <f t="shared" si="718"/>
        <v>157497070.97262695</v>
      </c>
      <c r="T1137" s="134">
        <f t="shared" si="718"/>
        <v>94032110.125903904</v>
      </c>
      <c r="U1137" s="134">
        <f t="shared" si="718"/>
        <v>69221445.545598567</v>
      </c>
      <c r="V1137" s="134">
        <f t="shared" si="718"/>
        <v>44410780.965293244</v>
      </c>
      <c r="W1137" s="134">
        <f t="shared" si="718"/>
        <v>19600116.384987913</v>
      </c>
      <c r="X1137" s="134">
        <f t="shared" si="718"/>
        <v>0</v>
      </c>
      <c r="Y1137" s="134">
        <f t="shared" si="718"/>
        <v>0</v>
      </c>
      <c r="Z1137" s="134">
        <f t="shared" si="718"/>
        <v>0</v>
      </c>
      <c r="AA1137" s="134">
        <f t="shared" si="718"/>
        <v>0</v>
      </c>
      <c r="AB1137" s="134">
        <f t="shared" si="718"/>
        <v>0</v>
      </c>
      <c r="AC1137" s="134">
        <f t="shared" si="718"/>
        <v>0</v>
      </c>
      <c r="AD1137" s="134">
        <f t="shared" si="718"/>
        <v>0</v>
      </c>
      <c r="AE1137" s="134">
        <f t="shared" si="718"/>
        <v>0</v>
      </c>
      <c r="AF1137" s="134">
        <f t="shared" si="718"/>
        <v>0</v>
      </c>
      <c r="AG1137" s="134">
        <f t="shared" si="718"/>
        <v>0</v>
      </c>
      <c r="AH1137" s="134">
        <f t="shared" si="718"/>
        <v>0</v>
      </c>
      <c r="AI1137" s="134">
        <f t="shared" si="718"/>
        <v>0</v>
      </c>
      <c r="AJ1137" s="134">
        <f t="shared" si="718"/>
        <v>0</v>
      </c>
      <c r="AK1137" s="134">
        <f t="shared" si="718"/>
        <v>0</v>
      </c>
      <c r="AL1137" s="134">
        <f t="shared" si="718"/>
        <v>0</v>
      </c>
      <c r="AM1137" s="134">
        <f t="shared" si="718"/>
        <v>0</v>
      </c>
      <c r="AN1137" s="134">
        <f t="shared" si="718"/>
        <v>0</v>
      </c>
      <c r="AO1137" s="134">
        <f t="shared" si="718"/>
        <v>0</v>
      </c>
      <c r="AP1137" s="134">
        <f t="shared" si="718"/>
        <v>0</v>
      </c>
      <c r="AQ1137" s="134">
        <f t="shared" si="718"/>
        <v>0</v>
      </c>
      <c r="AR1137" s="134">
        <f t="shared" si="718"/>
        <v>0</v>
      </c>
      <c r="AS1137" s="134">
        <f t="shared" si="718"/>
        <v>0</v>
      </c>
      <c r="AT1137" s="134">
        <f t="shared" si="718"/>
        <v>0</v>
      </c>
      <c r="AU1137" s="134">
        <f t="shared" si="718"/>
        <v>0</v>
      </c>
      <c r="AV1137" s="134">
        <f t="shared" si="718"/>
        <v>0</v>
      </c>
      <c r="AW1137" s="134">
        <f t="shared" si="718"/>
        <v>0</v>
      </c>
      <c r="AX1137" s="134">
        <f t="shared" si="718"/>
        <v>0</v>
      </c>
      <c r="AY1137" s="134">
        <f t="shared" si="718"/>
        <v>0</v>
      </c>
      <c r="AZ1137" s="134">
        <f t="shared" si="718"/>
        <v>0</v>
      </c>
      <c r="BA1137" s="134">
        <f t="shared" si="718"/>
        <v>0</v>
      </c>
      <c r="BB1137" s="134">
        <f t="shared" si="718"/>
        <v>0</v>
      </c>
      <c r="BC1137" s="134">
        <f t="shared" si="718"/>
        <v>0</v>
      </c>
      <c r="BD1137" s="134">
        <f t="shared" si="718"/>
        <v>0</v>
      </c>
      <c r="BE1137" s="134">
        <f t="shared" si="718"/>
        <v>0</v>
      </c>
      <c r="BF1137" s="134">
        <f t="shared" si="718"/>
        <v>0</v>
      </c>
      <c r="BG1137" s="134">
        <f t="shared" si="718"/>
        <v>0</v>
      </c>
      <c r="BH1137" s="134">
        <f t="shared" si="718"/>
        <v>0</v>
      </c>
      <c r="BI1137" s="134">
        <f t="shared" si="718"/>
        <v>0</v>
      </c>
      <c r="BJ1137" s="135">
        <f t="shared" si="718"/>
        <v>0</v>
      </c>
      <c r="BK1137" s="109"/>
      <c r="BL1137" s="109"/>
    </row>
    <row r="1138" spans="1:64">
      <c r="A1138" s="165" t="s">
        <v>137</v>
      </c>
      <c r="B1138" s="161" t="e">
        <f>SUM(B1139:B1141)</f>
        <v>#REF!</v>
      </c>
      <c r="C1138" s="166"/>
      <c r="D1138" s="167"/>
      <c r="E1138" s="168"/>
      <c r="F1138" s="168"/>
      <c r="G1138" s="168"/>
      <c r="H1138" s="168"/>
      <c r="I1138" s="168"/>
      <c r="J1138" s="168"/>
      <c r="K1138" s="168"/>
      <c r="L1138" s="168"/>
      <c r="M1138" s="168"/>
      <c r="N1138" s="168"/>
      <c r="O1138" s="168"/>
      <c r="P1138" s="168"/>
      <c r="Q1138" s="168"/>
      <c r="R1138" s="168"/>
      <c r="S1138" s="168"/>
      <c r="T1138" s="168"/>
      <c r="U1138" s="168"/>
      <c r="V1138" s="168"/>
      <c r="W1138" s="168"/>
      <c r="X1138" s="168"/>
      <c r="Y1138" s="168"/>
      <c r="Z1138" s="168"/>
      <c r="AA1138" s="168"/>
      <c r="AB1138" s="168"/>
      <c r="AC1138" s="168"/>
      <c r="AD1138" s="168"/>
      <c r="AE1138" s="168"/>
      <c r="AF1138" s="168"/>
      <c r="AG1138" s="168"/>
      <c r="AH1138" s="168"/>
      <c r="AI1138" s="168"/>
      <c r="AJ1138" s="168"/>
      <c r="AK1138" s="168"/>
      <c r="AL1138" s="168"/>
      <c r="AM1138" s="168"/>
      <c r="AN1138" s="168"/>
      <c r="AO1138" s="168"/>
      <c r="AP1138" s="168"/>
      <c r="AQ1138" s="168"/>
      <c r="AR1138" s="168"/>
      <c r="AS1138" s="168"/>
      <c r="AT1138" s="168"/>
      <c r="AU1138" s="168"/>
      <c r="AV1138" s="168"/>
      <c r="AW1138" s="168"/>
      <c r="AX1138" s="168"/>
      <c r="AY1138" s="168"/>
      <c r="AZ1138" s="168"/>
      <c r="BA1138" s="168"/>
      <c r="BB1138" s="168"/>
      <c r="BC1138" s="168"/>
      <c r="BD1138" s="168"/>
      <c r="BE1138" s="168"/>
      <c r="BF1138" s="168"/>
      <c r="BG1138" s="168"/>
      <c r="BH1138" s="168"/>
      <c r="BI1138" s="168"/>
      <c r="BJ1138" s="169"/>
    </row>
    <row r="1139" spans="1:64" s="174" customFormat="1" ht="12.75">
      <c r="A1139" s="120" t="s">
        <v>138</v>
      </c>
      <c r="B1139" s="170">
        <f>SUM(C1139:BJ1139)</f>
        <v>83763514.362538293</v>
      </c>
      <c r="C1139" s="171">
        <f>C1110-C1115</f>
        <v>31276510.001483783</v>
      </c>
      <c r="D1139" s="172">
        <f>IF(AND(D1098&gt;5,D1099=0),0,D1110-D1115)</f>
        <v>32629184.946421612</v>
      </c>
      <c r="E1139" s="172">
        <f t="shared" ref="E1139:BJ1139" si="719">IF(AND(E1098&gt;5,E1099=0),0,E1110-E1115)</f>
        <v>48052956.612538323</v>
      </c>
      <c r="F1139" s="172">
        <f t="shared" si="719"/>
        <v>46318687.959676974</v>
      </c>
      <c r="G1139" s="172">
        <f t="shared" si="719"/>
        <v>44584419.306815624</v>
      </c>
      <c r="H1139" s="172">
        <f t="shared" si="719"/>
        <v>-7443640.2790248832</v>
      </c>
      <c r="I1139" s="172">
        <f t="shared" si="719"/>
        <v>-7443640.2790248832</v>
      </c>
      <c r="J1139" s="172">
        <f t="shared" si="719"/>
        <v>-7443640.2790248832</v>
      </c>
      <c r="K1139" s="172">
        <f t="shared" si="719"/>
        <v>-7443640.2790248832</v>
      </c>
      <c r="L1139" s="172">
        <f t="shared" si="719"/>
        <v>-7443640.2790248832</v>
      </c>
      <c r="M1139" s="172">
        <f t="shared" si="719"/>
        <v>-7443640.2790248832</v>
      </c>
      <c r="N1139" s="172">
        <f t="shared" si="719"/>
        <v>-7443640.2790248832</v>
      </c>
      <c r="O1139" s="172">
        <f t="shared" si="719"/>
        <v>-7443640.2790248832</v>
      </c>
      <c r="P1139" s="172">
        <f t="shared" si="719"/>
        <v>-7443640.2790248832</v>
      </c>
      <c r="Q1139" s="172">
        <f t="shared" si="719"/>
        <v>-7443640.2790248832</v>
      </c>
      <c r="R1139" s="172">
        <f t="shared" si="719"/>
        <v>-7443640.2790248832</v>
      </c>
      <c r="S1139" s="172">
        <f t="shared" si="719"/>
        <v>-7443640.2790248832</v>
      </c>
      <c r="T1139" s="172">
        <f t="shared" si="719"/>
        <v>-7443640.2790248832</v>
      </c>
      <c r="U1139" s="172">
        <f t="shared" si="719"/>
        <v>-7443640.2790248832</v>
      </c>
      <c r="V1139" s="172">
        <f t="shared" si="719"/>
        <v>-7443640.2790248832</v>
      </c>
      <c r="W1139" s="172">
        <f t="shared" si="719"/>
        <v>-7443640.2790248832</v>
      </c>
      <c r="X1139" s="172">
        <f t="shared" si="719"/>
        <v>0</v>
      </c>
      <c r="Y1139" s="172">
        <f t="shared" si="719"/>
        <v>0</v>
      </c>
      <c r="Z1139" s="172">
        <f t="shared" si="719"/>
        <v>0</v>
      </c>
      <c r="AA1139" s="172">
        <f t="shared" si="719"/>
        <v>0</v>
      </c>
      <c r="AB1139" s="172">
        <f t="shared" si="719"/>
        <v>0</v>
      </c>
      <c r="AC1139" s="172">
        <f t="shared" si="719"/>
        <v>0</v>
      </c>
      <c r="AD1139" s="172">
        <f t="shared" si="719"/>
        <v>0</v>
      </c>
      <c r="AE1139" s="172">
        <f t="shared" si="719"/>
        <v>0</v>
      </c>
      <c r="AF1139" s="172">
        <f t="shared" si="719"/>
        <v>0</v>
      </c>
      <c r="AG1139" s="172">
        <f t="shared" si="719"/>
        <v>0</v>
      </c>
      <c r="AH1139" s="172">
        <f t="shared" si="719"/>
        <v>0</v>
      </c>
      <c r="AI1139" s="172">
        <f t="shared" si="719"/>
        <v>0</v>
      </c>
      <c r="AJ1139" s="172">
        <f t="shared" si="719"/>
        <v>0</v>
      </c>
      <c r="AK1139" s="172">
        <f t="shared" si="719"/>
        <v>0</v>
      </c>
      <c r="AL1139" s="172">
        <f t="shared" si="719"/>
        <v>0</v>
      </c>
      <c r="AM1139" s="172">
        <f t="shared" si="719"/>
        <v>0</v>
      </c>
      <c r="AN1139" s="172">
        <f t="shared" si="719"/>
        <v>0</v>
      </c>
      <c r="AO1139" s="172">
        <f t="shared" si="719"/>
        <v>0</v>
      </c>
      <c r="AP1139" s="172">
        <f t="shared" si="719"/>
        <v>0</v>
      </c>
      <c r="AQ1139" s="172">
        <f t="shared" si="719"/>
        <v>0</v>
      </c>
      <c r="AR1139" s="172">
        <f t="shared" si="719"/>
        <v>0</v>
      </c>
      <c r="AS1139" s="172">
        <f t="shared" si="719"/>
        <v>0</v>
      </c>
      <c r="AT1139" s="172">
        <f t="shared" si="719"/>
        <v>0</v>
      </c>
      <c r="AU1139" s="172">
        <f t="shared" si="719"/>
        <v>0</v>
      </c>
      <c r="AV1139" s="172">
        <f t="shared" si="719"/>
        <v>0</v>
      </c>
      <c r="AW1139" s="172">
        <f t="shared" si="719"/>
        <v>0</v>
      </c>
      <c r="AX1139" s="172">
        <f t="shared" si="719"/>
        <v>0</v>
      </c>
      <c r="AY1139" s="172">
        <f t="shared" si="719"/>
        <v>0</v>
      </c>
      <c r="AZ1139" s="172">
        <f t="shared" si="719"/>
        <v>0</v>
      </c>
      <c r="BA1139" s="172">
        <f t="shared" si="719"/>
        <v>0</v>
      </c>
      <c r="BB1139" s="172">
        <f t="shared" si="719"/>
        <v>0</v>
      </c>
      <c r="BC1139" s="172">
        <f t="shared" si="719"/>
        <v>0</v>
      </c>
      <c r="BD1139" s="172">
        <f t="shared" si="719"/>
        <v>0</v>
      </c>
      <c r="BE1139" s="172">
        <f t="shared" si="719"/>
        <v>0</v>
      </c>
      <c r="BF1139" s="172">
        <f t="shared" si="719"/>
        <v>0</v>
      </c>
      <c r="BG1139" s="172">
        <f t="shared" si="719"/>
        <v>0</v>
      </c>
      <c r="BH1139" s="172">
        <f t="shared" si="719"/>
        <v>0</v>
      </c>
      <c r="BI1139" s="172">
        <f t="shared" si="719"/>
        <v>0</v>
      </c>
      <c r="BJ1139" s="173">
        <f t="shared" si="719"/>
        <v>0</v>
      </c>
      <c r="BK1139" s="172"/>
      <c r="BL1139" s="172"/>
    </row>
    <row r="1140" spans="1:64" s="174" customFormat="1" ht="12.75">
      <c r="A1140" s="120" t="s">
        <v>139</v>
      </c>
      <c r="B1140" s="170">
        <f>SUM(C1140:BJ1140)</f>
        <v>139545694.0082083</v>
      </c>
      <c r="C1140" s="171">
        <f>C1130</f>
        <v>1078500.3448787511</v>
      </c>
      <c r="D1140" s="172">
        <f>D1130</f>
        <v>2240834.3204408325</v>
      </c>
      <c r="E1140" s="172">
        <f t="shared" ref="E1140:BJ1140" si="720">E1130</f>
        <v>3975102.9733021823</v>
      </c>
      <c r="F1140" s="172">
        <f t="shared" si="720"/>
        <v>5709371.626163533</v>
      </c>
      <c r="G1140" s="172">
        <f t="shared" si="720"/>
        <v>7443640.2790248832</v>
      </c>
      <c r="H1140" s="172">
        <f t="shared" si="720"/>
        <v>7443640.2790248832</v>
      </c>
      <c r="I1140" s="172">
        <f t="shared" si="720"/>
        <v>7443640.2790248832</v>
      </c>
      <c r="J1140" s="172">
        <f t="shared" si="720"/>
        <v>7443640.2790248832</v>
      </c>
      <c r="K1140" s="172">
        <f t="shared" si="720"/>
        <v>7443640.2790248832</v>
      </c>
      <c r="L1140" s="172">
        <f t="shared" si="720"/>
        <v>7443640.2790248832</v>
      </c>
      <c r="M1140" s="172">
        <f t="shared" si="720"/>
        <v>7443640.2790248832</v>
      </c>
      <c r="N1140" s="172">
        <f t="shared" si="720"/>
        <v>7443640.2790248832</v>
      </c>
      <c r="O1140" s="172">
        <f t="shared" si="720"/>
        <v>7443640.2790248832</v>
      </c>
      <c r="P1140" s="172">
        <f t="shared" si="720"/>
        <v>7443640.2790248832</v>
      </c>
      <c r="Q1140" s="172">
        <f t="shared" si="720"/>
        <v>7443640.2790248832</v>
      </c>
      <c r="R1140" s="172">
        <f t="shared" si="720"/>
        <v>7443640.2790248832</v>
      </c>
      <c r="S1140" s="172">
        <f t="shared" si="720"/>
        <v>7443640.2790248832</v>
      </c>
      <c r="T1140" s="172">
        <f t="shared" si="720"/>
        <v>7443640.2790248832</v>
      </c>
      <c r="U1140" s="172">
        <f t="shared" si="720"/>
        <v>7443640.2790248832</v>
      </c>
      <c r="V1140" s="172">
        <f t="shared" si="720"/>
        <v>7443640.2790248832</v>
      </c>
      <c r="W1140" s="172">
        <f t="shared" si="720"/>
        <v>7443640.2790248832</v>
      </c>
      <c r="X1140" s="172">
        <f t="shared" si="720"/>
        <v>0</v>
      </c>
      <c r="Y1140" s="172">
        <f t="shared" si="720"/>
        <v>0</v>
      </c>
      <c r="Z1140" s="172">
        <f t="shared" si="720"/>
        <v>0</v>
      </c>
      <c r="AA1140" s="172">
        <f t="shared" si="720"/>
        <v>0</v>
      </c>
      <c r="AB1140" s="172">
        <f t="shared" si="720"/>
        <v>0</v>
      </c>
      <c r="AC1140" s="172">
        <f t="shared" si="720"/>
        <v>0</v>
      </c>
      <c r="AD1140" s="172">
        <f t="shared" si="720"/>
        <v>0</v>
      </c>
      <c r="AE1140" s="172">
        <f t="shared" si="720"/>
        <v>0</v>
      </c>
      <c r="AF1140" s="172">
        <f t="shared" si="720"/>
        <v>0</v>
      </c>
      <c r="AG1140" s="172">
        <f t="shared" si="720"/>
        <v>0</v>
      </c>
      <c r="AH1140" s="172">
        <f t="shared" si="720"/>
        <v>0</v>
      </c>
      <c r="AI1140" s="172">
        <f t="shared" si="720"/>
        <v>0</v>
      </c>
      <c r="AJ1140" s="172">
        <f t="shared" si="720"/>
        <v>0</v>
      </c>
      <c r="AK1140" s="172">
        <f t="shared" si="720"/>
        <v>0</v>
      </c>
      <c r="AL1140" s="172">
        <f t="shared" si="720"/>
        <v>0</v>
      </c>
      <c r="AM1140" s="172">
        <f t="shared" si="720"/>
        <v>0</v>
      </c>
      <c r="AN1140" s="172">
        <f t="shared" si="720"/>
        <v>0</v>
      </c>
      <c r="AO1140" s="172">
        <f t="shared" si="720"/>
        <v>0</v>
      </c>
      <c r="AP1140" s="172">
        <f t="shared" si="720"/>
        <v>0</v>
      </c>
      <c r="AQ1140" s="172">
        <f t="shared" si="720"/>
        <v>0</v>
      </c>
      <c r="AR1140" s="172">
        <f t="shared" si="720"/>
        <v>0</v>
      </c>
      <c r="AS1140" s="172">
        <f t="shared" si="720"/>
        <v>0</v>
      </c>
      <c r="AT1140" s="172">
        <f t="shared" si="720"/>
        <v>0</v>
      </c>
      <c r="AU1140" s="172">
        <f t="shared" si="720"/>
        <v>0</v>
      </c>
      <c r="AV1140" s="172">
        <f t="shared" si="720"/>
        <v>0</v>
      </c>
      <c r="AW1140" s="172">
        <f t="shared" si="720"/>
        <v>0</v>
      </c>
      <c r="AX1140" s="172">
        <f t="shared" si="720"/>
        <v>0</v>
      </c>
      <c r="AY1140" s="172">
        <f t="shared" si="720"/>
        <v>0</v>
      </c>
      <c r="AZ1140" s="172">
        <f t="shared" si="720"/>
        <v>0</v>
      </c>
      <c r="BA1140" s="172">
        <f t="shared" si="720"/>
        <v>0</v>
      </c>
      <c r="BB1140" s="172">
        <f t="shared" si="720"/>
        <v>0</v>
      </c>
      <c r="BC1140" s="172">
        <f t="shared" si="720"/>
        <v>0</v>
      </c>
      <c r="BD1140" s="172">
        <f t="shared" si="720"/>
        <v>0</v>
      </c>
      <c r="BE1140" s="172">
        <f t="shared" si="720"/>
        <v>0</v>
      </c>
      <c r="BF1140" s="172">
        <f t="shared" si="720"/>
        <v>0</v>
      </c>
      <c r="BG1140" s="172">
        <f t="shared" si="720"/>
        <v>0</v>
      </c>
      <c r="BH1140" s="172">
        <f t="shared" si="720"/>
        <v>0</v>
      </c>
      <c r="BI1140" s="172">
        <f t="shared" si="720"/>
        <v>0</v>
      </c>
      <c r="BJ1140" s="173">
        <f t="shared" si="720"/>
        <v>0</v>
      </c>
      <c r="BK1140" s="172"/>
      <c r="BL1140" s="172"/>
    </row>
    <row r="1141" spans="1:64" s="174" customFormat="1" ht="12.75">
      <c r="A1141" s="120" t="s">
        <v>140</v>
      </c>
      <c r="B1141" s="170" t="e">
        <f>SUM(C1141:BJ1141)</f>
        <v>#REF!</v>
      </c>
      <c r="C1141" s="171">
        <f>-C1110</f>
        <v>-32355010.346362535</v>
      </c>
      <c r="D1141" s="172">
        <f>IF(AND(D1098&gt;5,E1099=0,D1099&lt;&gt;0),SUM(D$71:$BJ1115)-D1110,-D1110)</f>
        <v>-34870019.266862445</v>
      </c>
      <c r="E1141" s="172">
        <f>IF(AND(E1098&gt;5,F1099=0,E1099&lt;&gt;0),SUM(E$71:$BJ1115)-E1110,-E1110)</f>
        <v>-52028059.585840508</v>
      </c>
      <c r="F1141" s="172">
        <f>IF(AND(F1098&gt;5,G1099=0,F1099&lt;&gt;0),SUM(F$71:$BJ1115)-F1110,-F1110)</f>
        <v>-52028059.585840508</v>
      </c>
      <c r="G1141" s="172">
        <f>IF(AND(G1098&gt;5,H1099=0,G1099&lt;&gt;0),SUM(G$71:$BJ1115)-G1110,-G1110)</f>
        <v>-52028059.585840508</v>
      </c>
      <c r="H1141" s="172">
        <f>IF(AND(H1098&gt;5,I1099=0,H1099&lt;&gt;0),SUM(H$71:$BJ1115)-H1110,-H1110)</f>
        <v>0</v>
      </c>
      <c r="I1141" s="172">
        <f>IF(AND(I1098&gt;5,J1099=0,I1099&lt;&gt;0),SUM(I$71:$BJ1115)-I1110,-I1110)</f>
        <v>0</v>
      </c>
      <c r="J1141" s="172">
        <f>IF(AND(J1098&gt;5,K1099=0,J1099&lt;&gt;0),SUM(J$71:$BJ1115)-J1110,-J1110)</f>
        <v>0</v>
      </c>
      <c r="K1141" s="172">
        <f>IF(AND(K1098&gt;5,L1099=0,K1099&lt;&gt;0),SUM(K$71:$BJ1115)-K1110,-K1110)</f>
        <v>0</v>
      </c>
      <c r="L1141" s="172">
        <f>IF(AND(L1098&gt;5,M1099=0,L1099&lt;&gt;0),SUM(L$71:$BJ1115)-L1110,-L1110)</f>
        <v>0</v>
      </c>
      <c r="M1141" s="172">
        <f>IF(AND(M1098&gt;5,N1099=0,M1099&lt;&gt;0),SUM(M$71:$BJ1115)-M1110,-M1110)</f>
        <v>0</v>
      </c>
      <c r="N1141" s="172">
        <f>IF(AND(N1098&gt;5,O1099=0,N1099&lt;&gt;0),SUM(N$71:$BJ1115)-N1110,-N1110)</f>
        <v>0</v>
      </c>
      <c r="O1141" s="172">
        <f>IF(AND(O1098&gt;5,P1099=0,O1099&lt;&gt;0),SUM(O$71:$BJ1115)-O1110,-O1110)</f>
        <v>0</v>
      </c>
      <c r="P1141" s="172">
        <f>IF(AND(P1098&gt;5,Q1099=0,P1099&lt;&gt;0),SUM(P$71:$BJ1115)-P1110,-P1110)</f>
        <v>0</v>
      </c>
      <c r="Q1141" s="172">
        <f>IF(AND(Q1098&gt;5,R1099=0,Q1099&lt;&gt;0),SUM(Q$71:$BJ1115)-Q1110,-Q1110)</f>
        <v>0</v>
      </c>
      <c r="R1141" s="172">
        <f>IF(AND(R1098&gt;5,S1099=0,R1099&lt;&gt;0),SUM(R$71:$BJ1115)-R1110,-R1110)</f>
        <v>0</v>
      </c>
      <c r="S1141" s="172">
        <f>IF(AND(S1098&gt;5,T1099=0,S1099&lt;&gt;0),SUM(S$71:$BJ1115)-S1110,-S1110)</f>
        <v>0</v>
      </c>
      <c r="T1141" s="172">
        <f>IF(AND(T1098&gt;5,U1099=0,T1099&lt;&gt;0),SUM(T$71:$BJ1115)-T1110,-T1110)</f>
        <v>0</v>
      </c>
      <c r="U1141" s="172">
        <f>IF(AND(U1098&gt;5,V1099=0,U1099&lt;&gt;0),SUM(U$71:$BJ1115)-U1110,-U1110)</f>
        <v>0</v>
      </c>
      <c r="V1141" s="172">
        <f>IF(AND(V1098&gt;5,W1099=0,V1099&lt;&gt;0),SUM(V$71:$BJ1115)-V1110,-V1110)</f>
        <v>0</v>
      </c>
      <c r="W1141" s="172" t="e">
        <f>IF(AND(W1098&gt;5,X1099=0,W1099&lt;&gt;0),SUM(W$71:$BJ1115)-W1110,-W1110)</f>
        <v>#REF!</v>
      </c>
      <c r="X1141" s="172">
        <f>IF(AND(X1098&gt;5,Y1099=0,X1099&lt;&gt;0),SUM(X$71:$BJ1115)-X1110,-X1110)</f>
        <v>0</v>
      </c>
      <c r="Y1141" s="172">
        <f>IF(AND(Y1098&gt;5,Z1099=0,Y1099&lt;&gt;0),SUM(Y$71:$BJ1115)-Y1110,-Y1110)</f>
        <v>0</v>
      </c>
      <c r="Z1141" s="175">
        <f>IF(AND(Z1098&gt;5,AA1099=0,Z1099&lt;&gt;0),SUM(Z$71:$BJ1115)-Z1110,-Z1110)</f>
        <v>0</v>
      </c>
      <c r="AA1141" s="172">
        <f>IF(AND(AA1098&gt;5,AB1099=0,AA1099&lt;&gt;0),SUM(AA$71:$BJ1115)-AA1110,-AA1110)</f>
        <v>0</v>
      </c>
      <c r="AB1141" s="172">
        <f>IF(AND(AB1098&gt;5,AC1099=0,AB1099&lt;&gt;0),SUM(AB$71:$BJ1115)-AB1110,-AB1110)</f>
        <v>0</v>
      </c>
      <c r="AC1141" s="172">
        <f>IF(AND(AC1098&gt;5,AD1099=0,AC1099&lt;&gt;0),SUM(AC$71:$BJ1115)-AC1110,-AC1110)</f>
        <v>0</v>
      </c>
      <c r="AD1141" s="172">
        <f>IF(AND(AD1098&gt;5,AE1099=0,AD1099&lt;&gt;0),SUM(AD$71:$BJ1115)-AD1110,-AD1110)</f>
        <v>0</v>
      </c>
      <c r="AE1141" s="172">
        <f>IF(AND(AE1098&gt;5,AF1099=0,AE1099&lt;&gt;0),SUM(AE$71:$BJ1115)-AE1110,-AE1110)</f>
        <v>0</v>
      </c>
      <c r="AF1141" s="172">
        <f>IF(AND(AF1098&gt;5,AG1099=0,AF1099&lt;&gt;0),SUM(AF$71:$BJ1115)-AF1110,-AF1110)</f>
        <v>0</v>
      </c>
      <c r="AG1141" s="172">
        <f>IF(AND(AG1098&gt;5,AH1099=0,AG1099&lt;&gt;0),SUM(AG$71:$BJ1115)-AG1110,-AG1110)</f>
        <v>0</v>
      </c>
      <c r="AH1141" s="172">
        <f>IF(AND(AH1098&gt;5,AI1099=0,AH1099&lt;&gt;0),SUM(AH$71:$BJ1115)-AH1110,-AH1110)</f>
        <v>0</v>
      </c>
      <c r="AI1141" s="172">
        <f>IF(AND(AI1098&gt;5,AJ1099=0,AI1099&lt;&gt;0),SUM(AI$71:$BJ1115)-AI1110,-AI1110)</f>
        <v>0</v>
      </c>
      <c r="AJ1141" s="172">
        <f>IF(AND(AJ1098&gt;5,AK1099=0,AJ1099&lt;&gt;0),SUM(AJ$71:$BJ1115)-AJ1110,-AJ1110)</f>
        <v>0</v>
      </c>
      <c r="AK1141" s="172">
        <f>IF(AND(AK1098&gt;5,AL1099=0,AK1099&lt;&gt;0),SUM(AK$71:$BJ1115)-AK1110,-AK1110)</f>
        <v>0</v>
      </c>
      <c r="AL1141" s="172">
        <f>IF(AND(AL1098&gt;5,AM1099=0,AL1099&lt;&gt;0),SUM(AL$71:$BJ1115)-AL1110,-AL1110)</f>
        <v>0</v>
      </c>
      <c r="AM1141" s="172">
        <f>IF(AND(AM1098&gt;5,AN1099=0,AM1099&lt;&gt;0),SUM(AM$71:$BJ1115)-AM1110,-AM1110)</f>
        <v>0</v>
      </c>
      <c r="AN1141" s="172">
        <f>IF(AND(AN1098&gt;5,AO1099=0,AN1099&lt;&gt;0),SUM(AN$71:$BJ1115)-AN1110,-AN1110)</f>
        <v>0</v>
      </c>
      <c r="AO1141" s="172">
        <f>IF(AND(AO1098&gt;5,AP1099=0,AO1099&lt;&gt;0),SUM(AO$71:$BJ1115)-AO1110,-AO1110)</f>
        <v>0</v>
      </c>
      <c r="AP1141" s="172">
        <f>IF(AND(AP1098&gt;5,AQ1099=0,AP1099&lt;&gt;0),SUM(AP$71:$BJ1115)-AP1110,-AP1110)</f>
        <v>0</v>
      </c>
      <c r="AQ1141" s="172">
        <f>IF(AND(AQ1098&gt;5,AR1099=0,AQ1099&lt;&gt;0),SUM(AQ$71:$BJ1115)-AQ1110,-AQ1110)</f>
        <v>0</v>
      </c>
      <c r="AR1141" s="172">
        <f>IF(AND(AR1098&gt;5,AS1099=0,AR1099&lt;&gt;0),SUM(AR$71:$BJ1115)-AR1110,-AR1110)</f>
        <v>0</v>
      </c>
      <c r="AS1141" s="172">
        <f>IF(AND(AS1098&gt;5,AT1099=0,AS1099&lt;&gt;0),SUM(AS$71:$BJ1115)-AS1110,-AS1110)</f>
        <v>0</v>
      </c>
      <c r="AT1141" s="172">
        <f>IF(AND(AT1098&gt;5,AU1099=0,AT1099&lt;&gt;0),SUM(AT$71:$BJ1115)-AT1110,-AT1110)</f>
        <v>0</v>
      </c>
      <c r="AU1141" s="172">
        <f>IF(AND(AU1098&gt;5,AV1099=0,AU1099&lt;&gt;0),SUM(AU$71:$BJ1115)-AU1110,-AU1110)</f>
        <v>0</v>
      </c>
      <c r="AV1141" s="172">
        <f>IF(AND(AV1098&gt;5,AW1099=0,AV1099&lt;&gt;0),SUM(AV$71:$BJ1115)-AV1110,-AV1110)</f>
        <v>0</v>
      </c>
      <c r="AW1141" s="172">
        <f>IF(AND(AW1098&gt;5,AX1099=0,AW1099&lt;&gt;0),SUM(AW$71:$BJ1115)-AW1110,-AW1110)</f>
        <v>0</v>
      </c>
      <c r="AX1141" s="172">
        <f>IF(AND(AX1098&gt;5,AY1099=0,AX1099&lt;&gt;0),SUM(AX$71:$BJ1115)-AX1110,-AX1110)</f>
        <v>0</v>
      </c>
      <c r="AY1141" s="172">
        <f>IF(AND(AY1098&gt;5,AZ1099=0,AY1099&lt;&gt;0),SUM(AY$71:$BJ1115)-AY1110,-AY1110)</f>
        <v>0</v>
      </c>
      <c r="AZ1141" s="172">
        <f>IF(AND(AZ1098&gt;5,BA1099=0,AZ1099&lt;&gt;0),SUM(AZ$71:$BJ1115)-AZ1110,-AZ1110)</f>
        <v>0</v>
      </c>
      <c r="BA1141" s="172">
        <f>IF(AND(BA1098&gt;5,BB1099=0,BA1099&lt;&gt;0),SUM(BA$71:$BJ1115)-BA1110,-BA1110)</f>
        <v>0</v>
      </c>
      <c r="BB1141" s="172">
        <f>IF(AND(BB1098&gt;5,BC1099=0,BB1099&lt;&gt;0),SUM(BB$71:$BJ1115)-BB1110,-BB1110)</f>
        <v>0</v>
      </c>
      <c r="BC1141" s="172">
        <f>IF(AND(BC1098&gt;5,BD1099=0,BC1099&lt;&gt;0),SUM(BC$71:$BJ1115)-BC1110,-BC1110)</f>
        <v>0</v>
      </c>
      <c r="BD1141" s="172">
        <f>IF(AND(BD1098&gt;5,BE1099=0,BD1099&lt;&gt;0),SUM(BD$71:$BJ1115)-BD1110,-BD1110)</f>
        <v>0</v>
      </c>
      <c r="BE1141" s="172">
        <f>IF(AND(BE1098&gt;5,BF1099=0,BE1099&lt;&gt;0),SUM(BE$71:$BJ1115)-BE1110,-BE1110)</f>
        <v>0</v>
      </c>
      <c r="BF1141" s="172">
        <f>IF(AND(BF1098&gt;5,BG1099=0,BF1099&lt;&gt;0),SUM(BF$71:$BJ1115)-BF1110,-BF1110)</f>
        <v>0</v>
      </c>
      <c r="BG1141" s="172">
        <f>IF(AND(BG1098&gt;5,BH1099=0,BG1099&lt;&gt;0),SUM(BG$71:$BJ1115)-BG1110,-BG1110)</f>
        <v>0</v>
      </c>
      <c r="BH1141" s="172">
        <f>IF(AND(BH1098&gt;5,BI1099=0,BH1099&lt;&gt;0),SUM(BH$71:$BJ1115)-BH1110,-BH1110)</f>
        <v>0</v>
      </c>
      <c r="BI1141" s="172">
        <f>IF(AND(BI1098&gt;5,BJ1099=0,BI1099&lt;&gt;0),SUM(BI$71:$BJ1115)-BI1110,-BI1110)</f>
        <v>0</v>
      </c>
      <c r="BJ1141" s="173">
        <f>IF(AND(BJ1098&gt;5,BK1099=0,BJ1099&lt;&gt;0),SUM(BJ$71:$BJ1115)-BJ1110,-BJ1110)</f>
        <v>0</v>
      </c>
      <c r="BK1141" s="172"/>
      <c r="BL1141" s="172"/>
    </row>
    <row r="1142" spans="1:64" s="160" customFormat="1">
      <c r="A1142" s="176" t="s">
        <v>141</v>
      </c>
      <c r="B1142" s="177">
        <f>SUM(C1142:BJ1142)</f>
        <v>1623375933.0733924</v>
      </c>
      <c r="C1142" s="178">
        <f>C1137+C1140</f>
        <v>-29738725.715330869</v>
      </c>
      <c r="D1142" s="179">
        <f t="shared" ref="D1142:BJ1142" si="721">D1137+D1140</f>
        <v>-32253734.635830771</v>
      </c>
      <c r="E1142" s="179">
        <f t="shared" si="721"/>
        <v>-49411774.954808839</v>
      </c>
      <c r="F1142" s="179">
        <f t="shared" si="721"/>
        <v>-49411774.954808839</v>
      </c>
      <c r="G1142" s="179">
        <f t="shared" si="721"/>
        <v>-49411774.954808839</v>
      </c>
      <c r="H1142" s="179">
        <f t="shared" si="721"/>
        <v>27043756.664012797</v>
      </c>
      <c r="I1142" s="179">
        <f t="shared" si="721"/>
        <v>51854421.244318128</v>
      </c>
      <c r="J1142" s="179">
        <f t="shared" si="721"/>
        <v>76665085.824623451</v>
      </c>
      <c r="K1142" s="179">
        <f t="shared" si="721"/>
        <v>101475750.40492879</v>
      </c>
      <c r="L1142" s="179">
        <f t="shared" si="721"/>
        <v>164940711.25165182</v>
      </c>
      <c r="M1142" s="179">
        <f t="shared" si="721"/>
        <v>164940711.25165182</v>
      </c>
      <c r="N1142" s="179">
        <f t="shared" si="721"/>
        <v>164940711.25165182</v>
      </c>
      <c r="O1142" s="179">
        <f t="shared" si="721"/>
        <v>164940711.25165182</v>
      </c>
      <c r="P1142" s="179">
        <f t="shared" si="721"/>
        <v>164940711.25165182</v>
      </c>
      <c r="Q1142" s="179">
        <f t="shared" si="721"/>
        <v>164940711.25165182</v>
      </c>
      <c r="R1142" s="179">
        <f t="shared" si="721"/>
        <v>164940711.25165182</v>
      </c>
      <c r="S1142" s="179">
        <f t="shared" si="721"/>
        <v>164940711.25165182</v>
      </c>
      <c r="T1142" s="179">
        <f t="shared" si="721"/>
        <v>101475750.40492879</v>
      </c>
      <c r="U1142" s="179">
        <f t="shared" si="721"/>
        <v>76665085.824623451</v>
      </c>
      <c r="V1142" s="179">
        <f t="shared" si="721"/>
        <v>51854421.244318128</v>
      </c>
      <c r="W1142" s="179">
        <f t="shared" si="721"/>
        <v>27043756.664012797</v>
      </c>
      <c r="X1142" s="179">
        <f t="shared" si="721"/>
        <v>0</v>
      </c>
      <c r="Y1142" s="179">
        <f t="shared" si="721"/>
        <v>0</v>
      </c>
      <c r="Z1142" s="179">
        <f t="shared" si="721"/>
        <v>0</v>
      </c>
      <c r="AA1142" s="179">
        <f t="shared" si="721"/>
        <v>0</v>
      </c>
      <c r="AB1142" s="179">
        <f t="shared" si="721"/>
        <v>0</v>
      </c>
      <c r="AC1142" s="179">
        <f t="shared" si="721"/>
        <v>0</v>
      </c>
      <c r="AD1142" s="179">
        <f t="shared" si="721"/>
        <v>0</v>
      </c>
      <c r="AE1142" s="179">
        <f t="shared" si="721"/>
        <v>0</v>
      </c>
      <c r="AF1142" s="179">
        <f t="shared" si="721"/>
        <v>0</v>
      </c>
      <c r="AG1142" s="179">
        <f t="shared" si="721"/>
        <v>0</v>
      </c>
      <c r="AH1142" s="179">
        <f t="shared" si="721"/>
        <v>0</v>
      </c>
      <c r="AI1142" s="179">
        <f t="shared" si="721"/>
        <v>0</v>
      </c>
      <c r="AJ1142" s="179">
        <f t="shared" si="721"/>
        <v>0</v>
      </c>
      <c r="AK1142" s="179">
        <f t="shared" si="721"/>
        <v>0</v>
      </c>
      <c r="AL1142" s="179">
        <f t="shared" si="721"/>
        <v>0</v>
      </c>
      <c r="AM1142" s="179">
        <f t="shared" si="721"/>
        <v>0</v>
      </c>
      <c r="AN1142" s="179">
        <f t="shared" si="721"/>
        <v>0</v>
      </c>
      <c r="AO1142" s="179">
        <f t="shared" si="721"/>
        <v>0</v>
      </c>
      <c r="AP1142" s="179">
        <f t="shared" si="721"/>
        <v>0</v>
      </c>
      <c r="AQ1142" s="179">
        <f t="shared" si="721"/>
        <v>0</v>
      </c>
      <c r="AR1142" s="179">
        <f t="shared" si="721"/>
        <v>0</v>
      </c>
      <c r="AS1142" s="179">
        <f t="shared" si="721"/>
        <v>0</v>
      </c>
      <c r="AT1142" s="179">
        <f t="shared" si="721"/>
        <v>0</v>
      </c>
      <c r="AU1142" s="179">
        <f t="shared" si="721"/>
        <v>0</v>
      </c>
      <c r="AV1142" s="179">
        <f t="shared" si="721"/>
        <v>0</v>
      </c>
      <c r="AW1142" s="179">
        <f t="shared" si="721"/>
        <v>0</v>
      </c>
      <c r="AX1142" s="179">
        <f t="shared" si="721"/>
        <v>0</v>
      </c>
      <c r="AY1142" s="179">
        <f t="shared" si="721"/>
        <v>0</v>
      </c>
      <c r="AZ1142" s="179">
        <f t="shared" si="721"/>
        <v>0</v>
      </c>
      <c r="BA1142" s="179">
        <f t="shared" si="721"/>
        <v>0</v>
      </c>
      <c r="BB1142" s="179">
        <f t="shared" si="721"/>
        <v>0</v>
      </c>
      <c r="BC1142" s="179">
        <f t="shared" si="721"/>
        <v>0</v>
      </c>
      <c r="BD1142" s="179">
        <f t="shared" si="721"/>
        <v>0</v>
      </c>
      <c r="BE1142" s="179">
        <f t="shared" si="721"/>
        <v>0</v>
      </c>
      <c r="BF1142" s="179">
        <f t="shared" si="721"/>
        <v>0</v>
      </c>
      <c r="BG1142" s="179">
        <f t="shared" si="721"/>
        <v>0</v>
      </c>
      <c r="BH1142" s="179">
        <f t="shared" si="721"/>
        <v>0</v>
      </c>
      <c r="BI1142" s="179">
        <f t="shared" si="721"/>
        <v>0</v>
      </c>
      <c r="BJ1142" s="180">
        <f t="shared" si="721"/>
        <v>0</v>
      </c>
    </row>
    <row r="1143" spans="1:64" s="80" customFormat="1">
      <c r="A1143" s="176" t="s">
        <v>142</v>
      </c>
      <c r="B1143" s="177">
        <f>SUM(C1143:BJ1143)</f>
        <v>317281546.48554516</v>
      </c>
      <c r="C1143" s="232">
        <f>C1142*(1+$C1097)^-(C1098-1)</f>
        <v>-29738725.715330869</v>
      </c>
      <c r="D1143" s="182">
        <f>D1142*(1+$C1097)^-(D1098-1)</f>
        <v>-28797977.353420328</v>
      </c>
      <c r="E1143" s="182">
        <f t="shared" ref="E1143:BJ1143" si="722">E1142*(1+$C1097)^-(E1098-1)</f>
        <v>-39390764.472902447</v>
      </c>
      <c r="F1143" s="182">
        <f t="shared" si="722"/>
        <v>-35170325.422234327</v>
      </c>
      <c r="G1143" s="182">
        <f t="shared" si="722"/>
        <v>-31402076.269852079</v>
      </c>
      <c r="H1143" s="182">
        <f t="shared" si="722"/>
        <v>15345353.810679695</v>
      </c>
      <c r="I1143" s="182">
        <f t="shared" si="722"/>
        <v>26271063.573009968</v>
      </c>
      <c r="J1143" s="182">
        <f t="shared" si="722"/>
        <v>34679391.416504011</v>
      </c>
      <c r="K1143" s="182">
        <f t="shared" si="722"/>
        <v>40984353.635171413</v>
      </c>
      <c r="L1143" s="182">
        <f t="shared" si="722"/>
        <v>59479274.004937664</v>
      </c>
      <c r="M1143" s="182">
        <f t="shared" si="722"/>
        <v>53106494.647265762</v>
      </c>
      <c r="N1143" s="182">
        <f t="shared" si="722"/>
        <v>47416513.077915855</v>
      </c>
      <c r="O1143" s="182">
        <f t="shared" si="722"/>
        <v>42336172.390996307</v>
      </c>
      <c r="P1143" s="182">
        <f t="shared" si="722"/>
        <v>37800153.920532405</v>
      </c>
      <c r="Q1143" s="182">
        <f t="shared" si="722"/>
        <v>33750137.429046787</v>
      </c>
      <c r="R1143" s="182">
        <f t="shared" si="722"/>
        <v>30134051.275934633</v>
      </c>
      <c r="S1143" s="182">
        <f t="shared" si="722"/>
        <v>26905402.924941633</v>
      </c>
      <c r="T1143" s="182">
        <f t="shared" si="722"/>
        <v>14779368.788233053</v>
      </c>
      <c r="U1143" s="182">
        <f t="shared" si="722"/>
        <v>9969496.3369351756</v>
      </c>
      <c r="V1143" s="182">
        <f t="shared" si="722"/>
        <v>6020649.7181933541</v>
      </c>
      <c r="W1143" s="182">
        <f t="shared" si="722"/>
        <v>2803538.7689875131</v>
      </c>
      <c r="X1143" s="182">
        <f t="shared" si="722"/>
        <v>0</v>
      </c>
      <c r="Y1143" s="182">
        <f t="shared" si="722"/>
        <v>0</v>
      </c>
      <c r="Z1143" s="182">
        <f t="shared" si="722"/>
        <v>0</v>
      </c>
      <c r="AA1143" s="182">
        <f t="shared" si="722"/>
        <v>0</v>
      </c>
      <c r="AB1143" s="182">
        <f t="shared" si="722"/>
        <v>0</v>
      </c>
      <c r="AC1143" s="182">
        <f t="shared" si="722"/>
        <v>0</v>
      </c>
      <c r="AD1143" s="182">
        <f t="shared" si="722"/>
        <v>0</v>
      </c>
      <c r="AE1143" s="182">
        <f t="shared" si="722"/>
        <v>0</v>
      </c>
      <c r="AF1143" s="182">
        <f t="shared" si="722"/>
        <v>0</v>
      </c>
      <c r="AG1143" s="182">
        <f t="shared" si="722"/>
        <v>0</v>
      </c>
      <c r="AH1143" s="182">
        <f t="shared" si="722"/>
        <v>0</v>
      </c>
      <c r="AI1143" s="182">
        <f t="shared" si="722"/>
        <v>0</v>
      </c>
      <c r="AJ1143" s="182">
        <f t="shared" si="722"/>
        <v>0</v>
      </c>
      <c r="AK1143" s="182">
        <f t="shared" si="722"/>
        <v>0</v>
      </c>
      <c r="AL1143" s="182">
        <f t="shared" si="722"/>
        <v>0</v>
      </c>
      <c r="AM1143" s="182">
        <f t="shared" si="722"/>
        <v>0</v>
      </c>
      <c r="AN1143" s="182">
        <f t="shared" si="722"/>
        <v>0</v>
      </c>
      <c r="AO1143" s="182">
        <f t="shared" si="722"/>
        <v>0</v>
      </c>
      <c r="AP1143" s="182">
        <f t="shared" si="722"/>
        <v>0</v>
      </c>
      <c r="AQ1143" s="182">
        <f t="shared" si="722"/>
        <v>0</v>
      </c>
      <c r="AR1143" s="182">
        <f t="shared" si="722"/>
        <v>0</v>
      </c>
      <c r="AS1143" s="182">
        <f t="shared" si="722"/>
        <v>0</v>
      </c>
      <c r="AT1143" s="182">
        <f t="shared" si="722"/>
        <v>0</v>
      </c>
      <c r="AU1143" s="182">
        <f t="shared" si="722"/>
        <v>0</v>
      </c>
      <c r="AV1143" s="182">
        <f t="shared" si="722"/>
        <v>0</v>
      </c>
      <c r="AW1143" s="182">
        <f t="shared" si="722"/>
        <v>0</v>
      </c>
      <c r="AX1143" s="182">
        <f t="shared" si="722"/>
        <v>0</v>
      </c>
      <c r="AY1143" s="182">
        <f t="shared" si="722"/>
        <v>0</v>
      </c>
      <c r="AZ1143" s="182">
        <f t="shared" si="722"/>
        <v>0</v>
      </c>
      <c r="BA1143" s="182">
        <f t="shared" si="722"/>
        <v>0</v>
      </c>
      <c r="BB1143" s="182">
        <f t="shared" si="722"/>
        <v>0</v>
      </c>
      <c r="BC1143" s="182">
        <f t="shared" si="722"/>
        <v>0</v>
      </c>
      <c r="BD1143" s="182">
        <f t="shared" si="722"/>
        <v>0</v>
      </c>
      <c r="BE1143" s="182">
        <f t="shared" si="722"/>
        <v>0</v>
      </c>
      <c r="BF1143" s="182">
        <f t="shared" si="722"/>
        <v>0</v>
      </c>
      <c r="BG1143" s="182">
        <f t="shared" si="722"/>
        <v>0</v>
      </c>
      <c r="BH1143" s="182">
        <f t="shared" si="722"/>
        <v>0</v>
      </c>
      <c r="BI1143" s="182">
        <f t="shared" si="722"/>
        <v>0</v>
      </c>
      <c r="BJ1143" s="183">
        <f t="shared" si="722"/>
        <v>0</v>
      </c>
    </row>
    <row r="1144" spans="1:64" s="80" customFormat="1">
      <c r="A1144" s="184" t="s">
        <v>143</v>
      </c>
      <c r="B1144" s="177"/>
      <c r="C1144" s="181">
        <f>C1143</f>
        <v>-29738725.715330869</v>
      </c>
      <c r="D1144" s="182">
        <f t="shared" ref="D1144:BJ1144" si="723">IF(D1143=0, 0, C1144+D1143)</f>
        <v>-58536703.068751201</v>
      </c>
      <c r="E1144" s="182">
        <f t="shared" si="723"/>
        <v>-97927467.541653648</v>
      </c>
      <c r="F1144" s="182">
        <f t="shared" si="723"/>
        <v>-133097792.96388797</v>
      </c>
      <c r="G1144" s="182">
        <f t="shared" si="723"/>
        <v>-164499869.23374006</v>
      </c>
      <c r="H1144" s="182">
        <f t="shared" si="723"/>
        <v>-149154515.42306036</v>
      </c>
      <c r="I1144" s="182">
        <f t="shared" si="723"/>
        <v>-122883451.85005039</v>
      </c>
      <c r="J1144" s="182">
        <f t="shared" si="723"/>
        <v>-88204060.433546379</v>
      </c>
      <c r="K1144" s="182">
        <f t="shared" si="723"/>
        <v>-47219706.798374966</v>
      </c>
      <c r="L1144" s="182">
        <f t="shared" si="723"/>
        <v>12259567.206562698</v>
      </c>
      <c r="M1144" s="182">
        <f t="shared" si="723"/>
        <v>65366061.85382846</v>
      </c>
      <c r="N1144" s="182">
        <f t="shared" si="723"/>
        <v>112782574.93174431</v>
      </c>
      <c r="O1144" s="182">
        <f t="shared" si="723"/>
        <v>155118747.32274061</v>
      </c>
      <c r="P1144" s="182">
        <f t="shared" si="723"/>
        <v>192918901.24327302</v>
      </c>
      <c r="Q1144" s="182">
        <f t="shared" si="723"/>
        <v>226669038.6723198</v>
      </c>
      <c r="R1144" s="182">
        <f t="shared" si="723"/>
        <v>256803089.94825444</v>
      </c>
      <c r="S1144" s="182">
        <f t="shared" si="723"/>
        <v>283708492.87319607</v>
      </c>
      <c r="T1144" s="182">
        <f t="shared" si="723"/>
        <v>298487861.66142911</v>
      </c>
      <c r="U1144" s="182">
        <f t="shared" si="723"/>
        <v>308457357.99836427</v>
      </c>
      <c r="V1144" s="182">
        <f t="shared" si="723"/>
        <v>314478007.71655762</v>
      </c>
      <c r="W1144" s="182">
        <f t="shared" si="723"/>
        <v>317281546.48554516</v>
      </c>
      <c r="X1144" s="182">
        <f t="shared" si="723"/>
        <v>0</v>
      </c>
      <c r="Y1144" s="182">
        <f t="shared" si="723"/>
        <v>0</v>
      </c>
      <c r="Z1144" s="182">
        <f t="shared" si="723"/>
        <v>0</v>
      </c>
      <c r="AA1144" s="182">
        <f t="shared" si="723"/>
        <v>0</v>
      </c>
      <c r="AB1144" s="182">
        <f t="shared" si="723"/>
        <v>0</v>
      </c>
      <c r="AC1144" s="182">
        <f t="shared" si="723"/>
        <v>0</v>
      </c>
      <c r="AD1144" s="182">
        <f t="shared" si="723"/>
        <v>0</v>
      </c>
      <c r="AE1144" s="182">
        <f t="shared" si="723"/>
        <v>0</v>
      </c>
      <c r="AF1144" s="182">
        <f t="shared" si="723"/>
        <v>0</v>
      </c>
      <c r="AG1144" s="182">
        <f t="shared" si="723"/>
        <v>0</v>
      </c>
      <c r="AH1144" s="182">
        <f t="shared" si="723"/>
        <v>0</v>
      </c>
      <c r="AI1144" s="182">
        <f t="shared" si="723"/>
        <v>0</v>
      </c>
      <c r="AJ1144" s="182">
        <f t="shared" si="723"/>
        <v>0</v>
      </c>
      <c r="AK1144" s="182">
        <f t="shared" si="723"/>
        <v>0</v>
      </c>
      <c r="AL1144" s="182">
        <f t="shared" si="723"/>
        <v>0</v>
      </c>
      <c r="AM1144" s="182">
        <f t="shared" si="723"/>
        <v>0</v>
      </c>
      <c r="AN1144" s="182">
        <f t="shared" si="723"/>
        <v>0</v>
      </c>
      <c r="AO1144" s="182">
        <f t="shared" si="723"/>
        <v>0</v>
      </c>
      <c r="AP1144" s="182">
        <f t="shared" si="723"/>
        <v>0</v>
      </c>
      <c r="AQ1144" s="182">
        <f t="shared" si="723"/>
        <v>0</v>
      </c>
      <c r="AR1144" s="182">
        <f t="shared" si="723"/>
        <v>0</v>
      </c>
      <c r="AS1144" s="182">
        <f t="shared" si="723"/>
        <v>0</v>
      </c>
      <c r="AT1144" s="182">
        <f t="shared" si="723"/>
        <v>0</v>
      </c>
      <c r="AU1144" s="182">
        <f t="shared" si="723"/>
        <v>0</v>
      </c>
      <c r="AV1144" s="182">
        <f t="shared" si="723"/>
        <v>0</v>
      </c>
      <c r="AW1144" s="182">
        <f t="shared" si="723"/>
        <v>0</v>
      </c>
      <c r="AX1144" s="182">
        <f t="shared" si="723"/>
        <v>0</v>
      </c>
      <c r="AY1144" s="182">
        <f t="shared" si="723"/>
        <v>0</v>
      </c>
      <c r="AZ1144" s="182">
        <f t="shared" si="723"/>
        <v>0</v>
      </c>
      <c r="BA1144" s="182">
        <f t="shared" si="723"/>
        <v>0</v>
      </c>
      <c r="BB1144" s="182">
        <f t="shared" si="723"/>
        <v>0</v>
      </c>
      <c r="BC1144" s="182">
        <f t="shared" si="723"/>
        <v>0</v>
      </c>
      <c r="BD1144" s="182">
        <f t="shared" si="723"/>
        <v>0</v>
      </c>
      <c r="BE1144" s="182">
        <f t="shared" si="723"/>
        <v>0</v>
      </c>
      <c r="BF1144" s="182">
        <f t="shared" si="723"/>
        <v>0</v>
      </c>
      <c r="BG1144" s="182">
        <f t="shared" si="723"/>
        <v>0</v>
      </c>
      <c r="BH1144" s="182">
        <f t="shared" si="723"/>
        <v>0</v>
      </c>
      <c r="BI1144" s="182">
        <f t="shared" si="723"/>
        <v>0</v>
      </c>
      <c r="BJ1144" s="183">
        <f t="shared" si="723"/>
        <v>0</v>
      </c>
    </row>
    <row r="1145" spans="1:64" s="83" customFormat="1">
      <c r="A1145" s="78"/>
      <c r="B1145" s="81"/>
      <c r="C1145" s="82"/>
      <c r="D1145" s="82"/>
      <c r="E1145" s="82"/>
      <c r="F1145" s="82"/>
      <c r="G1145" s="82"/>
      <c r="H1145" s="82"/>
      <c r="I1145" s="82"/>
      <c r="J1145" s="82"/>
      <c r="K1145" s="82"/>
      <c r="L1145" s="82"/>
      <c r="M1145" s="82"/>
      <c r="N1145" s="82"/>
      <c r="O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2"/>
      <c r="AD1145" s="82"/>
      <c r="AE1145" s="82"/>
      <c r="AF1145" s="82"/>
      <c r="AG1145" s="82"/>
      <c r="AH1145" s="82"/>
      <c r="AI1145" s="82"/>
      <c r="AJ1145" s="82"/>
      <c r="AK1145" s="82"/>
      <c r="AL1145" s="82"/>
      <c r="AM1145" s="82"/>
      <c r="AN1145" s="82"/>
      <c r="AO1145" s="82"/>
      <c r="AP1145" s="82"/>
      <c r="AQ1145" s="82"/>
      <c r="AR1145" s="82"/>
      <c r="AS1145" s="82"/>
      <c r="AT1145" s="82"/>
      <c r="AU1145" s="82"/>
      <c r="AV1145" s="82"/>
      <c r="AW1145" s="82"/>
      <c r="AX1145" s="82"/>
      <c r="AY1145" s="82"/>
      <c r="AZ1145" s="82"/>
      <c r="BA1145" s="82"/>
      <c r="BB1145" s="82"/>
      <c r="BC1145" s="82"/>
      <c r="BD1145" s="82"/>
      <c r="BE1145" s="82"/>
      <c r="BF1145" s="82"/>
      <c r="BG1145" s="82"/>
      <c r="BH1145" s="82"/>
      <c r="BI1145" s="82"/>
      <c r="BJ1145" s="82"/>
    </row>
    <row r="1146" spans="1:64" ht="21">
      <c r="A1146" s="185" t="s">
        <v>157</v>
      </c>
      <c r="B1146" s="93"/>
      <c r="C1146" s="186"/>
      <c r="D1146" s="186"/>
      <c r="E1146" s="186"/>
      <c r="F1146" s="186"/>
      <c r="G1146" s="186"/>
      <c r="H1146" s="186"/>
      <c r="I1146" s="186"/>
      <c r="J1146" s="186"/>
      <c r="K1146" s="186"/>
      <c r="L1146" s="186"/>
      <c r="M1146" s="186"/>
      <c r="N1146" s="186"/>
      <c r="O1146" s="186"/>
      <c r="P1146" s="186"/>
      <c r="Q1146" s="186"/>
      <c r="R1146" s="186"/>
      <c r="S1146" s="186"/>
      <c r="T1146" s="186"/>
      <c r="U1146" s="186"/>
      <c r="V1146" s="186"/>
      <c r="W1146" s="186"/>
      <c r="X1146" s="186"/>
      <c r="Y1146" s="186"/>
      <c r="Z1146" s="186"/>
      <c r="AA1146" s="186"/>
      <c r="AB1146" s="186"/>
      <c r="AC1146" s="186"/>
      <c r="AD1146" s="186"/>
      <c r="AE1146" s="186"/>
      <c r="AF1146" s="186"/>
      <c r="AG1146" s="186"/>
      <c r="AH1146" s="186"/>
      <c r="AI1146" s="186"/>
      <c r="AJ1146" s="186"/>
      <c r="AK1146" s="186"/>
      <c r="AL1146" s="186"/>
      <c r="AM1146" s="186"/>
      <c r="AN1146" s="186"/>
      <c r="AO1146" s="186"/>
      <c r="AP1146" s="186"/>
      <c r="AQ1146" s="186"/>
      <c r="AR1146" s="186"/>
      <c r="AS1146" s="186"/>
      <c r="AT1146" s="186"/>
      <c r="AU1146" s="186"/>
      <c r="AV1146" s="186"/>
      <c r="AW1146" s="186"/>
      <c r="AX1146" s="186"/>
      <c r="AY1146" s="186"/>
      <c r="AZ1146" s="186"/>
      <c r="BA1146" s="186"/>
      <c r="BB1146" s="186"/>
      <c r="BC1146" s="186"/>
      <c r="BD1146" s="186"/>
      <c r="BE1146" s="186"/>
      <c r="BF1146" s="186"/>
      <c r="BG1146" s="186"/>
      <c r="BH1146" s="186"/>
      <c r="BI1146" s="186"/>
      <c r="BJ1146" s="186"/>
    </row>
    <row r="1147" spans="1:64">
      <c r="A1147" s="187" t="s">
        <v>158</v>
      </c>
      <c r="B1147" s="188">
        <f>SUM(C1147:BJ1147)</f>
        <v>734.9099074739845</v>
      </c>
      <c r="C1147" s="233">
        <f>(C1099*(1-$K1097))/(1+$C1097)^(C1098-1)</f>
        <v>0</v>
      </c>
      <c r="D1147" s="190">
        <f>(D1099*(1-$K1097))/(1+$C1097)^(D1098-1)</f>
        <v>0</v>
      </c>
      <c r="E1147" s="190">
        <f t="shared" ref="E1147:BJ1147" si="724">(E1099*(1-$K1097))/(1+$C1097)^(E1098-1)</f>
        <v>0</v>
      </c>
      <c r="F1147" s="190">
        <f t="shared" si="724"/>
        <v>0</v>
      </c>
      <c r="G1147" s="190">
        <f t="shared" si="724"/>
        <v>0</v>
      </c>
      <c r="H1147" s="190">
        <f t="shared" si="724"/>
        <v>21.925373704966674</v>
      </c>
      <c r="I1147" s="190">
        <f t="shared" si="724"/>
        <v>39.152453044583339</v>
      </c>
      <c r="J1147" s="190">
        <f t="shared" si="724"/>
        <v>52.436321041852686</v>
      </c>
      <c r="K1147" s="190">
        <f t="shared" si="724"/>
        <v>62.424191716491293</v>
      </c>
      <c r="L1147" s="190">
        <f t="shared" si="724"/>
        <v>91.378580330332255</v>
      </c>
      <c r="M1147" s="190">
        <f t="shared" si="724"/>
        <v>81.588018152082356</v>
      </c>
      <c r="N1147" s="190">
        <f t="shared" si="724"/>
        <v>72.846444778644951</v>
      </c>
      <c r="O1147" s="190">
        <f t="shared" si="724"/>
        <v>65.041468552361565</v>
      </c>
      <c r="P1147" s="190">
        <f t="shared" si="724"/>
        <v>58.072739778894253</v>
      </c>
      <c r="Q1147" s="190">
        <f t="shared" si="724"/>
        <v>51.850660516869858</v>
      </c>
      <c r="R1147" s="190">
        <f t="shared" si="724"/>
        <v>46.295232604348094</v>
      </c>
      <c r="S1147" s="190">
        <f t="shared" si="724"/>
        <v>41.335029111025079</v>
      </c>
      <c r="T1147" s="190">
        <f t="shared" si="724"/>
        <v>22.510789334338835</v>
      </c>
      <c r="U1147" s="190">
        <f t="shared" si="724"/>
        <v>15.074189286387609</v>
      </c>
      <c r="V1147" s="190">
        <f t="shared" si="724"/>
        <v>8.9727317180878625</v>
      </c>
      <c r="W1147" s="190">
        <f t="shared" si="724"/>
        <v>4.0056838027177957</v>
      </c>
      <c r="X1147" s="190">
        <f t="shared" si="724"/>
        <v>0</v>
      </c>
      <c r="Y1147" s="190">
        <f t="shared" si="724"/>
        <v>0</v>
      </c>
      <c r="Z1147" s="190">
        <f t="shared" si="724"/>
        <v>0</v>
      </c>
      <c r="AA1147" s="190">
        <f t="shared" si="724"/>
        <v>0</v>
      </c>
      <c r="AB1147" s="190">
        <f t="shared" si="724"/>
        <v>0</v>
      </c>
      <c r="AC1147" s="190">
        <f t="shared" si="724"/>
        <v>0</v>
      </c>
      <c r="AD1147" s="190">
        <f t="shared" si="724"/>
        <v>0</v>
      </c>
      <c r="AE1147" s="190">
        <f t="shared" si="724"/>
        <v>0</v>
      </c>
      <c r="AF1147" s="190">
        <f t="shared" si="724"/>
        <v>0</v>
      </c>
      <c r="AG1147" s="190">
        <f t="shared" si="724"/>
        <v>0</v>
      </c>
      <c r="AH1147" s="190">
        <f t="shared" si="724"/>
        <v>0</v>
      </c>
      <c r="AI1147" s="190">
        <f t="shared" si="724"/>
        <v>0</v>
      </c>
      <c r="AJ1147" s="190">
        <f t="shared" si="724"/>
        <v>0</v>
      </c>
      <c r="AK1147" s="190">
        <f t="shared" si="724"/>
        <v>0</v>
      </c>
      <c r="AL1147" s="190">
        <f t="shared" si="724"/>
        <v>0</v>
      </c>
      <c r="AM1147" s="190">
        <f t="shared" si="724"/>
        <v>0</v>
      </c>
      <c r="AN1147" s="190">
        <f t="shared" si="724"/>
        <v>0</v>
      </c>
      <c r="AO1147" s="190">
        <f t="shared" si="724"/>
        <v>0</v>
      </c>
      <c r="AP1147" s="190">
        <f t="shared" si="724"/>
        <v>0</v>
      </c>
      <c r="AQ1147" s="190">
        <f t="shared" si="724"/>
        <v>0</v>
      </c>
      <c r="AR1147" s="190">
        <f t="shared" si="724"/>
        <v>0</v>
      </c>
      <c r="AS1147" s="190">
        <f t="shared" si="724"/>
        <v>0</v>
      </c>
      <c r="AT1147" s="190">
        <f t="shared" si="724"/>
        <v>0</v>
      </c>
      <c r="AU1147" s="190">
        <f t="shared" si="724"/>
        <v>0</v>
      </c>
      <c r="AV1147" s="190">
        <f t="shared" si="724"/>
        <v>0</v>
      </c>
      <c r="AW1147" s="190">
        <f t="shared" si="724"/>
        <v>0</v>
      </c>
      <c r="AX1147" s="190">
        <f t="shared" si="724"/>
        <v>0</v>
      </c>
      <c r="AY1147" s="190">
        <f t="shared" si="724"/>
        <v>0</v>
      </c>
      <c r="AZ1147" s="190">
        <f t="shared" si="724"/>
        <v>0</v>
      </c>
      <c r="BA1147" s="190">
        <f t="shared" si="724"/>
        <v>0</v>
      </c>
      <c r="BB1147" s="190">
        <f t="shared" si="724"/>
        <v>0</v>
      </c>
      <c r="BC1147" s="190">
        <f t="shared" si="724"/>
        <v>0</v>
      </c>
      <c r="BD1147" s="190">
        <f t="shared" si="724"/>
        <v>0</v>
      </c>
      <c r="BE1147" s="190">
        <f t="shared" si="724"/>
        <v>0</v>
      </c>
      <c r="BF1147" s="190">
        <f t="shared" si="724"/>
        <v>0</v>
      </c>
      <c r="BG1147" s="190">
        <f t="shared" si="724"/>
        <v>0</v>
      </c>
      <c r="BH1147" s="190">
        <f t="shared" si="724"/>
        <v>0</v>
      </c>
      <c r="BI1147" s="190">
        <f t="shared" si="724"/>
        <v>0</v>
      </c>
      <c r="BJ1147" s="191">
        <f t="shared" si="724"/>
        <v>0</v>
      </c>
    </row>
    <row r="1148" spans="1:64">
      <c r="A1148" s="192" t="s">
        <v>159</v>
      </c>
      <c r="B1148" s="193">
        <f>SUM(C1148:BJ1148)</f>
        <v>415479973.38450509</v>
      </c>
      <c r="C1148" s="234">
        <f>(((C1101+C1130)*(1-$K1097))-(C1140-C1110))/(1+$C1097)^(C1098-1)</f>
        <v>39357057.209787577</v>
      </c>
      <c r="D1148" s="186">
        <f>(((D1101+D1130)*(1-$K1097))-(D1140-D1110))/(1+$C1097)^(D1098-1)</f>
        <v>37074433.872873984</v>
      </c>
      <c r="E1148" s="186">
        <f>(((E1101+E1130)*(1-$K1097))-(E1140-E1110))/(1+$C1097)^(E1098-1)</f>
        <v>46365693.288216285</v>
      </c>
      <c r="F1148" s="186">
        <f t="shared" ref="F1148:BJ1148" si="725">(((F1101+F1130)*(1-$K1097))-(F1140-F1110))/(1+$C1097)^(F1098-1)</f>
        <v>41027614.984454788</v>
      </c>
      <c r="G1148" s="186">
        <f t="shared" si="725"/>
        <v>36301151.368751951</v>
      </c>
      <c r="H1148" s="186">
        <f t="shared" si="725"/>
        <v>5453052.7069136184</v>
      </c>
      <c r="I1148" s="186">
        <f t="shared" si="725"/>
        <v>10868948.065549515</v>
      </c>
      <c r="J1148" s="186">
        <f t="shared" si="725"/>
        <v>15061695.599423861</v>
      </c>
      <c r="K1148" s="186">
        <f t="shared" si="725"/>
        <v>18231226.145695105</v>
      </c>
      <c r="L1148" s="186">
        <f t="shared" si="725"/>
        <v>27202434.881068069</v>
      </c>
      <c r="M1148" s="186">
        <f t="shared" si="725"/>
        <v>24287888.286667917</v>
      </c>
      <c r="N1148" s="186">
        <f t="shared" si="725"/>
        <v>21685614.541667782</v>
      </c>
      <c r="O1148" s="186">
        <f t="shared" si="725"/>
        <v>19362155.840774804</v>
      </c>
      <c r="P1148" s="186">
        <f t="shared" si="725"/>
        <v>17287639.143548932</v>
      </c>
      <c r="Q1148" s="186">
        <f t="shared" si="725"/>
        <v>15435392.092454402</v>
      </c>
      <c r="R1148" s="186">
        <f t="shared" si="725"/>
        <v>13781600.082548574</v>
      </c>
      <c r="S1148" s="186">
        <f t="shared" si="725"/>
        <v>12305000.073704081</v>
      </c>
      <c r="T1148" s="186">
        <f t="shared" si="725"/>
        <v>6574362.9158439375</v>
      </c>
      <c r="U1148" s="186">
        <f t="shared" si="725"/>
        <v>4329877.572044949</v>
      </c>
      <c r="V1148" s="186">
        <f t="shared" si="725"/>
        <v>2490882.3704852923</v>
      </c>
      <c r="W1148" s="186">
        <f t="shared" si="725"/>
        <v>996252.3420297394</v>
      </c>
      <c r="X1148" s="186">
        <f t="shared" si="725"/>
        <v>0</v>
      </c>
      <c r="Y1148" s="186">
        <f t="shared" si="725"/>
        <v>0</v>
      </c>
      <c r="Z1148" s="186">
        <f t="shared" si="725"/>
        <v>0</v>
      </c>
      <c r="AA1148" s="186">
        <f t="shared" si="725"/>
        <v>0</v>
      </c>
      <c r="AB1148" s="186">
        <f t="shared" si="725"/>
        <v>0</v>
      </c>
      <c r="AC1148" s="186">
        <f t="shared" si="725"/>
        <v>0</v>
      </c>
      <c r="AD1148" s="186">
        <f t="shared" si="725"/>
        <v>0</v>
      </c>
      <c r="AE1148" s="186">
        <f t="shared" si="725"/>
        <v>0</v>
      </c>
      <c r="AF1148" s="186">
        <f t="shared" si="725"/>
        <v>0</v>
      </c>
      <c r="AG1148" s="186">
        <f t="shared" si="725"/>
        <v>0</v>
      </c>
      <c r="AH1148" s="186">
        <f t="shared" si="725"/>
        <v>0</v>
      </c>
      <c r="AI1148" s="186">
        <f t="shared" si="725"/>
        <v>0</v>
      </c>
      <c r="AJ1148" s="186">
        <f t="shared" si="725"/>
        <v>0</v>
      </c>
      <c r="AK1148" s="186">
        <f t="shared" si="725"/>
        <v>0</v>
      </c>
      <c r="AL1148" s="186">
        <f t="shared" si="725"/>
        <v>0</v>
      </c>
      <c r="AM1148" s="186">
        <f t="shared" si="725"/>
        <v>0</v>
      </c>
      <c r="AN1148" s="186">
        <f t="shared" si="725"/>
        <v>0</v>
      </c>
      <c r="AO1148" s="186">
        <f t="shared" si="725"/>
        <v>0</v>
      </c>
      <c r="AP1148" s="186">
        <f t="shared" si="725"/>
        <v>0</v>
      </c>
      <c r="AQ1148" s="186">
        <f t="shared" si="725"/>
        <v>0</v>
      </c>
      <c r="AR1148" s="186">
        <f t="shared" si="725"/>
        <v>0</v>
      </c>
      <c r="AS1148" s="186">
        <f t="shared" si="725"/>
        <v>0</v>
      </c>
      <c r="AT1148" s="186">
        <f t="shared" si="725"/>
        <v>0</v>
      </c>
      <c r="AU1148" s="186">
        <f t="shared" si="725"/>
        <v>0</v>
      </c>
      <c r="AV1148" s="186">
        <f t="shared" si="725"/>
        <v>0</v>
      </c>
      <c r="AW1148" s="186">
        <f t="shared" si="725"/>
        <v>0</v>
      </c>
      <c r="AX1148" s="186">
        <f t="shared" si="725"/>
        <v>0</v>
      </c>
      <c r="AY1148" s="186">
        <f t="shared" si="725"/>
        <v>0</v>
      </c>
      <c r="AZ1148" s="186">
        <f t="shared" si="725"/>
        <v>0</v>
      </c>
      <c r="BA1148" s="186">
        <f t="shared" si="725"/>
        <v>0</v>
      </c>
      <c r="BB1148" s="186">
        <f t="shared" si="725"/>
        <v>0</v>
      </c>
      <c r="BC1148" s="186">
        <f t="shared" si="725"/>
        <v>0</v>
      </c>
      <c r="BD1148" s="186">
        <f t="shared" si="725"/>
        <v>0</v>
      </c>
      <c r="BE1148" s="186">
        <f t="shared" si="725"/>
        <v>0</v>
      </c>
      <c r="BF1148" s="186">
        <f t="shared" si="725"/>
        <v>0</v>
      </c>
      <c r="BG1148" s="186">
        <f t="shared" si="725"/>
        <v>0</v>
      </c>
      <c r="BH1148" s="186">
        <f t="shared" si="725"/>
        <v>0</v>
      </c>
      <c r="BI1148" s="186">
        <f t="shared" si="725"/>
        <v>0</v>
      </c>
      <c r="BJ1148" s="195">
        <f t="shared" si="725"/>
        <v>0</v>
      </c>
    </row>
    <row r="1149" spans="1:64">
      <c r="A1149" s="196" t="s">
        <v>160</v>
      </c>
      <c r="B1149" s="197">
        <f>B1148/B1147</f>
        <v>565348.17282921565</v>
      </c>
      <c r="C1149" s="166"/>
      <c r="D1149" s="167"/>
      <c r="E1149" s="167"/>
      <c r="F1149" s="167"/>
      <c r="G1149" s="167"/>
      <c r="H1149" s="167"/>
      <c r="I1149" s="167"/>
      <c r="J1149" s="167"/>
      <c r="K1149" s="167"/>
      <c r="L1149" s="167"/>
      <c r="M1149" s="167"/>
      <c r="N1149" s="167"/>
      <c r="O1149" s="167"/>
      <c r="P1149" s="167"/>
      <c r="Q1149" s="167"/>
      <c r="R1149" s="167"/>
      <c r="S1149" s="167"/>
      <c r="T1149" s="167"/>
      <c r="U1149" s="167"/>
      <c r="V1149" s="167"/>
      <c r="W1149" s="167"/>
      <c r="X1149" s="167"/>
      <c r="Y1149" s="167"/>
      <c r="Z1149" s="167"/>
      <c r="AA1149" s="167"/>
      <c r="AB1149" s="167"/>
      <c r="AC1149" s="167"/>
      <c r="AD1149" s="167"/>
      <c r="AE1149" s="167"/>
      <c r="AF1149" s="167"/>
      <c r="AG1149" s="167"/>
      <c r="AH1149" s="167"/>
      <c r="AI1149" s="167"/>
      <c r="AJ1149" s="167"/>
      <c r="AK1149" s="167"/>
      <c r="AL1149" s="167"/>
      <c r="AM1149" s="167"/>
      <c r="AN1149" s="167"/>
      <c r="AO1149" s="167"/>
      <c r="AP1149" s="167"/>
      <c r="AQ1149" s="167"/>
      <c r="AR1149" s="167"/>
      <c r="AS1149" s="167"/>
      <c r="AT1149" s="167"/>
      <c r="AU1149" s="167"/>
      <c r="AV1149" s="167"/>
      <c r="AW1149" s="167"/>
      <c r="AX1149" s="167"/>
      <c r="AY1149" s="167"/>
      <c r="AZ1149" s="167"/>
      <c r="BA1149" s="167"/>
      <c r="BB1149" s="167"/>
      <c r="BC1149" s="167"/>
      <c r="BD1149" s="167"/>
      <c r="BE1149" s="167"/>
      <c r="BF1149" s="167"/>
      <c r="BG1149" s="167"/>
      <c r="BH1149" s="167"/>
      <c r="BI1149" s="167"/>
      <c r="BJ1149" s="198"/>
    </row>
    <row r="1150" spans="1:64">
      <c r="A1150" s="187" t="s">
        <v>158</v>
      </c>
      <c r="B1150" s="188">
        <f>SUM(C1150:BJ1150)</f>
        <v>2800.0000000000005</v>
      </c>
      <c r="C1150" s="234">
        <f>(C1099*(1-$K1097))/(1)^(C1098-1)</f>
        <v>0</v>
      </c>
      <c r="D1150" s="186">
        <f>(D1099*(1-$K1097))/(1)^(D1098-1)</f>
        <v>0</v>
      </c>
      <c r="E1150" s="186">
        <f t="shared" ref="E1150:BJ1150" si="726">(E1099*(1-$K1097))/(1)^(E1098-1)</f>
        <v>0</v>
      </c>
      <c r="F1150" s="186">
        <f t="shared" si="726"/>
        <v>0</v>
      </c>
      <c r="G1150" s="186">
        <f t="shared" si="726"/>
        <v>0</v>
      </c>
      <c r="H1150" s="186">
        <f t="shared" si="726"/>
        <v>38.64</v>
      </c>
      <c r="I1150" s="186">
        <f t="shared" si="726"/>
        <v>77.28</v>
      </c>
      <c r="J1150" s="186">
        <f t="shared" si="726"/>
        <v>115.91999999999999</v>
      </c>
      <c r="K1150" s="186">
        <f t="shared" si="726"/>
        <v>154.56</v>
      </c>
      <c r="L1150" s="186">
        <f t="shared" si="726"/>
        <v>253.39999999999998</v>
      </c>
      <c r="M1150" s="186">
        <f t="shared" si="726"/>
        <v>253.39999999999998</v>
      </c>
      <c r="N1150" s="186">
        <f t="shared" si="726"/>
        <v>253.39999999999998</v>
      </c>
      <c r="O1150" s="186">
        <f t="shared" si="726"/>
        <v>253.39999999999998</v>
      </c>
      <c r="P1150" s="186">
        <f t="shared" si="726"/>
        <v>253.39999999999998</v>
      </c>
      <c r="Q1150" s="186">
        <f t="shared" si="726"/>
        <v>253.39999999999998</v>
      </c>
      <c r="R1150" s="186">
        <f t="shared" si="726"/>
        <v>253.39999999999998</v>
      </c>
      <c r="S1150" s="186">
        <f t="shared" si="726"/>
        <v>253.39999999999998</v>
      </c>
      <c r="T1150" s="186">
        <f t="shared" si="726"/>
        <v>154.56</v>
      </c>
      <c r="U1150" s="186">
        <f t="shared" si="726"/>
        <v>115.91999999999999</v>
      </c>
      <c r="V1150" s="186">
        <f t="shared" si="726"/>
        <v>77.28</v>
      </c>
      <c r="W1150" s="186">
        <f t="shared" si="726"/>
        <v>38.64</v>
      </c>
      <c r="X1150" s="186">
        <f t="shared" si="726"/>
        <v>0</v>
      </c>
      <c r="Y1150" s="186">
        <f t="shared" si="726"/>
        <v>0</v>
      </c>
      <c r="Z1150" s="186">
        <f t="shared" si="726"/>
        <v>0</v>
      </c>
      <c r="AA1150" s="186">
        <f t="shared" si="726"/>
        <v>0</v>
      </c>
      <c r="AB1150" s="186">
        <f t="shared" si="726"/>
        <v>0</v>
      </c>
      <c r="AC1150" s="186">
        <f t="shared" si="726"/>
        <v>0</v>
      </c>
      <c r="AD1150" s="186">
        <f t="shared" si="726"/>
        <v>0</v>
      </c>
      <c r="AE1150" s="186">
        <f t="shared" si="726"/>
        <v>0</v>
      </c>
      <c r="AF1150" s="186">
        <f t="shared" si="726"/>
        <v>0</v>
      </c>
      <c r="AG1150" s="186">
        <f t="shared" si="726"/>
        <v>0</v>
      </c>
      <c r="AH1150" s="186">
        <f t="shared" si="726"/>
        <v>0</v>
      </c>
      <c r="AI1150" s="186">
        <f t="shared" si="726"/>
        <v>0</v>
      </c>
      <c r="AJ1150" s="186">
        <f t="shared" si="726"/>
        <v>0</v>
      </c>
      <c r="AK1150" s="186">
        <f t="shared" si="726"/>
        <v>0</v>
      </c>
      <c r="AL1150" s="186">
        <f t="shared" si="726"/>
        <v>0</v>
      </c>
      <c r="AM1150" s="186">
        <f t="shared" si="726"/>
        <v>0</v>
      </c>
      <c r="AN1150" s="186">
        <f t="shared" si="726"/>
        <v>0</v>
      </c>
      <c r="AO1150" s="186">
        <f t="shared" si="726"/>
        <v>0</v>
      </c>
      <c r="AP1150" s="186">
        <f t="shared" si="726"/>
        <v>0</v>
      </c>
      <c r="AQ1150" s="186">
        <f t="shared" si="726"/>
        <v>0</v>
      </c>
      <c r="AR1150" s="186">
        <f t="shared" si="726"/>
        <v>0</v>
      </c>
      <c r="AS1150" s="186">
        <f t="shared" si="726"/>
        <v>0</v>
      </c>
      <c r="AT1150" s="186">
        <f t="shared" si="726"/>
        <v>0</v>
      </c>
      <c r="AU1150" s="186">
        <f t="shared" si="726"/>
        <v>0</v>
      </c>
      <c r="AV1150" s="186">
        <f t="shared" si="726"/>
        <v>0</v>
      </c>
      <c r="AW1150" s="186">
        <f t="shared" si="726"/>
        <v>0</v>
      </c>
      <c r="AX1150" s="186">
        <f t="shared" si="726"/>
        <v>0</v>
      </c>
      <c r="AY1150" s="186">
        <f t="shared" si="726"/>
        <v>0</v>
      </c>
      <c r="AZ1150" s="186">
        <f t="shared" si="726"/>
        <v>0</v>
      </c>
      <c r="BA1150" s="186">
        <f t="shared" si="726"/>
        <v>0</v>
      </c>
      <c r="BB1150" s="186">
        <f t="shared" si="726"/>
        <v>0</v>
      </c>
      <c r="BC1150" s="186">
        <f t="shared" si="726"/>
        <v>0</v>
      </c>
      <c r="BD1150" s="186">
        <f t="shared" si="726"/>
        <v>0</v>
      </c>
      <c r="BE1150" s="186">
        <f t="shared" si="726"/>
        <v>0</v>
      </c>
      <c r="BF1150" s="186">
        <f t="shared" si="726"/>
        <v>0</v>
      </c>
      <c r="BG1150" s="186">
        <f t="shared" si="726"/>
        <v>0</v>
      </c>
      <c r="BH1150" s="186">
        <f t="shared" si="726"/>
        <v>0</v>
      </c>
      <c r="BI1150" s="186">
        <f t="shared" si="726"/>
        <v>0</v>
      </c>
      <c r="BJ1150" s="195">
        <f t="shared" si="726"/>
        <v>0</v>
      </c>
    </row>
    <row r="1151" spans="1:64">
      <c r="A1151" s="192" t="s">
        <v>159</v>
      </c>
      <c r="B1151" s="193">
        <f>SUM(C1151:BJ1151)</f>
        <v>1076278859.6250408</v>
      </c>
      <c r="C1151" s="234">
        <f>(((C1101+C1130)*(1-$K1097))-(C1140-C1110))/(1)^(C1098-1)</f>
        <v>39357057.209787577</v>
      </c>
      <c r="D1151" s="186">
        <f>(((D1101+D1130)*(1-$K1097))-(D1140-D1110))/(1)^(D1098-1)</f>
        <v>41523365.937618867</v>
      </c>
      <c r="E1151" s="186">
        <f t="shared" ref="E1151:BJ1151" si="727">(((E1101+E1130)*(1-$K1097))-(E1140-E1110))/(1)^(E1098-1)</f>
        <v>58161125.66073852</v>
      </c>
      <c r="F1151" s="186">
        <f t="shared" si="727"/>
        <v>57640845.064880118</v>
      </c>
      <c r="G1151" s="186">
        <f t="shared" si="727"/>
        <v>57120564.469021708</v>
      </c>
      <c r="H1151" s="186">
        <f t="shared" si="727"/>
        <v>9610142.0860804655</v>
      </c>
      <c r="I1151" s="186">
        <f t="shared" si="727"/>
        <v>21453376.255868394</v>
      </c>
      <c r="J1151" s="186">
        <f t="shared" si="727"/>
        <v>33296610.425656319</v>
      </c>
      <c r="K1151" s="186">
        <f t="shared" si="727"/>
        <v>45139844.595444255</v>
      </c>
      <c r="L1151" s="186">
        <f t="shared" si="727"/>
        <v>75434494.319611907</v>
      </c>
      <c r="M1151" s="186">
        <f t="shared" si="727"/>
        <v>75434494.319611907</v>
      </c>
      <c r="N1151" s="186">
        <f t="shared" si="727"/>
        <v>75434494.319611907</v>
      </c>
      <c r="O1151" s="186">
        <f t="shared" si="727"/>
        <v>75434494.319611907</v>
      </c>
      <c r="P1151" s="186">
        <f t="shared" si="727"/>
        <v>75434494.319611907</v>
      </c>
      <c r="Q1151" s="186">
        <f t="shared" si="727"/>
        <v>75434494.319611907</v>
      </c>
      <c r="R1151" s="186">
        <f t="shared" si="727"/>
        <v>75434494.319611907</v>
      </c>
      <c r="S1151" s="186">
        <f t="shared" si="727"/>
        <v>75434494.319611907</v>
      </c>
      <c r="T1151" s="186">
        <f t="shared" si="727"/>
        <v>45139844.595444255</v>
      </c>
      <c r="U1151" s="186">
        <f t="shared" si="727"/>
        <v>33296610.425656319</v>
      </c>
      <c r="V1151" s="186">
        <f t="shared" si="727"/>
        <v>21453376.255868394</v>
      </c>
      <c r="W1151" s="186">
        <f t="shared" si="727"/>
        <v>9610142.0860804655</v>
      </c>
      <c r="X1151" s="186">
        <f t="shared" si="727"/>
        <v>0</v>
      </c>
      <c r="Y1151" s="186">
        <f t="shared" si="727"/>
        <v>0</v>
      </c>
      <c r="Z1151" s="186">
        <f t="shared" si="727"/>
        <v>0</v>
      </c>
      <c r="AA1151" s="186">
        <f t="shared" si="727"/>
        <v>0</v>
      </c>
      <c r="AB1151" s="186">
        <f t="shared" si="727"/>
        <v>0</v>
      </c>
      <c r="AC1151" s="186">
        <f t="shared" si="727"/>
        <v>0</v>
      </c>
      <c r="AD1151" s="186">
        <f t="shared" si="727"/>
        <v>0</v>
      </c>
      <c r="AE1151" s="186">
        <f t="shared" si="727"/>
        <v>0</v>
      </c>
      <c r="AF1151" s="186">
        <f t="shared" si="727"/>
        <v>0</v>
      </c>
      <c r="AG1151" s="186">
        <f t="shared" si="727"/>
        <v>0</v>
      </c>
      <c r="AH1151" s="186">
        <f t="shared" si="727"/>
        <v>0</v>
      </c>
      <c r="AI1151" s="186">
        <f t="shared" si="727"/>
        <v>0</v>
      </c>
      <c r="AJ1151" s="186">
        <f t="shared" si="727"/>
        <v>0</v>
      </c>
      <c r="AK1151" s="186">
        <f t="shared" si="727"/>
        <v>0</v>
      </c>
      <c r="AL1151" s="186">
        <f t="shared" si="727"/>
        <v>0</v>
      </c>
      <c r="AM1151" s="186">
        <f t="shared" si="727"/>
        <v>0</v>
      </c>
      <c r="AN1151" s="186">
        <f t="shared" si="727"/>
        <v>0</v>
      </c>
      <c r="AO1151" s="186">
        <f t="shared" si="727"/>
        <v>0</v>
      </c>
      <c r="AP1151" s="186">
        <f t="shared" si="727"/>
        <v>0</v>
      </c>
      <c r="AQ1151" s="186">
        <f t="shared" si="727"/>
        <v>0</v>
      </c>
      <c r="AR1151" s="186">
        <f t="shared" si="727"/>
        <v>0</v>
      </c>
      <c r="AS1151" s="186">
        <f t="shared" si="727"/>
        <v>0</v>
      </c>
      <c r="AT1151" s="186">
        <f t="shared" si="727"/>
        <v>0</v>
      </c>
      <c r="AU1151" s="186">
        <f t="shared" si="727"/>
        <v>0</v>
      </c>
      <c r="AV1151" s="186">
        <f t="shared" si="727"/>
        <v>0</v>
      </c>
      <c r="AW1151" s="186">
        <f t="shared" si="727"/>
        <v>0</v>
      </c>
      <c r="AX1151" s="186">
        <f t="shared" si="727"/>
        <v>0</v>
      </c>
      <c r="AY1151" s="186">
        <f t="shared" si="727"/>
        <v>0</v>
      </c>
      <c r="AZ1151" s="186">
        <f t="shared" si="727"/>
        <v>0</v>
      </c>
      <c r="BA1151" s="186">
        <f t="shared" si="727"/>
        <v>0</v>
      </c>
      <c r="BB1151" s="186">
        <f t="shared" si="727"/>
        <v>0</v>
      </c>
      <c r="BC1151" s="186">
        <f t="shared" si="727"/>
        <v>0</v>
      </c>
      <c r="BD1151" s="186">
        <f t="shared" si="727"/>
        <v>0</v>
      </c>
      <c r="BE1151" s="186">
        <f t="shared" si="727"/>
        <v>0</v>
      </c>
      <c r="BF1151" s="186">
        <f t="shared" si="727"/>
        <v>0</v>
      </c>
      <c r="BG1151" s="186">
        <f t="shared" si="727"/>
        <v>0</v>
      </c>
      <c r="BH1151" s="186">
        <f t="shared" si="727"/>
        <v>0</v>
      </c>
      <c r="BI1151" s="186">
        <f t="shared" si="727"/>
        <v>0</v>
      </c>
      <c r="BJ1151" s="195">
        <f t="shared" si="727"/>
        <v>0</v>
      </c>
      <c r="BK1151" s="186"/>
    </row>
    <row r="1152" spans="1:64">
      <c r="A1152" s="196" t="s">
        <v>161</v>
      </c>
      <c r="B1152" s="197">
        <f>B1151/B1150</f>
        <v>384385.30700894305</v>
      </c>
      <c r="C1152" s="166"/>
      <c r="D1152" s="167"/>
      <c r="E1152" s="167"/>
      <c r="F1152" s="167"/>
      <c r="G1152" s="167"/>
      <c r="H1152" s="167"/>
      <c r="I1152" s="167"/>
      <c r="J1152" s="167"/>
      <c r="K1152" s="167"/>
      <c r="L1152" s="167"/>
      <c r="M1152" s="167"/>
      <c r="N1152" s="167"/>
      <c r="O1152" s="167"/>
      <c r="P1152" s="167"/>
      <c r="Q1152" s="167"/>
      <c r="R1152" s="167"/>
      <c r="S1152" s="167"/>
      <c r="T1152" s="167"/>
      <c r="U1152" s="167"/>
      <c r="V1152" s="167"/>
      <c r="W1152" s="167"/>
      <c r="X1152" s="167"/>
      <c r="Y1152" s="167"/>
      <c r="Z1152" s="167"/>
      <c r="AA1152" s="167"/>
      <c r="AB1152" s="167"/>
      <c r="AC1152" s="167"/>
      <c r="AD1152" s="167"/>
      <c r="AE1152" s="167"/>
      <c r="AF1152" s="167"/>
      <c r="AG1152" s="167"/>
      <c r="AH1152" s="167"/>
      <c r="AI1152" s="167"/>
      <c r="AJ1152" s="167"/>
      <c r="AK1152" s="167"/>
      <c r="AL1152" s="167"/>
      <c r="AM1152" s="167"/>
      <c r="AN1152" s="167"/>
      <c r="AO1152" s="167"/>
      <c r="AP1152" s="167"/>
      <c r="AQ1152" s="167"/>
      <c r="AR1152" s="167"/>
      <c r="AS1152" s="167"/>
      <c r="AT1152" s="167"/>
      <c r="AU1152" s="167"/>
      <c r="AV1152" s="167"/>
      <c r="AW1152" s="167"/>
      <c r="AX1152" s="167"/>
      <c r="AY1152" s="167"/>
      <c r="AZ1152" s="167"/>
      <c r="BA1152" s="167"/>
      <c r="BB1152" s="167"/>
      <c r="BC1152" s="167"/>
      <c r="BD1152" s="167"/>
      <c r="BE1152" s="167"/>
      <c r="BF1152" s="167"/>
      <c r="BG1152" s="167"/>
      <c r="BH1152" s="167"/>
      <c r="BI1152" s="167"/>
      <c r="BJ1152" s="198"/>
    </row>
    <row r="1153" spans="1:64">
      <c r="A1153" s="199"/>
      <c r="B1153" s="200"/>
      <c r="C1153" s="201"/>
      <c r="D1153" s="201"/>
      <c r="E1153" s="201"/>
      <c r="F1153" s="201"/>
      <c r="G1153" s="201"/>
      <c r="H1153" s="201"/>
      <c r="I1153" s="202"/>
      <c r="J1153" s="201"/>
      <c r="K1153" s="201"/>
      <c r="L1153" s="201"/>
      <c r="M1153" s="201"/>
      <c r="N1153" s="201"/>
      <c r="O1153" s="201"/>
      <c r="P1153" s="201"/>
      <c r="Q1153" s="201"/>
      <c r="R1153" s="201"/>
      <c r="S1153" s="201"/>
      <c r="T1153" s="201"/>
      <c r="U1153" s="201"/>
      <c r="V1153" s="201"/>
      <c r="W1153" s="201"/>
      <c r="X1153" s="201"/>
      <c r="Y1153" s="201"/>
      <c r="Z1153" s="201"/>
      <c r="AA1153" s="201"/>
      <c r="AB1153" s="201"/>
      <c r="AC1153" s="201"/>
      <c r="AD1153" s="201"/>
      <c r="AE1153" s="201"/>
      <c r="AF1153" s="201"/>
      <c r="AG1153" s="201"/>
      <c r="AH1153" s="201"/>
      <c r="AI1153" s="201"/>
      <c r="AJ1153" s="201"/>
      <c r="AK1153" s="201"/>
      <c r="AL1153" s="201"/>
      <c r="AM1153" s="201"/>
      <c r="AN1153" s="201"/>
      <c r="AO1153" s="201"/>
      <c r="AP1153" s="201"/>
      <c r="AQ1153" s="201"/>
      <c r="AR1153" s="201"/>
      <c r="AS1153" s="201"/>
      <c r="AT1153" s="201"/>
      <c r="AU1153" s="201"/>
      <c r="AV1153" s="201"/>
      <c r="AW1153" s="201"/>
      <c r="AX1153" s="201"/>
      <c r="AY1153" s="201"/>
      <c r="AZ1153" s="201"/>
      <c r="BA1153" s="201"/>
      <c r="BB1153" s="201"/>
      <c r="BC1153" s="201"/>
      <c r="BD1153" s="201"/>
      <c r="BE1153" s="201"/>
      <c r="BF1153" s="201"/>
      <c r="BG1153" s="201"/>
      <c r="BH1153" s="201"/>
      <c r="BI1153" s="201"/>
      <c r="BJ1153" s="201"/>
    </row>
    <row r="1154" spans="1:64" ht="21">
      <c r="A1154" s="203" t="s">
        <v>162</v>
      </c>
      <c r="B1154" s="89"/>
      <c r="D1154" s="204"/>
      <c r="E1154" s="204"/>
    </row>
    <row r="1155" spans="1:64" s="94" customFormat="1">
      <c r="A1155" s="90" t="s">
        <v>154</v>
      </c>
      <c r="B1155" s="91" t="s">
        <v>155</v>
      </c>
      <c r="C1155" s="91">
        <v>1</v>
      </c>
      <c r="D1155" s="92">
        <v>2</v>
      </c>
      <c r="E1155" s="92">
        <v>3</v>
      </c>
      <c r="F1155" s="92">
        <v>4</v>
      </c>
      <c r="G1155" s="92">
        <v>5</v>
      </c>
      <c r="H1155" s="92">
        <v>6</v>
      </c>
      <c r="I1155" s="92">
        <v>7</v>
      </c>
      <c r="J1155" s="92">
        <v>8</v>
      </c>
      <c r="K1155" s="92">
        <v>9</v>
      </c>
      <c r="L1155" s="92">
        <v>10</v>
      </c>
      <c r="M1155" s="92">
        <v>11</v>
      </c>
      <c r="N1155" s="92">
        <v>12</v>
      </c>
      <c r="O1155" s="92">
        <v>13</v>
      </c>
      <c r="P1155" s="92">
        <v>14</v>
      </c>
      <c r="Q1155" s="92">
        <v>15</v>
      </c>
      <c r="R1155" s="92">
        <v>16</v>
      </c>
      <c r="S1155" s="92">
        <v>17</v>
      </c>
      <c r="T1155" s="92">
        <v>18</v>
      </c>
      <c r="U1155" s="92">
        <v>19</v>
      </c>
      <c r="V1155" s="92">
        <v>20</v>
      </c>
      <c r="W1155" s="92">
        <v>21</v>
      </c>
      <c r="X1155" s="92">
        <v>22</v>
      </c>
      <c r="Y1155" s="92">
        <v>23</v>
      </c>
      <c r="Z1155" s="92">
        <v>24</v>
      </c>
      <c r="AA1155" s="92">
        <v>25</v>
      </c>
      <c r="AB1155" s="92">
        <v>26</v>
      </c>
      <c r="AC1155" s="92">
        <v>27</v>
      </c>
      <c r="AD1155" s="92">
        <v>28</v>
      </c>
      <c r="AE1155" s="92">
        <v>29</v>
      </c>
      <c r="AF1155" s="92">
        <v>30</v>
      </c>
      <c r="AG1155" s="92">
        <v>31</v>
      </c>
      <c r="AH1155" s="92">
        <v>32</v>
      </c>
      <c r="AI1155" s="92">
        <v>33</v>
      </c>
      <c r="AJ1155" s="92">
        <v>34</v>
      </c>
      <c r="AK1155" s="92">
        <v>35</v>
      </c>
      <c r="AL1155" s="92">
        <v>36</v>
      </c>
      <c r="AM1155" s="92">
        <v>37</v>
      </c>
      <c r="AN1155" s="92">
        <v>38</v>
      </c>
      <c r="AO1155" s="92">
        <v>39</v>
      </c>
      <c r="AP1155" s="92">
        <v>40</v>
      </c>
      <c r="AQ1155" s="92">
        <v>41</v>
      </c>
      <c r="AR1155" s="92">
        <v>42</v>
      </c>
      <c r="AS1155" s="92">
        <v>43</v>
      </c>
      <c r="AT1155" s="92">
        <v>44</v>
      </c>
      <c r="AU1155" s="92">
        <v>45</v>
      </c>
      <c r="AV1155" s="92">
        <v>46</v>
      </c>
      <c r="AW1155" s="92">
        <v>47</v>
      </c>
      <c r="AX1155" s="92">
        <v>48</v>
      </c>
      <c r="AY1155" s="92">
        <v>49</v>
      </c>
      <c r="AZ1155" s="92">
        <v>50</v>
      </c>
      <c r="BA1155" s="92">
        <v>51</v>
      </c>
      <c r="BB1155" s="92">
        <v>52</v>
      </c>
      <c r="BC1155" s="92">
        <v>53</v>
      </c>
      <c r="BD1155" s="92">
        <v>54</v>
      </c>
      <c r="BE1155" s="92">
        <v>55</v>
      </c>
      <c r="BF1155" s="92">
        <v>56</v>
      </c>
      <c r="BG1155" s="92">
        <v>57</v>
      </c>
      <c r="BH1155" s="92">
        <v>58</v>
      </c>
      <c r="BI1155" s="92">
        <v>59</v>
      </c>
      <c r="BJ1155" s="93">
        <v>60</v>
      </c>
    </row>
    <row r="1156" spans="1:64" s="100" customFormat="1">
      <c r="A1156" s="95" t="s">
        <v>156</v>
      </c>
      <c r="B1156" s="96">
        <f>SUM(C1156:BJ1156)</f>
        <v>4000</v>
      </c>
      <c r="C1156" s="96">
        <f t="shared" ref="C1156:BJ1156" si="728">C1099</f>
        <v>0</v>
      </c>
      <c r="D1156" s="205">
        <f t="shared" si="728"/>
        <v>0</v>
      </c>
      <c r="E1156" s="205">
        <f t="shared" si="728"/>
        <v>0</v>
      </c>
      <c r="F1156" s="205">
        <f t="shared" si="728"/>
        <v>0</v>
      </c>
      <c r="G1156" s="205">
        <f t="shared" si="728"/>
        <v>0</v>
      </c>
      <c r="H1156" s="205">
        <f t="shared" si="728"/>
        <v>55.2</v>
      </c>
      <c r="I1156" s="205">
        <f t="shared" si="728"/>
        <v>110.4</v>
      </c>
      <c r="J1156" s="205">
        <f t="shared" si="728"/>
        <v>165.6</v>
      </c>
      <c r="K1156" s="205">
        <f t="shared" si="728"/>
        <v>220.8</v>
      </c>
      <c r="L1156" s="205">
        <f t="shared" si="728"/>
        <v>362</v>
      </c>
      <c r="M1156" s="205">
        <f t="shared" si="728"/>
        <v>362</v>
      </c>
      <c r="N1156" s="205">
        <f t="shared" si="728"/>
        <v>362</v>
      </c>
      <c r="O1156" s="205">
        <f t="shared" si="728"/>
        <v>362</v>
      </c>
      <c r="P1156" s="205">
        <f t="shared" si="728"/>
        <v>362</v>
      </c>
      <c r="Q1156" s="205">
        <f t="shared" si="728"/>
        <v>362</v>
      </c>
      <c r="R1156" s="205">
        <f t="shared" si="728"/>
        <v>362</v>
      </c>
      <c r="S1156" s="205">
        <f t="shared" si="728"/>
        <v>362</v>
      </c>
      <c r="T1156" s="205">
        <f t="shared" si="728"/>
        <v>220.8</v>
      </c>
      <c r="U1156" s="205">
        <f t="shared" si="728"/>
        <v>165.6</v>
      </c>
      <c r="V1156" s="205">
        <f t="shared" si="728"/>
        <v>110.4</v>
      </c>
      <c r="W1156" s="205">
        <f t="shared" si="728"/>
        <v>55.2</v>
      </c>
      <c r="X1156" s="205">
        <f t="shared" si="728"/>
        <v>0</v>
      </c>
      <c r="Y1156" s="205">
        <f t="shared" si="728"/>
        <v>0</v>
      </c>
      <c r="Z1156" s="205">
        <f t="shared" si="728"/>
        <v>0</v>
      </c>
      <c r="AA1156" s="205">
        <f t="shared" si="728"/>
        <v>0</v>
      </c>
      <c r="AB1156" s="205">
        <f t="shared" si="728"/>
        <v>0</v>
      </c>
      <c r="AC1156" s="205">
        <f t="shared" si="728"/>
        <v>0</v>
      </c>
      <c r="AD1156" s="205">
        <f t="shared" si="728"/>
        <v>0</v>
      </c>
      <c r="AE1156" s="205">
        <f t="shared" si="728"/>
        <v>0</v>
      </c>
      <c r="AF1156" s="205">
        <f t="shared" si="728"/>
        <v>0</v>
      </c>
      <c r="AG1156" s="205">
        <f t="shared" si="728"/>
        <v>0</v>
      </c>
      <c r="AH1156" s="205">
        <f t="shared" si="728"/>
        <v>0</v>
      </c>
      <c r="AI1156" s="205">
        <f t="shared" si="728"/>
        <v>0</v>
      </c>
      <c r="AJ1156" s="205">
        <f t="shared" si="728"/>
        <v>0</v>
      </c>
      <c r="AK1156" s="205">
        <f t="shared" si="728"/>
        <v>0</v>
      </c>
      <c r="AL1156" s="205">
        <f t="shared" si="728"/>
        <v>0</v>
      </c>
      <c r="AM1156" s="205">
        <f t="shared" si="728"/>
        <v>0</v>
      </c>
      <c r="AN1156" s="205">
        <f t="shared" si="728"/>
        <v>0</v>
      </c>
      <c r="AO1156" s="205">
        <f t="shared" si="728"/>
        <v>0</v>
      </c>
      <c r="AP1156" s="205">
        <f t="shared" si="728"/>
        <v>0</v>
      </c>
      <c r="AQ1156" s="205">
        <f t="shared" si="728"/>
        <v>0</v>
      </c>
      <c r="AR1156" s="205">
        <f t="shared" si="728"/>
        <v>0</v>
      </c>
      <c r="AS1156" s="205">
        <f t="shared" si="728"/>
        <v>0</v>
      </c>
      <c r="AT1156" s="205">
        <f t="shared" si="728"/>
        <v>0</v>
      </c>
      <c r="AU1156" s="205">
        <f t="shared" si="728"/>
        <v>0</v>
      </c>
      <c r="AV1156" s="205">
        <f t="shared" si="728"/>
        <v>0</v>
      </c>
      <c r="AW1156" s="205">
        <f t="shared" si="728"/>
        <v>0</v>
      </c>
      <c r="AX1156" s="205">
        <f t="shared" si="728"/>
        <v>0</v>
      </c>
      <c r="AY1156" s="205">
        <f t="shared" si="728"/>
        <v>0</v>
      </c>
      <c r="AZ1156" s="205">
        <f t="shared" si="728"/>
        <v>0</v>
      </c>
      <c r="BA1156" s="205">
        <f t="shared" si="728"/>
        <v>0</v>
      </c>
      <c r="BB1156" s="205">
        <f t="shared" si="728"/>
        <v>0</v>
      </c>
      <c r="BC1156" s="205">
        <f t="shared" si="728"/>
        <v>0</v>
      </c>
      <c r="BD1156" s="205">
        <f t="shared" si="728"/>
        <v>0</v>
      </c>
      <c r="BE1156" s="205">
        <f t="shared" si="728"/>
        <v>0</v>
      </c>
      <c r="BF1156" s="205">
        <f t="shared" si="728"/>
        <v>0</v>
      </c>
      <c r="BG1156" s="205">
        <f t="shared" si="728"/>
        <v>0</v>
      </c>
      <c r="BH1156" s="205">
        <f t="shared" si="728"/>
        <v>0</v>
      </c>
      <c r="BI1156" s="205">
        <f t="shared" si="728"/>
        <v>0</v>
      </c>
      <c r="BJ1156" s="206">
        <f t="shared" si="728"/>
        <v>0</v>
      </c>
    </row>
    <row r="1157" spans="1:64" s="105" customFormat="1">
      <c r="A1157" s="101" t="s">
        <v>115</v>
      </c>
      <c r="B1157" s="102">
        <f>SUM(C1157:BJ1157)</f>
        <v>6325032620.9662361</v>
      </c>
      <c r="C1157" s="207">
        <f>C1100*(1+$G1097)^(C983-1)</f>
        <v>12578291.495344553</v>
      </c>
      <c r="D1157" s="208">
        <f>D1100*(1+$G1097)^(D1098-1)</f>
        <v>13604680.081364671</v>
      </c>
      <c r="E1157" s="208">
        <f t="shared" ref="E1157:BJ1157" si="729">E1100*(1+$G1097)^(E1098-1)</f>
        <v>14148867.284619259</v>
      </c>
      <c r="F1157" s="208">
        <f t="shared" si="729"/>
        <v>14714821.976004029</v>
      </c>
      <c r="G1157" s="208">
        <f t="shared" si="729"/>
        <v>15303414.855044192</v>
      </c>
      <c r="H1157" s="208">
        <f t="shared" si="729"/>
        <v>63707246.140823863</v>
      </c>
      <c r="I1157" s="208">
        <f t="shared" si="729"/>
        <v>132511071.97291364</v>
      </c>
      <c r="J1157" s="208">
        <f t="shared" si="729"/>
        <v>206717272.27774528</v>
      </c>
      <c r="K1157" s="208">
        <f t="shared" si="729"/>
        <v>286647950.89180678</v>
      </c>
      <c r="L1157" s="208">
        <f t="shared" si="729"/>
        <v>488755527.861175</v>
      </c>
      <c r="M1157" s="208">
        <f t="shared" si="729"/>
        <v>508305748.975622</v>
      </c>
      <c r="N1157" s="208">
        <f t="shared" si="729"/>
        <v>528637978.93464679</v>
      </c>
      <c r="O1157" s="208">
        <f t="shared" si="729"/>
        <v>549783498.09203279</v>
      </c>
      <c r="P1157" s="208">
        <f t="shared" si="729"/>
        <v>571774838.01571417</v>
      </c>
      <c r="Q1157" s="208">
        <f t="shared" si="729"/>
        <v>594645831.53634274</v>
      </c>
      <c r="R1157" s="208">
        <f t="shared" si="729"/>
        <v>618431664.79779637</v>
      </c>
      <c r="S1157" s="208">
        <f t="shared" si="729"/>
        <v>643168931.3897084</v>
      </c>
      <c r="T1157" s="208">
        <f t="shared" si="729"/>
        <v>407989414.5107224</v>
      </c>
      <c r="U1157" s="208">
        <f t="shared" si="729"/>
        <v>318231743.31836355</v>
      </c>
      <c r="V1157" s="208">
        <f t="shared" si="729"/>
        <v>220640675.36739871</v>
      </c>
      <c r="W1157" s="208">
        <f t="shared" si="729"/>
        <v>114733151.19104733</v>
      </c>
      <c r="X1157" s="208">
        <f t="shared" si="729"/>
        <v>0</v>
      </c>
      <c r="Y1157" s="208">
        <f t="shared" si="729"/>
        <v>0</v>
      </c>
      <c r="Z1157" s="208">
        <f t="shared" si="729"/>
        <v>0</v>
      </c>
      <c r="AA1157" s="208">
        <f t="shared" si="729"/>
        <v>0</v>
      </c>
      <c r="AB1157" s="208">
        <f t="shared" si="729"/>
        <v>0</v>
      </c>
      <c r="AC1157" s="208">
        <f t="shared" si="729"/>
        <v>0</v>
      </c>
      <c r="AD1157" s="208">
        <f t="shared" si="729"/>
        <v>0</v>
      </c>
      <c r="AE1157" s="208">
        <f t="shared" si="729"/>
        <v>0</v>
      </c>
      <c r="AF1157" s="208">
        <f t="shared" si="729"/>
        <v>0</v>
      </c>
      <c r="AG1157" s="208">
        <f t="shared" si="729"/>
        <v>0</v>
      </c>
      <c r="AH1157" s="208">
        <f t="shared" si="729"/>
        <v>0</v>
      </c>
      <c r="AI1157" s="208">
        <f t="shared" si="729"/>
        <v>0</v>
      </c>
      <c r="AJ1157" s="208">
        <f t="shared" si="729"/>
        <v>0</v>
      </c>
      <c r="AK1157" s="208">
        <f t="shared" si="729"/>
        <v>0</v>
      </c>
      <c r="AL1157" s="208">
        <f t="shared" si="729"/>
        <v>0</v>
      </c>
      <c r="AM1157" s="208">
        <f t="shared" si="729"/>
        <v>0</v>
      </c>
      <c r="AN1157" s="208">
        <f t="shared" si="729"/>
        <v>0</v>
      </c>
      <c r="AO1157" s="208">
        <f t="shared" si="729"/>
        <v>0</v>
      </c>
      <c r="AP1157" s="208">
        <f t="shared" si="729"/>
        <v>0</v>
      </c>
      <c r="AQ1157" s="208">
        <f t="shared" si="729"/>
        <v>0</v>
      </c>
      <c r="AR1157" s="208">
        <f t="shared" si="729"/>
        <v>0</v>
      </c>
      <c r="AS1157" s="208">
        <f t="shared" si="729"/>
        <v>0</v>
      </c>
      <c r="AT1157" s="208">
        <f t="shared" si="729"/>
        <v>0</v>
      </c>
      <c r="AU1157" s="208">
        <f t="shared" si="729"/>
        <v>0</v>
      </c>
      <c r="AV1157" s="208">
        <f t="shared" si="729"/>
        <v>0</v>
      </c>
      <c r="AW1157" s="208">
        <f t="shared" si="729"/>
        <v>0</v>
      </c>
      <c r="AX1157" s="208">
        <f t="shared" si="729"/>
        <v>0</v>
      </c>
      <c r="AY1157" s="208">
        <f t="shared" si="729"/>
        <v>0</v>
      </c>
      <c r="AZ1157" s="208">
        <f t="shared" si="729"/>
        <v>0</v>
      </c>
      <c r="BA1157" s="208">
        <f t="shared" si="729"/>
        <v>0</v>
      </c>
      <c r="BB1157" s="208">
        <f t="shared" si="729"/>
        <v>0</v>
      </c>
      <c r="BC1157" s="208">
        <f t="shared" si="729"/>
        <v>0</v>
      </c>
      <c r="BD1157" s="208">
        <f t="shared" si="729"/>
        <v>0</v>
      </c>
      <c r="BE1157" s="208">
        <f t="shared" si="729"/>
        <v>0</v>
      </c>
      <c r="BF1157" s="208">
        <f t="shared" si="729"/>
        <v>0</v>
      </c>
      <c r="BG1157" s="208">
        <f t="shared" si="729"/>
        <v>0</v>
      </c>
      <c r="BH1157" s="208">
        <f t="shared" si="729"/>
        <v>0</v>
      </c>
      <c r="BI1157" s="208">
        <f t="shared" si="729"/>
        <v>0</v>
      </c>
      <c r="BJ1157" s="209">
        <f t="shared" si="729"/>
        <v>0</v>
      </c>
    </row>
    <row r="1158" spans="1:64" s="105" customFormat="1">
      <c r="A1158" s="106" t="s">
        <v>116</v>
      </c>
      <c r="B1158" s="210">
        <f>SUM(B1165,B1159:B1160)</f>
        <v>2077631839.1476707</v>
      </c>
      <c r="C1158" s="102">
        <f>SUM(C1159:C1160,C1165)</f>
        <v>10465138.524126669</v>
      </c>
      <c r="D1158" s="103">
        <f t="shared" ref="D1158:BJ1158" si="730">SUM(D1159:D1160,D1165)</f>
        <v>10883744.065091737</v>
      </c>
      <c r="E1158" s="103">
        <f t="shared" si="730"/>
        <v>11319093.827695407</v>
      </c>
      <c r="F1158" s="103">
        <f t="shared" si="730"/>
        <v>11771857.580803223</v>
      </c>
      <c r="G1158" s="103">
        <f t="shared" si="730"/>
        <v>12242731.884035353</v>
      </c>
      <c r="H1158" s="103">
        <f t="shared" si="730"/>
        <v>20584436.037821919</v>
      </c>
      <c r="I1158" s="103">
        <f t="shared" si="730"/>
        <v>42815626.958669588</v>
      </c>
      <c r="J1158" s="103">
        <f t="shared" si="730"/>
        <v>66792378.05552455</v>
      </c>
      <c r="K1158" s="103">
        <f t="shared" si="730"/>
        <v>92618764.236994073</v>
      </c>
      <c r="L1158" s="103">
        <f t="shared" si="730"/>
        <v>157921704.52872974</v>
      </c>
      <c r="M1158" s="103">
        <f t="shared" si="730"/>
        <v>164238572.70987892</v>
      </c>
      <c r="N1158" s="103">
        <f t="shared" si="730"/>
        <v>170808115.61827406</v>
      </c>
      <c r="O1158" s="103">
        <f t="shared" si="730"/>
        <v>177640440.24300507</v>
      </c>
      <c r="P1158" s="103">
        <f t="shared" si="730"/>
        <v>184746057.85272527</v>
      </c>
      <c r="Q1158" s="103">
        <f t="shared" si="730"/>
        <v>192135900.16683429</v>
      </c>
      <c r="R1158" s="103">
        <f t="shared" si="730"/>
        <v>199821336.17350763</v>
      </c>
      <c r="S1158" s="103">
        <f t="shared" si="730"/>
        <v>207814189.62044799</v>
      </c>
      <c r="T1158" s="103">
        <f t="shared" si="730"/>
        <v>131825381.19039425</v>
      </c>
      <c r="U1158" s="103">
        <f t="shared" si="730"/>
        <v>102823797.32850751</v>
      </c>
      <c r="V1158" s="103">
        <f t="shared" si="730"/>
        <v>71291166.147765219</v>
      </c>
      <c r="W1158" s="103">
        <f t="shared" si="730"/>
        <v>37071406.396837912</v>
      </c>
      <c r="X1158" s="103">
        <f t="shared" si="730"/>
        <v>0</v>
      </c>
      <c r="Y1158" s="103">
        <f t="shared" si="730"/>
        <v>0</v>
      </c>
      <c r="Z1158" s="103">
        <f t="shared" si="730"/>
        <v>0</v>
      </c>
      <c r="AA1158" s="103">
        <f t="shared" si="730"/>
        <v>0</v>
      </c>
      <c r="AB1158" s="103">
        <f t="shared" si="730"/>
        <v>0</v>
      </c>
      <c r="AC1158" s="103">
        <f t="shared" si="730"/>
        <v>0</v>
      </c>
      <c r="AD1158" s="103">
        <f t="shared" si="730"/>
        <v>0</v>
      </c>
      <c r="AE1158" s="103">
        <f t="shared" si="730"/>
        <v>0</v>
      </c>
      <c r="AF1158" s="103">
        <f t="shared" si="730"/>
        <v>0</v>
      </c>
      <c r="AG1158" s="103">
        <f t="shared" si="730"/>
        <v>0</v>
      </c>
      <c r="AH1158" s="103">
        <f t="shared" si="730"/>
        <v>0</v>
      </c>
      <c r="AI1158" s="103">
        <f t="shared" si="730"/>
        <v>0</v>
      </c>
      <c r="AJ1158" s="103">
        <f t="shared" si="730"/>
        <v>0</v>
      </c>
      <c r="AK1158" s="103">
        <f t="shared" si="730"/>
        <v>0</v>
      </c>
      <c r="AL1158" s="103">
        <f t="shared" si="730"/>
        <v>0</v>
      </c>
      <c r="AM1158" s="103">
        <f t="shared" si="730"/>
        <v>0</v>
      </c>
      <c r="AN1158" s="103">
        <f t="shared" si="730"/>
        <v>0</v>
      </c>
      <c r="AO1158" s="103">
        <f t="shared" si="730"/>
        <v>0</v>
      </c>
      <c r="AP1158" s="103">
        <f t="shared" si="730"/>
        <v>0</v>
      </c>
      <c r="AQ1158" s="103">
        <f t="shared" si="730"/>
        <v>0</v>
      </c>
      <c r="AR1158" s="103">
        <f t="shared" si="730"/>
        <v>0</v>
      </c>
      <c r="AS1158" s="103">
        <f t="shared" si="730"/>
        <v>0</v>
      </c>
      <c r="AT1158" s="103">
        <f t="shared" si="730"/>
        <v>0</v>
      </c>
      <c r="AU1158" s="103">
        <f t="shared" si="730"/>
        <v>0</v>
      </c>
      <c r="AV1158" s="103">
        <f t="shared" si="730"/>
        <v>0</v>
      </c>
      <c r="AW1158" s="103">
        <f t="shared" si="730"/>
        <v>0</v>
      </c>
      <c r="AX1158" s="103">
        <f t="shared" si="730"/>
        <v>0</v>
      </c>
      <c r="AY1158" s="103">
        <f t="shared" si="730"/>
        <v>0</v>
      </c>
      <c r="AZ1158" s="103">
        <f t="shared" si="730"/>
        <v>0</v>
      </c>
      <c r="BA1158" s="103">
        <f t="shared" si="730"/>
        <v>0</v>
      </c>
      <c r="BB1158" s="103">
        <f t="shared" si="730"/>
        <v>0</v>
      </c>
      <c r="BC1158" s="103">
        <f t="shared" si="730"/>
        <v>0</v>
      </c>
      <c r="BD1158" s="103">
        <f t="shared" si="730"/>
        <v>0</v>
      </c>
      <c r="BE1158" s="103">
        <f t="shared" si="730"/>
        <v>0</v>
      </c>
      <c r="BF1158" s="103">
        <f t="shared" si="730"/>
        <v>0</v>
      </c>
      <c r="BG1158" s="103">
        <f t="shared" si="730"/>
        <v>0</v>
      </c>
      <c r="BH1158" s="103">
        <f t="shared" si="730"/>
        <v>0</v>
      </c>
      <c r="BI1158" s="103">
        <f t="shared" si="730"/>
        <v>0</v>
      </c>
      <c r="BJ1158" s="104">
        <f t="shared" si="730"/>
        <v>0</v>
      </c>
    </row>
    <row r="1159" spans="1:64" s="116" customFormat="1">
      <c r="A1159" s="111" t="s">
        <v>117</v>
      </c>
      <c r="B1159" s="155">
        <f>SUM(C1159:BJ1159)</f>
        <v>1276752776.3315358</v>
      </c>
      <c r="C1159" s="108">
        <f>C1102*(1+$G1097)^(C983-1)</f>
        <v>0</v>
      </c>
      <c r="D1159" s="109">
        <f>D1102*(1+$G1097)^(D1098-1)</f>
        <v>0</v>
      </c>
      <c r="E1159" s="109">
        <f t="shared" ref="E1159:BJ1159" si="731">E1102*(1+$G1097)^(E1098-1)</f>
        <v>0</v>
      </c>
      <c r="F1159" s="109">
        <f t="shared" si="731"/>
        <v>0</v>
      </c>
      <c r="G1159" s="109">
        <f t="shared" si="731"/>
        <v>0</v>
      </c>
      <c r="H1159" s="109">
        <f t="shared" si="731"/>
        <v>13004401.549395023</v>
      </c>
      <c r="I1159" s="109">
        <f t="shared" si="731"/>
        <v>27049155.222741649</v>
      </c>
      <c r="J1159" s="109">
        <f t="shared" si="731"/>
        <v>42196682.147476964</v>
      </c>
      <c r="K1159" s="109">
        <f t="shared" si="731"/>
        <v>58512732.57783474</v>
      </c>
      <c r="L1159" s="109">
        <f t="shared" si="731"/>
        <v>99768449.098293573</v>
      </c>
      <c r="M1159" s="109">
        <f t="shared" si="731"/>
        <v>103759187.06222531</v>
      </c>
      <c r="N1159" s="109">
        <f t="shared" si="731"/>
        <v>107909554.54471432</v>
      </c>
      <c r="O1159" s="109">
        <f t="shared" si="731"/>
        <v>112225936.72650293</v>
      </c>
      <c r="P1159" s="109">
        <f t="shared" si="731"/>
        <v>116714974.19556303</v>
      </c>
      <c r="Q1159" s="109">
        <f t="shared" si="731"/>
        <v>121383573.16338556</v>
      </c>
      <c r="R1159" s="109">
        <f t="shared" si="731"/>
        <v>126238916.08992098</v>
      </c>
      <c r="S1159" s="109">
        <f t="shared" si="731"/>
        <v>131288472.73351784</v>
      </c>
      <c r="T1159" s="109">
        <f t="shared" si="731"/>
        <v>83281863.45509164</v>
      </c>
      <c r="U1159" s="109">
        <f t="shared" si="731"/>
        <v>64959853.494971476</v>
      </c>
      <c r="V1159" s="109">
        <f t="shared" si="731"/>
        <v>45038831.756513558</v>
      </c>
      <c r="W1159" s="109">
        <f t="shared" si="731"/>
        <v>23420192.51338705</v>
      </c>
      <c r="X1159" s="109">
        <f t="shared" si="731"/>
        <v>0</v>
      </c>
      <c r="Y1159" s="109">
        <f t="shared" si="731"/>
        <v>0</v>
      </c>
      <c r="Z1159" s="109">
        <f t="shared" si="731"/>
        <v>0</v>
      </c>
      <c r="AA1159" s="109">
        <f t="shared" si="731"/>
        <v>0</v>
      </c>
      <c r="AB1159" s="109">
        <f t="shared" si="731"/>
        <v>0</v>
      </c>
      <c r="AC1159" s="109">
        <f t="shared" si="731"/>
        <v>0</v>
      </c>
      <c r="AD1159" s="109">
        <f t="shared" si="731"/>
        <v>0</v>
      </c>
      <c r="AE1159" s="109">
        <f t="shared" si="731"/>
        <v>0</v>
      </c>
      <c r="AF1159" s="109">
        <f t="shared" si="731"/>
        <v>0</v>
      </c>
      <c r="AG1159" s="109">
        <f t="shared" si="731"/>
        <v>0</v>
      </c>
      <c r="AH1159" s="109">
        <f t="shared" si="731"/>
        <v>0</v>
      </c>
      <c r="AI1159" s="109">
        <f t="shared" si="731"/>
        <v>0</v>
      </c>
      <c r="AJ1159" s="109">
        <f t="shared" si="731"/>
        <v>0</v>
      </c>
      <c r="AK1159" s="109">
        <f t="shared" si="731"/>
        <v>0</v>
      </c>
      <c r="AL1159" s="109">
        <f t="shared" si="731"/>
        <v>0</v>
      </c>
      <c r="AM1159" s="109">
        <f t="shared" si="731"/>
        <v>0</v>
      </c>
      <c r="AN1159" s="109">
        <f t="shared" si="731"/>
        <v>0</v>
      </c>
      <c r="AO1159" s="109">
        <f t="shared" si="731"/>
        <v>0</v>
      </c>
      <c r="AP1159" s="109">
        <f t="shared" si="731"/>
        <v>0</v>
      </c>
      <c r="AQ1159" s="109">
        <f t="shared" si="731"/>
        <v>0</v>
      </c>
      <c r="AR1159" s="109">
        <f t="shared" si="731"/>
        <v>0</v>
      </c>
      <c r="AS1159" s="109">
        <f t="shared" si="731"/>
        <v>0</v>
      </c>
      <c r="AT1159" s="109">
        <f t="shared" si="731"/>
        <v>0</v>
      </c>
      <c r="AU1159" s="109">
        <f t="shared" si="731"/>
        <v>0</v>
      </c>
      <c r="AV1159" s="109">
        <f t="shared" si="731"/>
        <v>0</v>
      </c>
      <c r="AW1159" s="109">
        <f t="shared" si="731"/>
        <v>0</v>
      </c>
      <c r="AX1159" s="109">
        <f t="shared" si="731"/>
        <v>0</v>
      </c>
      <c r="AY1159" s="109">
        <f t="shared" si="731"/>
        <v>0</v>
      </c>
      <c r="AZ1159" s="109">
        <f t="shared" si="731"/>
        <v>0</v>
      </c>
      <c r="BA1159" s="109">
        <f t="shared" si="731"/>
        <v>0</v>
      </c>
      <c r="BB1159" s="109">
        <f t="shared" si="731"/>
        <v>0</v>
      </c>
      <c r="BC1159" s="109">
        <f t="shared" si="731"/>
        <v>0</v>
      </c>
      <c r="BD1159" s="109">
        <f t="shared" si="731"/>
        <v>0</v>
      </c>
      <c r="BE1159" s="109">
        <f t="shared" si="731"/>
        <v>0</v>
      </c>
      <c r="BF1159" s="109">
        <f t="shared" si="731"/>
        <v>0</v>
      </c>
      <c r="BG1159" s="109">
        <f t="shared" si="731"/>
        <v>0</v>
      </c>
      <c r="BH1159" s="109">
        <f t="shared" si="731"/>
        <v>0</v>
      </c>
      <c r="BI1159" s="109">
        <f t="shared" si="731"/>
        <v>0</v>
      </c>
      <c r="BJ1159" s="110">
        <f t="shared" si="731"/>
        <v>0</v>
      </c>
    </row>
    <row r="1160" spans="1:64" s="116" customFormat="1">
      <c r="A1160" s="111" t="s">
        <v>118</v>
      </c>
      <c r="B1160" s="155">
        <f>SUM(B1161:B1164)</f>
        <v>744196496.93438244</v>
      </c>
      <c r="C1160" s="108">
        <f>C1103*(1+$G1097)^(C1098-1)</f>
        <v>0</v>
      </c>
      <c r="D1160" s="109">
        <f>D1103*(1+$G1097)^(D1098-1)</f>
        <v>0</v>
      </c>
      <c r="E1160" s="109">
        <f t="shared" ref="E1160:BJ1160" si="732">E1103*(1+$G1097)^(E1098-1)</f>
        <v>0</v>
      </c>
      <c r="F1160" s="109">
        <f t="shared" si="732"/>
        <v>0</v>
      </c>
      <c r="G1160" s="109">
        <f t="shared" si="732"/>
        <v>0</v>
      </c>
      <c r="H1160" s="109">
        <f t="shared" si="732"/>
        <v>7580034.4884268958</v>
      </c>
      <c r="I1160" s="109">
        <f t="shared" si="732"/>
        <v>15766471.735927943</v>
      </c>
      <c r="J1160" s="109">
        <f t="shared" si="732"/>
        <v>24595695.908047587</v>
      </c>
      <c r="K1160" s="109">
        <f t="shared" si="732"/>
        <v>34106031.659159333</v>
      </c>
      <c r="L1160" s="109">
        <f t="shared" si="732"/>
        <v>58153255.430436157</v>
      </c>
      <c r="M1160" s="109">
        <f t="shared" si="732"/>
        <v>60479385.647653602</v>
      </c>
      <c r="N1160" s="109">
        <f t="shared" si="732"/>
        <v>62898561.073559739</v>
      </c>
      <c r="O1160" s="109">
        <f t="shared" si="732"/>
        <v>65414503.516502142</v>
      </c>
      <c r="P1160" s="109">
        <f t="shared" si="732"/>
        <v>68031083.657162234</v>
      </c>
      <c r="Q1160" s="109">
        <f t="shared" si="732"/>
        <v>70752327.003448725</v>
      </c>
      <c r="R1160" s="109">
        <f t="shared" si="732"/>
        <v>73582420.083586663</v>
      </c>
      <c r="S1160" s="109">
        <f t="shared" si="732"/>
        <v>76525716.886930138</v>
      </c>
      <c r="T1160" s="109">
        <f t="shared" si="732"/>
        <v>48543517.73530262</v>
      </c>
      <c r="U1160" s="109">
        <f t="shared" si="732"/>
        <v>37863943.833536044</v>
      </c>
      <c r="V1160" s="109">
        <f t="shared" si="732"/>
        <v>26252334.391251657</v>
      </c>
      <c r="W1160" s="109">
        <f t="shared" si="732"/>
        <v>13651213.883450862</v>
      </c>
      <c r="X1160" s="109">
        <f t="shared" si="732"/>
        <v>0</v>
      </c>
      <c r="Y1160" s="109">
        <f t="shared" si="732"/>
        <v>0</v>
      </c>
      <c r="Z1160" s="109">
        <f t="shared" si="732"/>
        <v>0</v>
      </c>
      <c r="AA1160" s="109">
        <f t="shared" si="732"/>
        <v>0</v>
      </c>
      <c r="AB1160" s="109">
        <f t="shared" si="732"/>
        <v>0</v>
      </c>
      <c r="AC1160" s="109">
        <f t="shared" si="732"/>
        <v>0</v>
      </c>
      <c r="AD1160" s="109">
        <f t="shared" si="732"/>
        <v>0</v>
      </c>
      <c r="AE1160" s="109">
        <f t="shared" si="732"/>
        <v>0</v>
      </c>
      <c r="AF1160" s="109">
        <f t="shared" si="732"/>
        <v>0</v>
      </c>
      <c r="AG1160" s="109">
        <f t="shared" si="732"/>
        <v>0</v>
      </c>
      <c r="AH1160" s="109">
        <f t="shared" si="732"/>
        <v>0</v>
      </c>
      <c r="AI1160" s="109">
        <f t="shared" si="732"/>
        <v>0</v>
      </c>
      <c r="AJ1160" s="109">
        <f t="shared" si="732"/>
        <v>0</v>
      </c>
      <c r="AK1160" s="109">
        <f t="shared" si="732"/>
        <v>0</v>
      </c>
      <c r="AL1160" s="109">
        <f t="shared" si="732"/>
        <v>0</v>
      </c>
      <c r="AM1160" s="109">
        <f t="shared" si="732"/>
        <v>0</v>
      </c>
      <c r="AN1160" s="109">
        <f t="shared" si="732"/>
        <v>0</v>
      </c>
      <c r="AO1160" s="109">
        <f t="shared" si="732"/>
        <v>0</v>
      </c>
      <c r="AP1160" s="109">
        <f t="shared" si="732"/>
        <v>0</v>
      </c>
      <c r="AQ1160" s="109">
        <f t="shared" si="732"/>
        <v>0</v>
      </c>
      <c r="AR1160" s="109">
        <f t="shared" si="732"/>
        <v>0</v>
      </c>
      <c r="AS1160" s="109">
        <f t="shared" si="732"/>
        <v>0</v>
      </c>
      <c r="AT1160" s="109">
        <f t="shared" si="732"/>
        <v>0</v>
      </c>
      <c r="AU1160" s="109">
        <f t="shared" si="732"/>
        <v>0</v>
      </c>
      <c r="AV1160" s="109">
        <f t="shared" si="732"/>
        <v>0</v>
      </c>
      <c r="AW1160" s="109">
        <f t="shared" si="732"/>
        <v>0</v>
      </c>
      <c r="AX1160" s="109">
        <f t="shared" si="732"/>
        <v>0</v>
      </c>
      <c r="AY1160" s="109">
        <f t="shared" si="732"/>
        <v>0</v>
      </c>
      <c r="AZ1160" s="109">
        <f t="shared" si="732"/>
        <v>0</v>
      </c>
      <c r="BA1160" s="109">
        <f t="shared" si="732"/>
        <v>0</v>
      </c>
      <c r="BB1160" s="109">
        <f t="shared" si="732"/>
        <v>0</v>
      </c>
      <c r="BC1160" s="109">
        <f t="shared" si="732"/>
        <v>0</v>
      </c>
      <c r="BD1160" s="109">
        <f t="shared" si="732"/>
        <v>0</v>
      </c>
      <c r="BE1160" s="109">
        <f t="shared" si="732"/>
        <v>0</v>
      </c>
      <c r="BF1160" s="109">
        <f t="shared" si="732"/>
        <v>0</v>
      </c>
      <c r="BG1160" s="109">
        <f t="shared" si="732"/>
        <v>0</v>
      </c>
      <c r="BH1160" s="109">
        <f t="shared" si="732"/>
        <v>0</v>
      </c>
      <c r="BI1160" s="109">
        <f t="shared" si="732"/>
        <v>0</v>
      </c>
      <c r="BJ1160" s="110">
        <f t="shared" si="732"/>
        <v>0</v>
      </c>
    </row>
    <row r="1161" spans="1:64" s="125" customFormat="1" ht="12.75">
      <c r="A1161" s="120" t="s">
        <v>119</v>
      </c>
      <c r="B1161" s="211">
        <f t="shared" ref="B1161:B1166" si="733">SUM(C1161:BJ1161)</f>
        <v>357272016.54717249</v>
      </c>
      <c r="C1161" s="122">
        <f>C1104*(1+$G1097)^(C1098-1)</f>
        <v>0</v>
      </c>
      <c r="D1161" s="123">
        <f>D1104*(1+$G1097)^(D1098-1)</f>
        <v>0</v>
      </c>
      <c r="E1161" s="123">
        <f t="shared" ref="E1161:BJ1161" si="734">E1104*(1+$G1097)^(E1098-1)</f>
        <v>0</v>
      </c>
      <c r="F1161" s="123">
        <f t="shared" si="734"/>
        <v>0</v>
      </c>
      <c r="G1161" s="123">
        <f t="shared" si="734"/>
        <v>0</v>
      </c>
      <c r="H1161" s="123">
        <f t="shared" si="734"/>
        <v>3639004.239247547</v>
      </c>
      <c r="I1161" s="123">
        <f t="shared" si="734"/>
        <v>7569128.8176348973</v>
      </c>
      <c r="J1161" s="123">
        <f t="shared" si="734"/>
        <v>11807840.955510439</v>
      </c>
      <c r="K1161" s="123">
        <f t="shared" si="734"/>
        <v>16373539.458307812</v>
      </c>
      <c r="L1161" s="123">
        <f t="shared" si="734"/>
        <v>27918071.264781363</v>
      </c>
      <c r="M1161" s="123">
        <f t="shared" si="734"/>
        <v>29034794.115372617</v>
      </c>
      <c r="N1161" s="123">
        <f t="shared" si="734"/>
        <v>30196185.879987519</v>
      </c>
      <c r="O1161" s="123">
        <f t="shared" si="734"/>
        <v>31404033.315187026</v>
      </c>
      <c r="P1161" s="123">
        <f t="shared" si="734"/>
        <v>32660194.647794511</v>
      </c>
      <c r="Q1161" s="123">
        <f t="shared" si="734"/>
        <v>33966602.433706291</v>
      </c>
      <c r="R1161" s="123">
        <f t="shared" si="734"/>
        <v>35325266.531054541</v>
      </c>
      <c r="S1161" s="123">
        <f t="shared" si="734"/>
        <v>36738277.192296728</v>
      </c>
      <c r="T1161" s="123">
        <f t="shared" si="734"/>
        <v>23304652.122158796</v>
      </c>
      <c r="U1161" s="123">
        <f t="shared" si="734"/>
        <v>18177628.655283861</v>
      </c>
      <c r="V1161" s="123">
        <f t="shared" si="734"/>
        <v>12603155.867663477</v>
      </c>
      <c r="W1161" s="123">
        <f t="shared" si="734"/>
        <v>6553641.0511850081</v>
      </c>
      <c r="X1161" s="123">
        <f t="shared" si="734"/>
        <v>0</v>
      </c>
      <c r="Y1161" s="123">
        <f t="shared" si="734"/>
        <v>0</v>
      </c>
      <c r="Z1161" s="123">
        <f t="shared" si="734"/>
        <v>0</v>
      </c>
      <c r="AA1161" s="123">
        <f t="shared" si="734"/>
        <v>0</v>
      </c>
      <c r="AB1161" s="123">
        <f t="shared" si="734"/>
        <v>0</v>
      </c>
      <c r="AC1161" s="123">
        <f t="shared" si="734"/>
        <v>0</v>
      </c>
      <c r="AD1161" s="123">
        <f t="shared" si="734"/>
        <v>0</v>
      </c>
      <c r="AE1161" s="123">
        <f t="shared" si="734"/>
        <v>0</v>
      </c>
      <c r="AF1161" s="123">
        <f t="shared" si="734"/>
        <v>0</v>
      </c>
      <c r="AG1161" s="123">
        <f t="shared" si="734"/>
        <v>0</v>
      </c>
      <c r="AH1161" s="123">
        <f t="shared" si="734"/>
        <v>0</v>
      </c>
      <c r="AI1161" s="123">
        <f t="shared" si="734"/>
        <v>0</v>
      </c>
      <c r="AJ1161" s="123">
        <f t="shared" si="734"/>
        <v>0</v>
      </c>
      <c r="AK1161" s="123">
        <f t="shared" si="734"/>
        <v>0</v>
      </c>
      <c r="AL1161" s="123">
        <f t="shared" si="734"/>
        <v>0</v>
      </c>
      <c r="AM1161" s="123">
        <f t="shared" si="734"/>
        <v>0</v>
      </c>
      <c r="AN1161" s="123">
        <f t="shared" si="734"/>
        <v>0</v>
      </c>
      <c r="AO1161" s="123">
        <f t="shared" si="734"/>
        <v>0</v>
      </c>
      <c r="AP1161" s="123">
        <f t="shared" si="734"/>
        <v>0</v>
      </c>
      <c r="AQ1161" s="123">
        <f t="shared" si="734"/>
        <v>0</v>
      </c>
      <c r="AR1161" s="123">
        <f t="shared" si="734"/>
        <v>0</v>
      </c>
      <c r="AS1161" s="123">
        <f t="shared" si="734"/>
        <v>0</v>
      </c>
      <c r="AT1161" s="123">
        <f t="shared" si="734"/>
        <v>0</v>
      </c>
      <c r="AU1161" s="123">
        <f t="shared" si="734"/>
        <v>0</v>
      </c>
      <c r="AV1161" s="123">
        <f t="shared" si="734"/>
        <v>0</v>
      </c>
      <c r="AW1161" s="123">
        <f t="shared" si="734"/>
        <v>0</v>
      </c>
      <c r="AX1161" s="123">
        <f t="shared" si="734"/>
        <v>0</v>
      </c>
      <c r="AY1161" s="123">
        <f t="shared" si="734"/>
        <v>0</v>
      </c>
      <c r="AZ1161" s="123">
        <f t="shared" si="734"/>
        <v>0</v>
      </c>
      <c r="BA1161" s="123">
        <f t="shared" si="734"/>
        <v>0</v>
      </c>
      <c r="BB1161" s="123">
        <f t="shared" si="734"/>
        <v>0</v>
      </c>
      <c r="BC1161" s="123">
        <f t="shared" si="734"/>
        <v>0</v>
      </c>
      <c r="BD1161" s="123">
        <f t="shared" si="734"/>
        <v>0</v>
      </c>
      <c r="BE1161" s="123">
        <f t="shared" si="734"/>
        <v>0</v>
      </c>
      <c r="BF1161" s="123">
        <f t="shared" si="734"/>
        <v>0</v>
      </c>
      <c r="BG1161" s="123">
        <f t="shared" si="734"/>
        <v>0</v>
      </c>
      <c r="BH1161" s="123">
        <f t="shared" si="734"/>
        <v>0</v>
      </c>
      <c r="BI1161" s="123">
        <f t="shared" si="734"/>
        <v>0</v>
      </c>
      <c r="BJ1161" s="124">
        <f t="shared" si="734"/>
        <v>0</v>
      </c>
    </row>
    <row r="1162" spans="1:64" s="125" customFormat="1" ht="12.75">
      <c r="A1162" s="120" t="s">
        <v>120</v>
      </c>
      <c r="B1162" s="211">
        <f t="shared" si="733"/>
        <v>300265231.62171823</v>
      </c>
      <c r="C1162" s="122">
        <f>C1105*(1+$G1097)^(C1098-1)</f>
        <v>0</v>
      </c>
      <c r="D1162" s="123">
        <f>D1105*(1+$G1097)^(D1098-1)</f>
        <v>0</v>
      </c>
      <c r="E1162" s="123">
        <f t="shared" ref="E1162:BJ1162" si="735">E1105*(1+$G1097)^(E1098-1)</f>
        <v>0</v>
      </c>
      <c r="F1162" s="123">
        <f t="shared" si="735"/>
        <v>0</v>
      </c>
      <c r="G1162" s="123">
        <f t="shared" si="735"/>
        <v>0</v>
      </c>
      <c r="H1162" s="123">
        <f t="shared" si="735"/>
        <v>3058360.017473714</v>
      </c>
      <c r="I1162" s="123">
        <f t="shared" si="735"/>
        <v>6361388.8363453252</v>
      </c>
      <c r="J1162" s="123">
        <f t="shared" si="735"/>
        <v>9923766.584698705</v>
      </c>
      <c r="K1162" s="123">
        <f t="shared" si="735"/>
        <v>13760956.330782207</v>
      </c>
      <c r="L1162" s="123">
        <f t="shared" si="735"/>
        <v>23463427.714732271</v>
      </c>
      <c r="M1162" s="123">
        <f t="shared" si="735"/>
        <v>24401964.823321562</v>
      </c>
      <c r="N1162" s="123">
        <f t="shared" si="735"/>
        <v>25378043.41625442</v>
      </c>
      <c r="O1162" s="123">
        <f t="shared" si="735"/>
        <v>26393165.152904604</v>
      </c>
      <c r="P1162" s="123">
        <f t="shared" si="735"/>
        <v>27448891.75902079</v>
      </c>
      <c r="Q1162" s="123">
        <f t="shared" si="735"/>
        <v>28546847.42938162</v>
      </c>
      <c r="R1162" s="123">
        <f t="shared" si="735"/>
        <v>29688721.326556884</v>
      </c>
      <c r="S1162" s="123">
        <f t="shared" si="735"/>
        <v>30876270.179619163</v>
      </c>
      <c r="T1162" s="123">
        <f t="shared" si="735"/>
        <v>19586131.695818532</v>
      </c>
      <c r="U1162" s="123">
        <f t="shared" si="735"/>
        <v>15277182.722738456</v>
      </c>
      <c r="V1162" s="123">
        <f t="shared" si="735"/>
        <v>10592180.021098664</v>
      </c>
      <c r="W1162" s="123">
        <f t="shared" si="735"/>
        <v>5507933.6109713055</v>
      </c>
      <c r="X1162" s="123">
        <f t="shared" si="735"/>
        <v>0</v>
      </c>
      <c r="Y1162" s="123">
        <f t="shared" si="735"/>
        <v>0</v>
      </c>
      <c r="Z1162" s="123">
        <f t="shared" si="735"/>
        <v>0</v>
      </c>
      <c r="AA1162" s="123">
        <f t="shared" si="735"/>
        <v>0</v>
      </c>
      <c r="AB1162" s="123">
        <f t="shared" si="735"/>
        <v>0</v>
      </c>
      <c r="AC1162" s="123">
        <f t="shared" si="735"/>
        <v>0</v>
      </c>
      <c r="AD1162" s="123">
        <f t="shared" si="735"/>
        <v>0</v>
      </c>
      <c r="AE1162" s="123">
        <f t="shared" si="735"/>
        <v>0</v>
      </c>
      <c r="AF1162" s="123">
        <f t="shared" si="735"/>
        <v>0</v>
      </c>
      <c r="AG1162" s="123">
        <f t="shared" si="735"/>
        <v>0</v>
      </c>
      <c r="AH1162" s="123">
        <f t="shared" si="735"/>
        <v>0</v>
      </c>
      <c r="AI1162" s="123">
        <f t="shared" si="735"/>
        <v>0</v>
      </c>
      <c r="AJ1162" s="123">
        <f t="shared" si="735"/>
        <v>0</v>
      </c>
      <c r="AK1162" s="123">
        <f t="shared" si="735"/>
        <v>0</v>
      </c>
      <c r="AL1162" s="123">
        <f t="shared" si="735"/>
        <v>0</v>
      </c>
      <c r="AM1162" s="123">
        <f t="shared" si="735"/>
        <v>0</v>
      </c>
      <c r="AN1162" s="123">
        <f t="shared" si="735"/>
        <v>0</v>
      </c>
      <c r="AO1162" s="123">
        <f t="shared" si="735"/>
        <v>0</v>
      </c>
      <c r="AP1162" s="123">
        <f t="shared" si="735"/>
        <v>0</v>
      </c>
      <c r="AQ1162" s="123">
        <f t="shared" si="735"/>
        <v>0</v>
      </c>
      <c r="AR1162" s="123">
        <f t="shared" si="735"/>
        <v>0</v>
      </c>
      <c r="AS1162" s="123">
        <f t="shared" si="735"/>
        <v>0</v>
      </c>
      <c r="AT1162" s="123">
        <f t="shared" si="735"/>
        <v>0</v>
      </c>
      <c r="AU1162" s="123">
        <f t="shared" si="735"/>
        <v>0</v>
      </c>
      <c r="AV1162" s="123">
        <f t="shared" si="735"/>
        <v>0</v>
      </c>
      <c r="AW1162" s="123">
        <f t="shared" si="735"/>
        <v>0</v>
      </c>
      <c r="AX1162" s="123">
        <f t="shared" si="735"/>
        <v>0</v>
      </c>
      <c r="AY1162" s="123">
        <f t="shared" si="735"/>
        <v>0</v>
      </c>
      <c r="AZ1162" s="123">
        <f t="shared" si="735"/>
        <v>0</v>
      </c>
      <c r="BA1162" s="123">
        <f t="shared" si="735"/>
        <v>0</v>
      </c>
      <c r="BB1162" s="123">
        <f t="shared" si="735"/>
        <v>0</v>
      </c>
      <c r="BC1162" s="123">
        <f t="shared" si="735"/>
        <v>0</v>
      </c>
      <c r="BD1162" s="123">
        <f t="shared" si="735"/>
        <v>0</v>
      </c>
      <c r="BE1162" s="123">
        <f t="shared" si="735"/>
        <v>0</v>
      </c>
      <c r="BF1162" s="123">
        <f t="shared" si="735"/>
        <v>0</v>
      </c>
      <c r="BG1162" s="123">
        <f t="shared" si="735"/>
        <v>0</v>
      </c>
      <c r="BH1162" s="123">
        <f t="shared" si="735"/>
        <v>0</v>
      </c>
      <c r="BI1162" s="123">
        <f t="shared" si="735"/>
        <v>0</v>
      </c>
      <c r="BJ1162" s="124">
        <f t="shared" si="735"/>
        <v>0</v>
      </c>
    </row>
    <row r="1163" spans="1:64" s="125" customFormat="1" ht="12.75">
      <c r="A1163" s="120" t="s">
        <v>121</v>
      </c>
      <c r="B1163" s="211">
        <f t="shared" si="733"/>
        <v>72758870.076876536</v>
      </c>
      <c r="C1163" s="122">
        <f>C1106*(1+$G1097)^(C1098-1)</f>
        <v>0</v>
      </c>
      <c r="D1163" s="123">
        <f>D1106*(1+$G1097)^(D1098-1)</f>
        <v>0</v>
      </c>
      <c r="E1163" s="123">
        <f t="shared" ref="E1163:BJ1163" si="736">E1106*(1+$G1097)^(E1098-1)</f>
        <v>0</v>
      </c>
      <c r="F1163" s="123">
        <f t="shared" si="736"/>
        <v>0</v>
      </c>
      <c r="G1163" s="123">
        <f t="shared" si="736"/>
        <v>0</v>
      </c>
      <c r="H1163" s="123">
        <f t="shared" si="736"/>
        <v>741087.53103996953</v>
      </c>
      <c r="I1163" s="123">
        <f t="shared" si="736"/>
        <v>1541462.0645631368</v>
      </c>
      <c r="J1163" s="123">
        <f t="shared" si="736"/>
        <v>2404680.8207184928</v>
      </c>
      <c r="K1163" s="123">
        <f t="shared" si="736"/>
        <v>3334490.7380629773</v>
      </c>
      <c r="L1163" s="123">
        <f t="shared" si="736"/>
        <v>5685548.3381610047</v>
      </c>
      <c r="M1163" s="123">
        <f t="shared" si="736"/>
        <v>5912970.2716874452</v>
      </c>
      <c r="N1163" s="123">
        <f t="shared" si="736"/>
        <v>6149489.082554942</v>
      </c>
      <c r="O1163" s="123">
        <f t="shared" si="736"/>
        <v>6395468.6458571414</v>
      </c>
      <c r="P1163" s="123">
        <f t="shared" si="736"/>
        <v>6651287.3916914267</v>
      </c>
      <c r="Q1163" s="123">
        <f t="shared" si="736"/>
        <v>6917338.8873590846</v>
      </c>
      <c r="R1163" s="123">
        <f t="shared" si="736"/>
        <v>7194032.442853447</v>
      </c>
      <c r="S1163" s="123">
        <f t="shared" si="736"/>
        <v>7481793.7405675864</v>
      </c>
      <c r="T1163" s="123">
        <f t="shared" si="736"/>
        <v>4746020.0558950724</v>
      </c>
      <c r="U1163" s="123">
        <f t="shared" si="736"/>
        <v>3701895.6435981565</v>
      </c>
      <c r="V1163" s="123">
        <f t="shared" si="736"/>
        <v>2566647.6462280555</v>
      </c>
      <c r="W1163" s="123">
        <f t="shared" si="736"/>
        <v>1334656.7760385887</v>
      </c>
      <c r="X1163" s="123">
        <f t="shared" si="736"/>
        <v>0</v>
      </c>
      <c r="Y1163" s="123">
        <f t="shared" si="736"/>
        <v>0</v>
      </c>
      <c r="Z1163" s="123">
        <f t="shared" si="736"/>
        <v>0</v>
      </c>
      <c r="AA1163" s="123">
        <f t="shared" si="736"/>
        <v>0</v>
      </c>
      <c r="AB1163" s="123">
        <f t="shared" si="736"/>
        <v>0</v>
      </c>
      <c r="AC1163" s="123">
        <f t="shared" si="736"/>
        <v>0</v>
      </c>
      <c r="AD1163" s="123">
        <f t="shared" si="736"/>
        <v>0</v>
      </c>
      <c r="AE1163" s="123">
        <f t="shared" si="736"/>
        <v>0</v>
      </c>
      <c r="AF1163" s="123">
        <f t="shared" si="736"/>
        <v>0</v>
      </c>
      <c r="AG1163" s="123">
        <f t="shared" si="736"/>
        <v>0</v>
      </c>
      <c r="AH1163" s="123">
        <f t="shared" si="736"/>
        <v>0</v>
      </c>
      <c r="AI1163" s="123">
        <f t="shared" si="736"/>
        <v>0</v>
      </c>
      <c r="AJ1163" s="123">
        <f t="shared" si="736"/>
        <v>0</v>
      </c>
      <c r="AK1163" s="123">
        <f t="shared" si="736"/>
        <v>0</v>
      </c>
      <c r="AL1163" s="123">
        <f t="shared" si="736"/>
        <v>0</v>
      </c>
      <c r="AM1163" s="123">
        <f t="shared" si="736"/>
        <v>0</v>
      </c>
      <c r="AN1163" s="123">
        <f t="shared" si="736"/>
        <v>0</v>
      </c>
      <c r="AO1163" s="123">
        <f t="shared" si="736"/>
        <v>0</v>
      </c>
      <c r="AP1163" s="123">
        <f t="shared" si="736"/>
        <v>0</v>
      </c>
      <c r="AQ1163" s="123">
        <f t="shared" si="736"/>
        <v>0</v>
      </c>
      <c r="AR1163" s="123">
        <f t="shared" si="736"/>
        <v>0</v>
      </c>
      <c r="AS1163" s="123">
        <f t="shared" si="736"/>
        <v>0</v>
      </c>
      <c r="AT1163" s="123">
        <f t="shared" si="736"/>
        <v>0</v>
      </c>
      <c r="AU1163" s="123">
        <f t="shared" si="736"/>
        <v>0</v>
      </c>
      <c r="AV1163" s="123">
        <f t="shared" si="736"/>
        <v>0</v>
      </c>
      <c r="AW1163" s="123">
        <f t="shared" si="736"/>
        <v>0</v>
      </c>
      <c r="AX1163" s="123">
        <f t="shared" si="736"/>
        <v>0</v>
      </c>
      <c r="AY1163" s="123">
        <f t="shared" si="736"/>
        <v>0</v>
      </c>
      <c r="AZ1163" s="123">
        <f t="shared" si="736"/>
        <v>0</v>
      </c>
      <c r="BA1163" s="123">
        <f t="shared" si="736"/>
        <v>0</v>
      </c>
      <c r="BB1163" s="123">
        <f t="shared" si="736"/>
        <v>0</v>
      </c>
      <c r="BC1163" s="123">
        <f t="shared" si="736"/>
        <v>0</v>
      </c>
      <c r="BD1163" s="123">
        <f t="shared" si="736"/>
        <v>0</v>
      </c>
      <c r="BE1163" s="123">
        <f t="shared" si="736"/>
        <v>0</v>
      </c>
      <c r="BF1163" s="123">
        <f t="shared" si="736"/>
        <v>0</v>
      </c>
      <c r="BG1163" s="123">
        <f t="shared" si="736"/>
        <v>0</v>
      </c>
      <c r="BH1163" s="123">
        <f t="shared" si="736"/>
        <v>0</v>
      </c>
      <c r="BI1163" s="123">
        <f t="shared" si="736"/>
        <v>0</v>
      </c>
      <c r="BJ1163" s="124">
        <f t="shared" si="736"/>
        <v>0</v>
      </c>
    </row>
    <row r="1164" spans="1:64" s="125" customFormat="1" ht="12.75">
      <c r="A1164" s="120" t="s">
        <v>122</v>
      </c>
      <c r="B1164" s="211">
        <f t="shared" si="733"/>
        <v>13900378.688615244</v>
      </c>
      <c r="C1164" s="122">
        <f>C1107*(1+$G1097)^(C1098-1)</f>
        <v>0</v>
      </c>
      <c r="D1164" s="123">
        <f>D1107*(1+$G1097)^(D1098-1)</f>
        <v>0</v>
      </c>
      <c r="E1164" s="123">
        <f t="shared" ref="E1164:BJ1164" si="737">E1107*(1+$G1097)^(E1098-1)</f>
        <v>0</v>
      </c>
      <c r="F1164" s="123">
        <f t="shared" si="737"/>
        <v>0</v>
      </c>
      <c r="G1164" s="123">
        <f t="shared" si="737"/>
        <v>0</v>
      </c>
      <c r="H1164" s="123">
        <f t="shared" si="737"/>
        <v>141582.70066566585</v>
      </c>
      <c r="I1164" s="123">
        <f t="shared" si="737"/>
        <v>294492.01738458493</v>
      </c>
      <c r="J1164" s="123">
        <f t="shared" si="737"/>
        <v>459407.54711995239</v>
      </c>
      <c r="K1164" s="123">
        <f t="shared" si="737"/>
        <v>637045.13200633414</v>
      </c>
      <c r="L1164" s="123">
        <f t="shared" si="737"/>
        <v>1086208.112761525</v>
      </c>
      <c r="M1164" s="123">
        <f t="shared" si="737"/>
        <v>1129656.4372719859</v>
      </c>
      <c r="N1164" s="123">
        <f t="shared" si="737"/>
        <v>1174842.6947628653</v>
      </c>
      <c r="O1164" s="123">
        <f t="shared" si="737"/>
        <v>1221836.4025533802</v>
      </c>
      <c r="P1164" s="123">
        <f t="shared" si="737"/>
        <v>1270709.8586555154</v>
      </c>
      <c r="Q1164" s="123">
        <f t="shared" si="737"/>
        <v>1321538.253001736</v>
      </c>
      <c r="R1164" s="123">
        <f t="shared" si="737"/>
        <v>1374399.7831218054</v>
      </c>
      <c r="S1164" s="123">
        <f t="shared" si="737"/>
        <v>1429375.7744466779</v>
      </c>
      <c r="T1164" s="123">
        <f t="shared" si="737"/>
        <v>906713.86143021972</v>
      </c>
      <c r="U1164" s="123">
        <f t="shared" si="737"/>
        <v>707236.81191557145</v>
      </c>
      <c r="V1164" s="123">
        <f t="shared" si="737"/>
        <v>490350.8562614629</v>
      </c>
      <c r="W1164" s="123">
        <f t="shared" si="737"/>
        <v>254982.44525596072</v>
      </c>
      <c r="X1164" s="123">
        <f t="shared" si="737"/>
        <v>0</v>
      </c>
      <c r="Y1164" s="123">
        <f t="shared" si="737"/>
        <v>0</v>
      </c>
      <c r="Z1164" s="123">
        <f t="shared" si="737"/>
        <v>0</v>
      </c>
      <c r="AA1164" s="123">
        <f t="shared" si="737"/>
        <v>0</v>
      </c>
      <c r="AB1164" s="123">
        <f t="shared" si="737"/>
        <v>0</v>
      </c>
      <c r="AC1164" s="123">
        <f t="shared" si="737"/>
        <v>0</v>
      </c>
      <c r="AD1164" s="123">
        <f t="shared" si="737"/>
        <v>0</v>
      </c>
      <c r="AE1164" s="123">
        <f t="shared" si="737"/>
        <v>0</v>
      </c>
      <c r="AF1164" s="123">
        <f t="shared" si="737"/>
        <v>0</v>
      </c>
      <c r="AG1164" s="123">
        <f t="shared" si="737"/>
        <v>0</v>
      </c>
      <c r="AH1164" s="123">
        <f t="shared" si="737"/>
        <v>0</v>
      </c>
      <c r="AI1164" s="123">
        <f t="shared" si="737"/>
        <v>0</v>
      </c>
      <c r="AJ1164" s="123">
        <f t="shared" si="737"/>
        <v>0</v>
      </c>
      <c r="AK1164" s="123">
        <f t="shared" si="737"/>
        <v>0</v>
      </c>
      <c r="AL1164" s="123">
        <f t="shared" si="737"/>
        <v>0</v>
      </c>
      <c r="AM1164" s="123">
        <f t="shared" si="737"/>
        <v>0</v>
      </c>
      <c r="AN1164" s="123">
        <f t="shared" si="737"/>
        <v>0</v>
      </c>
      <c r="AO1164" s="123">
        <f t="shared" si="737"/>
        <v>0</v>
      </c>
      <c r="AP1164" s="123">
        <f t="shared" si="737"/>
        <v>0</v>
      </c>
      <c r="AQ1164" s="123">
        <f t="shared" si="737"/>
        <v>0</v>
      </c>
      <c r="AR1164" s="123">
        <f t="shared" si="737"/>
        <v>0</v>
      </c>
      <c r="AS1164" s="123">
        <f t="shared" si="737"/>
        <v>0</v>
      </c>
      <c r="AT1164" s="123">
        <f t="shared" si="737"/>
        <v>0</v>
      </c>
      <c r="AU1164" s="123">
        <f t="shared" si="737"/>
        <v>0</v>
      </c>
      <c r="AV1164" s="123">
        <f t="shared" si="737"/>
        <v>0</v>
      </c>
      <c r="AW1164" s="123">
        <f t="shared" si="737"/>
        <v>0</v>
      </c>
      <c r="AX1164" s="123">
        <f t="shared" si="737"/>
        <v>0</v>
      </c>
      <c r="AY1164" s="123">
        <f t="shared" si="737"/>
        <v>0</v>
      </c>
      <c r="AZ1164" s="123">
        <f t="shared" si="737"/>
        <v>0</v>
      </c>
      <c r="BA1164" s="123">
        <f t="shared" si="737"/>
        <v>0</v>
      </c>
      <c r="BB1164" s="123">
        <f t="shared" si="737"/>
        <v>0</v>
      </c>
      <c r="BC1164" s="123">
        <f t="shared" si="737"/>
        <v>0</v>
      </c>
      <c r="BD1164" s="123">
        <f t="shared" si="737"/>
        <v>0</v>
      </c>
      <c r="BE1164" s="123">
        <f t="shared" si="737"/>
        <v>0</v>
      </c>
      <c r="BF1164" s="123">
        <f t="shared" si="737"/>
        <v>0</v>
      </c>
      <c r="BG1164" s="123">
        <f t="shared" si="737"/>
        <v>0</v>
      </c>
      <c r="BH1164" s="123">
        <f t="shared" si="737"/>
        <v>0</v>
      </c>
      <c r="BI1164" s="123">
        <f t="shared" si="737"/>
        <v>0</v>
      </c>
      <c r="BJ1164" s="124">
        <f t="shared" si="737"/>
        <v>0</v>
      </c>
    </row>
    <row r="1165" spans="1:64" s="116" customFormat="1">
      <c r="A1165" s="212" t="s">
        <v>123</v>
      </c>
      <c r="B1165" s="197">
        <f t="shared" si="733"/>
        <v>56682565.881752387</v>
      </c>
      <c r="C1165" s="133">
        <f>C1108*(1+$G1097)^(C1098-1)</f>
        <v>10465138.524126669</v>
      </c>
      <c r="D1165" s="134">
        <f>D1108*(1+$G1097)^(D1098-1)</f>
        <v>10883744.065091737</v>
      </c>
      <c r="E1165" s="134">
        <f t="shared" ref="E1165:BJ1165" si="738">E1108*(1+$G1097)^(E1098-1)</f>
        <v>11319093.827695407</v>
      </c>
      <c r="F1165" s="134">
        <f t="shared" si="738"/>
        <v>11771857.580803223</v>
      </c>
      <c r="G1165" s="134">
        <f t="shared" si="738"/>
        <v>12242731.884035353</v>
      </c>
      <c r="H1165" s="134">
        <f t="shared" si="738"/>
        <v>0</v>
      </c>
      <c r="I1165" s="134">
        <f t="shared" si="738"/>
        <v>0</v>
      </c>
      <c r="J1165" s="134">
        <f t="shared" si="738"/>
        <v>0</v>
      </c>
      <c r="K1165" s="134">
        <f t="shared" si="738"/>
        <v>0</v>
      </c>
      <c r="L1165" s="134">
        <f t="shared" si="738"/>
        <v>0</v>
      </c>
      <c r="M1165" s="134">
        <f t="shared" si="738"/>
        <v>0</v>
      </c>
      <c r="N1165" s="134">
        <f t="shared" si="738"/>
        <v>0</v>
      </c>
      <c r="O1165" s="134">
        <f t="shared" si="738"/>
        <v>0</v>
      </c>
      <c r="P1165" s="134">
        <f t="shared" si="738"/>
        <v>0</v>
      </c>
      <c r="Q1165" s="134">
        <f t="shared" si="738"/>
        <v>0</v>
      </c>
      <c r="R1165" s="134">
        <f t="shared" si="738"/>
        <v>0</v>
      </c>
      <c r="S1165" s="134">
        <f t="shared" si="738"/>
        <v>0</v>
      </c>
      <c r="T1165" s="134">
        <f t="shared" si="738"/>
        <v>0</v>
      </c>
      <c r="U1165" s="134">
        <f t="shared" si="738"/>
        <v>0</v>
      </c>
      <c r="V1165" s="134">
        <f t="shared" si="738"/>
        <v>0</v>
      </c>
      <c r="W1165" s="134">
        <f t="shared" si="738"/>
        <v>0</v>
      </c>
      <c r="X1165" s="134">
        <f t="shared" si="738"/>
        <v>0</v>
      </c>
      <c r="Y1165" s="134">
        <f t="shared" si="738"/>
        <v>0</v>
      </c>
      <c r="Z1165" s="134">
        <f t="shared" si="738"/>
        <v>0</v>
      </c>
      <c r="AA1165" s="134">
        <f t="shared" si="738"/>
        <v>0</v>
      </c>
      <c r="AB1165" s="134">
        <f t="shared" si="738"/>
        <v>0</v>
      </c>
      <c r="AC1165" s="134">
        <f t="shared" si="738"/>
        <v>0</v>
      </c>
      <c r="AD1165" s="134">
        <f t="shared" si="738"/>
        <v>0</v>
      </c>
      <c r="AE1165" s="134">
        <f t="shared" si="738"/>
        <v>0</v>
      </c>
      <c r="AF1165" s="134">
        <f t="shared" si="738"/>
        <v>0</v>
      </c>
      <c r="AG1165" s="134">
        <f t="shared" si="738"/>
        <v>0</v>
      </c>
      <c r="AH1165" s="134">
        <f t="shared" si="738"/>
        <v>0</v>
      </c>
      <c r="AI1165" s="134">
        <f t="shared" si="738"/>
        <v>0</v>
      </c>
      <c r="AJ1165" s="134">
        <f t="shared" si="738"/>
        <v>0</v>
      </c>
      <c r="AK1165" s="134">
        <f t="shared" si="738"/>
        <v>0</v>
      </c>
      <c r="AL1165" s="134">
        <f t="shared" si="738"/>
        <v>0</v>
      </c>
      <c r="AM1165" s="134">
        <f t="shared" si="738"/>
        <v>0</v>
      </c>
      <c r="AN1165" s="134">
        <f t="shared" si="738"/>
        <v>0</v>
      </c>
      <c r="AO1165" s="134">
        <f t="shared" si="738"/>
        <v>0</v>
      </c>
      <c r="AP1165" s="134">
        <f t="shared" si="738"/>
        <v>0</v>
      </c>
      <c r="AQ1165" s="134">
        <f t="shared" si="738"/>
        <v>0</v>
      </c>
      <c r="AR1165" s="134">
        <f t="shared" si="738"/>
        <v>0</v>
      </c>
      <c r="AS1165" s="134">
        <f t="shared" si="738"/>
        <v>0</v>
      </c>
      <c r="AT1165" s="134">
        <f t="shared" si="738"/>
        <v>0</v>
      </c>
      <c r="AU1165" s="134">
        <f t="shared" si="738"/>
        <v>0</v>
      </c>
      <c r="AV1165" s="134">
        <f t="shared" si="738"/>
        <v>0</v>
      </c>
      <c r="AW1165" s="134">
        <f t="shared" si="738"/>
        <v>0</v>
      </c>
      <c r="AX1165" s="134">
        <f t="shared" si="738"/>
        <v>0</v>
      </c>
      <c r="AY1165" s="134">
        <f t="shared" si="738"/>
        <v>0</v>
      </c>
      <c r="AZ1165" s="134">
        <f t="shared" si="738"/>
        <v>0</v>
      </c>
      <c r="BA1165" s="134">
        <f t="shared" si="738"/>
        <v>0</v>
      </c>
      <c r="BB1165" s="134">
        <f t="shared" si="738"/>
        <v>0</v>
      </c>
      <c r="BC1165" s="134">
        <f t="shared" si="738"/>
        <v>0</v>
      </c>
      <c r="BD1165" s="134">
        <f t="shared" si="738"/>
        <v>0</v>
      </c>
      <c r="BE1165" s="134">
        <f t="shared" si="738"/>
        <v>0</v>
      </c>
      <c r="BF1165" s="134">
        <f t="shared" si="738"/>
        <v>0</v>
      </c>
      <c r="BG1165" s="134">
        <f t="shared" si="738"/>
        <v>0</v>
      </c>
      <c r="BH1165" s="134">
        <f t="shared" si="738"/>
        <v>0</v>
      </c>
      <c r="BI1165" s="134">
        <f t="shared" si="738"/>
        <v>0</v>
      </c>
      <c r="BJ1165" s="135">
        <f t="shared" si="738"/>
        <v>0</v>
      </c>
    </row>
    <row r="1166" spans="1:64" s="105" customFormat="1" ht="22.5" customHeight="1">
      <c r="A1166" s="131" t="s">
        <v>124</v>
      </c>
      <c r="B1166" s="132">
        <f t="shared" si="733"/>
        <v>4247400781.8185658</v>
      </c>
      <c r="C1166" s="133">
        <f>C1157-C1159-C1160-C1165</f>
        <v>2113152.9712178838</v>
      </c>
      <c r="D1166" s="134">
        <f>D1157-D1159-D1160-D1165</f>
        <v>2720936.0162729342</v>
      </c>
      <c r="E1166" s="134">
        <f t="shared" ref="E1166:BJ1166" si="739">E1157-E1159-E1160-E1165</f>
        <v>2829773.4569238517</v>
      </c>
      <c r="F1166" s="134">
        <f t="shared" si="739"/>
        <v>2942964.3952008057</v>
      </c>
      <c r="G1166" s="134">
        <f t="shared" si="739"/>
        <v>3060682.9710088391</v>
      </c>
      <c r="H1166" s="134">
        <f t="shared" si="739"/>
        <v>43122810.103001945</v>
      </c>
      <c r="I1166" s="134">
        <f t="shared" si="739"/>
        <v>89695445.01424405</v>
      </c>
      <c r="J1166" s="134">
        <f t="shared" si="739"/>
        <v>139924894.22222072</v>
      </c>
      <c r="K1166" s="134">
        <f t="shared" si="739"/>
        <v>194029186.65481272</v>
      </c>
      <c r="L1166" s="134">
        <f t="shared" si="739"/>
        <v>330833823.33244526</v>
      </c>
      <c r="M1166" s="134">
        <f t="shared" si="739"/>
        <v>344067176.26574314</v>
      </c>
      <c r="N1166" s="134">
        <f t="shared" si="739"/>
        <v>357829863.31637269</v>
      </c>
      <c r="O1166" s="134">
        <f t="shared" si="739"/>
        <v>372143057.84902775</v>
      </c>
      <c r="P1166" s="134">
        <f t="shared" si="739"/>
        <v>387028780.1629889</v>
      </c>
      <c r="Q1166" s="134">
        <f t="shared" si="739"/>
        <v>402509931.36950845</v>
      </c>
      <c r="R1166" s="134">
        <f t="shared" si="739"/>
        <v>418610328.62428868</v>
      </c>
      <c r="S1166" s="134">
        <f t="shared" si="739"/>
        <v>435354741.76926041</v>
      </c>
      <c r="T1166" s="134">
        <f t="shared" si="739"/>
        <v>276164033.32032812</v>
      </c>
      <c r="U1166" s="134">
        <f t="shared" si="739"/>
        <v>215407945.989856</v>
      </c>
      <c r="V1166" s="134">
        <f t="shared" si="739"/>
        <v>149349509.21963349</v>
      </c>
      <c r="W1166" s="134">
        <f t="shared" si="739"/>
        <v>77661744.794209406</v>
      </c>
      <c r="X1166" s="134">
        <f t="shared" si="739"/>
        <v>0</v>
      </c>
      <c r="Y1166" s="134">
        <f t="shared" si="739"/>
        <v>0</v>
      </c>
      <c r="Z1166" s="134">
        <f t="shared" si="739"/>
        <v>0</v>
      </c>
      <c r="AA1166" s="134">
        <f t="shared" si="739"/>
        <v>0</v>
      </c>
      <c r="AB1166" s="134">
        <f t="shared" si="739"/>
        <v>0</v>
      </c>
      <c r="AC1166" s="134">
        <f t="shared" si="739"/>
        <v>0</v>
      </c>
      <c r="AD1166" s="134">
        <f t="shared" si="739"/>
        <v>0</v>
      </c>
      <c r="AE1166" s="134">
        <f t="shared" si="739"/>
        <v>0</v>
      </c>
      <c r="AF1166" s="134">
        <f t="shared" si="739"/>
        <v>0</v>
      </c>
      <c r="AG1166" s="134">
        <f t="shared" si="739"/>
        <v>0</v>
      </c>
      <c r="AH1166" s="134">
        <f t="shared" si="739"/>
        <v>0</v>
      </c>
      <c r="AI1166" s="134">
        <f t="shared" si="739"/>
        <v>0</v>
      </c>
      <c r="AJ1166" s="134">
        <f t="shared" si="739"/>
        <v>0</v>
      </c>
      <c r="AK1166" s="134">
        <f t="shared" si="739"/>
        <v>0</v>
      </c>
      <c r="AL1166" s="134">
        <f t="shared" si="739"/>
        <v>0</v>
      </c>
      <c r="AM1166" s="134">
        <f t="shared" si="739"/>
        <v>0</v>
      </c>
      <c r="AN1166" s="134">
        <f t="shared" si="739"/>
        <v>0</v>
      </c>
      <c r="AO1166" s="134">
        <f t="shared" si="739"/>
        <v>0</v>
      </c>
      <c r="AP1166" s="134">
        <f t="shared" si="739"/>
        <v>0</v>
      </c>
      <c r="AQ1166" s="134">
        <f t="shared" si="739"/>
        <v>0</v>
      </c>
      <c r="AR1166" s="134">
        <f t="shared" si="739"/>
        <v>0</v>
      </c>
      <c r="AS1166" s="134">
        <f t="shared" si="739"/>
        <v>0</v>
      </c>
      <c r="AT1166" s="134">
        <f t="shared" si="739"/>
        <v>0</v>
      </c>
      <c r="AU1166" s="134">
        <f t="shared" si="739"/>
        <v>0</v>
      </c>
      <c r="AV1166" s="134">
        <f t="shared" si="739"/>
        <v>0</v>
      </c>
      <c r="AW1166" s="134">
        <f t="shared" si="739"/>
        <v>0</v>
      </c>
      <c r="AX1166" s="134">
        <f t="shared" si="739"/>
        <v>0</v>
      </c>
      <c r="AY1166" s="134">
        <f t="shared" si="739"/>
        <v>0</v>
      </c>
      <c r="AZ1166" s="134">
        <f t="shared" si="739"/>
        <v>0</v>
      </c>
      <c r="BA1166" s="134">
        <f t="shared" si="739"/>
        <v>0</v>
      </c>
      <c r="BB1166" s="134">
        <f t="shared" si="739"/>
        <v>0</v>
      </c>
      <c r="BC1166" s="134">
        <f t="shared" si="739"/>
        <v>0</v>
      </c>
      <c r="BD1166" s="134">
        <f t="shared" si="739"/>
        <v>0</v>
      </c>
      <c r="BE1166" s="134">
        <f t="shared" si="739"/>
        <v>0</v>
      </c>
      <c r="BF1166" s="134">
        <f t="shared" si="739"/>
        <v>0</v>
      </c>
      <c r="BG1166" s="134">
        <f t="shared" si="739"/>
        <v>0</v>
      </c>
      <c r="BH1166" s="134">
        <f t="shared" si="739"/>
        <v>0</v>
      </c>
      <c r="BI1166" s="134">
        <f t="shared" si="739"/>
        <v>0</v>
      </c>
      <c r="BJ1166" s="135">
        <f t="shared" si="739"/>
        <v>0</v>
      </c>
      <c r="BK1166" s="109"/>
      <c r="BL1166" s="109"/>
    </row>
    <row r="1167" spans="1:64" s="116" customFormat="1">
      <c r="A1167" s="136" t="s">
        <v>125</v>
      </c>
      <c r="B1167" s="137">
        <f t="shared" ref="B1167:G1167" si="740">SUM(B1168:B1171)</f>
        <v>244283341.71659705</v>
      </c>
      <c r="C1167" s="113">
        <f t="shared" si="740"/>
        <v>32355010.346362535</v>
      </c>
      <c r="D1167" s="114">
        <f t="shared" si="740"/>
        <v>36264820.037536949</v>
      </c>
      <c r="E1167" s="114">
        <f t="shared" si="740"/>
        <v>56273549.248045094</v>
      </c>
      <c r="F1167" s="114">
        <f t="shared" si="740"/>
        <v>58524491.217966899</v>
      </c>
      <c r="G1167" s="114">
        <f t="shared" si="740"/>
        <v>60865470.866685577</v>
      </c>
      <c r="H1167" s="114"/>
      <c r="I1167" s="114"/>
      <c r="J1167" s="114"/>
      <c r="K1167" s="114"/>
      <c r="L1167" s="114"/>
      <c r="M1167" s="114"/>
      <c r="N1167" s="114"/>
      <c r="O1167" s="114"/>
      <c r="P1167" s="114"/>
      <c r="Q1167" s="114"/>
      <c r="R1167" s="114"/>
      <c r="S1167" s="114"/>
      <c r="T1167" s="114"/>
      <c r="U1167" s="114"/>
      <c r="V1167" s="114"/>
      <c r="W1167" s="114"/>
      <c r="X1167" s="114"/>
      <c r="Y1167" s="114"/>
      <c r="Z1167" s="114"/>
      <c r="AA1167" s="114"/>
      <c r="AB1167" s="114"/>
      <c r="AC1167" s="114"/>
      <c r="AD1167" s="114"/>
      <c r="AE1167" s="114"/>
      <c r="AF1167" s="114"/>
      <c r="AG1167" s="114"/>
      <c r="AH1167" s="114"/>
      <c r="AI1167" s="114"/>
      <c r="AJ1167" s="114"/>
      <c r="AK1167" s="114"/>
      <c r="AL1167" s="114"/>
      <c r="AM1167" s="114"/>
      <c r="AN1167" s="114"/>
      <c r="AO1167" s="114"/>
      <c r="AP1167" s="114"/>
      <c r="AQ1167" s="114"/>
      <c r="AR1167" s="114"/>
      <c r="AS1167" s="114"/>
      <c r="AT1167" s="114"/>
      <c r="AU1167" s="114"/>
      <c r="AV1167" s="114"/>
      <c r="AW1167" s="114"/>
      <c r="AX1167" s="114"/>
      <c r="AY1167" s="114"/>
      <c r="AZ1167" s="114"/>
      <c r="BA1167" s="114"/>
      <c r="BB1167" s="114"/>
      <c r="BC1167" s="114"/>
      <c r="BD1167" s="114"/>
      <c r="BE1167" s="114"/>
      <c r="BF1167" s="114"/>
      <c r="BG1167" s="114"/>
      <c r="BH1167" s="114"/>
      <c r="BI1167" s="114"/>
      <c r="BJ1167" s="115"/>
    </row>
    <row r="1168" spans="1:64" s="143" customFormat="1" ht="12.75">
      <c r="A1168" s="138" t="s">
        <v>126</v>
      </c>
      <c r="B1168" s="139">
        <f>SUM(C1168:BJ1168)</f>
        <v>65910514.501458749</v>
      </c>
      <c r="C1168" s="140">
        <f>C1111*(1+$G1097)^(C1098-1)</f>
        <v>0</v>
      </c>
      <c r="D1168" s="141">
        <f>D1111*(1+$G1097)^(D1098-1)</f>
        <v>0</v>
      </c>
      <c r="E1168" s="141">
        <f>E1111*(1+$G1097)^(E1098-1)</f>
        <v>21114337.039165411</v>
      </c>
      <c r="F1168" s="141">
        <f>F1111*(1+$G1097)^(F1098-1)</f>
        <v>21958910.52073203</v>
      </c>
      <c r="G1168" s="141">
        <f>G1111*(1+$G1097)^(G1098-1)</f>
        <v>22837266.941561311</v>
      </c>
      <c r="H1168" s="141"/>
      <c r="I1168" s="141"/>
      <c r="J1168" s="141"/>
      <c r="K1168" s="141"/>
      <c r="L1168" s="141"/>
      <c r="M1168" s="141"/>
      <c r="N1168" s="141"/>
      <c r="O1168" s="141"/>
      <c r="P1168" s="141"/>
      <c r="Q1168" s="141"/>
      <c r="R1168" s="141"/>
      <c r="S1168" s="141"/>
      <c r="T1168" s="141"/>
      <c r="U1168" s="141"/>
      <c r="V1168" s="141"/>
      <c r="W1168" s="141"/>
      <c r="X1168" s="141"/>
      <c r="Y1168" s="141"/>
      <c r="Z1168" s="141"/>
      <c r="AA1168" s="141"/>
      <c r="AB1168" s="141"/>
      <c r="AC1168" s="141"/>
      <c r="AD1168" s="141"/>
      <c r="AE1168" s="141"/>
      <c r="AF1168" s="141"/>
      <c r="AG1168" s="141"/>
      <c r="AH1168" s="141"/>
      <c r="AI1168" s="141"/>
      <c r="AJ1168" s="141"/>
      <c r="AK1168" s="141"/>
      <c r="AL1168" s="141"/>
      <c r="AM1168" s="141"/>
      <c r="AN1168" s="141"/>
      <c r="AO1168" s="141"/>
      <c r="AP1168" s="141"/>
      <c r="AQ1168" s="141"/>
      <c r="AR1168" s="141"/>
      <c r="AS1168" s="141"/>
      <c r="AT1168" s="141"/>
      <c r="AU1168" s="141"/>
      <c r="AV1168" s="141"/>
      <c r="AW1168" s="141"/>
      <c r="AX1168" s="141"/>
      <c r="AY1168" s="141"/>
      <c r="AZ1168" s="141"/>
      <c r="BA1168" s="141"/>
      <c r="BB1168" s="141"/>
      <c r="BC1168" s="141"/>
      <c r="BD1168" s="141"/>
      <c r="BE1168" s="141"/>
      <c r="BF1168" s="141"/>
      <c r="BG1168" s="141"/>
      <c r="BH1168" s="141"/>
      <c r="BI1168" s="141"/>
      <c r="BJ1168" s="142"/>
      <c r="BK1168" s="141"/>
      <c r="BL1168" s="141"/>
    </row>
    <row r="1169" spans="1:64" s="143" customFormat="1" ht="12.75">
      <c r="A1169" s="138" t="s">
        <v>127</v>
      </c>
      <c r="B1169" s="139">
        <f>SUM(C1169:BJ1169)</f>
        <v>9003526.8266666681</v>
      </c>
      <c r="C1169" s="140">
        <f>C1112*(1+$G1097)^(C1098-1)</f>
        <v>0</v>
      </c>
      <c r="D1169" s="141">
        <f>D1112*(1+$G1097)^(D1098-1)</f>
        <v>0</v>
      </c>
      <c r="E1169" s="141">
        <f>E1112*(1+$G1097)^(E1098-1)</f>
        <v>2884266.666666667</v>
      </c>
      <c r="F1169" s="141">
        <f>F1112*(1+$G1097)^(F1098-1)</f>
        <v>2999637.3333333335</v>
      </c>
      <c r="G1169" s="141">
        <f>G1112*(1+$G1097)^(G1098-1)</f>
        <v>3119622.8266666671</v>
      </c>
      <c r="H1169" s="141"/>
      <c r="I1169" s="141"/>
      <c r="J1169" s="141"/>
      <c r="K1169" s="141"/>
      <c r="L1169" s="141"/>
      <c r="M1169" s="141"/>
      <c r="N1169" s="141"/>
      <c r="O1169" s="141"/>
      <c r="P1169" s="141"/>
      <c r="Q1169" s="141"/>
      <c r="R1169" s="141"/>
      <c r="S1169" s="141"/>
      <c r="T1169" s="141"/>
      <c r="U1169" s="141"/>
      <c r="V1169" s="141"/>
      <c r="W1169" s="141"/>
      <c r="X1169" s="141"/>
      <c r="Y1169" s="141"/>
      <c r="Z1169" s="141"/>
      <c r="AA1169" s="141"/>
      <c r="AB1169" s="141"/>
      <c r="AC1169" s="141"/>
      <c r="AD1169" s="141"/>
      <c r="AE1169" s="141"/>
      <c r="AF1169" s="141"/>
      <c r="AG1169" s="141"/>
      <c r="AH1169" s="141"/>
      <c r="AI1169" s="141"/>
      <c r="AJ1169" s="141"/>
      <c r="AK1169" s="141"/>
      <c r="AL1169" s="141"/>
      <c r="AM1169" s="141"/>
      <c r="AN1169" s="141"/>
      <c r="AO1169" s="141"/>
      <c r="AP1169" s="141"/>
      <c r="AQ1169" s="141"/>
      <c r="AR1169" s="141"/>
      <c r="AS1169" s="141"/>
      <c r="AT1169" s="141"/>
      <c r="AU1169" s="141"/>
      <c r="AV1169" s="141"/>
      <c r="AW1169" s="141"/>
      <c r="AX1169" s="141"/>
      <c r="AY1169" s="141"/>
      <c r="AZ1169" s="141"/>
      <c r="BA1169" s="141"/>
      <c r="BB1169" s="141"/>
      <c r="BC1169" s="141"/>
      <c r="BD1169" s="141"/>
      <c r="BE1169" s="141"/>
      <c r="BF1169" s="141"/>
      <c r="BG1169" s="141"/>
      <c r="BH1169" s="141"/>
      <c r="BI1169" s="141"/>
      <c r="BJ1169" s="142"/>
      <c r="BK1169" s="141"/>
      <c r="BL1169" s="141"/>
    </row>
    <row r="1170" spans="1:64" s="143" customFormat="1" ht="12.75">
      <c r="A1170" s="138" t="s">
        <v>128</v>
      </c>
      <c r="B1170" s="139">
        <f>SUM(C1170:BJ1170)</f>
        <v>161623072.9133319</v>
      </c>
      <c r="C1170" s="140">
        <f>C1113*(1+$G1097)^(C1098-1)</f>
        <v>29840001.425862622</v>
      </c>
      <c r="D1170" s="141">
        <f>D1113*(1+$G1097)^(D1098-1)</f>
        <v>31033601.482897129</v>
      </c>
      <c r="E1170" s="141">
        <f>E1113*(1+$G1097)^(E1098-1)</f>
        <v>32274945.542213015</v>
      </c>
      <c r="F1170" s="141">
        <f>F1113*(1+$G1097)^(F1098-1)</f>
        <v>33565943.363901533</v>
      </c>
      <c r="G1170" s="141">
        <f>G1113*(1+$G1097)^(G1098-1)</f>
        <v>34908581.098457597</v>
      </c>
      <c r="H1170" s="141"/>
      <c r="I1170" s="141"/>
      <c r="J1170" s="141"/>
      <c r="K1170" s="141"/>
      <c r="L1170" s="141"/>
      <c r="M1170" s="141"/>
      <c r="N1170" s="141"/>
      <c r="O1170" s="141"/>
      <c r="P1170" s="141"/>
      <c r="Q1170" s="141"/>
      <c r="R1170" s="141"/>
      <c r="S1170" s="141"/>
      <c r="T1170" s="141"/>
      <c r="U1170" s="141"/>
      <c r="V1170" s="141"/>
      <c r="W1170" s="141"/>
      <c r="X1170" s="141"/>
      <c r="Y1170" s="141"/>
      <c r="Z1170" s="141"/>
      <c r="AA1170" s="141"/>
      <c r="AB1170" s="141"/>
      <c r="AC1170" s="141"/>
      <c r="AD1170" s="141"/>
      <c r="AE1170" s="141"/>
      <c r="AF1170" s="141"/>
      <c r="AG1170" s="141"/>
      <c r="AH1170" s="141"/>
      <c r="AI1170" s="141"/>
      <c r="AJ1170" s="141"/>
      <c r="AK1170" s="141"/>
      <c r="AL1170" s="141"/>
      <c r="AM1170" s="141"/>
      <c r="AN1170" s="141"/>
      <c r="AO1170" s="141"/>
      <c r="AP1170" s="141"/>
      <c r="AQ1170" s="141"/>
      <c r="AR1170" s="141"/>
      <c r="AS1170" s="141"/>
      <c r="AT1170" s="141"/>
      <c r="AU1170" s="141"/>
      <c r="AV1170" s="141"/>
      <c r="AW1170" s="141"/>
      <c r="AX1170" s="141"/>
      <c r="AY1170" s="141"/>
      <c r="AZ1170" s="141"/>
      <c r="BA1170" s="141"/>
      <c r="BB1170" s="141"/>
      <c r="BC1170" s="141"/>
      <c r="BD1170" s="141"/>
      <c r="BE1170" s="141"/>
      <c r="BF1170" s="141"/>
      <c r="BG1170" s="141"/>
      <c r="BH1170" s="141"/>
      <c r="BI1170" s="141"/>
      <c r="BJ1170" s="142"/>
      <c r="BK1170" s="141"/>
      <c r="BL1170" s="141"/>
    </row>
    <row r="1171" spans="1:64" s="143" customFormat="1" ht="12.75">
      <c r="A1171" s="138" t="s">
        <v>129</v>
      </c>
      <c r="B1171" s="139">
        <f>SUM(C1171:BJ1171)</f>
        <v>7746227.4751397306</v>
      </c>
      <c r="C1171" s="140">
        <f>C1114*(1+$G1097)^(C1098-1)</f>
        <v>2515008.9204999125</v>
      </c>
      <c r="D1171" s="141">
        <f>D1114*(1+$G1097)^(D1098-1)</f>
        <v>5231218.5546398181</v>
      </c>
      <c r="E1171" s="141">
        <f>E1114*(1+$G1097)^(E1098-1)</f>
        <v>0</v>
      </c>
      <c r="F1171" s="141">
        <f>F1114*(1+$G1097)^(F1098-1)</f>
        <v>0</v>
      </c>
      <c r="G1171" s="141">
        <f>G1114*(1+$G1097)^(G1098-1)</f>
        <v>0</v>
      </c>
      <c r="H1171" s="141"/>
      <c r="I1171" s="141"/>
      <c r="J1171" s="141"/>
      <c r="K1171" s="141"/>
      <c r="L1171" s="141"/>
      <c r="M1171" s="141"/>
      <c r="N1171" s="141"/>
      <c r="O1171" s="141"/>
      <c r="P1171" s="141"/>
      <c r="Q1171" s="141"/>
      <c r="R1171" s="141"/>
      <c r="S1171" s="141"/>
      <c r="T1171" s="141"/>
      <c r="U1171" s="141"/>
      <c r="V1171" s="141"/>
      <c r="W1171" s="141"/>
      <c r="X1171" s="141"/>
      <c r="Y1171" s="141"/>
      <c r="Z1171" s="141"/>
      <c r="AA1171" s="141"/>
      <c r="AB1171" s="141"/>
      <c r="AC1171" s="141"/>
      <c r="AD1171" s="141"/>
      <c r="AE1171" s="141"/>
      <c r="AF1171" s="141"/>
      <c r="AG1171" s="141"/>
      <c r="AH1171" s="141"/>
      <c r="AI1171" s="141"/>
      <c r="AJ1171" s="141"/>
      <c r="AK1171" s="141"/>
      <c r="AL1171" s="141"/>
      <c r="AM1171" s="141"/>
      <c r="AN1171" s="141"/>
      <c r="AO1171" s="141"/>
      <c r="AP1171" s="141"/>
      <c r="AQ1171" s="141"/>
      <c r="AR1171" s="141"/>
      <c r="AS1171" s="141"/>
      <c r="AT1171" s="141"/>
      <c r="AU1171" s="141"/>
      <c r="AV1171" s="141"/>
      <c r="AW1171" s="141"/>
      <c r="AX1171" s="141"/>
      <c r="AY1171" s="141"/>
      <c r="AZ1171" s="141"/>
      <c r="BA1171" s="141"/>
      <c r="BB1171" s="141"/>
      <c r="BC1171" s="141"/>
      <c r="BD1171" s="141"/>
      <c r="BE1171" s="141"/>
      <c r="BF1171" s="141"/>
      <c r="BG1171" s="141"/>
      <c r="BH1171" s="141"/>
      <c r="BI1171" s="141"/>
      <c r="BJ1171" s="142"/>
      <c r="BK1171" s="141"/>
      <c r="BL1171" s="141"/>
    </row>
    <row r="1172" spans="1:64" s="116" customFormat="1">
      <c r="A1172" s="111" t="s">
        <v>130</v>
      </c>
      <c r="B1172" s="137">
        <f>SUM(B1173:B1176)</f>
        <v>456687200.45685035</v>
      </c>
      <c r="C1172" s="117">
        <f>SUM(C1173:C1176)</f>
        <v>1078500.3448787511</v>
      </c>
      <c r="D1172" s="118">
        <f>SUM(D1173:D1176)</f>
        <v>2330467.6932584662</v>
      </c>
      <c r="E1172" s="118">
        <f t="shared" ref="E1172:BJ1172" si="741">SUM(E1173:E1176)</f>
        <v>4299471.375923641</v>
      </c>
      <c r="F1172" s="118">
        <f t="shared" si="741"/>
        <v>6422266.6048928173</v>
      </c>
      <c r="G1172" s="118">
        <f t="shared" si="741"/>
        <v>8708006.2979780491</v>
      </c>
      <c r="H1172" s="118">
        <f t="shared" si="741"/>
        <v>9056326.5498971716</v>
      </c>
      <c r="I1172" s="118">
        <f t="shared" si="741"/>
        <v>9418579.6118930597</v>
      </c>
      <c r="J1172" s="118">
        <f t="shared" si="741"/>
        <v>9795322.7963687796</v>
      </c>
      <c r="K1172" s="118">
        <f t="shared" si="741"/>
        <v>10187135.708223535</v>
      </c>
      <c r="L1172" s="118">
        <f t="shared" si="741"/>
        <v>10594621.136552477</v>
      </c>
      <c r="M1172" s="118">
        <f t="shared" si="741"/>
        <v>11018405.982014576</v>
      </c>
      <c r="N1172" s="118">
        <f t="shared" si="741"/>
        <v>11459142.221295157</v>
      </c>
      <c r="O1172" s="118">
        <f t="shared" si="741"/>
        <v>11917507.910146967</v>
      </c>
      <c r="P1172" s="118">
        <f t="shared" si="741"/>
        <v>12394208.226552846</v>
      </c>
      <c r="Q1172" s="118">
        <f t="shared" si="741"/>
        <v>12889976.555614959</v>
      </c>
      <c r="R1172" s="118">
        <f t="shared" si="741"/>
        <v>13405575.617839558</v>
      </c>
      <c r="S1172" s="118">
        <f t="shared" si="741"/>
        <v>13941798.642553141</v>
      </c>
      <c r="T1172" s="118">
        <f t="shared" si="741"/>
        <v>14499470.588255268</v>
      </c>
      <c r="U1172" s="118">
        <f t="shared" si="741"/>
        <v>15079449.411785481</v>
      </c>
      <c r="V1172" s="118">
        <f t="shared" si="741"/>
        <v>15682627.3882569</v>
      </c>
      <c r="W1172" s="118">
        <f t="shared" si="741"/>
        <v>16309932.483787175</v>
      </c>
      <c r="X1172" s="118">
        <f t="shared" si="741"/>
        <v>16962329.783138666</v>
      </c>
      <c r="Y1172" s="118">
        <f t="shared" si="741"/>
        <v>17640822.974464212</v>
      </c>
      <c r="Z1172" s="118">
        <f t="shared" si="741"/>
        <v>18346455.893442776</v>
      </c>
      <c r="AA1172" s="118">
        <f t="shared" si="741"/>
        <v>19080314.129180495</v>
      </c>
      <c r="AB1172" s="118">
        <f t="shared" si="741"/>
        <v>19843526.694347717</v>
      </c>
      <c r="AC1172" s="118">
        <f t="shared" si="741"/>
        <v>20637267.762121622</v>
      </c>
      <c r="AD1172" s="118">
        <f t="shared" si="741"/>
        <v>21462758.472606488</v>
      </c>
      <c r="AE1172" s="118">
        <f t="shared" si="741"/>
        <v>22321268.811510753</v>
      </c>
      <c r="AF1172" s="118">
        <f t="shared" si="741"/>
        <v>23214119.56397118</v>
      </c>
      <c r="AG1172" s="118">
        <f t="shared" si="741"/>
        <v>20644679.013386443</v>
      </c>
      <c r="AH1172" s="118">
        <f t="shared" si="741"/>
        <v>17549758.606877089</v>
      </c>
      <c r="AI1172" s="118">
        <f t="shared" si="741"/>
        <v>12167832.63410145</v>
      </c>
      <c r="AJ1172" s="118">
        <f t="shared" si="741"/>
        <v>6327272.9697327539</v>
      </c>
      <c r="AK1172" s="118">
        <f t="shared" si="741"/>
        <v>0</v>
      </c>
      <c r="AL1172" s="118">
        <f t="shared" si="741"/>
        <v>0</v>
      </c>
      <c r="AM1172" s="118">
        <f t="shared" si="741"/>
        <v>0</v>
      </c>
      <c r="AN1172" s="118">
        <f t="shared" si="741"/>
        <v>0</v>
      </c>
      <c r="AO1172" s="118">
        <f t="shared" si="741"/>
        <v>0</v>
      </c>
      <c r="AP1172" s="118">
        <f t="shared" si="741"/>
        <v>0</v>
      </c>
      <c r="AQ1172" s="118">
        <f t="shared" si="741"/>
        <v>0</v>
      </c>
      <c r="AR1172" s="118">
        <f t="shared" si="741"/>
        <v>0</v>
      </c>
      <c r="AS1172" s="118">
        <f t="shared" si="741"/>
        <v>0</v>
      </c>
      <c r="AT1172" s="118">
        <f t="shared" si="741"/>
        <v>0</v>
      </c>
      <c r="AU1172" s="118">
        <f t="shared" si="741"/>
        <v>0</v>
      </c>
      <c r="AV1172" s="118">
        <f t="shared" si="741"/>
        <v>0</v>
      </c>
      <c r="AW1172" s="118">
        <f t="shared" si="741"/>
        <v>0</v>
      </c>
      <c r="AX1172" s="118">
        <f t="shared" si="741"/>
        <v>0</v>
      </c>
      <c r="AY1172" s="118">
        <f t="shared" si="741"/>
        <v>0</v>
      </c>
      <c r="AZ1172" s="118">
        <f t="shared" si="741"/>
        <v>0</v>
      </c>
      <c r="BA1172" s="118">
        <f t="shared" si="741"/>
        <v>0</v>
      </c>
      <c r="BB1172" s="118">
        <f t="shared" si="741"/>
        <v>0</v>
      </c>
      <c r="BC1172" s="118">
        <f t="shared" si="741"/>
        <v>0</v>
      </c>
      <c r="BD1172" s="118">
        <f t="shared" si="741"/>
        <v>0</v>
      </c>
      <c r="BE1172" s="118">
        <f t="shared" si="741"/>
        <v>0</v>
      </c>
      <c r="BF1172" s="118">
        <f t="shared" si="741"/>
        <v>0</v>
      </c>
      <c r="BG1172" s="118">
        <f t="shared" si="741"/>
        <v>0</v>
      </c>
      <c r="BH1172" s="118">
        <f t="shared" si="741"/>
        <v>0</v>
      </c>
      <c r="BI1172" s="118">
        <f t="shared" si="741"/>
        <v>0</v>
      </c>
      <c r="BJ1172" s="119">
        <f t="shared" si="741"/>
        <v>0</v>
      </c>
      <c r="BK1172" s="118"/>
      <c r="BL1172" s="118"/>
    </row>
    <row r="1173" spans="1:64" s="143" customFormat="1" ht="12.75">
      <c r="A1173" s="138" t="s">
        <v>126</v>
      </c>
      <c r="B1173" s="139">
        <f>SUM(C1173:BJ1173)</f>
        <v>123219570.09767218</v>
      </c>
      <c r="C1173" s="140">
        <f>C1116*(1+$G1097)^(C1098-1)</f>
        <v>0</v>
      </c>
      <c r="D1173" s="141">
        <f t="shared" ref="D1173:AJ1173" si="742">D1116*(1+$G1097)^(D1098-1)</f>
        <v>0</v>
      </c>
      <c r="E1173" s="141">
        <f t="shared" si="742"/>
        <v>703811.23463884706</v>
      </c>
      <c r="F1173" s="141">
        <f t="shared" si="742"/>
        <v>1463927.3680488018</v>
      </c>
      <c r="G1173" s="141">
        <f t="shared" si="742"/>
        <v>2283726.6941561312</v>
      </c>
      <c r="H1173" s="141">
        <f t="shared" si="742"/>
        <v>2375075.7619223767</v>
      </c>
      <c r="I1173" s="141">
        <f t="shared" si="742"/>
        <v>2470078.7923992719</v>
      </c>
      <c r="J1173" s="141">
        <f t="shared" si="742"/>
        <v>2568881.9440952423</v>
      </c>
      <c r="K1173" s="141">
        <f t="shared" si="742"/>
        <v>2671637.2218590523</v>
      </c>
      <c r="L1173" s="141">
        <f t="shared" si="742"/>
        <v>2778502.7107334146</v>
      </c>
      <c r="M1173" s="141">
        <f t="shared" si="742"/>
        <v>2889642.8191627515</v>
      </c>
      <c r="N1173" s="141">
        <f t="shared" si="742"/>
        <v>3005228.5319292611</v>
      </c>
      <c r="O1173" s="141">
        <f t="shared" si="742"/>
        <v>3125437.6732064323</v>
      </c>
      <c r="P1173" s="141">
        <f t="shared" si="742"/>
        <v>3250455.1801346899</v>
      </c>
      <c r="Q1173" s="141">
        <f t="shared" si="742"/>
        <v>3380473.3873400772</v>
      </c>
      <c r="R1173" s="141">
        <f t="shared" si="742"/>
        <v>3515692.3228336801</v>
      </c>
      <c r="S1173" s="141">
        <f t="shared" si="742"/>
        <v>3656320.0157470279</v>
      </c>
      <c r="T1173" s="141">
        <f t="shared" si="742"/>
        <v>3802572.8163769096</v>
      </c>
      <c r="U1173" s="141">
        <f t="shared" si="742"/>
        <v>3954675.7290319861</v>
      </c>
      <c r="V1173" s="141">
        <f t="shared" si="742"/>
        <v>4112862.7581932656</v>
      </c>
      <c r="W1173" s="141">
        <f t="shared" si="742"/>
        <v>4277377.268520996</v>
      </c>
      <c r="X1173" s="141">
        <f t="shared" si="742"/>
        <v>4448472.3592618369</v>
      </c>
      <c r="Y1173" s="141">
        <f t="shared" si="742"/>
        <v>4626411.2536323108</v>
      </c>
      <c r="Z1173" s="141">
        <f t="shared" si="742"/>
        <v>4811467.7037776019</v>
      </c>
      <c r="AA1173" s="141">
        <f t="shared" si="742"/>
        <v>5003926.4119287068</v>
      </c>
      <c r="AB1173" s="141">
        <f t="shared" si="742"/>
        <v>5204083.4684058558</v>
      </c>
      <c r="AC1173" s="141">
        <f t="shared" si="742"/>
        <v>5412246.8071420901</v>
      </c>
      <c r="AD1173" s="141">
        <f t="shared" si="742"/>
        <v>5628736.6794277737</v>
      </c>
      <c r="AE1173" s="141">
        <f t="shared" si="742"/>
        <v>5853886.1466048863</v>
      </c>
      <c r="AF1173" s="141">
        <f t="shared" si="742"/>
        <v>6088041.5924690813</v>
      </c>
      <c r="AG1173" s="141">
        <f t="shared" si="742"/>
        <v>6331563.2561678439</v>
      </c>
      <c r="AH1173" s="141">
        <f t="shared" si="742"/>
        <v>6584825.7864145581</v>
      </c>
      <c r="AI1173" s="141">
        <f t="shared" si="742"/>
        <v>4565479.2119140942</v>
      </c>
      <c r="AJ1173" s="141">
        <f t="shared" si="742"/>
        <v>2374049.190195329</v>
      </c>
      <c r="AK1173" s="141"/>
      <c r="AL1173" s="141"/>
      <c r="AM1173" s="141"/>
      <c r="AN1173" s="141"/>
      <c r="AO1173" s="141"/>
      <c r="AP1173" s="141"/>
      <c r="AQ1173" s="141"/>
      <c r="AR1173" s="141"/>
      <c r="AS1173" s="141"/>
      <c r="AT1173" s="141"/>
      <c r="AU1173" s="141"/>
      <c r="AV1173" s="141"/>
      <c r="AW1173" s="141"/>
      <c r="AX1173" s="141"/>
      <c r="AY1173" s="141"/>
      <c r="AZ1173" s="141"/>
      <c r="BA1173" s="141"/>
      <c r="BB1173" s="141"/>
      <c r="BC1173" s="141"/>
      <c r="BD1173" s="141"/>
      <c r="BE1173" s="141"/>
      <c r="BF1173" s="141"/>
      <c r="BG1173" s="141"/>
      <c r="BH1173" s="141"/>
      <c r="BI1173" s="141"/>
      <c r="BJ1173" s="142"/>
      <c r="BK1173" s="141"/>
      <c r="BL1173" s="141"/>
    </row>
    <row r="1174" spans="1:64" s="143" customFormat="1" ht="12.75">
      <c r="A1174" s="138" t="s">
        <v>127</v>
      </c>
      <c r="B1174" s="139">
        <f>SUM(C1174:BJ1174)</f>
        <v>16832074.720341802</v>
      </c>
      <c r="C1174" s="140">
        <f>C1117*(1+$G1097)^(C1098-1)</f>
        <v>0</v>
      </c>
      <c r="D1174" s="141">
        <f t="shared" ref="D1174:AJ1174" si="743">D1117*(1+$G1097)^(D1098-1)</f>
        <v>0</v>
      </c>
      <c r="E1174" s="141">
        <f t="shared" si="743"/>
        <v>96142.222222222234</v>
      </c>
      <c r="F1174" s="141">
        <f t="shared" si="743"/>
        <v>199975.82222222225</v>
      </c>
      <c r="G1174" s="141">
        <f t="shared" si="743"/>
        <v>311962.28266666672</v>
      </c>
      <c r="H1174" s="141">
        <f t="shared" si="743"/>
        <v>324440.77397333347</v>
      </c>
      <c r="I1174" s="141">
        <f t="shared" si="743"/>
        <v>337418.4049322668</v>
      </c>
      <c r="J1174" s="141">
        <f t="shared" si="743"/>
        <v>350915.14112955745</v>
      </c>
      <c r="K1174" s="141">
        <f t="shared" si="743"/>
        <v>364951.74677473976</v>
      </c>
      <c r="L1174" s="141">
        <f t="shared" si="743"/>
        <v>379549.81664572941</v>
      </c>
      <c r="M1174" s="141">
        <f t="shared" si="743"/>
        <v>394731.80931155861</v>
      </c>
      <c r="N1174" s="141">
        <f t="shared" si="743"/>
        <v>410521.08168402087</v>
      </c>
      <c r="O1174" s="141">
        <f t="shared" si="743"/>
        <v>426941.92495138181</v>
      </c>
      <c r="P1174" s="141">
        <f t="shared" si="743"/>
        <v>444019.60194943711</v>
      </c>
      <c r="Q1174" s="141">
        <f t="shared" si="743"/>
        <v>461780.38602741458</v>
      </c>
      <c r="R1174" s="141">
        <f t="shared" si="743"/>
        <v>480251.60146851116</v>
      </c>
      <c r="S1174" s="141">
        <f t="shared" si="743"/>
        <v>499461.66552725167</v>
      </c>
      <c r="T1174" s="141">
        <f t="shared" si="743"/>
        <v>519440.1321483418</v>
      </c>
      <c r="U1174" s="141">
        <f t="shared" si="743"/>
        <v>540217.73743427556</v>
      </c>
      <c r="V1174" s="141">
        <f t="shared" si="743"/>
        <v>561826.44693164655</v>
      </c>
      <c r="W1174" s="141">
        <f t="shared" si="743"/>
        <v>584299.5048089124</v>
      </c>
      <c r="X1174" s="141">
        <f t="shared" si="743"/>
        <v>607671.48500126903</v>
      </c>
      <c r="Y1174" s="141">
        <f t="shared" si="743"/>
        <v>631978.34440131974</v>
      </c>
      <c r="Z1174" s="141">
        <f t="shared" si="743"/>
        <v>657257.47817737248</v>
      </c>
      <c r="AA1174" s="141">
        <f t="shared" si="743"/>
        <v>683547.7773044674</v>
      </c>
      <c r="AB1174" s="141">
        <f t="shared" si="743"/>
        <v>710889.68839664629</v>
      </c>
      <c r="AC1174" s="141">
        <f t="shared" si="743"/>
        <v>739325.27593251201</v>
      </c>
      <c r="AD1174" s="141">
        <f t="shared" si="743"/>
        <v>768898.28696981259</v>
      </c>
      <c r="AE1174" s="141">
        <f t="shared" si="743"/>
        <v>799654.21844860527</v>
      </c>
      <c r="AF1174" s="141">
        <f t="shared" si="743"/>
        <v>831640.38718654949</v>
      </c>
      <c r="AG1174" s="141">
        <f t="shared" si="743"/>
        <v>864906.0026740114</v>
      </c>
      <c r="AH1174" s="141">
        <f t="shared" si="743"/>
        <v>899502.24278097181</v>
      </c>
      <c r="AI1174" s="141">
        <f t="shared" si="743"/>
        <v>623654.88832814049</v>
      </c>
      <c r="AJ1174" s="141">
        <f t="shared" si="743"/>
        <v>324300.54193063307</v>
      </c>
      <c r="AK1174" s="141"/>
      <c r="AL1174" s="141"/>
      <c r="AM1174" s="141"/>
      <c r="AN1174" s="141"/>
      <c r="AO1174" s="141"/>
      <c r="AP1174" s="141"/>
      <c r="AQ1174" s="141"/>
      <c r="AR1174" s="141"/>
      <c r="AS1174" s="141"/>
      <c r="AT1174" s="141"/>
      <c r="AU1174" s="141"/>
      <c r="AV1174" s="141"/>
      <c r="AW1174" s="141"/>
      <c r="AX1174" s="141"/>
      <c r="AY1174" s="141"/>
      <c r="AZ1174" s="141"/>
      <c r="BA1174" s="141"/>
      <c r="BB1174" s="141"/>
      <c r="BC1174" s="141"/>
      <c r="BD1174" s="141"/>
      <c r="BE1174" s="141"/>
      <c r="BF1174" s="141"/>
      <c r="BG1174" s="141"/>
      <c r="BH1174" s="141"/>
      <c r="BI1174" s="141"/>
      <c r="BJ1174" s="142"/>
      <c r="BK1174" s="141"/>
      <c r="BL1174" s="141"/>
    </row>
    <row r="1175" spans="1:64" s="143" customFormat="1" ht="12.75">
      <c r="A1175" s="138" t="s">
        <v>128</v>
      </c>
      <c r="B1175" s="139">
        <f>SUM(C1175:BJ1175)</f>
        <v>302153999.44730687</v>
      </c>
      <c r="C1175" s="140">
        <f>C1118*(1+$G1097)^(C1098-1)</f>
        <v>994666.71419542073</v>
      </c>
      <c r="D1175" s="141">
        <f t="shared" ref="D1175:AJ1175" si="744">D1118*(1+$G1097)^(D1098-1)</f>
        <v>2068906.7655264752</v>
      </c>
      <c r="E1175" s="141">
        <f t="shared" si="744"/>
        <v>3227494.5542213013</v>
      </c>
      <c r="F1175" s="141">
        <f t="shared" si="744"/>
        <v>4475459.115186871</v>
      </c>
      <c r="G1175" s="141">
        <f t="shared" si="744"/>
        <v>5818096.8497429332</v>
      </c>
      <c r="H1175" s="141">
        <f t="shared" si="744"/>
        <v>6050820.7237326512</v>
      </c>
      <c r="I1175" s="141">
        <f t="shared" si="744"/>
        <v>6292853.5526819574</v>
      </c>
      <c r="J1175" s="141">
        <f t="shared" si="744"/>
        <v>6544567.6947892355</v>
      </c>
      <c r="K1175" s="141">
        <f t="shared" si="744"/>
        <v>6806350.4025808061</v>
      </c>
      <c r="L1175" s="141">
        <f t="shared" si="744"/>
        <v>7078604.4186840393</v>
      </c>
      <c r="M1175" s="141">
        <f t="shared" si="744"/>
        <v>7361748.5954314005</v>
      </c>
      <c r="N1175" s="141">
        <f t="shared" si="744"/>
        <v>7656218.5392486556</v>
      </c>
      <c r="O1175" s="141">
        <f t="shared" si="744"/>
        <v>7962467.2808186039</v>
      </c>
      <c r="P1175" s="141">
        <f t="shared" si="744"/>
        <v>8280965.9720513485</v>
      </c>
      <c r="Q1175" s="141">
        <f t="shared" si="744"/>
        <v>8612204.6109334026</v>
      </c>
      <c r="R1175" s="141">
        <f t="shared" si="744"/>
        <v>8956692.7953707371</v>
      </c>
      <c r="S1175" s="141">
        <f t="shared" si="744"/>
        <v>9314960.507185569</v>
      </c>
      <c r="T1175" s="141">
        <f t="shared" si="744"/>
        <v>9687558.9274729919</v>
      </c>
      <c r="U1175" s="141">
        <f t="shared" si="744"/>
        <v>10075061.284571912</v>
      </c>
      <c r="V1175" s="141">
        <f t="shared" si="744"/>
        <v>10478063.735954789</v>
      </c>
      <c r="W1175" s="141">
        <f t="shared" si="744"/>
        <v>10897186.285392981</v>
      </c>
      <c r="X1175" s="141">
        <f t="shared" si="744"/>
        <v>11333073.736808702</v>
      </c>
      <c r="Y1175" s="141">
        <f t="shared" si="744"/>
        <v>11786396.68628105</v>
      </c>
      <c r="Z1175" s="141">
        <f t="shared" si="744"/>
        <v>12257852.553732291</v>
      </c>
      <c r="AA1175" s="141">
        <f t="shared" si="744"/>
        <v>12748166.655881584</v>
      </c>
      <c r="AB1175" s="141">
        <f t="shared" si="744"/>
        <v>13258093.32211685</v>
      </c>
      <c r="AC1175" s="141">
        <f t="shared" si="744"/>
        <v>13788417.055001521</v>
      </c>
      <c r="AD1175" s="141">
        <f t="shared" si="744"/>
        <v>14339953.737201583</v>
      </c>
      <c r="AE1175" s="141">
        <f t="shared" si="744"/>
        <v>14913551.88668965</v>
      </c>
      <c r="AF1175" s="141">
        <f t="shared" si="744"/>
        <v>15510093.962157236</v>
      </c>
      <c r="AG1175" s="141">
        <f t="shared" si="744"/>
        <v>12904398.176514819</v>
      </c>
      <c r="AH1175" s="141">
        <f t="shared" si="744"/>
        <v>10065430.577681558</v>
      </c>
      <c r="AI1175" s="141">
        <f t="shared" si="744"/>
        <v>6978698.5338592147</v>
      </c>
      <c r="AJ1175" s="141">
        <f t="shared" si="744"/>
        <v>3628923.2376067918</v>
      </c>
      <c r="AK1175" s="141"/>
      <c r="AL1175" s="141"/>
      <c r="AM1175" s="141"/>
      <c r="AN1175" s="141"/>
      <c r="AO1175" s="141"/>
      <c r="AP1175" s="141"/>
      <c r="AQ1175" s="141"/>
      <c r="AR1175" s="141"/>
      <c r="AS1175" s="141"/>
      <c r="AT1175" s="141"/>
      <c r="AU1175" s="141"/>
      <c r="AV1175" s="141"/>
      <c r="AW1175" s="141"/>
      <c r="AX1175" s="141"/>
      <c r="AY1175" s="141"/>
      <c r="AZ1175" s="141"/>
      <c r="BA1175" s="141"/>
      <c r="BB1175" s="141"/>
      <c r="BC1175" s="141"/>
      <c r="BD1175" s="141"/>
      <c r="BE1175" s="141"/>
      <c r="BF1175" s="141"/>
      <c r="BG1175" s="141"/>
      <c r="BH1175" s="141"/>
      <c r="BI1175" s="141"/>
      <c r="BJ1175" s="142"/>
      <c r="BK1175" s="141"/>
      <c r="BL1175" s="141"/>
    </row>
    <row r="1176" spans="1:64" s="143" customFormat="1" ht="12.75">
      <c r="A1176" s="138" t="s">
        <v>129</v>
      </c>
      <c r="B1176" s="139">
        <f>SUM(C1176:BJ1176)</f>
        <v>14481556.191529488</v>
      </c>
      <c r="C1176" s="140">
        <f>C1119*(1+$G1097)^(C1098-1)</f>
        <v>83833.630683330412</v>
      </c>
      <c r="D1176" s="141">
        <f t="shared" ref="D1176:AJ1176" si="745">D1119*(1+$G1097)^(D1098-1)</f>
        <v>261560.9277319909</v>
      </c>
      <c r="E1176" s="141">
        <f t="shared" si="745"/>
        <v>272023.36484127055</v>
      </c>
      <c r="F1176" s="141">
        <f t="shared" si="745"/>
        <v>282904.29943492135</v>
      </c>
      <c r="G1176" s="141">
        <f t="shared" si="745"/>
        <v>294220.47141231823</v>
      </c>
      <c r="H1176" s="141">
        <f t="shared" si="745"/>
        <v>305989.29026881099</v>
      </c>
      <c r="I1176" s="141">
        <f t="shared" si="745"/>
        <v>318228.86187956342</v>
      </c>
      <c r="J1176" s="141">
        <f t="shared" si="745"/>
        <v>330958.01635474595</v>
      </c>
      <c r="K1176" s="141">
        <f t="shared" si="745"/>
        <v>344196.33700893587</v>
      </c>
      <c r="L1176" s="141">
        <f t="shared" si="745"/>
        <v>357964.19048929331</v>
      </c>
      <c r="M1176" s="141">
        <f t="shared" si="745"/>
        <v>372282.75810886506</v>
      </c>
      <c r="N1176" s="141">
        <f t="shared" si="745"/>
        <v>387174.06843321963</v>
      </c>
      <c r="O1176" s="141">
        <f t="shared" si="745"/>
        <v>402661.03117054852</v>
      </c>
      <c r="P1176" s="141">
        <f t="shared" si="745"/>
        <v>418767.47241737047</v>
      </c>
      <c r="Q1176" s="141">
        <f t="shared" si="745"/>
        <v>435518.17131406529</v>
      </c>
      <c r="R1176" s="141">
        <f t="shared" si="745"/>
        <v>452938.89816662786</v>
      </c>
      <c r="S1176" s="141">
        <f t="shared" si="745"/>
        <v>471056.45409329305</v>
      </c>
      <c r="T1176" s="141">
        <f t="shared" si="745"/>
        <v>489898.71225702477</v>
      </c>
      <c r="U1176" s="141">
        <f t="shared" si="745"/>
        <v>509494.66074730584</v>
      </c>
      <c r="V1176" s="141">
        <f t="shared" si="745"/>
        <v>529874.44717719802</v>
      </c>
      <c r="W1176" s="141">
        <f t="shared" si="745"/>
        <v>551069.42506428598</v>
      </c>
      <c r="X1176" s="141">
        <f t="shared" si="745"/>
        <v>573112.2020668576</v>
      </c>
      <c r="Y1176" s="141">
        <f t="shared" si="745"/>
        <v>596036.69014953182</v>
      </c>
      <c r="Z1176" s="141">
        <f t="shared" si="745"/>
        <v>619878.15775551309</v>
      </c>
      <c r="AA1176" s="141">
        <f t="shared" si="745"/>
        <v>644673.28406573366</v>
      </c>
      <c r="AB1176" s="141">
        <f t="shared" si="745"/>
        <v>670460.21542836307</v>
      </c>
      <c r="AC1176" s="141">
        <f t="shared" si="745"/>
        <v>697278.6240454975</v>
      </c>
      <c r="AD1176" s="141">
        <f t="shared" si="745"/>
        <v>725169.76900731749</v>
      </c>
      <c r="AE1176" s="141">
        <f t="shared" si="745"/>
        <v>754176.55976761039</v>
      </c>
      <c r="AF1176" s="141">
        <f t="shared" si="745"/>
        <v>784343.6221583148</v>
      </c>
      <c r="AG1176" s="141">
        <f t="shared" si="745"/>
        <v>543811.57802976482</v>
      </c>
      <c r="AH1176" s="141">
        <f t="shared" si="745"/>
        <v>0</v>
      </c>
      <c r="AI1176" s="141">
        <f t="shared" si="745"/>
        <v>0</v>
      </c>
      <c r="AJ1176" s="141">
        <f t="shared" si="745"/>
        <v>0</v>
      </c>
      <c r="AK1176" s="141"/>
      <c r="AL1176" s="141"/>
      <c r="AM1176" s="141"/>
      <c r="AN1176" s="141"/>
      <c r="AO1176" s="141"/>
      <c r="AP1176" s="141"/>
      <c r="AQ1176" s="141"/>
      <c r="AR1176" s="141"/>
      <c r="AS1176" s="141"/>
      <c r="AT1176" s="141"/>
      <c r="AU1176" s="141"/>
      <c r="AV1176" s="141"/>
      <c r="AW1176" s="141"/>
      <c r="AX1176" s="141"/>
      <c r="AY1176" s="141"/>
      <c r="AZ1176" s="141"/>
      <c r="BA1176" s="141"/>
      <c r="BB1176" s="141"/>
      <c r="BC1176" s="141"/>
      <c r="BD1176" s="141"/>
      <c r="BE1176" s="141"/>
      <c r="BF1176" s="141"/>
      <c r="BG1176" s="141"/>
      <c r="BH1176" s="141"/>
      <c r="BI1176" s="141"/>
      <c r="BJ1176" s="142"/>
      <c r="BK1176" s="141"/>
      <c r="BL1176" s="141"/>
    </row>
    <row r="1177" spans="1:64" s="148" customFormat="1">
      <c r="A1177" s="111" t="s">
        <v>131</v>
      </c>
      <c r="B1177" s="144"/>
      <c r="C1177" s="140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  <c r="AD1177" s="146"/>
      <c r="AE1177" s="146"/>
      <c r="AF1177" s="146"/>
      <c r="AG1177" s="146"/>
      <c r="AH1177" s="146"/>
      <c r="AI1177" s="146"/>
      <c r="AJ1177" s="146"/>
      <c r="AK1177" s="146"/>
      <c r="AL1177" s="146"/>
      <c r="AM1177" s="146"/>
      <c r="AN1177" s="146"/>
      <c r="AO1177" s="146"/>
      <c r="AP1177" s="146"/>
      <c r="AQ1177" s="146"/>
      <c r="AR1177" s="146"/>
      <c r="AS1177" s="146"/>
      <c r="AT1177" s="146"/>
      <c r="AU1177" s="146"/>
      <c r="AV1177" s="146"/>
      <c r="AW1177" s="146"/>
      <c r="AX1177" s="146"/>
      <c r="AY1177" s="146"/>
      <c r="AZ1177" s="146"/>
      <c r="BA1177" s="146"/>
      <c r="BB1177" s="146"/>
      <c r="BC1177" s="146"/>
      <c r="BD1177" s="146"/>
      <c r="BE1177" s="146"/>
      <c r="BF1177" s="146"/>
      <c r="BG1177" s="146"/>
      <c r="BH1177" s="146"/>
      <c r="BI1177" s="146"/>
      <c r="BJ1177" s="147"/>
      <c r="BK1177" s="146"/>
      <c r="BL1177" s="146"/>
    </row>
    <row r="1178" spans="1:64" s="153" customFormat="1" ht="12.75">
      <c r="A1178" s="138" t="s">
        <v>126</v>
      </c>
      <c r="B1178" s="144"/>
      <c r="C1178" s="140">
        <f>C1121*(1+$G1097)^(C1098-1)</f>
        <v>0</v>
      </c>
      <c r="D1178" s="141">
        <f t="shared" ref="D1178:AJ1178" si="746">D1121*(1+$G1097)^(D1098-1)</f>
        <v>0</v>
      </c>
      <c r="E1178" s="141">
        <f t="shared" si="746"/>
        <v>62639199.882857397</v>
      </c>
      <c r="F1178" s="141">
        <f t="shared" si="746"/>
        <v>63680840.510122888</v>
      </c>
      <c r="G1178" s="141">
        <f t="shared" si="746"/>
        <v>63944347.436371677</v>
      </c>
      <c r="H1178" s="141">
        <f t="shared" si="746"/>
        <v>64127045.571904168</v>
      </c>
      <c r="I1178" s="141">
        <f t="shared" si="746"/>
        <v>64222048.602381065</v>
      </c>
      <c r="J1178" s="141">
        <f t="shared" si="746"/>
        <v>64222048.602381058</v>
      </c>
      <c r="K1178" s="141">
        <f t="shared" si="746"/>
        <v>64119293.324617259</v>
      </c>
      <c r="L1178" s="141">
        <f t="shared" si="746"/>
        <v>63905562.346868537</v>
      </c>
      <c r="M1178" s="141">
        <f t="shared" si="746"/>
        <v>63572142.021580525</v>
      </c>
      <c r="N1178" s="141">
        <f t="shared" si="746"/>
        <v>63109799.170514479</v>
      </c>
      <c r="O1178" s="141">
        <f t="shared" si="746"/>
        <v>62508753.464128636</v>
      </c>
      <c r="P1178" s="141">
        <f t="shared" si="746"/>
        <v>61758648.42255909</v>
      </c>
      <c r="Q1178" s="141">
        <f t="shared" si="746"/>
        <v>60848520.972121373</v>
      </c>
      <c r="R1178" s="141">
        <f t="shared" si="746"/>
        <v>59766769.488172546</v>
      </c>
      <c r="S1178" s="141">
        <f t="shared" si="746"/>
        <v>58501120.251952432</v>
      </c>
      <c r="T1178" s="141">
        <f t="shared" si="746"/>
        <v>57038592.245653614</v>
      </c>
      <c r="U1178" s="141">
        <f t="shared" si="746"/>
        <v>55365460.20644778</v>
      </c>
      <c r="V1178" s="141">
        <f t="shared" si="746"/>
        <v>53467215.85651242</v>
      </c>
      <c r="W1178" s="141">
        <f t="shared" si="746"/>
        <v>51328527.222251922</v>
      </c>
      <c r="X1178" s="141">
        <f t="shared" si="746"/>
        <v>48933195.951880172</v>
      </c>
      <c r="Y1178" s="141">
        <f t="shared" si="746"/>
        <v>46264112.536323063</v>
      </c>
      <c r="Z1178" s="141">
        <f t="shared" si="746"/>
        <v>43303209.333998375</v>
      </c>
      <c r="AA1178" s="141">
        <f t="shared" si="746"/>
        <v>40031411.29542961</v>
      </c>
      <c r="AB1178" s="141">
        <f t="shared" si="746"/>
        <v>36428584.278840944</v>
      </c>
      <c r="AC1178" s="141">
        <f t="shared" si="746"/>
        <v>32473480.842852492</v>
      </c>
      <c r="AD1178" s="141">
        <f t="shared" si="746"/>
        <v>28143683.397138819</v>
      </c>
      <c r="AE1178" s="141">
        <f t="shared" si="746"/>
        <v>23415544.586419493</v>
      </c>
      <c r="AF1178" s="141">
        <f t="shared" si="746"/>
        <v>18264124.777407192</v>
      </c>
      <c r="AG1178" s="141">
        <f t="shared" si="746"/>
        <v>12663126.512335632</v>
      </c>
      <c r="AH1178" s="141">
        <f t="shared" si="746"/>
        <v>6584825.7864144994</v>
      </c>
      <c r="AI1178" s="141">
        <f t="shared" si="746"/>
        <v>2282739.6059569865</v>
      </c>
      <c r="AJ1178" s="141">
        <f t="shared" si="746"/>
        <v>-6.2859664009244181E-8</v>
      </c>
      <c r="AK1178" s="151"/>
      <c r="AL1178" s="151"/>
      <c r="AM1178" s="151"/>
      <c r="AN1178" s="151"/>
      <c r="AO1178" s="151"/>
      <c r="AP1178" s="151"/>
      <c r="AQ1178" s="151"/>
      <c r="AR1178" s="151"/>
      <c r="AS1178" s="151"/>
      <c r="AT1178" s="151"/>
      <c r="AU1178" s="151"/>
      <c r="AV1178" s="151"/>
      <c r="AW1178" s="151"/>
      <c r="AX1178" s="151"/>
      <c r="AY1178" s="151"/>
      <c r="AZ1178" s="151"/>
      <c r="BA1178" s="151"/>
      <c r="BB1178" s="151"/>
      <c r="BC1178" s="151"/>
      <c r="BD1178" s="151"/>
      <c r="BE1178" s="151"/>
      <c r="BF1178" s="151"/>
      <c r="BG1178" s="151"/>
      <c r="BH1178" s="151"/>
      <c r="BI1178" s="151"/>
      <c r="BJ1178" s="152"/>
      <c r="BK1178" s="151"/>
      <c r="BL1178" s="151"/>
    </row>
    <row r="1179" spans="1:64" s="153" customFormat="1" ht="12.75">
      <c r="A1179" s="138" t="s">
        <v>127</v>
      </c>
      <c r="B1179" s="144"/>
      <c r="C1179" s="140">
        <f>C1122*(1+$G1097)^(C1098-1)</f>
        <v>0</v>
      </c>
      <c r="D1179" s="141">
        <f t="shared" ref="D1179:AJ1179" si="747">D1122*(1+$G1097)^(D1098-1)</f>
        <v>0</v>
      </c>
      <c r="E1179" s="141">
        <f t="shared" si="747"/>
        <v>8556657.777777778</v>
      </c>
      <c r="F1179" s="141">
        <f t="shared" si="747"/>
        <v>8698948.2666666675</v>
      </c>
      <c r="G1179" s="141">
        <f t="shared" si="747"/>
        <v>8734943.9146666676</v>
      </c>
      <c r="H1179" s="141">
        <f t="shared" si="747"/>
        <v>8759900.897280002</v>
      </c>
      <c r="I1179" s="141">
        <f t="shared" si="747"/>
        <v>8772878.5282389335</v>
      </c>
      <c r="J1179" s="141">
        <f t="shared" si="747"/>
        <v>8772878.5282389335</v>
      </c>
      <c r="K1179" s="141">
        <f t="shared" si="747"/>
        <v>8758841.9225937519</v>
      </c>
      <c r="L1179" s="141">
        <f t="shared" si="747"/>
        <v>8729645.7828517724</v>
      </c>
      <c r="M1179" s="141">
        <f t="shared" si="747"/>
        <v>8684099.804854285</v>
      </c>
      <c r="N1179" s="141">
        <f t="shared" si="747"/>
        <v>8620942.7153644338</v>
      </c>
      <c r="O1179" s="141">
        <f t="shared" si="747"/>
        <v>8538838.4990276303</v>
      </c>
      <c r="P1179" s="141">
        <f t="shared" si="747"/>
        <v>8436372.4370392989</v>
      </c>
      <c r="Q1179" s="141">
        <f t="shared" si="747"/>
        <v>8312046.9484934555</v>
      </c>
      <c r="R1179" s="141">
        <f t="shared" si="747"/>
        <v>8164277.224964682</v>
      </c>
      <c r="S1179" s="141">
        <f t="shared" si="747"/>
        <v>7991386.6484360183</v>
      </c>
      <c r="T1179" s="141">
        <f t="shared" si="747"/>
        <v>7791601.9822251182</v>
      </c>
      <c r="U1179" s="141">
        <f t="shared" si="747"/>
        <v>7563048.3240798488</v>
      </c>
      <c r="V1179" s="141">
        <f t="shared" si="747"/>
        <v>7303743.810111396</v>
      </c>
      <c r="W1179" s="141">
        <f t="shared" si="747"/>
        <v>7011594.05770694</v>
      </c>
      <c r="X1179" s="141">
        <f t="shared" si="747"/>
        <v>6684386.3350139502</v>
      </c>
      <c r="Y1179" s="141">
        <f t="shared" si="747"/>
        <v>6319783.4440131886</v>
      </c>
      <c r="Z1179" s="141">
        <f t="shared" si="747"/>
        <v>5915317.3035963438</v>
      </c>
      <c r="AA1179" s="141">
        <f t="shared" si="747"/>
        <v>5468382.2184357308</v>
      </c>
      <c r="AB1179" s="141">
        <f t="shared" si="747"/>
        <v>4976227.8187765153</v>
      </c>
      <c r="AC1179" s="141">
        <f t="shared" si="747"/>
        <v>4435951.6555950632</v>
      </c>
      <c r="AD1179" s="141">
        <f t="shared" si="747"/>
        <v>3844491.4348490527</v>
      </c>
      <c r="AE1179" s="141">
        <f t="shared" si="747"/>
        <v>3198616.8737944104</v>
      </c>
      <c r="AF1179" s="141">
        <f t="shared" si="747"/>
        <v>2494921.1615596372</v>
      </c>
      <c r="AG1179" s="141">
        <f t="shared" si="747"/>
        <v>1729812.0053480109</v>
      </c>
      <c r="AH1179" s="141">
        <f t="shared" si="747"/>
        <v>899502.2427809597</v>
      </c>
      <c r="AI1179" s="141">
        <f t="shared" si="747"/>
        <v>311827.44416405761</v>
      </c>
      <c r="AJ1179" s="141">
        <f t="shared" si="747"/>
        <v>-1.3113460312739285E-8</v>
      </c>
      <c r="AK1179" s="151"/>
      <c r="AL1179" s="151"/>
      <c r="AM1179" s="151"/>
      <c r="AN1179" s="151"/>
      <c r="AO1179" s="151"/>
      <c r="AP1179" s="151"/>
      <c r="AQ1179" s="151"/>
      <c r="AR1179" s="151"/>
      <c r="AS1179" s="151"/>
      <c r="AT1179" s="151"/>
      <c r="AU1179" s="151"/>
      <c r="AV1179" s="151"/>
      <c r="AW1179" s="151"/>
      <c r="AX1179" s="151"/>
      <c r="AY1179" s="151"/>
      <c r="AZ1179" s="151"/>
      <c r="BA1179" s="151"/>
      <c r="BB1179" s="151"/>
      <c r="BC1179" s="151"/>
      <c r="BD1179" s="151"/>
      <c r="BE1179" s="151"/>
      <c r="BF1179" s="151"/>
      <c r="BG1179" s="151"/>
      <c r="BH1179" s="151"/>
      <c r="BI1179" s="151"/>
      <c r="BJ1179" s="152"/>
      <c r="BK1179" s="151"/>
      <c r="BL1179" s="151"/>
    </row>
    <row r="1180" spans="1:64" s="153" customFormat="1" ht="12.75">
      <c r="A1180" s="138" t="s">
        <v>128</v>
      </c>
      <c r="B1180" s="144"/>
      <c r="C1180" s="140">
        <f>C1123*(1+$G1097)^(C1098-1)</f>
        <v>148205340.41511768</v>
      </c>
      <c r="D1180" s="141">
        <f t="shared" ref="D1180:AJ1180" si="748">D1123*(1+$G1097)^(D1098-1)</f>
        <v>152064647.26619592</v>
      </c>
      <c r="E1180" s="141">
        <f t="shared" si="748"/>
        <v>154919738.60262248</v>
      </c>
      <c r="F1180" s="141">
        <f t="shared" si="748"/>
        <v>156641069.03154048</v>
      </c>
      <c r="G1180" s="141">
        <f t="shared" si="748"/>
        <v>157088614.94305921</v>
      </c>
      <c r="H1180" s="141">
        <f t="shared" si="748"/>
        <v>157321338.81704894</v>
      </c>
      <c r="I1180" s="141">
        <f t="shared" si="748"/>
        <v>157321338.81704894</v>
      </c>
      <c r="J1180" s="141">
        <f t="shared" si="748"/>
        <v>157069624.67494163</v>
      </c>
      <c r="K1180" s="141">
        <f t="shared" si="748"/>
        <v>156546059.25935853</v>
      </c>
      <c r="L1180" s="141">
        <f t="shared" si="748"/>
        <v>155729297.21104884</v>
      </c>
      <c r="M1180" s="141">
        <f t="shared" si="748"/>
        <v>154596720.50405937</v>
      </c>
      <c r="N1180" s="141">
        <f t="shared" si="748"/>
        <v>153124370.78497308</v>
      </c>
      <c r="O1180" s="141">
        <f t="shared" si="748"/>
        <v>151286878.33555344</v>
      </c>
      <c r="P1180" s="141">
        <f t="shared" si="748"/>
        <v>149057387.49692422</v>
      </c>
      <c r="Q1180" s="141">
        <f t="shared" si="748"/>
        <v>146407478.38586777</v>
      </c>
      <c r="R1180" s="141">
        <f t="shared" si="748"/>
        <v>143307084.72593176</v>
      </c>
      <c r="S1180" s="141">
        <f t="shared" si="748"/>
        <v>139724407.60778347</v>
      </c>
      <c r="T1180" s="141">
        <f t="shared" si="748"/>
        <v>135625824.98462182</v>
      </c>
      <c r="U1180" s="141">
        <f t="shared" si="748"/>
        <v>130975796.69943479</v>
      </c>
      <c r="V1180" s="141">
        <f t="shared" si="748"/>
        <v>125736764.83145738</v>
      </c>
      <c r="W1180" s="141">
        <f t="shared" si="748"/>
        <v>119869049.13932268</v>
      </c>
      <c r="X1180" s="141">
        <f t="shared" si="748"/>
        <v>113330737.36808692</v>
      </c>
      <c r="Y1180" s="141">
        <f t="shared" si="748"/>
        <v>106077570.17652933</v>
      </c>
      <c r="Z1180" s="141">
        <f t="shared" si="748"/>
        <v>98062820.429858193</v>
      </c>
      <c r="AA1180" s="141">
        <f t="shared" si="748"/>
        <v>89237166.591170952</v>
      </c>
      <c r="AB1180" s="141">
        <f t="shared" si="748"/>
        <v>79548559.932700962</v>
      </c>
      <c r="AC1180" s="141">
        <f t="shared" si="748"/>
        <v>68942085.275007457</v>
      </c>
      <c r="AD1180" s="141">
        <f t="shared" si="748"/>
        <v>57359814.948806182</v>
      </c>
      <c r="AE1180" s="141">
        <f t="shared" si="748"/>
        <v>44740655.660068795</v>
      </c>
      <c r="AF1180" s="141">
        <f t="shared" si="748"/>
        <v>31020187.924314316</v>
      </c>
      <c r="AG1180" s="141">
        <f t="shared" si="748"/>
        <v>19356597.264772065</v>
      </c>
      <c r="AH1180" s="141">
        <f t="shared" si="748"/>
        <v>10065430.577681392</v>
      </c>
      <c r="AI1180" s="141">
        <f t="shared" si="748"/>
        <v>3489349.2669294337</v>
      </c>
      <c r="AJ1180" s="141">
        <f t="shared" si="748"/>
        <v>-1.8093389775633797E-7</v>
      </c>
      <c r="AK1180" s="151"/>
      <c r="AL1180" s="151"/>
      <c r="AM1180" s="151"/>
      <c r="AN1180" s="151"/>
      <c r="AO1180" s="151"/>
      <c r="AP1180" s="151"/>
      <c r="AQ1180" s="151"/>
      <c r="AR1180" s="151"/>
      <c r="AS1180" s="151"/>
      <c r="AT1180" s="151"/>
      <c r="AU1180" s="151"/>
      <c r="AV1180" s="151"/>
      <c r="AW1180" s="151"/>
      <c r="AX1180" s="151"/>
      <c r="AY1180" s="151"/>
      <c r="AZ1180" s="151"/>
      <c r="BA1180" s="151"/>
      <c r="BB1180" s="151"/>
      <c r="BC1180" s="151"/>
      <c r="BD1180" s="151"/>
      <c r="BE1180" s="151"/>
      <c r="BF1180" s="151"/>
      <c r="BG1180" s="151"/>
      <c r="BH1180" s="151"/>
      <c r="BI1180" s="151"/>
      <c r="BJ1180" s="152"/>
      <c r="BK1180" s="151"/>
      <c r="BL1180" s="151"/>
    </row>
    <row r="1181" spans="1:64" s="153" customFormat="1" ht="12.75">
      <c r="A1181" s="138" t="s">
        <v>129</v>
      </c>
      <c r="B1181" s="144"/>
      <c r="C1181" s="140">
        <f>C1124*(1+$G1097)^(C1098-1)</f>
        <v>7461193.1308164066</v>
      </c>
      <c r="D1181" s="141">
        <f t="shared" ref="D1181:AJ1181" si="749">D1124*(1+$G1097)^(D1098-1)</f>
        <v>7498079.9283170719</v>
      </c>
      <c r="E1181" s="141">
        <f t="shared" si="749"/>
        <v>7525979.760608484</v>
      </c>
      <c r="F1181" s="141">
        <f t="shared" si="749"/>
        <v>7544114.6515979022</v>
      </c>
      <c r="G1181" s="141">
        <f t="shared" si="749"/>
        <v>7551658.7662495002</v>
      </c>
      <c r="H1181" s="141">
        <f t="shared" si="749"/>
        <v>7547735.8266306696</v>
      </c>
      <c r="I1181" s="141">
        <f t="shared" si="749"/>
        <v>7531416.397816333</v>
      </c>
      <c r="J1181" s="141">
        <f t="shared" si="749"/>
        <v>7501715.0373742394</v>
      </c>
      <c r="K1181" s="141">
        <f t="shared" si="749"/>
        <v>7457587.3018602738</v>
      </c>
      <c r="L1181" s="141">
        <f t="shared" si="749"/>
        <v>7397926.6034453912</v>
      </c>
      <c r="M1181" s="141">
        <f t="shared" si="749"/>
        <v>7321560.9094743412</v>
      </c>
      <c r="N1181" s="141">
        <f t="shared" si="749"/>
        <v>7227249.2774200942</v>
      </c>
      <c r="O1181" s="141">
        <f t="shared" si="749"/>
        <v>7113678.2173463507</v>
      </c>
      <c r="P1181" s="141">
        <f t="shared" si="749"/>
        <v>6979457.8736228356</v>
      </c>
      <c r="Q1181" s="141">
        <f t="shared" si="749"/>
        <v>6823118.0172536839</v>
      </c>
      <c r="R1181" s="141">
        <f t="shared" si="749"/>
        <v>6643103.8397772033</v>
      </c>
      <c r="S1181" s="141">
        <f t="shared" si="749"/>
        <v>6437771.5392749999</v>
      </c>
      <c r="T1181" s="141">
        <f t="shared" si="749"/>
        <v>6205383.6885889759</v>
      </c>
      <c r="U1181" s="141">
        <f t="shared" si="749"/>
        <v>5944104.3753852295</v>
      </c>
      <c r="V1181" s="141">
        <f t="shared" si="749"/>
        <v>5651994.1032234412</v>
      </c>
      <c r="W1181" s="141">
        <f t="shared" si="749"/>
        <v>5327004.4422880933</v>
      </c>
      <c r="X1181" s="141">
        <f t="shared" si="749"/>
        <v>4966972.4179127607</v>
      </c>
      <c r="Y1181" s="141">
        <f t="shared" si="749"/>
        <v>4569614.624479739</v>
      </c>
      <c r="Z1181" s="141">
        <f t="shared" si="749"/>
        <v>4132521.0517034153</v>
      </c>
      <c r="AA1181" s="141">
        <f t="shared" si="749"/>
        <v>3653148.6097058184</v>
      </c>
      <c r="AB1181" s="141">
        <f t="shared" si="749"/>
        <v>3128814.3386656889</v>
      </c>
      <c r="AC1181" s="141">
        <f t="shared" si="749"/>
        <v>2556688.2881668182</v>
      </c>
      <c r="AD1181" s="141">
        <f t="shared" si="749"/>
        <v>1933786.0506861731</v>
      </c>
      <c r="AE1181" s="141">
        <f t="shared" si="749"/>
        <v>1256960.9329460103</v>
      </c>
      <c r="AF1181" s="141">
        <f t="shared" si="749"/>
        <v>522895.74810553592</v>
      </c>
      <c r="AG1181" s="141">
        <f t="shared" si="749"/>
        <v>-7.5516232988507081E-9</v>
      </c>
      <c r="AH1181" s="141">
        <f t="shared" si="749"/>
        <v>-7.8536882308047357E-9</v>
      </c>
      <c r="AI1181" s="141">
        <f t="shared" si="749"/>
        <v>-8.1678357600369257E-9</v>
      </c>
      <c r="AJ1181" s="141">
        <f t="shared" si="749"/>
        <v>-8.4945491904384038E-9</v>
      </c>
      <c r="AK1181" s="151"/>
      <c r="AL1181" s="151"/>
      <c r="AM1181" s="151"/>
      <c r="AN1181" s="151"/>
      <c r="AO1181" s="151"/>
      <c r="AP1181" s="151"/>
      <c r="AQ1181" s="151"/>
      <c r="AR1181" s="151"/>
      <c r="AS1181" s="151"/>
      <c r="AT1181" s="151"/>
      <c r="AU1181" s="151"/>
      <c r="AV1181" s="151"/>
      <c r="AW1181" s="151"/>
      <c r="AX1181" s="151"/>
      <c r="AY1181" s="151"/>
      <c r="AZ1181" s="151"/>
      <c r="BA1181" s="151"/>
      <c r="BB1181" s="151"/>
      <c r="BC1181" s="151"/>
      <c r="BD1181" s="151"/>
      <c r="BE1181" s="151"/>
      <c r="BF1181" s="151"/>
      <c r="BG1181" s="151"/>
      <c r="BH1181" s="151"/>
      <c r="BI1181" s="151"/>
      <c r="BJ1181" s="152"/>
      <c r="BK1181" s="151"/>
      <c r="BL1181" s="151"/>
    </row>
    <row r="1182" spans="1:64" s="116" customFormat="1">
      <c r="A1182" s="111" t="s">
        <v>132</v>
      </c>
      <c r="B1182" s="155">
        <f>SUM(B1183:B1186)</f>
        <v>478612804.30402702</v>
      </c>
      <c r="C1182" s="117">
        <f>SUM(C1183:C1186)</f>
        <v>15674503.389081286</v>
      </c>
      <c r="D1182" s="118">
        <f t="shared" ref="D1182:AJ1182" si="750">SUM(D1183:D1186)</f>
        <v>16189319.488777146</v>
      </c>
      <c r="E1182" s="118">
        <f t="shared" si="750"/>
        <v>23794104.73997898</v>
      </c>
      <c r="F1182" s="118">
        <f t="shared" si="750"/>
        <v>24298723.906482078</v>
      </c>
      <c r="G1182" s="118">
        <f t="shared" si="750"/>
        <v>24602757.135832507</v>
      </c>
      <c r="H1182" s="118">
        <f t="shared" si="750"/>
        <v>24681234.766276103</v>
      </c>
      <c r="I1182" s="118">
        <f t="shared" si="750"/>
        <v>24726626.195737835</v>
      </c>
      <c r="J1182" s="118">
        <f t="shared" si="750"/>
        <v>24736158.963930465</v>
      </c>
      <c r="K1182" s="118">
        <f t="shared" si="750"/>
        <v>24706891.751665339</v>
      </c>
      <c r="L1182" s="118">
        <f t="shared" si="750"/>
        <v>24635705.308076702</v>
      </c>
      <c r="M1182" s="118">
        <f t="shared" si="750"/>
        <v>24519292.922198314</v>
      </c>
      <c r="N1182" s="118">
        <f t="shared" si="750"/>
        <v>24354150.416956726</v>
      </c>
      <c r="O1182" s="118">
        <f t="shared" si="750"/>
        <v>24136565.642620303</v>
      </c>
      <c r="P1182" s="118">
        <f t="shared" si="750"/>
        <v>23862607.44566983</v>
      </c>
      <c r="Q1182" s="118">
        <f t="shared" si="750"/>
        <v>23528114.087935127</v>
      </c>
      <c r="R1182" s="118">
        <f t="shared" si="750"/>
        <v>23128681.089668576</v>
      </c>
      <c r="S1182" s="118">
        <f t="shared" si="750"/>
        <v>22659648.469000008</v>
      </c>
      <c r="T1182" s="118">
        <f t="shared" si="750"/>
        <v>22116087.348934483</v>
      </c>
      <c r="U1182" s="118">
        <f t="shared" si="750"/>
        <v>21492785.901713315</v>
      </c>
      <c r="V1182" s="118">
        <f t="shared" si="750"/>
        <v>20784234.598956153</v>
      </c>
      <c r="W1182" s="118">
        <f t="shared" si="750"/>
        <v>19984610.734535687</v>
      </c>
      <c r="X1182" s="118">
        <f t="shared" si="750"/>
        <v>0</v>
      </c>
      <c r="Y1182" s="118">
        <f t="shared" si="750"/>
        <v>0</v>
      </c>
      <c r="Z1182" s="118">
        <f t="shared" si="750"/>
        <v>0</v>
      </c>
      <c r="AA1182" s="118">
        <f t="shared" si="750"/>
        <v>0</v>
      </c>
      <c r="AB1182" s="118">
        <f t="shared" si="750"/>
        <v>0</v>
      </c>
      <c r="AC1182" s="118">
        <f t="shared" si="750"/>
        <v>0</v>
      </c>
      <c r="AD1182" s="118">
        <f t="shared" si="750"/>
        <v>0</v>
      </c>
      <c r="AE1182" s="118">
        <f t="shared" si="750"/>
        <v>0</v>
      </c>
      <c r="AF1182" s="118">
        <f t="shared" si="750"/>
        <v>0</v>
      </c>
      <c r="AG1182" s="118">
        <f t="shared" si="750"/>
        <v>0</v>
      </c>
      <c r="AH1182" s="118">
        <f t="shared" si="750"/>
        <v>0</v>
      </c>
      <c r="AI1182" s="118">
        <f t="shared" si="750"/>
        <v>0</v>
      </c>
      <c r="AJ1182" s="118">
        <f t="shared" si="750"/>
        <v>0</v>
      </c>
      <c r="AK1182" s="118"/>
      <c r="AL1182" s="118"/>
      <c r="AM1182" s="118"/>
      <c r="AN1182" s="118"/>
      <c r="AO1182" s="118"/>
      <c r="AP1182" s="118"/>
      <c r="AQ1182" s="118"/>
      <c r="AR1182" s="118"/>
      <c r="AS1182" s="118"/>
      <c r="AT1182" s="118"/>
      <c r="AU1182" s="118"/>
      <c r="AV1182" s="118"/>
      <c r="AW1182" s="118"/>
      <c r="AX1182" s="118"/>
      <c r="AY1182" s="118"/>
      <c r="AZ1182" s="118"/>
      <c r="BA1182" s="118"/>
      <c r="BB1182" s="118"/>
      <c r="BC1182" s="118"/>
      <c r="BD1182" s="118"/>
      <c r="BE1182" s="118"/>
      <c r="BF1182" s="118"/>
      <c r="BG1182" s="118"/>
      <c r="BH1182" s="118"/>
      <c r="BI1182" s="118"/>
      <c r="BJ1182" s="119"/>
      <c r="BK1182" s="118"/>
      <c r="BL1182" s="118"/>
    </row>
    <row r="1183" spans="1:64" s="143" customFormat="1" ht="12.75">
      <c r="A1183" s="138" t="s">
        <v>126</v>
      </c>
      <c r="B1183" s="139">
        <f>SUM(C1183:BJ1183)</f>
        <v>121441231.58297291</v>
      </c>
      <c r="C1183" s="140">
        <f>C1126*(1+$G1097)^(C1098-1)</f>
        <v>0</v>
      </c>
      <c r="D1183" s="141">
        <f t="shared" ref="D1183:BJ1183" si="751">D1126*(1+$G1097)^(D1098-1)</f>
        <v>0</v>
      </c>
      <c r="E1183" s="141">
        <f t="shared" si="751"/>
        <v>6334301.1117496248</v>
      </c>
      <c r="F1183" s="141">
        <f t="shared" si="751"/>
        <v>6514476.787817169</v>
      </c>
      <c r="G1183" s="141">
        <f t="shared" si="751"/>
        <v>6622807.4130527806</v>
      </c>
      <c r="H1183" s="141">
        <f t="shared" si="751"/>
        <v>6650212.1333826557</v>
      </c>
      <c r="I1183" s="141">
        <f t="shared" si="751"/>
        <v>6669212.7394780349</v>
      </c>
      <c r="J1183" s="141">
        <f t="shared" si="751"/>
        <v>6679093.054647631</v>
      </c>
      <c r="K1183" s="141">
        <f t="shared" si="751"/>
        <v>6679093.054647631</v>
      </c>
      <c r="L1183" s="141">
        <f t="shared" si="751"/>
        <v>6668406.5057601957</v>
      </c>
      <c r="M1183" s="141">
        <f t="shared" si="751"/>
        <v>6646178.4840743272</v>
      </c>
      <c r="N1183" s="141">
        <f t="shared" si="751"/>
        <v>6611502.7702443749</v>
      </c>
      <c r="O1183" s="141">
        <f t="shared" si="751"/>
        <v>6563419.1137335077</v>
      </c>
      <c r="P1183" s="141">
        <f t="shared" si="751"/>
        <v>6500910.3602693789</v>
      </c>
      <c r="Q1183" s="141">
        <f t="shared" si="751"/>
        <v>6422899.4359461451</v>
      </c>
      <c r="R1183" s="141">
        <f t="shared" si="751"/>
        <v>6328246.1811006237</v>
      </c>
      <c r="S1183" s="141">
        <f t="shared" si="751"/>
        <v>6215744.0267699463</v>
      </c>
      <c r="T1183" s="141">
        <f t="shared" si="751"/>
        <v>6084116.5062030535</v>
      </c>
      <c r="U1183" s="141">
        <f t="shared" si="751"/>
        <v>5932013.5935479775</v>
      </c>
      <c r="V1183" s="141">
        <f t="shared" si="751"/>
        <v>5758007.8614705689</v>
      </c>
      <c r="W1183" s="141">
        <f t="shared" si="751"/>
        <v>5560590.4490772923</v>
      </c>
      <c r="X1183" s="141">
        <f t="shared" si="751"/>
        <v>0</v>
      </c>
      <c r="Y1183" s="141">
        <f t="shared" si="751"/>
        <v>0</v>
      </c>
      <c r="Z1183" s="141">
        <f t="shared" si="751"/>
        <v>0</v>
      </c>
      <c r="AA1183" s="141">
        <f t="shared" si="751"/>
        <v>0</v>
      </c>
      <c r="AB1183" s="141">
        <f t="shared" si="751"/>
        <v>0</v>
      </c>
      <c r="AC1183" s="141">
        <f t="shared" si="751"/>
        <v>0</v>
      </c>
      <c r="AD1183" s="141">
        <f t="shared" si="751"/>
        <v>0</v>
      </c>
      <c r="AE1183" s="141">
        <f t="shared" si="751"/>
        <v>0</v>
      </c>
      <c r="AF1183" s="141">
        <f t="shared" si="751"/>
        <v>0</v>
      </c>
      <c r="AG1183" s="141">
        <f t="shared" si="751"/>
        <v>0</v>
      </c>
      <c r="AH1183" s="141">
        <f t="shared" si="751"/>
        <v>0</v>
      </c>
      <c r="AI1183" s="141">
        <f t="shared" si="751"/>
        <v>0</v>
      </c>
      <c r="AJ1183" s="141">
        <f t="shared" si="751"/>
        <v>0</v>
      </c>
      <c r="AK1183" s="141">
        <f t="shared" si="751"/>
        <v>0</v>
      </c>
      <c r="AL1183" s="141">
        <f t="shared" si="751"/>
        <v>0</v>
      </c>
      <c r="AM1183" s="141">
        <f t="shared" si="751"/>
        <v>0</v>
      </c>
      <c r="AN1183" s="141">
        <f t="shared" si="751"/>
        <v>0</v>
      </c>
      <c r="AO1183" s="141">
        <f t="shared" si="751"/>
        <v>0</v>
      </c>
      <c r="AP1183" s="141">
        <f t="shared" si="751"/>
        <v>0</v>
      </c>
      <c r="AQ1183" s="141">
        <f t="shared" si="751"/>
        <v>0</v>
      </c>
      <c r="AR1183" s="141">
        <f t="shared" si="751"/>
        <v>0</v>
      </c>
      <c r="AS1183" s="141">
        <f t="shared" si="751"/>
        <v>0</v>
      </c>
      <c r="AT1183" s="141">
        <f t="shared" si="751"/>
        <v>0</v>
      </c>
      <c r="AU1183" s="141">
        <f t="shared" si="751"/>
        <v>0</v>
      </c>
      <c r="AV1183" s="141">
        <f t="shared" si="751"/>
        <v>0</v>
      </c>
      <c r="AW1183" s="141">
        <f t="shared" si="751"/>
        <v>0</v>
      </c>
      <c r="AX1183" s="141">
        <f t="shared" si="751"/>
        <v>0</v>
      </c>
      <c r="AY1183" s="141">
        <f t="shared" si="751"/>
        <v>0</v>
      </c>
      <c r="AZ1183" s="141">
        <f t="shared" si="751"/>
        <v>0</v>
      </c>
      <c r="BA1183" s="141">
        <f t="shared" si="751"/>
        <v>0</v>
      </c>
      <c r="BB1183" s="141">
        <f t="shared" si="751"/>
        <v>0</v>
      </c>
      <c r="BC1183" s="141">
        <f t="shared" si="751"/>
        <v>0</v>
      </c>
      <c r="BD1183" s="141">
        <f t="shared" si="751"/>
        <v>0</v>
      </c>
      <c r="BE1183" s="141">
        <f t="shared" si="751"/>
        <v>0</v>
      </c>
      <c r="BF1183" s="141">
        <f t="shared" si="751"/>
        <v>0</v>
      </c>
      <c r="BG1183" s="141">
        <f t="shared" si="751"/>
        <v>0</v>
      </c>
      <c r="BH1183" s="141">
        <f t="shared" si="751"/>
        <v>0</v>
      </c>
      <c r="BI1183" s="141">
        <f t="shared" si="751"/>
        <v>0</v>
      </c>
      <c r="BJ1183" s="142">
        <f t="shared" si="751"/>
        <v>0</v>
      </c>
      <c r="BK1183" s="141"/>
      <c r="BL1183" s="141"/>
    </row>
    <row r="1184" spans="1:64" s="143" customFormat="1" ht="12.75">
      <c r="A1184" s="138" t="s">
        <v>127</v>
      </c>
      <c r="B1184" s="139">
        <f>SUM(C1184:BJ1184)</f>
        <v>16589149.61734271</v>
      </c>
      <c r="C1184" s="140">
        <f>C1127*(1+$G1097)^(C1098-1)</f>
        <v>0</v>
      </c>
      <c r="D1184" s="141">
        <f t="shared" ref="D1184:BJ1184" si="752">D1127*(1+$G1097)^(D1098-1)</f>
        <v>0</v>
      </c>
      <c r="E1184" s="141">
        <f t="shared" si="752"/>
        <v>865280.00000000012</v>
      </c>
      <c r="F1184" s="141">
        <f t="shared" si="752"/>
        <v>889892.40888888901</v>
      </c>
      <c r="G1184" s="141">
        <f t="shared" si="752"/>
        <v>904690.61973333359</v>
      </c>
      <c r="H1184" s="141">
        <f t="shared" si="752"/>
        <v>908434.16712533357</v>
      </c>
      <c r="I1184" s="141">
        <f t="shared" si="752"/>
        <v>911029.69331712031</v>
      </c>
      <c r="J1184" s="141">
        <f t="shared" si="752"/>
        <v>912379.3669368492</v>
      </c>
      <c r="K1184" s="141">
        <f t="shared" si="752"/>
        <v>912379.3669368492</v>
      </c>
      <c r="L1184" s="141">
        <f t="shared" si="752"/>
        <v>910919.55994975031</v>
      </c>
      <c r="M1184" s="141">
        <f t="shared" si="752"/>
        <v>907883.16141658439</v>
      </c>
      <c r="N1184" s="141">
        <f t="shared" si="752"/>
        <v>903146.37970484549</v>
      </c>
      <c r="O1184" s="141">
        <f t="shared" si="752"/>
        <v>896578.04239790142</v>
      </c>
      <c r="P1184" s="141">
        <f t="shared" si="752"/>
        <v>888039.20389887365</v>
      </c>
      <c r="Q1184" s="141">
        <f t="shared" si="752"/>
        <v>877382.73345208704</v>
      </c>
      <c r="R1184" s="141">
        <f t="shared" si="752"/>
        <v>864452.88264331943</v>
      </c>
      <c r="S1184" s="141">
        <f t="shared" si="752"/>
        <v>849084.83139632712</v>
      </c>
      <c r="T1184" s="141">
        <f t="shared" si="752"/>
        <v>831104.21143734606</v>
      </c>
      <c r="U1184" s="141">
        <f t="shared" si="752"/>
        <v>810326.60615141236</v>
      </c>
      <c r="V1184" s="141">
        <f t="shared" si="752"/>
        <v>786557.02570430434</v>
      </c>
      <c r="W1184" s="141">
        <f t="shared" si="752"/>
        <v>759589.35625158518</v>
      </c>
      <c r="X1184" s="141">
        <f t="shared" si="752"/>
        <v>0</v>
      </c>
      <c r="Y1184" s="141">
        <f t="shared" si="752"/>
        <v>0</v>
      </c>
      <c r="Z1184" s="141">
        <f t="shared" si="752"/>
        <v>0</v>
      </c>
      <c r="AA1184" s="141">
        <f t="shared" si="752"/>
        <v>0</v>
      </c>
      <c r="AB1184" s="141">
        <f t="shared" si="752"/>
        <v>0</v>
      </c>
      <c r="AC1184" s="141">
        <f t="shared" si="752"/>
        <v>0</v>
      </c>
      <c r="AD1184" s="141">
        <f t="shared" si="752"/>
        <v>0</v>
      </c>
      <c r="AE1184" s="141">
        <f t="shared" si="752"/>
        <v>0</v>
      </c>
      <c r="AF1184" s="141">
        <f t="shared" si="752"/>
        <v>0</v>
      </c>
      <c r="AG1184" s="141">
        <f t="shared" si="752"/>
        <v>0</v>
      </c>
      <c r="AH1184" s="141">
        <f t="shared" si="752"/>
        <v>0</v>
      </c>
      <c r="AI1184" s="141">
        <f t="shared" si="752"/>
        <v>0</v>
      </c>
      <c r="AJ1184" s="141">
        <f t="shared" si="752"/>
        <v>0</v>
      </c>
      <c r="AK1184" s="141">
        <f t="shared" si="752"/>
        <v>0</v>
      </c>
      <c r="AL1184" s="141">
        <f t="shared" si="752"/>
        <v>0</v>
      </c>
      <c r="AM1184" s="141">
        <f t="shared" si="752"/>
        <v>0</v>
      </c>
      <c r="AN1184" s="141">
        <f t="shared" si="752"/>
        <v>0</v>
      </c>
      <c r="AO1184" s="141">
        <f t="shared" si="752"/>
        <v>0</v>
      </c>
      <c r="AP1184" s="141">
        <f t="shared" si="752"/>
        <v>0</v>
      </c>
      <c r="AQ1184" s="141">
        <f t="shared" si="752"/>
        <v>0</v>
      </c>
      <c r="AR1184" s="141">
        <f t="shared" si="752"/>
        <v>0</v>
      </c>
      <c r="AS1184" s="141">
        <f t="shared" si="752"/>
        <v>0</v>
      </c>
      <c r="AT1184" s="141">
        <f t="shared" si="752"/>
        <v>0</v>
      </c>
      <c r="AU1184" s="141">
        <f t="shared" si="752"/>
        <v>0</v>
      </c>
      <c r="AV1184" s="141">
        <f t="shared" si="752"/>
        <v>0</v>
      </c>
      <c r="AW1184" s="141">
        <f t="shared" si="752"/>
        <v>0</v>
      </c>
      <c r="AX1184" s="141">
        <f t="shared" si="752"/>
        <v>0</v>
      </c>
      <c r="AY1184" s="141">
        <f t="shared" si="752"/>
        <v>0</v>
      </c>
      <c r="AZ1184" s="141">
        <f t="shared" si="752"/>
        <v>0</v>
      </c>
      <c r="BA1184" s="141">
        <f t="shared" si="752"/>
        <v>0</v>
      </c>
      <c r="BB1184" s="141">
        <f t="shared" si="752"/>
        <v>0</v>
      </c>
      <c r="BC1184" s="141">
        <f t="shared" si="752"/>
        <v>0</v>
      </c>
      <c r="BD1184" s="141">
        <f t="shared" si="752"/>
        <v>0</v>
      </c>
      <c r="BE1184" s="141">
        <f t="shared" si="752"/>
        <v>0</v>
      </c>
      <c r="BF1184" s="141">
        <f t="shared" si="752"/>
        <v>0</v>
      </c>
      <c r="BG1184" s="141">
        <f t="shared" si="752"/>
        <v>0</v>
      </c>
      <c r="BH1184" s="141">
        <f t="shared" si="752"/>
        <v>0</v>
      </c>
      <c r="BI1184" s="141">
        <f t="shared" si="752"/>
        <v>0</v>
      </c>
      <c r="BJ1184" s="142">
        <f t="shared" si="752"/>
        <v>0</v>
      </c>
      <c r="BK1184" s="141"/>
      <c r="BL1184" s="141"/>
    </row>
    <row r="1185" spans="1:64" s="143" customFormat="1" ht="12.75">
      <c r="A1185" s="138" t="s">
        <v>128</v>
      </c>
      <c r="B1185" s="139">
        <f>SUM(C1185:BJ1185)</f>
        <v>325125978.1859687</v>
      </c>
      <c r="C1185" s="140">
        <f>C1128*(1+$G1097)^(C1098-1)</f>
        <v>14920000.712931313</v>
      </c>
      <c r="D1185" s="141">
        <f t="shared" ref="D1185:BJ1185" si="753">D1128*(1+$G1097)^(D1098-1)</f>
        <v>15413355.40317224</v>
      </c>
      <c r="E1185" s="141">
        <f t="shared" si="753"/>
        <v>15814723.315684378</v>
      </c>
      <c r="F1185" s="141">
        <f t="shared" si="753"/>
        <v>16111652.814672736</v>
      </c>
      <c r="G1185" s="141">
        <f t="shared" si="753"/>
        <v>16290671.179280212</v>
      </c>
      <c r="H1185" s="141">
        <f t="shared" si="753"/>
        <v>16337215.954078162</v>
      </c>
      <c r="I1185" s="141">
        <f t="shared" si="753"/>
        <v>16361419.23697309</v>
      </c>
      <c r="J1185" s="141">
        <f t="shared" si="753"/>
        <v>16361419.236973088</v>
      </c>
      <c r="K1185" s="141">
        <f t="shared" si="753"/>
        <v>16335240.966193935</v>
      </c>
      <c r="L1185" s="141">
        <f t="shared" si="753"/>
        <v>16280790.162973288</v>
      </c>
      <c r="M1185" s="141">
        <f t="shared" si="753"/>
        <v>16195846.909949081</v>
      </c>
      <c r="N1185" s="141">
        <f t="shared" si="753"/>
        <v>16078058.932422176</v>
      </c>
      <c r="O1185" s="141">
        <f t="shared" si="753"/>
        <v>15924934.561637204</v>
      </c>
      <c r="P1185" s="141">
        <f t="shared" si="753"/>
        <v>15733835.346897559</v>
      </c>
      <c r="Q1185" s="141">
        <f t="shared" si="753"/>
        <v>15501968.299680119</v>
      </c>
      <c r="R1185" s="141">
        <f t="shared" si="753"/>
        <v>15226377.75213025</v>
      </c>
      <c r="S1185" s="141">
        <f t="shared" si="753"/>
        <v>14903936.811496906</v>
      </c>
      <c r="T1185" s="141">
        <f t="shared" si="753"/>
        <v>14531338.391209481</v>
      </c>
      <c r="U1185" s="141">
        <f t="shared" si="753"/>
        <v>14105085.79840067</v>
      </c>
      <c r="V1185" s="141">
        <f t="shared" si="753"/>
        <v>13621482.856741218</v>
      </c>
      <c r="W1185" s="141">
        <f t="shared" si="753"/>
        <v>13076623.542471569</v>
      </c>
      <c r="X1185" s="141">
        <f t="shared" si="753"/>
        <v>0</v>
      </c>
      <c r="Y1185" s="141">
        <f t="shared" si="753"/>
        <v>0</v>
      </c>
      <c r="Z1185" s="141">
        <f t="shared" si="753"/>
        <v>0</v>
      </c>
      <c r="AA1185" s="141">
        <f t="shared" si="753"/>
        <v>0</v>
      </c>
      <c r="AB1185" s="141">
        <f t="shared" si="753"/>
        <v>0</v>
      </c>
      <c r="AC1185" s="141">
        <f t="shared" si="753"/>
        <v>0</v>
      </c>
      <c r="AD1185" s="141">
        <f t="shared" si="753"/>
        <v>0</v>
      </c>
      <c r="AE1185" s="141">
        <f t="shared" si="753"/>
        <v>0</v>
      </c>
      <c r="AF1185" s="141">
        <f t="shared" si="753"/>
        <v>0</v>
      </c>
      <c r="AG1185" s="141">
        <f t="shared" si="753"/>
        <v>0</v>
      </c>
      <c r="AH1185" s="141">
        <f t="shared" si="753"/>
        <v>0</v>
      </c>
      <c r="AI1185" s="141">
        <f t="shared" si="753"/>
        <v>0</v>
      </c>
      <c r="AJ1185" s="141">
        <f t="shared" si="753"/>
        <v>0</v>
      </c>
      <c r="AK1185" s="141">
        <f t="shared" si="753"/>
        <v>0</v>
      </c>
      <c r="AL1185" s="141">
        <f t="shared" si="753"/>
        <v>0</v>
      </c>
      <c r="AM1185" s="141">
        <f t="shared" si="753"/>
        <v>0</v>
      </c>
      <c r="AN1185" s="141">
        <f t="shared" si="753"/>
        <v>0</v>
      </c>
      <c r="AO1185" s="141">
        <f t="shared" si="753"/>
        <v>0</v>
      </c>
      <c r="AP1185" s="141">
        <f t="shared" si="753"/>
        <v>0</v>
      </c>
      <c r="AQ1185" s="141">
        <f t="shared" si="753"/>
        <v>0</v>
      </c>
      <c r="AR1185" s="141">
        <f t="shared" si="753"/>
        <v>0</v>
      </c>
      <c r="AS1185" s="141">
        <f t="shared" si="753"/>
        <v>0</v>
      </c>
      <c r="AT1185" s="141">
        <f t="shared" si="753"/>
        <v>0</v>
      </c>
      <c r="AU1185" s="141">
        <f t="shared" si="753"/>
        <v>0</v>
      </c>
      <c r="AV1185" s="141">
        <f t="shared" si="753"/>
        <v>0</v>
      </c>
      <c r="AW1185" s="141">
        <f t="shared" si="753"/>
        <v>0</v>
      </c>
      <c r="AX1185" s="141">
        <f t="shared" si="753"/>
        <v>0</v>
      </c>
      <c r="AY1185" s="141">
        <f t="shared" si="753"/>
        <v>0</v>
      </c>
      <c r="AZ1185" s="141">
        <f t="shared" si="753"/>
        <v>0</v>
      </c>
      <c r="BA1185" s="141">
        <f t="shared" si="753"/>
        <v>0</v>
      </c>
      <c r="BB1185" s="141">
        <f t="shared" si="753"/>
        <v>0</v>
      </c>
      <c r="BC1185" s="141">
        <f t="shared" si="753"/>
        <v>0</v>
      </c>
      <c r="BD1185" s="141">
        <f t="shared" si="753"/>
        <v>0</v>
      </c>
      <c r="BE1185" s="141">
        <f t="shared" si="753"/>
        <v>0</v>
      </c>
      <c r="BF1185" s="141">
        <f t="shared" si="753"/>
        <v>0</v>
      </c>
      <c r="BG1185" s="141">
        <f t="shared" si="753"/>
        <v>0</v>
      </c>
      <c r="BH1185" s="141">
        <f t="shared" si="753"/>
        <v>0</v>
      </c>
      <c r="BI1185" s="141">
        <f t="shared" si="753"/>
        <v>0</v>
      </c>
      <c r="BJ1185" s="142">
        <f t="shared" si="753"/>
        <v>0</v>
      </c>
      <c r="BK1185" s="141"/>
      <c r="BL1185" s="141"/>
    </row>
    <row r="1186" spans="1:64" s="143" customFormat="1" ht="12.75">
      <c r="A1186" s="138" t="s">
        <v>129</v>
      </c>
      <c r="B1186" s="139">
        <f>SUM(C1186:BJ1186)</f>
        <v>15456444.917742653</v>
      </c>
      <c r="C1186" s="140">
        <f>C1129*(1+$G1097)^(C1098-1)</f>
        <v>754502.67614997376</v>
      </c>
      <c r="D1186" s="141">
        <f t="shared" ref="D1186:BJ1186" si="754">D1129*(1+$G1097)^(D1098-1)</f>
        <v>775964.08560490643</v>
      </c>
      <c r="E1186" s="141">
        <f t="shared" si="754"/>
        <v>779800.31254497566</v>
      </c>
      <c r="F1186" s="141">
        <f t="shared" si="754"/>
        <v>782701.89510328241</v>
      </c>
      <c r="G1186" s="141">
        <f t="shared" si="754"/>
        <v>784587.92376618204</v>
      </c>
      <c r="H1186" s="141">
        <f t="shared" si="754"/>
        <v>785372.51168994827</v>
      </c>
      <c r="I1186" s="141">
        <f t="shared" si="754"/>
        <v>784964.52596958959</v>
      </c>
      <c r="J1186" s="141">
        <f t="shared" si="754"/>
        <v>783267.30537289847</v>
      </c>
      <c r="K1186" s="141">
        <f t="shared" si="754"/>
        <v>780178.36388692097</v>
      </c>
      <c r="L1186" s="141">
        <f t="shared" si="754"/>
        <v>775589.07939346845</v>
      </c>
      <c r="M1186" s="141">
        <f t="shared" si="754"/>
        <v>769384.36675832071</v>
      </c>
      <c r="N1186" s="141">
        <f t="shared" si="754"/>
        <v>761442.3345853315</v>
      </c>
      <c r="O1186" s="141">
        <f t="shared" si="754"/>
        <v>751633.92485169007</v>
      </c>
      <c r="P1186" s="141">
        <f t="shared" si="754"/>
        <v>739822.53460402065</v>
      </c>
      <c r="Q1186" s="141">
        <f t="shared" si="754"/>
        <v>725863.61885677488</v>
      </c>
      <c r="R1186" s="141">
        <f t="shared" si="754"/>
        <v>709604.27379438304</v>
      </c>
      <c r="S1186" s="141">
        <f t="shared" si="754"/>
        <v>690882.79933682922</v>
      </c>
      <c r="T1186" s="141">
        <f t="shared" si="754"/>
        <v>669528.24008460005</v>
      </c>
      <c r="U1186" s="141">
        <f t="shared" si="754"/>
        <v>645359.90361325361</v>
      </c>
      <c r="V1186" s="141">
        <f t="shared" si="754"/>
        <v>618186.85504006385</v>
      </c>
      <c r="W1186" s="141">
        <f t="shared" si="754"/>
        <v>587807.3867352379</v>
      </c>
      <c r="X1186" s="141">
        <f t="shared" si="754"/>
        <v>0</v>
      </c>
      <c r="Y1186" s="141">
        <f t="shared" si="754"/>
        <v>0</v>
      </c>
      <c r="Z1186" s="141">
        <f t="shared" si="754"/>
        <v>0</v>
      </c>
      <c r="AA1186" s="141">
        <f t="shared" si="754"/>
        <v>0</v>
      </c>
      <c r="AB1186" s="141">
        <f t="shared" si="754"/>
        <v>0</v>
      </c>
      <c r="AC1186" s="141">
        <f t="shared" si="754"/>
        <v>0</v>
      </c>
      <c r="AD1186" s="141">
        <f t="shared" si="754"/>
        <v>0</v>
      </c>
      <c r="AE1186" s="141">
        <f t="shared" si="754"/>
        <v>0</v>
      </c>
      <c r="AF1186" s="141">
        <f t="shared" si="754"/>
        <v>0</v>
      </c>
      <c r="AG1186" s="141">
        <f t="shared" si="754"/>
        <v>0</v>
      </c>
      <c r="AH1186" s="141">
        <f t="shared" si="754"/>
        <v>0</v>
      </c>
      <c r="AI1186" s="141">
        <f t="shared" si="754"/>
        <v>0</v>
      </c>
      <c r="AJ1186" s="141">
        <f t="shared" si="754"/>
        <v>0</v>
      </c>
      <c r="AK1186" s="141">
        <f t="shared" si="754"/>
        <v>0</v>
      </c>
      <c r="AL1186" s="141">
        <f t="shared" si="754"/>
        <v>0</v>
      </c>
      <c r="AM1186" s="141">
        <f t="shared" si="754"/>
        <v>0</v>
      </c>
      <c r="AN1186" s="141">
        <f t="shared" si="754"/>
        <v>0</v>
      </c>
      <c r="AO1186" s="141">
        <f t="shared" si="754"/>
        <v>0</v>
      </c>
      <c r="AP1186" s="141">
        <f t="shared" si="754"/>
        <v>0</v>
      </c>
      <c r="AQ1186" s="141">
        <f t="shared" si="754"/>
        <v>0</v>
      </c>
      <c r="AR1186" s="141">
        <f t="shared" si="754"/>
        <v>0</v>
      </c>
      <c r="AS1186" s="141">
        <f t="shared" si="754"/>
        <v>0</v>
      </c>
      <c r="AT1186" s="141">
        <f t="shared" si="754"/>
        <v>0</v>
      </c>
      <c r="AU1186" s="141">
        <f t="shared" si="754"/>
        <v>0</v>
      </c>
      <c r="AV1186" s="141">
        <f t="shared" si="754"/>
        <v>0</v>
      </c>
      <c r="AW1186" s="141">
        <f t="shared" si="754"/>
        <v>0</v>
      </c>
      <c r="AX1186" s="141">
        <f t="shared" si="754"/>
        <v>0</v>
      </c>
      <c r="AY1186" s="141">
        <f t="shared" si="754"/>
        <v>0</v>
      </c>
      <c r="AZ1186" s="141">
        <f t="shared" si="754"/>
        <v>0</v>
      </c>
      <c r="BA1186" s="141">
        <f t="shared" si="754"/>
        <v>0</v>
      </c>
      <c r="BB1186" s="141">
        <f t="shared" si="754"/>
        <v>0</v>
      </c>
      <c r="BC1186" s="141">
        <f t="shared" si="754"/>
        <v>0</v>
      </c>
      <c r="BD1186" s="141">
        <f t="shared" si="754"/>
        <v>0</v>
      </c>
      <c r="BE1186" s="141">
        <f t="shared" si="754"/>
        <v>0</v>
      </c>
      <c r="BF1186" s="141">
        <f t="shared" si="754"/>
        <v>0</v>
      </c>
      <c r="BG1186" s="141">
        <f t="shared" si="754"/>
        <v>0</v>
      </c>
      <c r="BH1186" s="141">
        <f t="shared" si="754"/>
        <v>0</v>
      </c>
      <c r="BI1186" s="141">
        <f t="shared" si="754"/>
        <v>0</v>
      </c>
      <c r="BJ1186" s="142">
        <f t="shared" si="754"/>
        <v>0</v>
      </c>
      <c r="BK1186" s="141"/>
      <c r="BL1186" s="141"/>
    </row>
    <row r="1187" spans="1:64" s="116" customFormat="1">
      <c r="A1187" s="111" t="s">
        <v>133</v>
      </c>
      <c r="B1187" s="155">
        <f>SUM(B1188:B1191)</f>
        <v>220488793.14796877</v>
      </c>
      <c r="C1187" s="117">
        <f>SUM(C1188:C1191)</f>
        <v>1078500.3448787511</v>
      </c>
      <c r="D1187" s="118">
        <f>SUM(D1188:D1191)</f>
        <v>2330467.6932584662</v>
      </c>
      <c r="E1187" s="118">
        <f>SUM(E1188:E1191)</f>
        <v>4299471.375923641</v>
      </c>
      <c r="F1187" s="118">
        <f t="shared" ref="F1187:AJ1187" si="755">SUM(F1188:F1191)</f>
        <v>6422266.6048928173</v>
      </c>
      <c r="G1187" s="118">
        <f t="shared" si="755"/>
        <v>8708006.2979780491</v>
      </c>
      <c r="H1187" s="118">
        <f t="shared" si="755"/>
        <v>9056326.5498971716</v>
      </c>
      <c r="I1187" s="118">
        <f t="shared" si="755"/>
        <v>9418579.6118930597</v>
      </c>
      <c r="J1187" s="118">
        <f t="shared" si="755"/>
        <v>9795322.7963687796</v>
      </c>
      <c r="K1187" s="118">
        <f t="shared" si="755"/>
        <v>10187135.708223535</v>
      </c>
      <c r="L1187" s="118">
        <f t="shared" si="755"/>
        <v>10594621.136552477</v>
      </c>
      <c r="M1187" s="118">
        <f t="shared" si="755"/>
        <v>11018405.982014576</v>
      </c>
      <c r="N1187" s="118">
        <f t="shared" si="755"/>
        <v>11459142.221295157</v>
      </c>
      <c r="O1187" s="118">
        <f t="shared" si="755"/>
        <v>11917507.910146967</v>
      </c>
      <c r="P1187" s="118">
        <f t="shared" si="755"/>
        <v>12394208.226552846</v>
      </c>
      <c r="Q1187" s="118">
        <f t="shared" si="755"/>
        <v>12889976.555614959</v>
      </c>
      <c r="R1187" s="118">
        <f t="shared" si="755"/>
        <v>13405575.617839558</v>
      </c>
      <c r="S1187" s="118">
        <f t="shared" si="755"/>
        <v>13941798.642553141</v>
      </c>
      <c r="T1187" s="118">
        <f t="shared" si="755"/>
        <v>14499470.588255268</v>
      </c>
      <c r="U1187" s="118">
        <f t="shared" si="755"/>
        <v>15079449.411785481</v>
      </c>
      <c r="V1187" s="118">
        <f t="shared" si="755"/>
        <v>15682627.3882569</v>
      </c>
      <c r="W1187" s="118">
        <f t="shared" si="755"/>
        <v>16309932.483787175</v>
      </c>
      <c r="X1187" s="118">
        <f t="shared" si="755"/>
        <v>0</v>
      </c>
      <c r="Y1187" s="118">
        <f t="shared" si="755"/>
        <v>0</v>
      </c>
      <c r="Z1187" s="118">
        <f t="shared" si="755"/>
        <v>0</v>
      </c>
      <c r="AA1187" s="118">
        <f t="shared" si="755"/>
        <v>0</v>
      </c>
      <c r="AB1187" s="118">
        <f t="shared" si="755"/>
        <v>0</v>
      </c>
      <c r="AC1187" s="118">
        <f t="shared" si="755"/>
        <v>0</v>
      </c>
      <c r="AD1187" s="118">
        <f t="shared" si="755"/>
        <v>0</v>
      </c>
      <c r="AE1187" s="118">
        <f t="shared" si="755"/>
        <v>0</v>
      </c>
      <c r="AF1187" s="118">
        <f t="shared" si="755"/>
        <v>0</v>
      </c>
      <c r="AG1187" s="118">
        <f t="shared" si="755"/>
        <v>0</v>
      </c>
      <c r="AH1187" s="118">
        <f t="shared" si="755"/>
        <v>0</v>
      </c>
      <c r="AI1187" s="118">
        <f t="shared" si="755"/>
        <v>0</v>
      </c>
      <c r="AJ1187" s="118">
        <f t="shared" si="755"/>
        <v>0</v>
      </c>
      <c r="AK1187" s="118"/>
      <c r="AL1187" s="118"/>
      <c r="AM1187" s="118"/>
      <c r="AN1187" s="118"/>
      <c r="AO1187" s="118"/>
      <c r="AP1187" s="118"/>
      <c r="AQ1187" s="118"/>
      <c r="AR1187" s="118"/>
      <c r="AS1187" s="118"/>
      <c r="AT1187" s="118"/>
      <c r="AU1187" s="118"/>
      <c r="AV1187" s="118"/>
      <c r="AW1187" s="118"/>
      <c r="AX1187" s="118"/>
      <c r="AY1187" s="118"/>
      <c r="AZ1187" s="118"/>
      <c r="BA1187" s="118"/>
      <c r="BB1187" s="118"/>
      <c r="BC1187" s="118"/>
      <c r="BD1187" s="118"/>
      <c r="BE1187" s="118"/>
      <c r="BF1187" s="118"/>
      <c r="BG1187" s="118"/>
      <c r="BH1187" s="118"/>
      <c r="BI1187" s="118"/>
      <c r="BJ1187" s="119"/>
      <c r="BK1187" s="118"/>
      <c r="BL1187" s="118"/>
    </row>
    <row r="1188" spans="1:64" s="143" customFormat="1" ht="12.75">
      <c r="A1188" s="138" t="s">
        <v>126</v>
      </c>
      <c r="B1188" s="139">
        <f t="shared" ref="B1188:B1194" si="756">SUM(C1188:BJ1188)</f>
        <v>56286380.230330214</v>
      </c>
      <c r="C1188" s="140">
        <f>C1131*(1+$G1097)^(C1098-1)</f>
        <v>0</v>
      </c>
      <c r="D1188" s="141">
        <f>D1131*(1+$G1097)^(D1098-1)</f>
        <v>0</v>
      </c>
      <c r="E1188" s="141">
        <f t="shared" ref="E1188:BJ1188" si="757">E1131*(1+$G1097)^(E1098-1)</f>
        <v>703811.23463884706</v>
      </c>
      <c r="F1188" s="141">
        <f t="shared" si="757"/>
        <v>1463927.3680488018</v>
      </c>
      <c r="G1188" s="141">
        <f t="shared" si="757"/>
        <v>2283726.6941561312</v>
      </c>
      <c r="H1188" s="141">
        <f t="shared" si="757"/>
        <v>2375075.7619223767</v>
      </c>
      <c r="I1188" s="141">
        <f t="shared" si="757"/>
        <v>2470078.7923992719</v>
      </c>
      <c r="J1188" s="141">
        <f t="shared" si="757"/>
        <v>2568881.9440952423</v>
      </c>
      <c r="K1188" s="141">
        <f t="shared" si="757"/>
        <v>2671637.2218590523</v>
      </c>
      <c r="L1188" s="141">
        <f t="shared" si="757"/>
        <v>2778502.7107334146</v>
      </c>
      <c r="M1188" s="141">
        <f t="shared" si="757"/>
        <v>2889642.8191627515</v>
      </c>
      <c r="N1188" s="141">
        <f t="shared" si="757"/>
        <v>3005228.5319292611</v>
      </c>
      <c r="O1188" s="141">
        <f t="shared" si="757"/>
        <v>3125437.6732064323</v>
      </c>
      <c r="P1188" s="141">
        <f t="shared" si="757"/>
        <v>3250455.1801346899</v>
      </c>
      <c r="Q1188" s="141">
        <f t="shared" si="757"/>
        <v>3380473.3873400772</v>
      </c>
      <c r="R1188" s="141">
        <f t="shared" si="757"/>
        <v>3515692.3228336801</v>
      </c>
      <c r="S1188" s="141">
        <f t="shared" si="757"/>
        <v>3656320.0157470279</v>
      </c>
      <c r="T1188" s="141">
        <f t="shared" si="757"/>
        <v>3802572.8163769096</v>
      </c>
      <c r="U1188" s="141">
        <f t="shared" si="757"/>
        <v>3954675.7290319861</v>
      </c>
      <c r="V1188" s="141">
        <f t="shared" si="757"/>
        <v>4112862.7581932656</v>
      </c>
      <c r="W1188" s="141">
        <f t="shared" si="757"/>
        <v>4277377.268520996</v>
      </c>
      <c r="X1188" s="141">
        <f t="shared" si="757"/>
        <v>0</v>
      </c>
      <c r="Y1188" s="141">
        <f t="shared" si="757"/>
        <v>0</v>
      </c>
      <c r="Z1188" s="141">
        <f t="shared" si="757"/>
        <v>0</v>
      </c>
      <c r="AA1188" s="141">
        <f t="shared" si="757"/>
        <v>0</v>
      </c>
      <c r="AB1188" s="141">
        <f t="shared" si="757"/>
        <v>0</v>
      </c>
      <c r="AC1188" s="141">
        <f t="shared" si="757"/>
        <v>0</v>
      </c>
      <c r="AD1188" s="141">
        <f t="shared" si="757"/>
        <v>0</v>
      </c>
      <c r="AE1188" s="141">
        <f t="shared" si="757"/>
        <v>0</v>
      </c>
      <c r="AF1188" s="141">
        <f t="shared" si="757"/>
        <v>0</v>
      </c>
      <c r="AG1188" s="141">
        <f t="shared" si="757"/>
        <v>0</v>
      </c>
      <c r="AH1188" s="141">
        <f t="shared" si="757"/>
        <v>0</v>
      </c>
      <c r="AI1188" s="141">
        <f t="shared" si="757"/>
        <v>0</v>
      </c>
      <c r="AJ1188" s="141">
        <f t="shared" si="757"/>
        <v>0</v>
      </c>
      <c r="AK1188" s="141">
        <f t="shared" si="757"/>
        <v>0</v>
      </c>
      <c r="AL1188" s="141">
        <f t="shared" si="757"/>
        <v>0</v>
      </c>
      <c r="AM1188" s="141">
        <f t="shared" si="757"/>
        <v>0</v>
      </c>
      <c r="AN1188" s="141">
        <f t="shared" si="757"/>
        <v>0</v>
      </c>
      <c r="AO1188" s="141">
        <f t="shared" si="757"/>
        <v>0</v>
      </c>
      <c r="AP1188" s="141">
        <f t="shared" si="757"/>
        <v>0</v>
      </c>
      <c r="AQ1188" s="141">
        <f t="shared" si="757"/>
        <v>0</v>
      </c>
      <c r="AR1188" s="141">
        <f t="shared" si="757"/>
        <v>0</v>
      </c>
      <c r="AS1188" s="141">
        <f t="shared" si="757"/>
        <v>0</v>
      </c>
      <c r="AT1188" s="141">
        <f t="shared" si="757"/>
        <v>0</v>
      </c>
      <c r="AU1188" s="141">
        <f t="shared" si="757"/>
        <v>0</v>
      </c>
      <c r="AV1188" s="141">
        <f t="shared" si="757"/>
        <v>0</v>
      </c>
      <c r="AW1188" s="141">
        <f t="shared" si="757"/>
        <v>0</v>
      </c>
      <c r="AX1188" s="141">
        <f t="shared" si="757"/>
        <v>0</v>
      </c>
      <c r="AY1188" s="141">
        <f t="shared" si="757"/>
        <v>0</v>
      </c>
      <c r="AZ1188" s="141">
        <f t="shared" si="757"/>
        <v>0</v>
      </c>
      <c r="BA1188" s="141">
        <f t="shared" si="757"/>
        <v>0</v>
      </c>
      <c r="BB1188" s="141">
        <f t="shared" si="757"/>
        <v>0</v>
      </c>
      <c r="BC1188" s="141">
        <f t="shared" si="757"/>
        <v>0</v>
      </c>
      <c r="BD1188" s="141">
        <f t="shared" si="757"/>
        <v>0</v>
      </c>
      <c r="BE1188" s="141">
        <f t="shared" si="757"/>
        <v>0</v>
      </c>
      <c r="BF1188" s="141">
        <f t="shared" si="757"/>
        <v>0</v>
      </c>
      <c r="BG1188" s="141">
        <f t="shared" si="757"/>
        <v>0</v>
      </c>
      <c r="BH1188" s="141">
        <f t="shared" si="757"/>
        <v>0</v>
      </c>
      <c r="BI1188" s="141">
        <f t="shared" si="757"/>
        <v>0</v>
      </c>
      <c r="BJ1188" s="142">
        <f t="shared" si="757"/>
        <v>0</v>
      </c>
      <c r="BK1188" s="141"/>
      <c r="BL1188" s="141"/>
    </row>
    <row r="1189" spans="1:64" s="143" customFormat="1" ht="12.75">
      <c r="A1189" s="138" t="s">
        <v>127</v>
      </c>
      <c r="B1189" s="139">
        <f t="shared" si="756"/>
        <v>7688848.1028094897</v>
      </c>
      <c r="C1189" s="140">
        <f>C1132*(1+$G1097)^(C1098-1)</f>
        <v>0</v>
      </c>
      <c r="D1189" s="141">
        <f>D1132*(1+$G1097)^(D1098-1)</f>
        <v>0</v>
      </c>
      <c r="E1189" s="141">
        <f t="shared" ref="E1189:BJ1189" si="758">E1132*(1+$G1097)^(E1098-1)</f>
        <v>96142.222222222234</v>
      </c>
      <c r="F1189" s="141">
        <f t="shared" si="758"/>
        <v>199975.82222222225</v>
      </c>
      <c r="G1189" s="141">
        <f t="shared" si="758"/>
        <v>311962.28266666672</v>
      </c>
      <c r="H1189" s="141">
        <f t="shared" si="758"/>
        <v>324440.77397333347</v>
      </c>
      <c r="I1189" s="141">
        <f t="shared" si="758"/>
        <v>337418.4049322668</v>
      </c>
      <c r="J1189" s="141">
        <f t="shared" si="758"/>
        <v>350915.14112955745</v>
      </c>
      <c r="K1189" s="141">
        <f t="shared" si="758"/>
        <v>364951.74677473976</v>
      </c>
      <c r="L1189" s="141">
        <f t="shared" si="758"/>
        <v>379549.81664572941</v>
      </c>
      <c r="M1189" s="141">
        <f t="shared" si="758"/>
        <v>394731.80931155861</v>
      </c>
      <c r="N1189" s="141">
        <f t="shared" si="758"/>
        <v>410521.08168402087</v>
      </c>
      <c r="O1189" s="141">
        <f t="shared" si="758"/>
        <v>426941.92495138181</v>
      </c>
      <c r="P1189" s="141">
        <f t="shared" si="758"/>
        <v>444019.60194943711</v>
      </c>
      <c r="Q1189" s="141">
        <f t="shared" si="758"/>
        <v>461780.38602741458</v>
      </c>
      <c r="R1189" s="141">
        <f t="shared" si="758"/>
        <v>480251.60146851116</v>
      </c>
      <c r="S1189" s="141">
        <f t="shared" si="758"/>
        <v>499461.66552725167</v>
      </c>
      <c r="T1189" s="141">
        <f t="shared" si="758"/>
        <v>519440.1321483418</v>
      </c>
      <c r="U1189" s="141">
        <f t="shared" si="758"/>
        <v>540217.73743427556</v>
      </c>
      <c r="V1189" s="141">
        <f t="shared" si="758"/>
        <v>561826.44693164655</v>
      </c>
      <c r="W1189" s="141">
        <f t="shared" si="758"/>
        <v>584299.5048089124</v>
      </c>
      <c r="X1189" s="141">
        <f t="shared" si="758"/>
        <v>0</v>
      </c>
      <c r="Y1189" s="141">
        <f t="shared" si="758"/>
        <v>0</v>
      </c>
      <c r="Z1189" s="141">
        <f t="shared" si="758"/>
        <v>0</v>
      </c>
      <c r="AA1189" s="141">
        <f t="shared" si="758"/>
        <v>0</v>
      </c>
      <c r="AB1189" s="141">
        <f t="shared" si="758"/>
        <v>0</v>
      </c>
      <c r="AC1189" s="141">
        <f t="shared" si="758"/>
        <v>0</v>
      </c>
      <c r="AD1189" s="141">
        <f t="shared" si="758"/>
        <v>0</v>
      </c>
      <c r="AE1189" s="141">
        <f t="shared" si="758"/>
        <v>0</v>
      </c>
      <c r="AF1189" s="141">
        <f t="shared" si="758"/>
        <v>0</v>
      </c>
      <c r="AG1189" s="141">
        <f t="shared" si="758"/>
        <v>0</v>
      </c>
      <c r="AH1189" s="141">
        <f t="shared" si="758"/>
        <v>0</v>
      </c>
      <c r="AI1189" s="141">
        <f t="shared" si="758"/>
        <v>0</v>
      </c>
      <c r="AJ1189" s="141">
        <f t="shared" si="758"/>
        <v>0</v>
      </c>
      <c r="AK1189" s="141">
        <f t="shared" si="758"/>
        <v>0</v>
      </c>
      <c r="AL1189" s="141">
        <f t="shared" si="758"/>
        <v>0</v>
      </c>
      <c r="AM1189" s="141">
        <f t="shared" si="758"/>
        <v>0</v>
      </c>
      <c r="AN1189" s="141">
        <f t="shared" si="758"/>
        <v>0</v>
      </c>
      <c r="AO1189" s="141">
        <f t="shared" si="758"/>
        <v>0</v>
      </c>
      <c r="AP1189" s="141">
        <f t="shared" si="758"/>
        <v>0</v>
      </c>
      <c r="AQ1189" s="141">
        <f t="shared" si="758"/>
        <v>0</v>
      </c>
      <c r="AR1189" s="141">
        <f t="shared" si="758"/>
        <v>0</v>
      </c>
      <c r="AS1189" s="141">
        <f t="shared" si="758"/>
        <v>0</v>
      </c>
      <c r="AT1189" s="141">
        <f t="shared" si="758"/>
        <v>0</v>
      </c>
      <c r="AU1189" s="141">
        <f t="shared" si="758"/>
        <v>0</v>
      </c>
      <c r="AV1189" s="141">
        <f t="shared" si="758"/>
        <v>0</v>
      </c>
      <c r="AW1189" s="141">
        <f t="shared" si="758"/>
        <v>0</v>
      </c>
      <c r="AX1189" s="141">
        <f t="shared" si="758"/>
        <v>0</v>
      </c>
      <c r="AY1189" s="141">
        <f t="shared" si="758"/>
        <v>0</v>
      </c>
      <c r="AZ1189" s="141">
        <f t="shared" si="758"/>
        <v>0</v>
      </c>
      <c r="BA1189" s="141">
        <f t="shared" si="758"/>
        <v>0</v>
      </c>
      <c r="BB1189" s="141">
        <f t="shared" si="758"/>
        <v>0</v>
      </c>
      <c r="BC1189" s="141">
        <f t="shared" si="758"/>
        <v>0</v>
      </c>
      <c r="BD1189" s="141">
        <f t="shared" si="758"/>
        <v>0</v>
      </c>
      <c r="BE1189" s="141">
        <f t="shared" si="758"/>
        <v>0</v>
      </c>
      <c r="BF1189" s="141">
        <f t="shared" si="758"/>
        <v>0</v>
      </c>
      <c r="BG1189" s="141">
        <f t="shared" si="758"/>
        <v>0</v>
      </c>
      <c r="BH1189" s="141">
        <f t="shared" si="758"/>
        <v>0</v>
      </c>
      <c r="BI1189" s="141">
        <f t="shared" si="758"/>
        <v>0</v>
      </c>
      <c r="BJ1189" s="142">
        <f t="shared" si="758"/>
        <v>0</v>
      </c>
      <c r="BK1189" s="141"/>
      <c r="BL1189" s="141"/>
    </row>
    <row r="1190" spans="1:64" s="143" customFormat="1" ht="12.75">
      <c r="A1190" s="138" t="s">
        <v>128</v>
      </c>
      <c r="B1190" s="139">
        <f t="shared" si="756"/>
        <v>148640949.32577407</v>
      </c>
      <c r="C1190" s="140">
        <f>C1133*(1+$G1097)^(C1098-1)</f>
        <v>994666.71419542073</v>
      </c>
      <c r="D1190" s="141">
        <f>D1133*(1+$G1097)^(D1098-1)</f>
        <v>2068906.7655264752</v>
      </c>
      <c r="E1190" s="141">
        <f t="shared" ref="E1190:BJ1190" si="759">E1133*(1+$G1097)^(E1098-1)</f>
        <v>3227494.5542213013</v>
      </c>
      <c r="F1190" s="141">
        <f t="shared" si="759"/>
        <v>4475459.115186871</v>
      </c>
      <c r="G1190" s="141">
        <f t="shared" si="759"/>
        <v>5818096.8497429332</v>
      </c>
      <c r="H1190" s="141">
        <f t="shared" si="759"/>
        <v>6050820.7237326512</v>
      </c>
      <c r="I1190" s="141">
        <f t="shared" si="759"/>
        <v>6292853.5526819574</v>
      </c>
      <c r="J1190" s="141">
        <f t="shared" si="759"/>
        <v>6544567.6947892355</v>
      </c>
      <c r="K1190" s="141">
        <f t="shared" si="759"/>
        <v>6806350.4025808061</v>
      </c>
      <c r="L1190" s="141">
        <f t="shared" si="759"/>
        <v>7078604.4186840393</v>
      </c>
      <c r="M1190" s="141">
        <f t="shared" si="759"/>
        <v>7361748.5954314005</v>
      </c>
      <c r="N1190" s="141">
        <f t="shared" si="759"/>
        <v>7656218.5392486556</v>
      </c>
      <c r="O1190" s="141">
        <f t="shared" si="759"/>
        <v>7962467.2808186039</v>
      </c>
      <c r="P1190" s="141">
        <f t="shared" si="759"/>
        <v>8280965.9720513485</v>
      </c>
      <c r="Q1190" s="141">
        <f t="shared" si="759"/>
        <v>8612204.6109334026</v>
      </c>
      <c r="R1190" s="141">
        <f t="shared" si="759"/>
        <v>8956692.7953707371</v>
      </c>
      <c r="S1190" s="141">
        <f t="shared" si="759"/>
        <v>9314960.507185569</v>
      </c>
      <c r="T1190" s="141">
        <f t="shared" si="759"/>
        <v>9687558.9274729919</v>
      </c>
      <c r="U1190" s="141">
        <f t="shared" si="759"/>
        <v>10075061.284571912</v>
      </c>
      <c r="V1190" s="141">
        <f t="shared" si="759"/>
        <v>10478063.735954789</v>
      </c>
      <c r="W1190" s="141">
        <f t="shared" si="759"/>
        <v>10897186.285392981</v>
      </c>
      <c r="X1190" s="141">
        <f t="shared" si="759"/>
        <v>0</v>
      </c>
      <c r="Y1190" s="141">
        <f t="shared" si="759"/>
        <v>0</v>
      </c>
      <c r="Z1190" s="141">
        <f t="shared" si="759"/>
        <v>0</v>
      </c>
      <c r="AA1190" s="141">
        <f t="shared" si="759"/>
        <v>0</v>
      </c>
      <c r="AB1190" s="141">
        <f t="shared" si="759"/>
        <v>0</v>
      </c>
      <c r="AC1190" s="141">
        <f t="shared" si="759"/>
        <v>0</v>
      </c>
      <c r="AD1190" s="141">
        <f t="shared" si="759"/>
        <v>0</v>
      </c>
      <c r="AE1190" s="141">
        <f t="shared" si="759"/>
        <v>0</v>
      </c>
      <c r="AF1190" s="141">
        <f t="shared" si="759"/>
        <v>0</v>
      </c>
      <c r="AG1190" s="141">
        <f t="shared" si="759"/>
        <v>0</v>
      </c>
      <c r="AH1190" s="141">
        <f t="shared" si="759"/>
        <v>0</v>
      </c>
      <c r="AI1190" s="141">
        <f t="shared" si="759"/>
        <v>0</v>
      </c>
      <c r="AJ1190" s="141">
        <f t="shared" si="759"/>
        <v>0</v>
      </c>
      <c r="AK1190" s="141">
        <f t="shared" si="759"/>
        <v>0</v>
      </c>
      <c r="AL1190" s="141">
        <f t="shared" si="759"/>
        <v>0</v>
      </c>
      <c r="AM1190" s="141">
        <f t="shared" si="759"/>
        <v>0</v>
      </c>
      <c r="AN1190" s="141">
        <f t="shared" si="759"/>
        <v>0</v>
      </c>
      <c r="AO1190" s="141">
        <f t="shared" si="759"/>
        <v>0</v>
      </c>
      <c r="AP1190" s="141">
        <f t="shared" si="759"/>
        <v>0</v>
      </c>
      <c r="AQ1190" s="141">
        <f t="shared" si="759"/>
        <v>0</v>
      </c>
      <c r="AR1190" s="141">
        <f t="shared" si="759"/>
        <v>0</v>
      </c>
      <c r="AS1190" s="141">
        <f t="shared" si="759"/>
        <v>0</v>
      </c>
      <c r="AT1190" s="141">
        <f t="shared" si="759"/>
        <v>0</v>
      </c>
      <c r="AU1190" s="141">
        <f t="shared" si="759"/>
        <v>0</v>
      </c>
      <c r="AV1190" s="141">
        <f t="shared" si="759"/>
        <v>0</v>
      </c>
      <c r="AW1190" s="141">
        <f t="shared" si="759"/>
        <v>0</v>
      </c>
      <c r="AX1190" s="141">
        <f t="shared" si="759"/>
        <v>0</v>
      </c>
      <c r="AY1190" s="141">
        <f t="shared" si="759"/>
        <v>0</v>
      </c>
      <c r="AZ1190" s="141">
        <f t="shared" si="759"/>
        <v>0</v>
      </c>
      <c r="BA1190" s="141">
        <f t="shared" si="759"/>
        <v>0</v>
      </c>
      <c r="BB1190" s="141">
        <f t="shared" si="759"/>
        <v>0</v>
      </c>
      <c r="BC1190" s="141">
        <f t="shared" si="759"/>
        <v>0</v>
      </c>
      <c r="BD1190" s="141">
        <f t="shared" si="759"/>
        <v>0</v>
      </c>
      <c r="BE1190" s="141">
        <f t="shared" si="759"/>
        <v>0</v>
      </c>
      <c r="BF1190" s="141">
        <f t="shared" si="759"/>
        <v>0</v>
      </c>
      <c r="BG1190" s="141">
        <f t="shared" si="759"/>
        <v>0</v>
      </c>
      <c r="BH1190" s="141">
        <f t="shared" si="759"/>
        <v>0</v>
      </c>
      <c r="BI1190" s="141">
        <f t="shared" si="759"/>
        <v>0</v>
      </c>
      <c r="BJ1190" s="142">
        <f t="shared" si="759"/>
        <v>0</v>
      </c>
      <c r="BK1190" s="141"/>
      <c r="BL1190" s="141"/>
    </row>
    <row r="1191" spans="1:64" s="143" customFormat="1" ht="12.75">
      <c r="A1191" s="138" t="s">
        <v>129</v>
      </c>
      <c r="B1191" s="139">
        <f t="shared" si="756"/>
        <v>7872615.4890549853</v>
      </c>
      <c r="C1191" s="213">
        <f>C1134*(1+$G1097)^(C1098-1)</f>
        <v>83833.630683330412</v>
      </c>
      <c r="D1191" s="214">
        <f>D1134*(1+$G1097)^(D1098-1)</f>
        <v>261560.9277319909</v>
      </c>
      <c r="E1191" s="214">
        <f t="shared" ref="E1191:BJ1191" si="760">E1134*(1+$G1097)^(E1098-1)</f>
        <v>272023.36484127055</v>
      </c>
      <c r="F1191" s="214">
        <f t="shared" si="760"/>
        <v>282904.29943492135</v>
      </c>
      <c r="G1191" s="214">
        <f t="shared" si="760"/>
        <v>294220.47141231823</v>
      </c>
      <c r="H1191" s="214">
        <f t="shared" si="760"/>
        <v>305989.29026881099</v>
      </c>
      <c r="I1191" s="214">
        <f t="shared" si="760"/>
        <v>318228.86187956342</v>
      </c>
      <c r="J1191" s="214">
        <f t="shared" si="760"/>
        <v>330958.01635474595</v>
      </c>
      <c r="K1191" s="214">
        <f t="shared" si="760"/>
        <v>344196.33700893587</v>
      </c>
      <c r="L1191" s="214">
        <f t="shared" si="760"/>
        <v>357964.19048929331</v>
      </c>
      <c r="M1191" s="214">
        <f t="shared" si="760"/>
        <v>372282.75810886506</v>
      </c>
      <c r="N1191" s="214">
        <f t="shared" si="760"/>
        <v>387174.06843321963</v>
      </c>
      <c r="O1191" s="214">
        <f t="shared" si="760"/>
        <v>402661.03117054852</v>
      </c>
      <c r="P1191" s="214">
        <f t="shared" si="760"/>
        <v>418767.47241737047</v>
      </c>
      <c r="Q1191" s="214">
        <f t="shared" si="760"/>
        <v>435518.17131406529</v>
      </c>
      <c r="R1191" s="214">
        <f t="shared" si="760"/>
        <v>452938.89816662786</v>
      </c>
      <c r="S1191" s="214">
        <f t="shared" si="760"/>
        <v>471056.45409329305</v>
      </c>
      <c r="T1191" s="214">
        <f t="shared" si="760"/>
        <v>489898.71225702477</v>
      </c>
      <c r="U1191" s="214">
        <f t="shared" si="760"/>
        <v>509494.66074730584</v>
      </c>
      <c r="V1191" s="214">
        <f t="shared" si="760"/>
        <v>529874.44717719802</v>
      </c>
      <c r="W1191" s="214">
        <f t="shared" si="760"/>
        <v>551069.42506428598</v>
      </c>
      <c r="X1191" s="214">
        <f t="shared" si="760"/>
        <v>0</v>
      </c>
      <c r="Y1191" s="214">
        <f t="shared" si="760"/>
        <v>0</v>
      </c>
      <c r="Z1191" s="214">
        <f t="shared" si="760"/>
        <v>0</v>
      </c>
      <c r="AA1191" s="214">
        <f t="shared" si="760"/>
        <v>0</v>
      </c>
      <c r="AB1191" s="214">
        <f t="shared" si="760"/>
        <v>0</v>
      </c>
      <c r="AC1191" s="214">
        <f t="shared" si="760"/>
        <v>0</v>
      </c>
      <c r="AD1191" s="214">
        <f t="shared" si="760"/>
        <v>0</v>
      </c>
      <c r="AE1191" s="214">
        <f t="shared" si="760"/>
        <v>0</v>
      </c>
      <c r="AF1191" s="214">
        <f t="shared" si="760"/>
        <v>0</v>
      </c>
      <c r="AG1191" s="214">
        <f t="shared" si="760"/>
        <v>0</v>
      </c>
      <c r="AH1191" s="214">
        <f t="shared" si="760"/>
        <v>0</v>
      </c>
      <c r="AI1191" s="214">
        <f t="shared" si="760"/>
        <v>0</v>
      </c>
      <c r="AJ1191" s="214">
        <f t="shared" si="760"/>
        <v>0</v>
      </c>
      <c r="AK1191" s="214">
        <f t="shared" si="760"/>
        <v>0</v>
      </c>
      <c r="AL1191" s="214">
        <f t="shared" si="760"/>
        <v>0</v>
      </c>
      <c r="AM1191" s="214">
        <f t="shared" si="760"/>
        <v>0</v>
      </c>
      <c r="AN1191" s="214">
        <f t="shared" si="760"/>
        <v>0</v>
      </c>
      <c r="AO1191" s="214">
        <f t="shared" si="760"/>
        <v>0</v>
      </c>
      <c r="AP1191" s="214">
        <f t="shared" si="760"/>
        <v>0</v>
      </c>
      <c r="AQ1191" s="214">
        <f t="shared" si="760"/>
        <v>0</v>
      </c>
      <c r="AR1191" s="214">
        <f t="shared" si="760"/>
        <v>0</v>
      </c>
      <c r="AS1191" s="214">
        <f t="shared" si="760"/>
        <v>0</v>
      </c>
      <c r="AT1191" s="214">
        <f t="shared" si="760"/>
        <v>0</v>
      </c>
      <c r="AU1191" s="214">
        <f t="shared" si="760"/>
        <v>0</v>
      </c>
      <c r="AV1191" s="214">
        <f t="shared" si="760"/>
        <v>0</v>
      </c>
      <c r="AW1191" s="214">
        <f t="shared" si="760"/>
        <v>0</v>
      </c>
      <c r="AX1191" s="214">
        <f t="shared" si="760"/>
        <v>0</v>
      </c>
      <c r="AY1191" s="214">
        <f t="shared" si="760"/>
        <v>0</v>
      </c>
      <c r="AZ1191" s="214">
        <f t="shared" si="760"/>
        <v>0</v>
      </c>
      <c r="BA1191" s="214">
        <f t="shared" si="760"/>
        <v>0</v>
      </c>
      <c r="BB1191" s="214">
        <f t="shared" si="760"/>
        <v>0</v>
      </c>
      <c r="BC1191" s="214">
        <f t="shared" si="760"/>
        <v>0</v>
      </c>
      <c r="BD1191" s="214">
        <f t="shared" si="760"/>
        <v>0</v>
      </c>
      <c r="BE1191" s="214">
        <f t="shared" si="760"/>
        <v>0</v>
      </c>
      <c r="BF1191" s="214">
        <f t="shared" si="760"/>
        <v>0</v>
      </c>
      <c r="BG1191" s="214">
        <f t="shared" si="760"/>
        <v>0</v>
      </c>
      <c r="BH1191" s="214">
        <f t="shared" si="760"/>
        <v>0</v>
      </c>
      <c r="BI1191" s="214">
        <f t="shared" si="760"/>
        <v>0</v>
      </c>
      <c r="BJ1191" s="215">
        <f t="shared" si="760"/>
        <v>0</v>
      </c>
      <c r="BK1191" s="141"/>
      <c r="BL1191" s="141"/>
    </row>
    <row r="1192" spans="1:64" s="160" customFormat="1">
      <c r="A1192" s="131" t="s">
        <v>134</v>
      </c>
      <c r="B1192" s="156">
        <f t="shared" si="756"/>
        <v>3782628646.9540005</v>
      </c>
      <c r="C1192" s="161">
        <f>C1166-C1167-C1187</f>
        <v>-31320357.720023405</v>
      </c>
      <c r="D1192" s="162">
        <f>D1166-D1167-D1187</f>
        <v>-35874351.714522481</v>
      </c>
      <c r="E1192" s="162">
        <f>E1166-E1167-E1187</f>
        <v>-57743247.167044885</v>
      </c>
      <c r="F1192" s="162">
        <f>F1166-F1167-F1187</f>
        <v>-62003793.427658916</v>
      </c>
      <c r="G1192" s="162">
        <f t="shared" ref="G1192:BJ1192" si="761">G1166-G1167-G1187</f>
        <v>-66512794.193654791</v>
      </c>
      <c r="H1192" s="162">
        <f t="shared" si="761"/>
        <v>34066483.553104773</v>
      </c>
      <c r="I1192" s="162">
        <f t="shared" si="761"/>
        <v>80276865.402350992</v>
      </c>
      <c r="J1192" s="162">
        <f t="shared" si="761"/>
        <v>130129571.42585194</v>
      </c>
      <c r="K1192" s="162">
        <f t="shared" si="761"/>
        <v>183842050.9465892</v>
      </c>
      <c r="L1192" s="162">
        <f t="shared" si="761"/>
        <v>320239202.19589281</v>
      </c>
      <c r="M1192" s="162">
        <f t="shared" si="761"/>
        <v>333048770.28372854</v>
      </c>
      <c r="N1192" s="162">
        <f t="shared" si="761"/>
        <v>346370721.09507751</v>
      </c>
      <c r="O1192" s="162">
        <f t="shared" si="761"/>
        <v>360225549.9388808</v>
      </c>
      <c r="P1192" s="162">
        <f t="shared" si="761"/>
        <v>374634571.93643606</v>
      </c>
      <c r="Q1192" s="162">
        <f t="shared" si="761"/>
        <v>389619954.8138935</v>
      </c>
      <c r="R1192" s="162">
        <f t="shared" si="761"/>
        <v>405204753.0064491</v>
      </c>
      <c r="S1192" s="162">
        <f t="shared" si="761"/>
        <v>421412943.12670726</v>
      </c>
      <c r="T1192" s="162">
        <f t="shared" si="761"/>
        <v>261664562.73207286</v>
      </c>
      <c r="U1192" s="162">
        <f t="shared" si="761"/>
        <v>200328496.57807052</v>
      </c>
      <c r="V1192" s="162">
        <f t="shared" si="761"/>
        <v>133666881.83137658</v>
      </c>
      <c r="W1192" s="162">
        <f t="shared" si="761"/>
        <v>61351812.310422227</v>
      </c>
      <c r="X1192" s="162">
        <f t="shared" si="761"/>
        <v>0</v>
      </c>
      <c r="Y1192" s="162">
        <f t="shared" si="761"/>
        <v>0</v>
      </c>
      <c r="Z1192" s="162">
        <f t="shared" si="761"/>
        <v>0</v>
      </c>
      <c r="AA1192" s="162">
        <f t="shared" si="761"/>
        <v>0</v>
      </c>
      <c r="AB1192" s="162">
        <f t="shared" si="761"/>
        <v>0</v>
      </c>
      <c r="AC1192" s="162">
        <f t="shared" si="761"/>
        <v>0</v>
      </c>
      <c r="AD1192" s="162">
        <f t="shared" si="761"/>
        <v>0</v>
      </c>
      <c r="AE1192" s="162">
        <f t="shared" si="761"/>
        <v>0</v>
      </c>
      <c r="AF1192" s="162">
        <f t="shared" si="761"/>
        <v>0</v>
      </c>
      <c r="AG1192" s="162">
        <f t="shared" si="761"/>
        <v>0</v>
      </c>
      <c r="AH1192" s="162">
        <f t="shared" si="761"/>
        <v>0</v>
      </c>
      <c r="AI1192" s="162">
        <f t="shared" si="761"/>
        <v>0</v>
      </c>
      <c r="AJ1192" s="162">
        <f t="shared" si="761"/>
        <v>0</v>
      </c>
      <c r="AK1192" s="162">
        <f t="shared" si="761"/>
        <v>0</v>
      </c>
      <c r="AL1192" s="162">
        <f t="shared" si="761"/>
        <v>0</v>
      </c>
      <c r="AM1192" s="162">
        <f t="shared" si="761"/>
        <v>0</v>
      </c>
      <c r="AN1192" s="162">
        <f t="shared" si="761"/>
        <v>0</v>
      </c>
      <c r="AO1192" s="162">
        <f t="shared" si="761"/>
        <v>0</v>
      </c>
      <c r="AP1192" s="162">
        <f t="shared" si="761"/>
        <v>0</v>
      </c>
      <c r="AQ1192" s="162">
        <f t="shared" si="761"/>
        <v>0</v>
      </c>
      <c r="AR1192" s="162">
        <f t="shared" si="761"/>
        <v>0</v>
      </c>
      <c r="AS1192" s="162">
        <f t="shared" si="761"/>
        <v>0</v>
      </c>
      <c r="AT1192" s="162">
        <f t="shared" si="761"/>
        <v>0</v>
      </c>
      <c r="AU1192" s="162">
        <f t="shared" si="761"/>
        <v>0</v>
      </c>
      <c r="AV1192" s="162">
        <f t="shared" si="761"/>
        <v>0</v>
      </c>
      <c r="AW1192" s="162">
        <f t="shared" si="761"/>
        <v>0</v>
      </c>
      <c r="AX1192" s="162">
        <f t="shared" si="761"/>
        <v>0</v>
      </c>
      <c r="AY1192" s="162">
        <f t="shared" si="761"/>
        <v>0</v>
      </c>
      <c r="AZ1192" s="162">
        <f t="shared" si="761"/>
        <v>0</v>
      </c>
      <c r="BA1192" s="162">
        <f t="shared" si="761"/>
        <v>0</v>
      </c>
      <c r="BB1192" s="162">
        <f t="shared" si="761"/>
        <v>0</v>
      </c>
      <c r="BC1192" s="162">
        <f t="shared" si="761"/>
        <v>0</v>
      </c>
      <c r="BD1192" s="162">
        <f t="shared" si="761"/>
        <v>0</v>
      </c>
      <c r="BE1192" s="162">
        <f t="shared" si="761"/>
        <v>0</v>
      </c>
      <c r="BF1192" s="162">
        <f t="shared" si="761"/>
        <v>0</v>
      </c>
      <c r="BG1192" s="162">
        <f t="shared" si="761"/>
        <v>0</v>
      </c>
      <c r="BH1192" s="162">
        <f t="shared" si="761"/>
        <v>0</v>
      </c>
      <c r="BI1192" s="162">
        <f t="shared" si="761"/>
        <v>0</v>
      </c>
      <c r="BJ1192" s="163">
        <f t="shared" si="761"/>
        <v>0</v>
      </c>
      <c r="BK1192" s="159"/>
      <c r="BL1192" s="159"/>
    </row>
    <row r="1193" spans="1:64" s="160" customFormat="1">
      <c r="A1193" s="131" t="s">
        <v>135</v>
      </c>
      <c r="B1193" s="156">
        <f t="shared" si="756"/>
        <v>1210824957.3530712</v>
      </c>
      <c r="C1193" s="161">
        <f>IF(C1192&lt;=0,0,C1192*$K1097)</f>
        <v>0</v>
      </c>
      <c r="D1193" s="162">
        <f>IF(D1192&lt;=0,0,D1192*$K1097)</f>
        <v>0</v>
      </c>
      <c r="E1193" s="162">
        <f t="shared" ref="E1193:BJ1193" si="762">IF(E1192&lt;=0,0,E1192*$K1097)</f>
        <v>0</v>
      </c>
      <c r="F1193" s="162">
        <f t="shared" si="762"/>
        <v>0</v>
      </c>
      <c r="G1193" s="162">
        <f t="shared" si="762"/>
        <v>0</v>
      </c>
      <c r="H1193" s="162">
        <f t="shared" si="762"/>
        <v>10219945.065931432</v>
      </c>
      <c r="I1193" s="162">
        <f t="shared" si="762"/>
        <v>24083059.620705295</v>
      </c>
      <c r="J1193" s="162">
        <f t="shared" si="762"/>
        <v>39038871.427755579</v>
      </c>
      <c r="K1193" s="162">
        <f t="shared" si="762"/>
        <v>55152615.283976756</v>
      </c>
      <c r="L1193" s="162">
        <f t="shared" si="762"/>
        <v>96071760.658767834</v>
      </c>
      <c r="M1193" s="162">
        <f t="shared" si="762"/>
        <v>99914631.085118562</v>
      </c>
      <c r="N1193" s="162">
        <f t="shared" si="762"/>
        <v>103911216.32852325</v>
      </c>
      <c r="O1193" s="162">
        <f t="shared" si="762"/>
        <v>108067664.98166424</v>
      </c>
      <c r="P1193" s="162">
        <f t="shared" si="762"/>
        <v>112390371.58093081</v>
      </c>
      <c r="Q1193" s="162">
        <f t="shared" si="762"/>
        <v>116885986.44416805</v>
      </c>
      <c r="R1193" s="162">
        <f t="shared" si="762"/>
        <v>121561425.90193473</v>
      </c>
      <c r="S1193" s="162">
        <f t="shared" si="762"/>
        <v>126423882.93801217</v>
      </c>
      <c r="T1193" s="162">
        <f t="shared" si="762"/>
        <v>78499368.819621861</v>
      </c>
      <c r="U1193" s="162">
        <f t="shared" si="762"/>
        <v>60098548.973421156</v>
      </c>
      <c r="V1193" s="162">
        <f t="shared" si="762"/>
        <v>40100064.549412973</v>
      </c>
      <c r="W1193" s="162">
        <f t="shared" si="762"/>
        <v>18405543.693126667</v>
      </c>
      <c r="X1193" s="162">
        <f t="shared" si="762"/>
        <v>0</v>
      </c>
      <c r="Y1193" s="162">
        <f t="shared" si="762"/>
        <v>0</v>
      </c>
      <c r="Z1193" s="162">
        <f t="shared" si="762"/>
        <v>0</v>
      </c>
      <c r="AA1193" s="162">
        <f t="shared" si="762"/>
        <v>0</v>
      </c>
      <c r="AB1193" s="162">
        <f t="shared" si="762"/>
        <v>0</v>
      </c>
      <c r="AC1193" s="162">
        <f t="shared" si="762"/>
        <v>0</v>
      </c>
      <c r="AD1193" s="162">
        <f t="shared" si="762"/>
        <v>0</v>
      </c>
      <c r="AE1193" s="162">
        <f t="shared" si="762"/>
        <v>0</v>
      </c>
      <c r="AF1193" s="162">
        <f t="shared" si="762"/>
        <v>0</v>
      </c>
      <c r="AG1193" s="162">
        <f t="shared" si="762"/>
        <v>0</v>
      </c>
      <c r="AH1193" s="162">
        <f t="shared" si="762"/>
        <v>0</v>
      </c>
      <c r="AI1193" s="162">
        <f t="shared" si="762"/>
        <v>0</v>
      </c>
      <c r="AJ1193" s="162">
        <f t="shared" si="762"/>
        <v>0</v>
      </c>
      <c r="AK1193" s="162">
        <f t="shared" si="762"/>
        <v>0</v>
      </c>
      <c r="AL1193" s="162">
        <f t="shared" si="762"/>
        <v>0</v>
      </c>
      <c r="AM1193" s="162">
        <f t="shared" si="762"/>
        <v>0</v>
      </c>
      <c r="AN1193" s="162">
        <f t="shared" si="762"/>
        <v>0</v>
      </c>
      <c r="AO1193" s="162">
        <f t="shared" si="762"/>
        <v>0</v>
      </c>
      <c r="AP1193" s="162">
        <f t="shared" si="762"/>
        <v>0</v>
      </c>
      <c r="AQ1193" s="162">
        <f t="shared" si="762"/>
        <v>0</v>
      </c>
      <c r="AR1193" s="162">
        <f t="shared" si="762"/>
        <v>0</v>
      </c>
      <c r="AS1193" s="162">
        <f t="shared" si="762"/>
        <v>0</v>
      </c>
      <c r="AT1193" s="162">
        <f t="shared" si="762"/>
        <v>0</v>
      </c>
      <c r="AU1193" s="162">
        <f t="shared" si="762"/>
        <v>0</v>
      </c>
      <c r="AV1193" s="162">
        <f t="shared" si="762"/>
        <v>0</v>
      </c>
      <c r="AW1193" s="162">
        <f t="shared" si="762"/>
        <v>0</v>
      </c>
      <c r="AX1193" s="162">
        <f t="shared" si="762"/>
        <v>0</v>
      </c>
      <c r="AY1193" s="162">
        <f t="shared" si="762"/>
        <v>0</v>
      </c>
      <c r="AZ1193" s="162">
        <f t="shared" si="762"/>
        <v>0</v>
      </c>
      <c r="BA1193" s="162">
        <f t="shared" si="762"/>
        <v>0</v>
      </c>
      <c r="BB1193" s="162">
        <f t="shared" si="762"/>
        <v>0</v>
      </c>
      <c r="BC1193" s="162">
        <f t="shared" si="762"/>
        <v>0</v>
      </c>
      <c r="BD1193" s="162">
        <f t="shared" si="762"/>
        <v>0</v>
      </c>
      <c r="BE1193" s="162">
        <f t="shared" si="762"/>
        <v>0</v>
      </c>
      <c r="BF1193" s="162">
        <f t="shared" si="762"/>
        <v>0</v>
      </c>
      <c r="BG1193" s="162">
        <f t="shared" si="762"/>
        <v>0</v>
      </c>
      <c r="BH1193" s="162">
        <f t="shared" si="762"/>
        <v>0</v>
      </c>
      <c r="BI1193" s="162">
        <f t="shared" si="762"/>
        <v>0</v>
      </c>
      <c r="BJ1193" s="163">
        <f t="shared" si="762"/>
        <v>0</v>
      </c>
      <c r="BK1193" s="159"/>
      <c r="BL1193" s="159"/>
    </row>
    <row r="1194" spans="1:64" s="105" customFormat="1">
      <c r="A1194" s="164" t="s">
        <v>136</v>
      </c>
      <c r="B1194" s="161">
        <f t="shared" si="756"/>
        <v>2571803689.6009293</v>
      </c>
      <c r="C1194" s="133">
        <f>C1192-C1193</f>
        <v>-31320357.720023405</v>
      </c>
      <c r="D1194" s="134">
        <f>D1192-D1193</f>
        <v>-35874351.714522481</v>
      </c>
      <c r="E1194" s="134">
        <f>E1192-E1193</f>
        <v>-57743247.167044885</v>
      </c>
      <c r="F1194" s="134">
        <f>F1192-F1193</f>
        <v>-62003793.427658916</v>
      </c>
      <c r="G1194" s="134">
        <f t="shared" ref="G1194:BJ1194" si="763">G1192-G1193</f>
        <v>-66512794.193654791</v>
      </c>
      <c r="H1194" s="134">
        <f t="shared" si="763"/>
        <v>23846538.487173341</v>
      </c>
      <c r="I1194" s="134">
        <f t="shared" si="763"/>
        <v>56193805.7816457</v>
      </c>
      <c r="J1194" s="134">
        <f t="shared" si="763"/>
        <v>91090699.998096362</v>
      </c>
      <c r="K1194" s="134">
        <f t="shared" si="763"/>
        <v>128689435.66261244</v>
      </c>
      <c r="L1194" s="134">
        <f t="shared" si="763"/>
        <v>224167441.53712499</v>
      </c>
      <c r="M1194" s="134">
        <f t="shared" si="763"/>
        <v>233134139.19860998</v>
      </c>
      <c r="N1194" s="134">
        <f t="shared" si="763"/>
        <v>242459504.76655427</v>
      </c>
      <c r="O1194" s="134">
        <f t="shared" si="763"/>
        <v>252157884.95721656</v>
      </c>
      <c r="P1194" s="134">
        <f t="shared" si="763"/>
        <v>262244200.35550523</v>
      </c>
      <c r="Q1194" s="134">
        <f t="shared" si="763"/>
        <v>272733968.36972547</v>
      </c>
      <c r="R1194" s="134">
        <f t="shared" si="763"/>
        <v>283643327.10451436</v>
      </c>
      <c r="S1194" s="134">
        <f t="shared" si="763"/>
        <v>294989060.18869507</v>
      </c>
      <c r="T1194" s="134">
        <f t="shared" si="763"/>
        <v>183165193.912451</v>
      </c>
      <c r="U1194" s="134">
        <f t="shared" si="763"/>
        <v>140229947.60464936</v>
      </c>
      <c r="V1194" s="134">
        <f t="shared" si="763"/>
        <v>93566817.281963617</v>
      </c>
      <c r="W1194" s="134">
        <f t="shared" si="763"/>
        <v>42946268.617295563</v>
      </c>
      <c r="X1194" s="134">
        <f t="shared" si="763"/>
        <v>0</v>
      </c>
      <c r="Y1194" s="134">
        <f t="shared" si="763"/>
        <v>0</v>
      </c>
      <c r="Z1194" s="134">
        <f t="shared" si="763"/>
        <v>0</v>
      </c>
      <c r="AA1194" s="134">
        <f t="shared" si="763"/>
        <v>0</v>
      </c>
      <c r="AB1194" s="134">
        <f t="shared" si="763"/>
        <v>0</v>
      </c>
      <c r="AC1194" s="134">
        <f t="shared" si="763"/>
        <v>0</v>
      </c>
      <c r="AD1194" s="134">
        <f t="shared" si="763"/>
        <v>0</v>
      </c>
      <c r="AE1194" s="134">
        <f t="shared" si="763"/>
        <v>0</v>
      </c>
      <c r="AF1194" s="134">
        <f t="shared" si="763"/>
        <v>0</v>
      </c>
      <c r="AG1194" s="134">
        <f t="shared" si="763"/>
        <v>0</v>
      </c>
      <c r="AH1194" s="134">
        <f t="shared" si="763"/>
        <v>0</v>
      </c>
      <c r="AI1194" s="134">
        <f t="shared" si="763"/>
        <v>0</v>
      </c>
      <c r="AJ1194" s="134">
        <f t="shared" si="763"/>
        <v>0</v>
      </c>
      <c r="AK1194" s="134">
        <f t="shared" si="763"/>
        <v>0</v>
      </c>
      <c r="AL1194" s="134">
        <f t="shared" si="763"/>
        <v>0</v>
      </c>
      <c r="AM1194" s="134">
        <f t="shared" si="763"/>
        <v>0</v>
      </c>
      <c r="AN1194" s="134">
        <f t="shared" si="763"/>
        <v>0</v>
      </c>
      <c r="AO1194" s="134">
        <f t="shared" si="763"/>
        <v>0</v>
      </c>
      <c r="AP1194" s="134">
        <f t="shared" si="763"/>
        <v>0</v>
      </c>
      <c r="AQ1194" s="134">
        <f t="shared" si="763"/>
        <v>0</v>
      </c>
      <c r="AR1194" s="134">
        <f t="shared" si="763"/>
        <v>0</v>
      </c>
      <c r="AS1194" s="134">
        <f t="shared" si="763"/>
        <v>0</v>
      </c>
      <c r="AT1194" s="134">
        <f t="shared" si="763"/>
        <v>0</v>
      </c>
      <c r="AU1194" s="134">
        <f t="shared" si="763"/>
        <v>0</v>
      </c>
      <c r="AV1194" s="134">
        <f t="shared" si="763"/>
        <v>0</v>
      </c>
      <c r="AW1194" s="134">
        <f t="shared" si="763"/>
        <v>0</v>
      </c>
      <c r="AX1194" s="134">
        <f t="shared" si="763"/>
        <v>0</v>
      </c>
      <c r="AY1194" s="134">
        <f t="shared" si="763"/>
        <v>0</v>
      </c>
      <c r="AZ1194" s="134">
        <f t="shared" si="763"/>
        <v>0</v>
      </c>
      <c r="BA1194" s="134">
        <f t="shared" si="763"/>
        <v>0</v>
      </c>
      <c r="BB1194" s="134">
        <f t="shared" si="763"/>
        <v>0</v>
      </c>
      <c r="BC1194" s="134">
        <f t="shared" si="763"/>
        <v>0</v>
      </c>
      <c r="BD1194" s="134">
        <f t="shared" si="763"/>
        <v>0</v>
      </c>
      <c r="BE1194" s="134">
        <f t="shared" si="763"/>
        <v>0</v>
      </c>
      <c r="BF1194" s="134">
        <f t="shared" si="763"/>
        <v>0</v>
      </c>
      <c r="BG1194" s="134">
        <f t="shared" si="763"/>
        <v>0</v>
      </c>
      <c r="BH1194" s="134">
        <f t="shared" si="763"/>
        <v>0</v>
      </c>
      <c r="BI1194" s="134">
        <f t="shared" si="763"/>
        <v>0</v>
      </c>
      <c r="BJ1194" s="135">
        <f t="shared" si="763"/>
        <v>0</v>
      </c>
      <c r="BK1194" s="109"/>
      <c r="BL1194" s="109"/>
    </row>
    <row r="1195" spans="1:64">
      <c r="A1195" s="165" t="s">
        <v>137</v>
      </c>
      <c r="B1195" s="161"/>
      <c r="C1195" s="166"/>
      <c r="D1195" s="167"/>
      <c r="E1195" s="168"/>
      <c r="F1195" s="168"/>
      <c r="G1195" s="168"/>
      <c r="H1195" s="168"/>
      <c r="I1195" s="168"/>
      <c r="J1195" s="168"/>
      <c r="K1195" s="168"/>
      <c r="L1195" s="168"/>
      <c r="M1195" s="168"/>
      <c r="N1195" s="168"/>
      <c r="O1195" s="168"/>
      <c r="P1195" s="168"/>
      <c r="Q1195" s="168"/>
      <c r="R1195" s="168"/>
      <c r="S1195" s="168"/>
      <c r="T1195" s="168"/>
      <c r="U1195" s="168"/>
      <c r="V1195" s="168"/>
      <c r="W1195" s="168"/>
      <c r="X1195" s="168"/>
      <c r="Y1195" s="168"/>
      <c r="Z1195" s="168"/>
      <c r="AA1195" s="168"/>
      <c r="AB1195" s="168"/>
      <c r="AC1195" s="168"/>
      <c r="AD1195" s="168"/>
      <c r="AE1195" s="168"/>
      <c r="AF1195" s="168"/>
      <c r="AG1195" s="168"/>
      <c r="AH1195" s="168"/>
      <c r="AI1195" s="168"/>
      <c r="AJ1195" s="168"/>
      <c r="AK1195" s="168"/>
      <c r="AL1195" s="168"/>
      <c r="AM1195" s="168"/>
      <c r="AN1195" s="168"/>
      <c r="AO1195" s="168"/>
      <c r="AP1195" s="168"/>
      <c r="AQ1195" s="168"/>
      <c r="AR1195" s="168"/>
      <c r="AS1195" s="168"/>
      <c r="AT1195" s="168"/>
      <c r="AU1195" s="168"/>
      <c r="AV1195" s="168"/>
      <c r="AW1195" s="168"/>
      <c r="AX1195" s="168"/>
      <c r="AY1195" s="168"/>
      <c r="AZ1195" s="168"/>
      <c r="BA1195" s="168"/>
      <c r="BB1195" s="168"/>
      <c r="BC1195" s="168"/>
      <c r="BD1195" s="168"/>
      <c r="BE1195" s="168"/>
      <c r="BF1195" s="168"/>
      <c r="BG1195" s="168"/>
      <c r="BH1195" s="168"/>
      <c r="BI1195" s="168"/>
      <c r="BJ1195" s="169"/>
    </row>
    <row r="1196" spans="1:64" s="174" customFormat="1" ht="12.75">
      <c r="A1196" s="120" t="s">
        <v>138</v>
      </c>
      <c r="B1196" s="170">
        <f>SUM(C1196:BJ1196)</f>
        <v>23794548.568628293</v>
      </c>
      <c r="C1196" s="171">
        <f>C1167-C1172</f>
        <v>31276510.001483783</v>
      </c>
      <c r="D1196" s="172">
        <f t="shared" ref="D1196:BJ1196" si="764">IF(AND(D1155&gt;5,D1156=0),0,D1167-D1172)</f>
        <v>33934352.344278485</v>
      </c>
      <c r="E1196" s="172">
        <f t="shared" si="764"/>
        <v>51974077.872121453</v>
      </c>
      <c r="F1196" s="172">
        <f t="shared" si="764"/>
        <v>52102224.613074079</v>
      </c>
      <c r="G1196" s="172">
        <f t="shared" si="764"/>
        <v>52157464.568707526</v>
      </c>
      <c r="H1196" s="172">
        <f t="shared" si="764"/>
        <v>-9056326.5498971716</v>
      </c>
      <c r="I1196" s="172">
        <f t="shared" si="764"/>
        <v>-9418579.6118930597</v>
      </c>
      <c r="J1196" s="172">
        <f t="shared" si="764"/>
        <v>-9795322.7963687796</v>
      </c>
      <c r="K1196" s="172">
        <f t="shared" si="764"/>
        <v>-10187135.708223535</v>
      </c>
      <c r="L1196" s="172">
        <f t="shared" si="764"/>
        <v>-10594621.136552477</v>
      </c>
      <c r="M1196" s="172">
        <f t="shared" si="764"/>
        <v>-11018405.982014576</v>
      </c>
      <c r="N1196" s="172">
        <f t="shared" si="764"/>
        <v>-11459142.221295157</v>
      </c>
      <c r="O1196" s="172">
        <f t="shared" si="764"/>
        <v>-11917507.910146967</v>
      </c>
      <c r="P1196" s="172">
        <f t="shared" si="764"/>
        <v>-12394208.226552846</v>
      </c>
      <c r="Q1196" s="172">
        <f t="shared" si="764"/>
        <v>-12889976.555614959</v>
      </c>
      <c r="R1196" s="172">
        <f t="shared" si="764"/>
        <v>-13405575.617839558</v>
      </c>
      <c r="S1196" s="172">
        <f t="shared" si="764"/>
        <v>-13941798.642553141</v>
      </c>
      <c r="T1196" s="172">
        <f t="shared" si="764"/>
        <v>-14499470.588255268</v>
      </c>
      <c r="U1196" s="172">
        <f t="shared" si="764"/>
        <v>-15079449.411785481</v>
      </c>
      <c r="V1196" s="172">
        <f t="shared" si="764"/>
        <v>-15682627.3882569</v>
      </c>
      <c r="W1196" s="172">
        <f t="shared" si="764"/>
        <v>-16309932.483787175</v>
      </c>
      <c r="X1196" s="172">
        <f t="shared" si="764"/>
        <v>0</v>
      </c>
      <c r="Y1196" s="172">
        <f t="shared" si="764"/>
        <v>0</v>
      </c>
      <c r="Z1196" s="172">
        <f t="shared" si="764"/>
        <v>0</v>
      </c>
      <c r="AA1196" s="172">
        <f t="shared" si="764"/>
        <v>0</v>
      </c>
      <c r="AB1196" s="172">
        <f t="shared" si="764"/>
        <v>0</v>
      </c>
      <c r="AC1196" s="172">
        <f t="shared" si="764"/>
        <v>0</v>
      </c>
      <c r="AD1196" s="172">
        <f t="shared" si="764"/>
        <v>0</v>
      </c>
      <c r="AE1196" s="172">
        <f t="shared" si="764"/>
        <v>0</v>
      </c>
      <c r="AF1196" s="172">
        <f t="shared" si="764"/>
        <v>0</v>
      </c>
      <c r="AG1196" s="172">
        <f t="shared" si="764"/>
        <v>0</v>
      </c>
      <c r="AH1196" s="172">
        <f t="shared" si="764"/>
        <v>0</v>
      </c>
      <c r="AI1196" s="172">
        <f t="shared" si="764"/>
        <v>0</v>
      </c>
      <c r="AJ1196" s="172">
        <f t="shared" si="764"/>
        <v>0</v>
      </c>
      <c r="AK1196" s="172">
        <f t="shared" si="764"/>
        <v>0</v>
      </c>
      <c r="AL1196" s="172">
        <f t="shared" si="764"/>
        <v>0</v>
      </c>
      <c r="AM1196" s="172">
        <f t="shared" si="764"/>
        <v>0</v>
      </c>
      <c r="AN1196" s="172">
        <f t="shared" si="764"/>
        <v>0</v>
      </c>
      <c r="AO1196" s="172">
        <f t="shared" si="764"/>
        <v>0</v>
      </c>
      <c r="AP1196" s="172">
        <f t="shared" si="764"/>
        <v>0</v>
      </c>
      <c r="AQ1196" s="172">
        <f t="shared" si="764"/>
        <v>0</v>
      </c>
      <c r="AR1196" s="172">
        <f t="shared" si="764"/>
        <v>0</v>
      </c>
      <c r="AS1196" s="172">
        <f t="shared" si="764"/>
        <v>0</v>
      </c>
      <c r="AT1196" s="172">
        <f t="shared" si="764"/>
        <v>0</v>
      </c>
      <c r="AU1196" s="172">
        <f t="shared" si="764"/>
        <v>0</v>
      </c>
      <c r="AV1196" s="172">
        <f t="shared" si="764"/>
        <v>0</v>
      </c>
      <c r="AW1196" s="172">
        <f t="shared" si="764"/>
        <v>0</v>
      </c>
      <c r="AX1196" s="172">
        <f t="shared" si="764"/>
        <v>0</v>
      </c>
      <c r="AY1196" s="172">
        <f t="shared" si="764"/>
        <v>0</v>
      </c>
      <c r="AZ1196" s="172">
        <f t="shared" si="764"/>
        <v>0</v>
      </c>
      <c r="BA1196" s="172">
        <f t="shared" si="764"/>
        <v>0</v>
      </c>
      <c r="BB1196" s="172">
        <f t="shared" si="764"/>
        <v>0</v>
      </c>
      <c r="BC1196" s="172">
        <f t="shared" si="764"/>
        <v>0</v>
      </c>
      <c r="BD1196" s="172">
        <f t="shared" si="764"/>
        <v>0</v>
      </c>
      <c r="BE1196" s="172">
        <f t="shared" si="764"/>
        <v>0</v>
      </c>
      <c r="BF1196" s="172">
        <f t="shared" si="764"/>
        <v>0</v>
      </c>
      <c r="BG1196" s="172">
        <f t="shared" si="764"/>
        <v>0</v>
      </c>
      <c r="BH1196" s="172">
        <f t="shared" si="764"/>
        <v>0</v>
      </c>
      <c r="BI1196" s="172">
        <f t="shared" si="764"/>
        <v>0</v>
      </c>
      <c r="BJ1196" s="173">
        <f t="shared" si="764"/>
        <v>0</v>
      </c>
      <c r="BK1196" s="172"/>
      <c r="BL1196" s="172"/>
    </row>
    <row r="1197" spans="1:64" s="174" customFormat="1" ht="12.75">
      <c r="A1197" s="120" t="s">
        <v>139</v>
      </c>
      <c r="B1197" s="170">
        <f>SUM(C1197:BJ1197)</f>
        <v>220488793.1479688</v>
      </c>
      <c r="C1197" s="171">
        <f>C1187</f>
        <v>1078500.3448787511</v>
      </c>
      <c r="D1197" s="172">
        <f>D1187</f>
        <v>2330467.6932584662</v>
      </c>
      <c r="E1197" s="172">
        <f t="shared" ref="E1197:BJ1197" si="765">E1187</f>
        <v>4299471.375923641</v>
      </c>
      <c r="F1197" s="172">
        <f t="shared" si="765"/>
        <v>6422266.6048928173</v>
      </c>
      <c r="G1197" s="172">
        <f t="shared" si="765"/>
        <v>8708006.2979780491</v>
      </c>
      <c r="H1197" s="172">
        <f t="shared" si="765"/>
        <v>9056326.5498971716</v>
      </c>
      <c r="I1197" s="172">
        <f t="shared" si="765"/>
        <v>9418579.6118930597</v>
      </c>
      <c r="J1197" s="172">
        <f t="shared" si="765"/>
        <v>9795322.7963687796</v>
      </c>
      <c r="K1197" s="172">
        <f t="shared" si="765"/>
        <v>10187135.708223535</v>
      </c>
      <c r="L1197" s="172">
        <f t="shared" si="765"/>
        <v>10594621.136552477</v>
      </c>
      <c r="M1197" s="172">
        <f t="shared" si="765"/>
        <v>11018405.982014576</v>
      </c>
      <c r="N1197" s="172">
        <f t="shared" si="765"/>
        <v>11459142.221295157</v>
      </c>
      <c r="O1197" s="172">
        <f t="shared" si="765"/>
        <v>11917507.910146967</v>
      </c>
      <c r="P1197" s="172">
        <f t="shared" si="765"/>
        <v>12394208.226552846</v>
      </c>
      <c r="Q1197" s="172">
        <f t="shared" si="765"/>
        <v>12889976.555614959</v>
      </c>
      <c r="R1197" s="172">
        <f t="shared" si="765"/>
        <v>13405575.617839558</v>
      </c>
      <c r="S1197" s="172">
        <f t="shared" si="765"/>
        <v>13941798.642553141</v>
      </c>
      <c r="T1197" s="172">
        <f t="shared" si="765"/>
        <v>14499470.588255268</v>
      </c>
      <c r="U1197" s="172">
        <f t="shared" si="765"/>
        <v>15079449.411785481</v>
      </c>
      <c r="V1197" s="172">
        <f t="shared" si="765"/>
        <v>15682627.3882569</v>
      </c>
      <c r="W1197" s="172">
        <f t="shared" si="765"/>
        <v>16309932.483787175</v>
      </c>
      <c r="X1197" s="172">
        <f t="shared" si="765"/>
        <v>0</v>
      </c>
      <c r="Y1197" s="172">
        <f t="shared" si="765"/>
        <v>0</v>
      </c>
      <c r="Z1197" s="172">
        <f t="shared" si="765"/>
        <v>0</v>
      </c>
      <c r="AA1197" s="172">
        <f t="shared" si="765"/>
        <v>0</v>
      </c>
      <c r="AB1197" s="172">
        <f t="shared" si="765"/>
        <v>0</v>
      </c>
      <c r="AC1197" s="172">
        <f t="shared" si="765"/>
        <v>0</v>
      </c>
      <c r="AD1197" s="172">
        <f t="shared" si="765"/>
        <v>0</v>
      </c>
      <c r="AE1197" s="172">
        <f t="shared" si="765"/>
        <v>0</v>
      </c>
      <c r="AF1197" s="172">
        <f t="shared" si="765"/>
        <v>0</v>
      </c>
      <c r="AG1197" s="172">
        <f t="shared" si="765"/>
        <v>0</v>
      </c>
      <c r="AH1197" s="172">
        <f t="shared" si="765"/>
        <v>0</v>
      </c>
      <c r="AI1197" s="172">
        <f t="shared" si="765"/>
        <v>0</v>
      </c>
      <c r="AJ1197" s="172">
        <f t="shared" si="765"/>
        <v>0</v>
      </c>
      <c r="AK1197" s="172">
        <f t="shared" si="765"/>
        <v>0</v>
      </c>
      <c r="AL1197" s="172">
        <f t="shared" si="765"/>
        <v>0</v>
      </c>
      <c r="AM1197" s="172">
        <f t="shared" si="765"/>
        <v>0</v>
      </c>
      <c r="AN1197" s="172">
        <f t="shared" si="765"/>
        <v>0</v>
      </c>
      <c r="AO1197" s="172">
        <f t="shared" si="765"/>
        <v>0</v>
      </c>
      <c r="AP1197" s="172">
        <f t="shared" si="765"/>
        <v>0</v>
      </c>
      <c r="AQ1197" s="172">
        <f t="shared" si="765"/>
        <v>0</v>
      </c>
      <c r="AR1197" s="172">
        <f t="shared" si="765"/>
        <v>0</v>
      </c>
      <c r="AS1197" s="172">
        <f t="shared" si="765"/>
        <v>0</v>
      </c>
      <c r="AT1197" s="172">
        <f t="shared" si="765"/>
        <v>0</v>
      </c>
      <c r="AU1197" s="172">
        <f t="shared" si="765"/>
        <v>0</v>
      </c>
      <c r="AV1197" s="172">
        <f t="shared" si="765"/>
        <v>0</v>
      </c>
      <c r="AW1197" s="172">
        <f t="shared" si="765"/>
        <v>0</v>
      </c>
      <c r="AX1197" s="172">
        <f t="shared" si="765"/>
        <v>0</v>
      </c>
      <c r="AY1197" s="172">
        <f t="shared" si="765"/>
        <v>0</v>
      </c>
      <c r="AZ1197" s="172">
        <f t="shared" si="765"/>
        <v>0</v>
      </c>
      <c r="BA1197" s="172">
        <f t="shared" si="765"/>
        <v>0</v>
      </c>
      <c r="BB1197" s="172">
        <f t="shared" si="765"/>
        <v>0</v>
      </c>
      <c r="BC1197" s="172">
        <f t="shared" si="765"/>
        <v>0</v>
      </c>
      <c r="BD1197" s="172">
        <f t="shared" si="765"/>
        <v>0</v>
      </c>
      <c r="BE1197" s="172">
        <f t="shared" si="765"/>
        <v>0</v>
      </c>
      <c r="BF1197" s="172">
        <f t="shared" si="765"/>
        <v>0</v>
      </c>
      <c r="BG1197" s="172">
        <f t="shared" si="765"/>
        <v>0</v>
      </c>
      <c r="BH1197" s="172">
        <f t="shared" si="765"/>
        <v>0</v>
      </c>
      <c r="BI1197" s="172">
        <f t="shared" si="765"/>
        <v>0</v>
      </c>
      <c r="BJ1197" s="173">
        <f t="shared" si="765"/>
        <v>0</v>
      </c>
      <c r="BK1197" s="172"/>
      <c r="BL1197" s="172"/>
    </row>
    <row r="1198" spans="1:64" s="174" customFormat="1" ht="12.75">
      <c r="A1198" s="120" t="s">
        <v>140</v>
      </c>
      <c r="B1198" s="170" t="e">
        <f>SUM(C1198:BJ1198)</f>
        <v>#REF!</v>
      </c>
      <c r="C1198" s="171">
        <f>-C1167</f>
        <v>-32355010.346362535</v>
      </c>
      <c r="D1198" s="172">
        <f>IF(AND(D1155&gt;5,E1156=0,D1156&lt;&gt;0),SUM(D$71:$BJ1172)-D1167,-D1167)</f>
        <v>-36264820.037536949</v>
      </c>
      <c r="E1198" s="172">
        <f>IF(AND(E1155&gt;5,F1156=0,E1156&lt;&gt;0),SUM(E$71:$BJ1172)-E1167,-E1167)</f>
        <v>-56273549.248045094</v>
      </c>
      <c r="F1198" s="172">
        <f>IF(AND(F1155&gt;5,G1156=0,F1156&lt;&gt;0),SUM(F$71:$BJ1172)-F1167,-F1167)</f>
        <v>-58524491.217966899</v>
      </c>
      <c r="G1198" s="172">
        <f>IF(AND(G1155&gt;5,H1156=0,G1156&lt;&gt;0),SUM(G$71:$BJ1172)-G1167,-G1167)</f>
        <v>-60865470.866685577</v>
      </c>
      <c r="H1198" s="172">
        <f>IF(AND(H1155&gt;5,I1156=0,H1156&lt;&gt;0),SUM(H$71:$BJ1172)-H1167,-H1167)</f>
        <v>0</v>
      </c>
      <c r="I1198" s="172">
        <f>IF(AND(I1155&gt;5,J1156=0,I1156&lt;&gt;0),SUM(I$71:$BJ1172)-I1167,-I1167)</f>
        <v>0</v>
      </c>
      <c r="J1198" s="172">
        <f>IF(AND(J1155&gt;5,K1156=0,J1156&lt;&gt;0),SUM(J$71:$BJ1172)-J1167,-J1167)</f>
        <v>0</v>
      </c>
      <c r="K1198" s="172">
        <f>IF(AND(K1155&gt;5,L1156=0,K1156&lt;&gt;0),SUM(K$71:$BJ1172)-K1167,-K1167)</f>
        <v>0</v>
      </c>
      <c r="L1198" s="172">
        <f>IF(AND(L1155&gt;5,M1156=0,L1156&lt;&gt;0),SUM(L$71:$BJ1172)-L1167,-L1167)</f>
        <v>0</v>
      </c>
      <c r="M1198" s="172">
        <f>IF(AND(M1155&gt;5,N1156=0,M1156&lt;&gt;0),SUM(M$71:$BJ1172)-M1167,-M1167)</f>
        <v>0</v>
      </c>
      <c r="N1198" s="172">
        <f>IF(AND(N1155&gt;5,O1156=0,N1156&lt;&gt;0),SUM(N$71:$BJ1172)-N1167,-N1167)</f>
        <v>0</v>
      </c>
      <c r="O1198" s="172">
        <f>IF(AND(O1155&gt;5,P1156=0,O1156&lt;&gt;0),SUM(O$71:$BJ1172)-O1167,-O1167)</f>
        <v>0</v>
      </c>
      <c r="P1198" s="172">
        <f>IF(AND(P1155&gt;5,Q1156=0,P1156&lt;&gt;0),SUM(P$71:$BJ1172)-P1167,-P1167)</f>
        <v>0</v>
      </c>
      <c r="Q1198" s="172">
        <f>IF(AND(Q1155&gt;5,R1156=0,Q1156&lt;&gt;0),SUM(Q$71:$BJ1172)-Q1167,-Q1167)</f>
        <v>0</v>
      </c>
      <c r="R1198" s="172">
        <f>IF(AND(R1155&gt;5,S1156=0,R1156&lt;&gt;0),SUM(R$71:$BJ1172)-R1167,-R1167)</f>
        <v>0</v>
      </c>
      <c r="S1198" s="172">
        <f>IF(AND(S1155&gt;5,T1156=0,S1156&lt;&gt;0),SUM(S$71:$BJ1172)-S1167,-S1167)</f>
        <v>0</v>
      </c>
      <c r="T1198" s="172">
        <f>IF(AND(T1155&gt;5,U1156=0,T1156&lt;&gt;0),SUM(T$71:$BJ1172)-T1167,-T1167)</f>
        <v>0</v>
      </c>
      <c r="U1198" s="172">
        <f>IF(AND(U1155&gt;5,V1156=0,U1156&lt;&gt;0),SUM(U$71:$BJ1172)-U1167,-U1167)</f>
        <v>0</v>
      </c>
      <c r="V1198" s="172">
        <f>IF(AND(V1155&gt;5,W1156=0,V1156&lt;&gt;0),SUM(V$71:$BJ1172)-V1167,-V1167)</f>
        <v>0</v>
      </c>
      <c r="W1198" s="172" t="e">
        <f>IF(AND(W1155&gt;5,X1156=0,W1156&lt;&gt;0),SUM(W$71:$BJ1172)-W1167,-W1167)</f>
        <v>#REF!</v>
      </c>
      <c r="X1198" s="172">
        <f>IF(AND(X1155&gt;5,Y1156=0,X1156&lt;&gt;0),SUM(X$71:$BJ1172)-X1167,-X1167)</f>
        <v>0</v>
      </c>
      <c r="Y1198" s="172">
        <f>IF(AND(Y1155&gt;5,Z1156=0,Y1156&lt;&gt;0),SUM(Y$71:$BJ1172)-Y1167,-Y1167)</f>
        <v>0</v>
      </c>
      <c r="Z1198" s="175">
        <f>IF(AND(Z1155&gt;5,AA1156=0,Z1156&lt;&gt;0),SUM(Z$71:$BJ1172)-Z1167,-Z1167)</f>
        <v>0</v>
      </c>
      <c r="AA1198" s="172">
        <f>IF(AND(AA1155&gt;5,AB1156=0,AA1156&lt;&gt;0),SUM(AA$71:$BJ1172)-AA1167,-AA1167)</f>
        <v>0</v>
      </c>
      <c r="AB1198" s="172">
        <f>IF(AND(AB1155&gt;5,AC1156=0,AB1156&lt;&gt;0),SUM(AB$71:$BJ1172)-AB1167,-AB1167)</f>
        <v>0</v>
      </c>
      <c r="AC1198" s="172">
        <f>IF(AND(AC1155&gt;5,AD1156=0,AC1156&lt;&gt;0),SUM(AC$71:$BJ1172)-AC1167,-AC1167)</f>
        <v>0</v>
      </c>
      <c r="AD1198" s="172">
        <f>IF(AND(AD1155&gt;5,AE1156=0,AD1156&lt;&gt;0),SUM(AD$71:$BJ1172)-AD1167,-AD1167)</f>
        <v>0</v>
      </c>
      <c r="AE1198" s="172">
        <f>IF(AND(AE1155&gt;5,AF1156=0,AE1156&lt;&gt;0),SUM(AE$71:$BJ1172)-AE1167,-AE1167)</f>
        <v>0</v>
      </c>
      <c r="AF1198" s="172">
        <f>IF(AND(AF1155&gt;5,AG1156=0,AF1156&lt;&gt;0),SUM(AF$71:$BJ1172)-AF1167,-AF1167)</f>
        <v>0</v>
      </c>
      <c r="AG1198" s="172">
        <f>IF(AND(AG1155&gt;5,AH1156=0,AG1156&lt;&gt;0),SUM(AG$71:$BJ1172)-AG1167,-AG1167)</f>
        <v>0</v>
      </c>
      <c r="AH1198" s="172">
        <f>IF(AND(AH1155&gt;5,AI1156=0,AH1156&lt;&gt;0),SUM(AH$71:$BJ1172)-AH1167,-AH1167)</f>
        <v>0</v>
      </c>
      <c r="AI1198" s="172">
        <f>IF(AND(AI1155&gt;5,AJ1156=0,AI1156&lt;&gt;0),SUM(AI$71:$BJ1172)-AI1167,-AI1167)</f>
        <v>0</v>
      </c>
      <c r="AJ1198" s="172">
        <f>IF(AND(AJ1155&gt;5,AK1156=0,AJ1156&lt;&gt;0),SUM(AJ$71:$BJ1172)-AJ1167,-AJ1167)</f>
        <v>0</v>
      </c>
      <c r="AK1198" s="172">
        <f>IF(AND(AK1155&gt;5,AL1156=0,AK1156&lt;&gt;0),SUM(AK$71:$BJ1172)-AK1167,-AK1167)</f>
        <v>0</v>
      </c>
      <c r="AL1198" s="172">
        <f>IF(AND(AL1155&gt;5,AM1156=0,AL1156&lt;&gt;0),SUM(AL$71:$BJ1172)-AL1167,-AL1167)</f>
        <v>0</v>
      </c>
      <c r="AM1198" s="172">
        <f>IF(AND(AM1155&gt;5,AN1156=0,AM1156&lt;&gt;0),SUM(AM$71:$BJ1172)-AM1167,-AM1167)</f>
        <v>0</v>
      </c>
      <c r="AN1198" s="172">
        <f>IF(AND(AN1155&gt;5,AO1156=0,AN1156&lt;&gt;0),SUM(AN$71:$BJ1172)-AN1167,-AN1167)</f>
        <v>0</v>
      </c>
      <c r="AO1198" s="172">
        <f>IF(AND(AO1155&gt;5,AP1156=0,AO1156&lt;&gt;0),SUM(AO$71:$BJ1172)-AO1167,-AO1167)</f>
        <v>0</v>
      </c>
      <c r="AP1198" s="172">
        <f>IF(AND(AP1155&gt;5,AQ1156=0,AP1156&lt;&gt;0),SUM(AP$71:$BJ1172)-AP1167,-AP1167)</f>
        <v>0</v>
      </c>
      <c r="AQ1198" s="172">
        <f>IF(AND(AQ1155&gt;5,AR1156=0,AQ1156&lt;&gt;0),SUM(AQ$71:$BJ1172)-AQ1167,-AQ1167)</f>
        <v>0</v>
      </c>
      <c r="AR1198" s="172">
        <f>IF(AND(AR1155&gt;5,AS1156=0,AR1156&lt;&gt;0),SUM(AR$71:$BJ1172)-AR1167,-AR1167)</f>
        <v>0</v>
      </c>
      <c r="AS1198" s="172">
        <f>IF(AND(AS1155&gt;5,AT1156=0,AS1156&lt;&gt;0),SUM(AS$71:$BJ1172)-AS1167,-AS1167)</f>
        <v>0</v>
      </c>
      <c r="AT1198" s="172">
        <f>IF(AND(AT1155&gt;5,AU1156=0,AT1156&lt;&gt;0),SUM(AT$71:$BJ1172)-AT1167,-AT1167)</f>
        <v>0</v>
      </c>
      <c r="AU1198" s="172">
        <f>IF(AND(AU1155&gt;5,AV1156=0,AU1156&lt;&gt;0),SUM(AU$71:$BJ1172)-AU1167,-AU1167)</f>
        <v>0</v>
      </c>
      <c r="AV1198" s="172">
        <f>IF(AND(AV1155&gt;5,AW1156=0,AV1156&lt;&gt;0),SUM(AV$71:$BJ1172)-AV1167,-AV1167)</f>
        <v>0</v>
      </c>
      <c r="AW1198" s="172">
        <f>IF(AND(AW1155&gt;5,AX1156=0,AW1156&lt;&gt;0),SUM(AW$71:$BJ1172)-AW1167,-AW1167)</f>
        <v>0</v>
      </c>
      <c r="AX1198" s="172">
        <f>IF(AND(AX1155&gt;5,AY1156=0,AX1156&lt;&gt;0),SUM(AX$71:$BJ1172)-AX1167,-AX1167)</f>
        <v>0</v>
      </c>
      <c r="AY1198" s="172">
        <f>IF(AND(AY1155&gt;5,AZ1156=0,AY1156&lt;&gt;0),SUM(AY$71:$BJ1172)-AY1167,-AY1167)</f>
        <v>0</v>
      </c>
      <c r="AZ1198" s="172">
        <f>IF(AND(AZ1155&gt;5,BA1156=0,AZ1156&lt;&gt;0),SUM(AZ$71:$BJ1172)-AZ1167,-AZ1167)</f>
        <v>0</v>
      </c>
      <c r="BA1198" s="172">
        <f>IF(AND(BA1155&gt;5,BB1156=0,BA1156&lt;&gt;0),SUM(BA$71:$BJ1172)-BA1167,-BA1167)</f>
        <v>0</v>
      </c>
      <c r="BB1198" s="172">
        <f>IF(AND(BB1155&gt;5,BC1156=0,BB1156&lt;&gt;0),SUM(BB$71:$BJ1172)-BB1167,-BB1167)</f>
        <v>0</v>
      </c>
      <c r="BC1198" s="172">
        <f>IF(AND(BC1155&gt;5,BD1156=0,BC1156&lt;&gt;0),SUM(BC$71:$BJ1172)-BC1167,-BC1167)</f>
        <v>0</v>
      </c>
      <c r="BD1198" s="172">
        <f>IF(AND(BD1155&gt;5,BE1156=0,BD1156&lt;&gt;0),SUM(BD$71:$BJ1172)-BD1167,-BD1167)</f>
        <v>0</v>
      </c>
      <c r="BE1198" s="172">
        <f>IF(AND(BE1155&gt;5,BF1156=0,BE1156&lt;&gt;0),SUM(BE$71:$BJ1172)-BE1167,-BE1167)</f>
        <v>0</v>
      </c>
      <c r="BF1198" s="172">
        <f>IF(AND(BF1155&gt;5,BG1156=0,BF1156&lt;&gt;0),SUM(BF$71:$BJ1172)-BF1167,-BF1167)</f>
        <v>0</v>
      </c>
      <c r="BG1198" s="172">
        <f>IF(AND(BG1155&gt;5,BH1156=0,BG1156&lt;&gt;0),SUM(BG$71:$BJ1172)-BG1167,-BG1167)</f>
        <v>0</v>
      </c>
      <c r="BH1198" s="172">
        <f>IF(AND(BH1155&gt;5,BI1156=0,BH1156&lt;&gt;0),SUM(BH$71:$BJ1172)-BH1167,-BH1167)</f>
        <v>0</v>
      </c>
      <c r="BI1198" s="172">
        <f>IF(AND(BI1155&gt;5,BJ1156=0,BI1156&lt;&gt;0),SUM(BI$71:$BJ1172)-BI1167,-BI1167)</f>
        <v>0</v>
      </c>
      <c r="BJ1198" s="173">
        <f>IF(AND(BJ1155&gt;5,BK1156=0,BJ1156&lt;&gt;0),SUM(BJ$71:$BJ1172)-BJ1167,-BJ1167)</f>
        <v>0</v>
      </c>
      <c r="BK1198" s="172"/>
      <c r="BL1198" s="172"/>
    </row>
    <row r="1199" spans="1:64" s="160" customFormat="1">
      <c r="A1199" s="176" t="s">
        <v>141</v>
      </c>
      <c r="B1199" s="177">
        <f>SUM(C1199:BJ1199)</f>
        <v>2792292482.7488971</v>
      </c>
      <c r="C1199" s="178">
        <f>C1194+C1197</f>
        <v>-30241857.375144653</v>
      </c>
      <c r="D1199" s="179">
        <f t="shared" ref="D1199:BJ1199" si="766">D1194+D1197</f>
        <v>-33543884.021264017</v>
      </c>
      <c r="E1199" s="179">
        <f t="shared" si="766"/>
        <v>-53443775.791121244</v>
      </c>
      <c r="F1199" s="179">
        <f t="shared" si="766"/>
        <v>-55581526.822766095</v>
      </c>
      <c r="G1199" s="179">
        <f t="shared" si="766"/>
        <v>-57804787.89567674</v>
      </c>
      <c r="H1199" s="179">
        <f t="shared" si="766"/>
        <v>32902865.037070513</v>
      </c>
      <c r="I1199" s="179">
        <f t="shared" si="766"/>
        <v>65612385.393538758</v>
      </c>
      <c r="J1199" s="179">
        <f t="shared" si="766"/>
        <v>100886022.79446514</v>
      </c>
      <c r="K1199" s="179">
        <f t="shared" si="766"/>
        <v>138876571.37083596</v>
      </c>
      <c r="L1199" s="179">
        <f t="shared" si="766"/>
        <v>234762062.67367747</v>
      </c>
      <c r="M1199" s="179">
        <f t="shared" si="766"/>
        <v>244152545.18062454</v>
      </c>
      <c r="N1199" s="179">
        <f t="shared" si="766"/>
        <v>253918646.98784941</v>
      </c>
      <c r="O1199" s="179">
        <f t="shared" si="766"/>
        <v>264075392.86736351</v>
      </c>
      <c r="P1199" s="179">
        <f t="shared" si="766"/>
        <v>274638408.58205807</v>
      </c>
      <c r="Q1199" s="179">
        <f t="shared" si="766"/>
        <v>285623944.92534041</v>
      </c>
      <c r="R1199" s="179">
        <f t="shared" si="766"/>
        <v>297048902.72235394</v>
      </c>
      <c r="S1199" s="179">
        <f t="shared" si="766"/>
        <v>308930858.83124822</v>
      </c>
      <c r="T1199" s="179">
        <f t="shared" si="766"/>
        <v>197664664.50070626</v>
      </c>
      <c r="U1199" s="179">
        <f t="shared" si="766"/>
        <v>155309397.01643485</v>
      </c>
      <c r="V1199" s="179">
        <f t="shared" si="766"/>
        <v>109249444.67022052</v>
      </c>
      <c r="W1199" s="179">
        <f t="shared" si="766"/>
        <v>59256201.101082742</v>
      </c>
      <c r="X1199" s="179">
        <f t="shared" si="766"/>
        <v>0</v>
      </c>
      <c r="Y1199" s="179">
        <f t="shared" si="766"/>
        <v>0</v>
      </c>
      <c r="Z1199" s="179">
        <f t="shared" si="766"/>
        <v>0</v>
      </c>
      <c r="AA1199" s="179">
        <f t="shared" si="766"/>
        <v>0</v>
      </c>
      <c r="AB1199" s="179">
        <f t="shared" si="766"/>
        <v>0</v>
      </c>
      <c r="AC1199" s="179">
        <f t="shared" si="766"/>
        <v>0</v>
      </c>
      <c r="AD1199" s="179">
        <f t="shared" si="766"/>
        <v>0</v>
      </c>
      <c r="AE1199" s="179">
        <f t="shared" si="766"/>
        <v>0</v>
      </c>
      <c r="AF1199" s="179">
        <f t="shared" si="766"/>
        <v>0</v>
      </c>
      <c r="AG1199" s="179">
        <f t="shared" si="766"/>
        <v>0</v>
      </c>
      <c r="AH1199" s="179">
        <f t="shared" si="766"/>
        <v>0</v>
      </c>
      <c r="AI1199" s="179">
        <f t="shared" si="766"/>
        <v>0</v>
      </c>
      <c r="AJ1199" s="179">
        <f t="shared" si="766"/>
        <v>0</v>
      </c>
      <c r="AK1199" s="179">
        <f t="shared" si="766"/>
        <v>0</v>
      </c>
      <c r="AL1199" s="179">
        <f t="shared" si="766"/>
        <v>0</v>
      </c>
      <c r="AM1199" s="179">
        <f t="shared" si="766"/>
        <v>0</v>
      </c>
      <c r="AN1199" s="179">
        <f t="shared" si="766"/>
        <v>0</v>
      </c>
      <c r="AO1199" s="179">
        <f t="shared" si="766"/>
        <v>0</v>
      </c>
      <c r="AP1199" s="179">
        <f t="shared" si="766"/>
        <v>0</v>
      </c>
      <c r="AQ1199" s="179">
        <f t="shared" si="766"/>
        <v>0</v>
      </c>
      <c r="AR1199" s="179">
        <f t="shared" si="766"/>
        <v>0</v>
      </c>
      <c r="AS1199" s="179">
        <f t="shared" si="766"/>
        <v>0</v>
      </c>
      <c r="AT1199" s="179">
        <f t="shared" si="766"/>
        <v>0</v>
      </c>
      <c r="AU1199" s="179">
        <f t="shared" si="766"/>
        <v>0</v>
      </c>
      <c r="AV1199" s="179">
        <f t="shared" si="766"/>
        <v>0</v>
      </c>
      <c r="AW1199" s="179">
        <f t="shared" si="766"/>
        <v>0</v>
      </c>
      <c r="AX1199" s="179">
        <f t="shared" si="766"/>
        <v>0</v>
      </c>
      <c r="AY1199" s="179">
        <f t="shared" si="766"/>
        <v>0</v>
      </c>
      <c r="AZ1199" s="179">
        <f t="shared" si="766"/>
        <v>0</v>
      </c>
      <c r="BA1199" s="179">
        <f t="shared" si="766"/>
        <v>0</v>
      </c>
      <c r="BB1199" s="179">
        <f t="shared" si="766"/>
        <v>0</v>
      </c>
      <c r="BC1199" s="179">
        <f t="shared" si="766"/>
        <v>0</v>
      </c>
      <c r="BD1199" s="179">
        <f t="shared" si="766"/>
        <v>0</v>
      </c>
      <c r="BE1199" s="179">
        <f t="shared" si="766"/>
        <v>0</v>
      </c>
      <c r="BF1199" s="179">
        <f t="shared" si="766"/>
        <v>0</v>
      </c>
      <c r="BG1199" s="179">
        <f t="shared" si="766"/>
        <v>0</v>
      </c>
      <c r="BH1199" s="179">
        <f t="shared" si="766"/>
        <v>0</v>
      </c>
      <c r="BI1199" s="179">
        <f t="shared" si="766"/>
        <v>0</v>
      </c>
      <c r="BJ1199" s="180">
        <f t="shared" si="766"/>
        <v>0</v>
      </c>
    </row>
    <row r="1200" spans="1:64" s="80" customFormat="1">
      <c r="A1200" s="176" t="s">
        <v>142</v>
      </c>
      <c r="B1200" s="177">
        <f>SUM(C1200:BJ1200)</f>
        <v>572447511.03087974</v>
      </c>
      <c r="C1200" s="181">
        <f>C1199*(1+$C1097)^-(C1155-1)</f>
        <v>-30241857.375144653</v>
      </c>
      <c r="D1200" s="182">
        <f>D1199*(1+$C1097)^-(D1155-1)</f>
        <v>-29949896.447557155</v>
      </c>
      <c r="E1200" s="182">
        <f t="shared" ref="E1200:BJ1200" si="767">E1199*(1+$C1097)^-(E1155-1)</f>
        <v>-42605050.853891291</v>
      </c>
      <c r="F1200" s="182">
        <f t="shared" si="767"/>
        <v>-39561832.935756192</v>
      </c>
      <c r="G1200" s="182">
        <f t="shared" si="767"/>
        <v>-36735987.726059325</v>
      </c>
      <c r="H1200" s="182">
        <f t="shared" si="767"/>
        <v>18669969.252118353</v>
      </c>
      <c r="I1200" s="182">
        <f t="shared" si="767"/>
        <v>33241276.375046998</v>
      </c>
      <c r="J1200" s="182">
        <f t="shared" si="767"/>
        <v>45635713.249536254</v>
      </c>
      <c r="K1200" s="182">
        <f t="shared" si="767"/>
        <v>56089917.935960464</v>
      </c>
      <c r="L1200" s="182">
        <f t="shared" si="767"/>
        <v>84657553.285481989</v>
      </c>
      <c r="M1200" s="182">
        <f t="shared" si="767"/>
        <v>78610585.193661824</v>
      </c>
      <c r="N1200" s="182">
        <f t="shared" si="767"/>
        <v>72995543.394114509</v>
      </c>
      <c r="O1200" s="182">
        <f t="shared" si="767"/>
        <v>67781576.008820653</v>
      </c>
      <c r="P1200" s="182">
        <f t="shared" si="767"/>
        <v>62940034.865333453</v>
      </c>
      <c r="Q1200" s="182">
        <f t="shared" si="767"/>
        <v>58444318.089238204</v>
      </c>
      <c r="R1200" s="182">
        <f t="shared" si="767"/>
        <v>54269723.940006889</v>
      </c>
      <c r="S1200" s="182">
        <f t="shared" si="767"/>
        <v>50393315.087149262</v>
      </c>
      <c r="T1200" s="182">
        <f t="shared" si="767"/>
        <v>28788739.786608193</v>
      </c>
      <c r="U1200" s="182">
        <f t="shared" si="767"/>
        <v>20196370.329369068</v>
      </c>
      <c r="V1200" s="182">
        <f t="shared" si="767"/>
        <v>12684600.897722214</v>
      </c>
      <c r="W1200" s="182">
        <f t="shared" si="767"/>
        <v>6142898.6791199679</v>
      </c>
      <c r="X1200" s="182">
        <f t="shared" si="767"/>
        <v>0</v>
      </c>
      <c r="Y1200" s="182">
        <f t="shared" si="767"/>
        <v>0</v>
      </c>
      <c r="Z1200" s="182">
        <f t="shared" si="767"/>
        <v>0</v>
      </c>
      <c r="AA1200" s="182">
        <f t="shared" si="767"/>
        <v>0</v>
      </c>
      <c r="AB1200" s="182">
        <f t="shared" si="767"/>
        <v>0</v>
      </c>
      <c r="AC1200" s="182">
        <f t="shared" si="767"/>
        <v>0</v>
      </c>
      <c r="AD1200" s="182">
        <f t="shared" si="767"/>
        <v>0</v>
      </c>
      <c r="AE1200" s="182">
        <f t="shared" si="767"/>
        <v>0</v>
      </c>
      <c r="AF1200" s="182">
        <f t="shared" si="767"/>
        <v>0</v>
      </c>
      <c r="AG1200" s="182">
        <f t="shared" si="767"/>
        <v>0</v>
      </c>
      <c r="AH1200" s="182">
        <f t="shared" si="767"/>
        <v>0</v>
      </c>
      <c r="AI1200" s="182">
        <f t="shared" si="767"/>
        <v>0</v>
      </c>
      <c r="AJ1200" s="182">
        <f t="shared" si="767"/>
        <v>0</v>
      </c>
      <c r="AK1200" s="182">
        <f t="shared" si="767"/>
        <v>0</v>
      </c>
      <c r="AL1200" s="182">
        <f t="shared" si="767"/>
        <v>0</v>
      </c>
      <c r="AM1200" s="182">
        <f t="shared" si="767"/>
        <v>0</v>
      </c>
      <c r="AN1200" s="182">
        <f t="shared" si="767"/>
        <v>0</v>
      </c>
      <c r="AO1200" s="182">
        <f t="shared" si="767"/>
        <v>0</v>
      </c>
      <c r="AP1200" s="182">
        <f t="shared" si="767"/>
        <v>0</v>
      </c>
      <c r="AQ1200" s="182">
        <f t="shared" si="767"/>
        <v>0</v>
      </c>
      <c r="AR1200" s="182">
        <f t="shared" si="767"/>
        <v>0</v>
      </c>
      <c r="AS1200" s="182">
        <f t="shared" si="767"/>
        <v>0</v>
      </c>
      <c r="AT1200" s="182">
        <f t="shared" si="767"/>
        <v>0</v>
      </c>
      <c r="AU1200" s="182">
        <f t="shared" si="767"/>
        <v>0</v>
      </c>
      <c r="AV1200" s="182">
        <f t="shared" si="767"/>
        <v>0</v>
      </c>
      <c r="AW1200" s="182">
        <f t="shared" si="767"/>
        <v>0</v>
      </c>
      <c r="AX1200" s="182">
        <f t="shared" si="767"/>
        <v>0</v>
      </c>
      <c r="AY1200" s="182">
        <f t="shared" si="767"/>
        <v>0</v>
      </c>
      <c r="AZ1200" s="182">
        <f t="shared" si="767"/>
        <v>0</v>
      </c>
      <c r="BA1200" s="182">
        <f t="shared" si="767"/>
        <v>0</v>
      </c>
      <c r="BB1200" s="182">
        <f t="shared" si="767"/>
        <v>0</v>
      </c>
      <c r="BC1200" s="182">
        <f t="shared" si="767"/>
        <v>0</v>
      </c>
      <c r="BD1200" s="182">
        <f t="shared" si="767"/>
        <v>0</v>
      </c>
      <c r="BE1200" s="182">
        <f t="shared" si="767"/>
        <v>0</v>
      </c>
      <c r="BF1200" s="182">
        <f t="shared" si="767"/>
        <v>0</v>
      </c>
      <c r="BG1200" s="182">
        <f t="shared" si="767"/>
        <v>0</v>
      </c>
      <c r="BH1200" s="182">
        <f t="shared" si="767"/>
        <v>0</v>
      </c>
      <c r="BI1200" s="182">
        <f t="shared" si="767"/>
        <v>0</v>
      </c>
      <c r="BJ1200" s="183">
        <f t="shared" si="767"/>
        <v>0</v>
      </c>
    </row>
    <row r="1201" spans="1:63" s="80" customFormat="1">
      <c r="A1201" s="184" t="s">
        <v>143</v>
      </c>
      <c r="B1201" s="177"/>
      <c r="C1201" s="181">
        <f>C1200</f>
        <v>-30241857.375144653</v>
      </c>
      <c r="D1201" s="182">
        <f t="shared" ref="D1201:BJ1201" si="768">IF(D1200=0, 0, C1201+D1200)</f>
        <v>-60191753.822701812</v>
      </c>
      <c r="E1201" s="182">
        <f t="shared" si="768"/>
        <v>-102796804.6765931</v>
      </c>
      <c r="F1201" s="182">
        <f t="shared" si="768"/>
        <v>-142358637.61234927</v>
      </c>
      <c r="G1201" s="182">
        <f t="shared" si="768"/>
        <v>-179094625.33840859</v>
      </c>
      <c r="H1201" s="182">
        <f t="shared" si="768"/>
        <v>-160424656.08629024</v>
      </c>
      <c r="I1201" s="182">
        <f t="shared" si="768"/>
        <v>-127183379.71124324</v>
      </c>
      <c r="J1201" s="182">
        <f t="shared" si="768"/>
        <v>-81547666.461706996</v>
      </c>
      <c r="K1201" s="182">
        <f t="shared" si="768"/>
        <v>-25457748.525746532</v>
      </c>
      <c r="L1201" s="182">
        <f t="shared" si="768"/>
        <v>59199804.759735458</v>
      </c>
      <c r="M1201" s="182">
        <f t="shared" si="768"/>
        <v>137810389.95339727</v>
      </c>
      <c r="N1201" s="182">
        <f t="shared" si="768"/>
        <v>210805933.34751177</v>
      </c>
      <c r="O1201" s="182">
        <f t="shared" si="768"/>
        <v>278587509.35633242</v>
      </c>
      <c r="P1201" s="182">
        <f t="shared" si="768"/>
        <v>341527544.22166586</v>
      </c>
      <c r="Q1201" s="182">
        <f t="shared" si="768"/>
        <v>399971862.31090409</v>
      </c>
      <c r="R1201" s="182">
        <f t="shared" si="768"/>
        <v>454241586.250911</v>
      </c>
      <c r="S1201" s="182">
        <f t="shared" si="768"/>
        <v>504634901.33806026</v>
      </c>
      <c r="T1201" s="182">
        <f t="shared" si="768"/>
        <v>533423641.12466848</v>
      </c>
      <c r="U1201" s="182">
        <f t="shared" si="768"/>
        <v>553620011.45403755</v>
      </c>
      <c r="V1201" s="182">
        <f t="shared" si="768"/>
        <v>566304612.35175979</v>
      </c>
      <c r="W1201" s="182">
        <f t="shared" si="768"/>
        <v>572447511.03087974</v>
      </c>
      <c r="X1201" s="182">
        <f t="shared" si="768"/>
        <v>0</v>
      </c>
      <c r="Y1201" s="182">
        <f t="shared" si="768"/>
        <v>0</v>
      </c>
      <c r="Z1201" s="182">
        <f t="shared" si="768"/>
        <v>0</v>
      </c>
      <c r="AA1201" s="182">
        <f t="shared" si="768"/>
        <v>0</v>
      </c>
      <c r="AB1201" s="182">
        <f t="shared" si="768"/>
        <v>0</v>
      </c>
      <c r="AC1201" s="182">
        <f t="shared" si="768"/>
        <v>0</v>
      </c>
      <c r="AD1201" s="182">
        <f t="shared" si="768"/>
        <v>0</v>
      </c>
      <c r="AE1201" s="182">
        <f t="shared" si="768"/>
        <v>0</v>
      </c>
      <c r="AF1201" s="182">
        <f t="shared" si="768"/>
        <v>0</v>
      </c>
      <c r="AG1201" s="182">
        <f t="shared" si="768"/>
        <v>0</v>
      </c>
      <c r="AH1201" s="182">
        <f t="shared" si="768"/>
        <v>0</v>
      </c>
      <c r="AI1201" s="182">
        <f t="shared" si="768"/>
        <v>0</v>
      </c>
      <c r="AJ1201" s="182">
        <f t="shared" si="768"/>
        <v>0</v>
      </c>
      <c r="AK1201" s="182">
        <f t="shared" si="768"/>
        <v>0</v>
      </c>
      <c r="AL1201" s="182">
        <f t="shared" si="768"/>
        <v>0</v>
      </c>
      <c r="AM1201" s="182">
        <f t="shared" si="768"/>
        <v>0</v>
      </c>
      <c r="AN1201" s="182">
        <f t="shared" si="768"/>
        <v>0</v>
      </c>
      <c r="AO1201" s="182">
        <f t="shared" si="768"/>
        <v>0</v>
      </c>
      <c r="AP1201" s="182">
        <f t="shared" si="768"/>
        <v>0</v>
      </c>
      <c r="AQ1201" s="182">
        <f t="shared" si="768"/>
        <v>0</v>
      </c>
      <c r="AR1201" s="182">
        <f t="shared" si="768"/>
        <v>0</v>
      </c>
      <c r="AS1201" s="182">
        <f t="shared" si="768"/>
        <v>0</v>
      </c>
      <c r="AT1201" s="182">
        <f t="shared" si="768"/>
        <v>0</v>
      </c>
      <c r="AU1201" s="182">
        <f t="shared" si="768"/>
        <v>0</v>
      </c>
      <c r="AV1201" s="182">
        <f t="shared" si="768"/>
        <v>0</v>
      </c>
      <c r="AW1201" s="182">
        <f t="shared" si="768"/>
        <v>0</v>
      </c>
      <c r="AX1201" s="182">
        <f t="shared" si="768"/>
        <v>0</v>
      </c>
      <c r="AY1201" s="182">
        <f t="shared" si="768"/>
        <v>0</v>
      </c>
      <c r="AZ1201" s="182">
        <f t="shared" si="768"/>
        <v>0</v>
      </c>
      <c r="BA1201" s="182">
        <f t="shared" si="768"/>
        <v>0</v>
      </c>
      <c r="BB1201" s="182">
        <f t="shared" si="768"/>
        <v>0</v>
      </c>
      <c r="BC1201" s="182">
        <f t="shared" si="768"/>
        <v>0</v>
      </c>
      <c r="BD1201" s="182">
        <f t="shared" si="768"/>
        <v>0</v>
      </c>
      <c r="BE1201" s="182">
        <f t="shared" si="768"/>
        <v>0</v>
      </c>
      <c r="BF1201" s="182">
        <f t="shared" si="768"/>
        <v>0</v>
      </c>
      <c r="BG1201" s="182">
        <f t="shared" si="768"/>
        <v>0</v>
      </c>
      <c r="BH1201" s="182">
        <f t="shared" si="768"/>
        <v>0</v>
      </c>
      <c r="BI1201" s="182">
        <f t="shared" si="768"/>
        <v>0</v>
      </c>
      <c r="BJ1201" s="183">
        <f t="shared" si="768"/>
        <v>0</v>
      </c>
    </row>
    <row r="1202" spans="1:63" s="83" customFormat="1">
      <c r="A1202" s="78"/>
      <c r="B1202" s="81"/>
      <c r="C1202" s="82"/>
      <c r="D1202" s="82"/>
      <c r="E1202" s="82"/>
      <c r="F1202" s="82"/>
      <c r="G1202" s="82"/>
      <c r="H1202" s="82"/>
      <c r="I1202" s="82"/>
      <c r="J1202" s="82"/>
      <c r="K1202" s="82"/>
      <c r="L1202" s="82"/>
      <c r="M1202" s="82"/>
      <c r="N1202" s="82"/>
      <c r="O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2"/>
      <c r="AD1202" s="82"/>
      <c r="AE1202" s="82"/>
      <c r="AF1202" s="82"/>
      <c r="AG1202" s="82"/>
      <c r="AH1202" s="82"/>
      <c r="AI1202" s="82"/>
      <c r="AJ1202" s="82"/>
      <c r="AK1202" s="82"/>
      <c r="AL1202" s="82"/>
      <c r="AM1202" s="82"/>
      <c r="AN1202" s="82"/>
      <c r="AO1202" s="82"/>
      <c r="AP1202" s="82"/>
      <c r="AQ1202" s="82"/>
      <c r="AR1202" s="82"/>
      <c r="AS1202" s="82"/>
      <c r="AT1202" s="82"/>
      <c r="AU1202" s="82"/>
      <c r="AV1202" s="82"/>
      <c r="AW1202" s="82"/>
      <c r="AX1202" s="82"/>
      <c r="AY1202" s="82"/>
      <c r="AZ1202" s="82"/>
      <c r="BA1202" s="82"/>
      <c r="BB1202" s="82"/>
      <c r="BC1202" s="82"/>
      <c r="BD1202" s="82"/>
      <c r="BE1202" s="82"/>
      <c r="BF1202" s="82"/>
      <c r="BG1202" s="82"/>
      <c r="BH1202" s="82"/>
      <c r="BI1202" s="82"/>
      <c r="BJ1202" s="82"/>
    </row>
    <row r="1203" spans="1:63" ht="21">
      <c r="A1203" s="185" t="s">
        <v>163</v>
      </c>
      <c r="B1203" s="93"/>
      <c r="C1203" s="186"/>
      <c r="D1203" s="186"/>
      <c r="E1203" s="186"/>
      <c r="F1203" s="186"/>
      <c r="G1203" s="186"/>
      <c r="H1203" s="186"/>
      <c r="I1203" s="186"/>
      <c r="J1203" s="186"/>
      <c r="K1203" s="186"/>
      <c r="L1203" s="186"/>
      <c r="M1203" s="186"/>
      <c r="N1203" s="186"/>
      <c r="O1203" s="186"/>
      <c r="P1203" s="186"/>
      <c r="Q1203" s="186"/>
      <c r="R1203" s="186"/>
      <c r="S1203" s="186"/>
      <c r="T1203" s="186"/>
      <c r="U1203" s="186"/>
      <c r="V1203" s="186"/>
      <c r="W1203" s="186"/>
      <c r="X1203" s="186"/>
      <c r="Y1203" s="186"/>
      <c r="Z1203" s="186"/>
      <c r="AA1203" s="186"/>
      <c r="AB1203" s="186"/>
      <c r="AC1203" s="186"/>
      <c r="AD1203" s="186"/>
      <c r="AE1203" s="186"/>
      <c r="AF1203" s="186"/>
      <c r="AG1203" s="186"/>
      <c r="AH1203" s="186"/>
      <c r="AI1203" s="186"/>
      <c r="AJ1203" s="186"/>
      <c r="AK1203" s="186"/>
      <c r="AL1203" s="186"/>
      <c r="AM1203" s="186"/>
      <c r="AN1203" s="186"/>
      <c r="AO1203" s="186"/>
      <c r="AP1203" s="186"/>
      <c r="AQ1203" s="186"/>
      <c r="AR1203" s="186"/>
      <c r="AS1203" s="186"/>
      <c r="AT1203" s="186"/>
      <c r="AU1203" s="186"/>
      <c r="AV1203" s="186"/>
      <c r="AW1203" s="186"/>
      <c r="AX1203" s="186"/>
      <c r="AY1203" s="186"/>
      <c r="AZ1203" s="186"/>
      <c r="BA1203" s="186"/>
      <c r="BB1203" s="186"/>
      <c r="BC1203" s="186"/>
      <c r="BD1203" s="186"/>
      <c r="BE1203" s="186"/>
      <c r="BF1203" s="186"/>
      <c r="BG1203" s="186"/>
      <c r="BH1203" s="186"/>
      <c r="BI1203" s="186"/>
      <c r="BJ1203" s="186"/>
    </row>
    <row r="1204" spans="1:63">
      <c r="A1204" s="187" t="s">
        <v>158</v>
      </c>
      <c r="B1204" s="188">
        <f>SUM(C1204:BJ1204)</f>
        <v>734.9099074739845</v>
      </c>
      <c r="C1204" s="189">
        <f>(C1156*(1-$K1097))/(1+$C1097)^(C1155-1)</f>
        <v>0</v>
      </c>
      <c r="D1204" s="190">
        <f>(D1156*(1-$K1097))/(1+$C1097)^(D1155-1)</f>
        <v>0</v>
      </c>
      <c r="E1204" s="190">
        <f t="shared" ref="E1204:BJ1204" si="769">(E1156*(1-$K1097))/(1+$C1097)^(E1155-1)</f>
        <v>0</v>
      </c>
      <c r="F1204" s="190">
        <f t="shared" si="769"/>
        <v>0</v>
      </c>
      <c r="G1204" s="190">
        <f t="shared" si="769"/>
        <v>0</v>
      </c>
      <c r="H1204" s="190">
        <f t="shared" si="769"/>
        <v>21.925373704966674</v>
      </c>
      <c r="I1204" s="190">
        <f t="shared" si="769"/>
        <v>39.152453044583339</v>
      </c>
      <c r="J1204" s="190">
        <f t="shared" si="769"/>
        <v>52.436321041852686</v>
      </c>
      <c r="K1204" s="190">
        <f t="shared" si="769"/>
        <v>62.424191716491293</v>
      </c>
      <c r="L1204" s="190">
        <f t="shared" si="769"/>
        <v>91.378580330332255</v>
      </c>
      <c r="M1204" s="190">
        <f t="shared" si="769"/>
        <v>81.588018152082356</v>
      </c>
      <c r="N1204" s="190">
        <f t="shared" si="769"/>
        <v>72.846444778644951</v>
      </c>
      <c r="O1204" s="190">
        <f t="shared" si="769"/>
        <v>65.041468552361565</v>
      </c>
      <c r="P1204" s="190">
        <f t="shared" si="769"/>
        <v>58.072739778894253</v>
      </c>
      <c r="Q1204" s="190">
        <f t="shared" si="769"/>
        <v>51.850660516869858</v>
      </c>
      <c r="R1204" s="190">
        <f t="shared" si="769"/>
        <v>46.295232604348094</v>
      </c>
      <c r="S1204" s="190">
        <f t="shared" si="769"/>
        <v>41.335029111025079</v>
      </c>
      <c r="T1204" s="190">
        <f t="shared" si="769"/>
        <v>22.510789334338835</v>
      </c>
      <c r="U1204" s="190">
        <f t="shared" si="769"/>
        <v>15.074189286387609</v>
      </c>
      <c r="V1204" s="190">
        <f t="shared" si="769"/>
        <v>8.9727317180878625</v>
      </c>
      <c r="W1204" s="190">
        <f t="shared" si="769"/>
        <v>4.0056838027177957</v>
      </c>
      <c r="X1204" s="190">
        <f t="shared" si="769"/>
        <v>0</v>
      </c>
      <c r="Y1204" s="190">
        <f t="shared" si="769"/>
        <v>0</v>
      </c>
      <c r="Z1204" s="190">
        <f t="shared" si="769"/>
        <v>0</v>
      </c>
      <c r="AA1204" s="190">
        <f t="shared" si="769"/>
        <v>0</v>
      </c>
      <c r="AB1204" s="190">
        <f t="shared" si="769"/>
        <v>0</v>
      </c>
      <c r="AC1204" s="190">
        <f t="shared" si="769"/>
        <v>0</v>
      </c>
      <c r="AD1204" s="190">
        <f t="shared" si="769"/>
        <v>0</v>
      </c>
      <c r="AE1204" s="190">
        <f t="shared" si="769"/>
        <v>0</v>
      </c>
      <c r="AF1204" s="190">
        <f t="shared" si="769"/>
        <v>0</v>
      </c>
      <c r="AG1204" s="190">
        <f t="shared" si="769"/>
        <v>0</v>
      </c>
      <c r="AH1204" s="190">
        <f t="shared" si="769"/>
        <v>0</v>
      </c>
      <c r="AI1204" s="190">
        <f t="shared" si="769"/>
        <v>0</v>
      </c>
      <c r="AJ1204" s="190">
        <f t="shared" si="769"/>
        <v>0</v>
      </c>
      <c r="AK1204" s="190">
        <f t="shared" si="769"/>
        <v>0</v>
      </c>
      <c r="AL1204" s="190">
        <f t="shared" si="769"/>
        <v>0</v>
      </c>
      <c r="AM1204" s="190">
        <f t="shared" si="769"/>
        <v>0</v>
      </c>
      <c r="AN1204" s="190">
        <f t="shared" si="769"/>
        <v>0</v>
      </c>
      <c r="AO1204" s="190">
        <f t="shared" si="769"/>
        <v>0</v>
      </c>
      <c r="AP1204" s="190">
        <f t="shared" si="769"/>
        <v>0</v>
      </c>
      <c r="AQ1204" s="190">
        <f t="shared" si="769"/>
        <v>0</v>
      </c>
      <c r="AR1204" s="190">
        <f t="shared" si="769"/>
        <v>0</v>
      </c>
      <c r="AS1204" s="190">
        <f t="shared" si="769"/>
        <v>0</v>
      </c>
      <c r="AT1204" s="190">
        <f t="shared" si="769"/>
        <v>0</v>
      </c>
      <c r="AU1204" s="190">
        <f t="shared" si="769"/>
        <v>0</v>
      </c>
      <c r="AV1204" s="190">
        <f t="shared" si="769"/>
        <v>0</v>
      </c>
      <c r="AW1204" s="190">
        <f t="shared" si="769"/>
        <v>0</v>
      </c>
      <c r="AX1204" s="190">
        <f t="shared" si="769"/>
        <v>0</v>
      </c>
      <c r="AY1204" s="190">
        <f t="shared" si="769"/>
        <v>0</v>
      </c>
      <c r="AZ1204" s="190">
        <f t="shared" si="769"/>
        <v>0</v>
      </c>
      <c r="BA1204" s="190">
        <f t="shared" si="769"/>
        <v>0</v>
      </c>
      <c r="BB1204" s="190">
        <f t="shared" si="769"/>
        <v>0</v>
      </c>
      <c r="BC1204" s="190">
        <f t="shared" si="769"/>
        <v>0</v>
      </c>
      <c r="BD1204" s="190">
        <f t="shared" si="769"/>
        <v>0</v>
      </c>
      <c r="BE1204" s="190">
        <f t="shared" si="769"/>
        <v>0</v>
      </c>
      <c r="BF1204" s="190">
        <f t="shared" si="769"/>
        <v>0</v>
      </c>
      <c r="BG1204" s="190">
        <f t="shared" si="769"/>
        <v>0</v>
      </c>
      <c r="BH1204" s="190">
        <f t="shared" si="769"/>
        <v>0</v>
      </c>
      <c r="BI1204" s="190">
        <f t="shared" si="769"/>
        <v>0</v>
      </c>
      <c r="BJ1204" s="191">
        <f t="shared" si="769"/>
        <v>0</v>
      </c>
    </row>
    <row r="1205" spans="1:63">
      <c r="A1205" s="192" t="s">
        <v>159</v>
      </c>
      <c r="B1205" s="193">
        <f>SUM(C1205:BJ1205)</f>
        <v>553282093.95214748</v>
      </c>
      <c r="C1205" s="194">
        <f>(((C1158+C1187)*(1-$K1097))-(C1197-C1167))/(1+$C1097)^(C1155-1)</f>
        <v>39357057.209787577</v>
      </c>
      <c r="D1205" s="186">
        <f>(((D1158+D1187)*(1-$K1097))-(D1197-D1167))/(1+$C1097)^(D1155-1)</f>
        <v>38557411.227788948</v>
      </c>
      <c r="E1205" s="186">
        <f t="shared" ref="E1205:BJ1205" si="770">(((E1158+E1187)*(1-$K1097))-(E1197-E1167))/(1+$C1097)^(E1155-1)</f>
        <v>50149133.860534742</v>
      </c>
      <c r="F1205" s="186">
        <f t="shared" si="770"/>
        <v>46150487.101873755</v>
      </c>
      <c r="G1205" s="186">
        <f t="shared" si="770"/>
        <v>42467212.666590191</v>
      </c>
      <c r="H1205" s="186">
        <f t="shared" si="770"/>
        <v>6634472.4028066304</v>
      </c>
      <c r="I1205" s="186">
        <f t="shared" si="770"/>
        <v>13752686.698385112</v>
      </c>
      <c r="J1205" s="186">
        <f t="shared" si="770"/>
        <v>19820163.888458468</v>
      </c>
      <c r="K1205" s="186">
        <f t="shared" si="770"/>
        <v>24950691.853937756</v>
      </c>
      <c r="L1205" s="186">
        <f t="shared" si="770"/>
        <v>38717546.892850429</v>
      </c>
      <c r="M1205" s="186">
        <f t="shared" si="770"/>
        <v>35952007.829075389</v>
      </c>
      <c r="N1205" s="186">
        <f t="shared" si="770"/>
        <v>33384007.269855712</v>
      </c>
      <c r="O1205" s="186">
        <f t="shared" si="770"/>
        <v>30999435.322008889</v>
      </c>
      <c r="P1205" s="186">
        <f t="shared" si="770"/>
        <v>28785189.941865392</v>
      </c>
      <c r="Q1205" s="186">
        <f t="shared" si="770"/>
        <v>26729104.946017861</v>
      </c>
      <c r="R1205" s="186">
        <f t="shared" si="770"/>
        <v>24819883.164159443</v>
      </c>
      <c r="S1205" s="186">
        <f t="shared" si="770"/>
        <v>23047034.366719484</v>
      </c>
      <c r="T1205" s="186">
        <f t="shared" si="770"/>
        <v>12806204.781739242</v>
      </c>
      <c r="U1205" s="186">
        <f t="shared" si="770"/>
        <v>8771537.4950157609</v>
      </c>
      <c r="V1205" s="186">
        <f t="shared" si="770"/>
        <v>5247913.4697541082</v>
      </c>
      <c r="W1205" s="186">
        <f t="shared" si="770"/>
        <v>2182911.5629226086</v>
      </c>
      <c r="X1205" s="186">
        <f t="shared" si="770"/>
        <v>0</v>
      </c>
      <c r="Y1205" s="186">
        <f t="shared" si="770"/>
        <v>0</v>
      </c>
      <c r="Z1205" s="186">
        <f t="shared" si="770"/>
        <v>0</v>
      </c>
      <c r="AA1205" s="186">
        <f t="shared" si="770"/>
        <v>0</v>
      </c>
      <c r="AB1205" s="186">
        <f t="shared" si="770"/>
        <v>0</v>
      </c>
      <c r="AC1205" s="186">
        <f t="shared" si="770"/>
        <v>0</v>
      </c>
      <c r="AD1205" s="186">
        <f t="shared" si="770"/>
        <v>0</v>
      </c>
      <c r="AE1205" s="186">
        <f t="shared" si="770"/>
        <v>0</v>
      </c>
      <c r="AF1205" s="186">
        <f t="shared" si="770"/>
        <v>0</v>
      </c>
      <c r="AG1205" s="186">
        <f t="shared" si="770"/>
        <v>0</v>
      </c>
      <c r="AH1205" s="186">
        <f t="shared" si="770"/>
        <v>0</v>
      </c>
      <c r="AI1205" s="186">
        <f t="shared" si="770"/>
        <v>0</v>
      </c>
      <c r="AJ1205" s="186">
        <f t="shared" si="770"/>
        <v>0</v>
      </c>
      <c r="AK1205" s="186">
        <f t="shared" si="770"/>
        <v>0</v>
      </c>
      <c r="AL1205" s="186">
        <f t="shared" si="770"/>
        <v>0</v>
      </c>
      <c r="AM1205" s="186">
        <f t="shared" si="770"/>
        <v>0</v>
      </c>
      <c r="AN1205" s="186">
        <f t="shared" si="770"/>
        <v>0</v>
      </c>
      <c r="AO1205" s="186">
        <f t="shared" si="770"/>
        <v>0</v>
      </c>
      <c r="AP1205" s="186">
        <f t="shared" si="770"/>
        <v>0</v>
      </c>
      <c r="AQ1205" s="186">
        <f t="shared" si="770"/>
        <v>0</v>
      </c>
      <c r="AR1205" s="186">
        <f t="shared" si="770"/>
        <v>0</v>
      </c>
      <c r="AS1205" s="186">
        <f t="shared" si="770"/>
        <v>0</v>
      </c>
      <c r="AT1205" s="186">
        <f t="shared" si="770"/>
        <v>0</v>
      </c>
      <c r="AU1205" s="186">
        <f t="shared" si="770"/>
        <v>0</v>
      </c>
      <c r="AV1205" s="186">
        <f t="shared" si="770"/>
        <v>0</v>
      </c>
      <c r="AW1205" s="186">
        <f t="shared" si="770"/>
        <v>0</v>
      </c>
      <c r="AX1205" s="186">
        <f t="shared" si="770"/>
        <v>0</v>
      </c>
      <c r="AY1205" s="186">
        <f t="shared" si="770"/>
        <v>0</v>
      </c>
      <c r="AZ1205" s="186">
        <f t="shared" si="770"/>
        <v>0</v>
      </c>
      <c r="BA1205" s="186">
        <f t="shared" si="770"/>
        <v>0</v>
      </c>
      <c r="BB1205" s="186">
        <f t="shared" si="770"/>
        <v>0</v>
      </c>
      <c r="BC1205" s="186">
        <f t="shared" si="770"/>
        <v>0</v>
      </c>
      <c r="BD1205" s="186">
        <f t="shared" si="770"/>
        <v>0</v>
      </c>
      <c r="BE1205" s="186">
        <f t="shared" si="770"/>
        <v>0</v>
      </c>
      <c r="BF1205" s="186">
        <f t="shared" si="770"/>
        <v>0</v>
      </c>
      <c r="BG1205" s="186">
        <f t="shared" si="770"/>
        <v>0</v>
      </c>
      <c r="BH1205" s="186">
        <f t="shared" si="770"/>
        <v>0</v>
      </c>
      <c r="BI1205" s="186">
        <f t="shared" si="770"/>
        <v>0</v>
      </c>
      <c r="BJ1205" s="195">
        <f t="shared" si="770"/>
        <v>0</v>
      </c>
    </row>
    <row r="1206" spans="1:63">
      <c r="A1206" s="196" t="s">
        <v>160</v>
      </c>
      <c r="B1206" s="197">
        <f>B1205/B1204</f>
        <v>752857.03502607008</v>
      </c>
      <c r="C1206" s="166"/>
      <c r="D1206" s="167"/>
      <c r="E1206" s="167"/>
      <c r="F1206" s="167"/>
      <c r="G1206" s="167"/>
      <c r="H1206" s="167"/>
      <c r="I1206" s="167"/>
      <c r="J1206" s="167"/>
      <c r="K1206" s="167"/>
      <c r="L1206" s="167"/>
      <c r="M1206" s="167"/>
      <c r="N1206" s="167"/>
      <c r="O1206" s="167"/>
      <c r="P1206" s="167"/>
      <c r="Q1206" s="167"/>
      <c r="R1206" s="167"/>
      <c r="S1206" s="167"/>
      <c r="T1206" s="167"/>
      <c r="U1206" s="167"/>
      <c r="V1206" s="167"/>
      <c r="W1206" s="167"/>
      <c r="X1206" s="167"/>
      <c r="Y1206" s="167"/>
      <c r="Z1206" s="167"/>
      <c r="AA1206" s="167"/>
      <c r="AB1206" s="167"/>
      <c r="AC1206" s="167"/>
      <c r="AD1206" s="167"/>
      <c r="AE1206" s="167"/>
      <c r="AF1206" s="167"/>
      <c r="AG1206" s="167"/>
      <c r="AH1206" s="167"/>
      <c r="AI1206" s="167"/>
      <c r="AJ1206" s="167"/>
      <c r="AK1206" s="167"/>
      <c r="AL1206" s="167"/>
      <c r="AM1206" s="167"/>
      <c r="AN1206" s="167"/>
      <c r="AO1206" s="167"/>
      <c r="AP1206" s="167"/>
      <c r="AQ1206" s="167"/>
      <c r="AR1206" s="167"/>
      <c r="AS1206" s="167"/>
      <c r="AT1206" s="167"/>
      <c r="AU1206" s="167"/>
      <c r="AV1206" s="167"/>
      <c r="AW1206" s="167"/>
      <c r="AX1206" s="167"/>
      <c r="AY1206" s="167"/>
      <c r="AZ1206" s="167"/>
      <c r="BA1206" s="167"/>
      <c r="BB1206" s="167"/>
      <c r="BC1206" s="167"/>
      <c r="BD1206" s="167"/>
      <c r="BE1206" s="167"/>
      <c r="BF1206" s="167"/>
      <c r="BG1206" s="167"/>
      <c r="BH1206" s="167"/>
      <c r="BI1206" s="167"/>
      <c r="BJ1206" s="198"/>
    </row>
    <row r="1207" spans="1:63">
      <c r="A1207" s="187" t="s">
        <v>158</v>
      </c>
      <c r="B1207" s="188">
        <f>SUM(C1207:BJ1207)</f>
        <v>2800.0000000000005</v>
      </c>
      <c r="C1207" s="189">
        <f>(C1156*(1-$K1097))/(1)^(C1155-1)</f>
        <v>0</v>
      </c>
      <c r="D1207" s="190">
        <f>(D1156*(1-$K1097))/(1)^(D1155-1)</f>
        <v>0</v>
      </c>
      <c r="E1207" s="190">
        <f t="shared" ref="E1207:BJ1207" si="771">(E1156*(1-$K1097))/(1)^(E1155-1)</f>
        <v>0</v>
      </c>
      <c r="F1207" s="190">
        <f t="shared" si="771"/>
        <v>0</v>
      </c>
      <c r="G1207" s="190">
        <f t="shared" si="771"/>
        <v>0</v>
      </c>
      <c r="H1207" s="190">
        <f t="shared" si="771"/>
        <v>38.64</v>
      </c>
      <c r="I1207" s="190">
        <f t="shared" si="771"/>
        <v>77.28</v>
      </c>
      <c r="J1207" s="190">
        <f t="shared" si="771"/>
        <v>115.91999999999999</v>
      </c>
      <c r="K1207" s="190">
        <f t="shared" si="771"/>
        <v>154.56</v>
      </c>
      <c r="L1207" s="190">
        <f t="shared" si="771"/>
        <v>253.39999999999998</v>
      </c>
      <c r="M1207" s="190">
        <f t="shared" si="771"/>
        <v>253.39999999999998</v>
      </c>
      <c r="N1207" s="190">
        <f t="shared" si="771"/>
        <v>253.39999999999998</v>
      </c>
      <c r="O1207" s="190">
        <f t="shared" si="771"/>
        <v>253.39999999999998</v>
      </c>
      <c r="P1207" s="190">
        <f t="shared" si="771"/>
        <v>253.39999999999998</v>
      </c>
      <c r="Q1207" s="190">
        <f t="shared" si="771"/>
        <v>253.39999999999998</v>
      </c>
      <c r="R1207" s="190">
        <f t="shared" si="771"/>
        <v>253.39999999999998</v>
      </c>
      <c r="S1207" s="190">
        <f t="shared" si="771"/>
        <v>253.39999999999998</v>
      </c>
      <c r="T1207" s="190">
        <f t="shared" si="771"/>
        <v>154.56</v>
      </c>
      <c r="U1207" s="190">
        <f t="shared" si="771"/>
        <v>115.91999999999999</v>
      </c>
      <c r="V1207" s="190">
        <f t="shared" si="771"/>
        <v>77.28</v>
      </c>
      <c r="W1207" s="190">
        <f t="shared" si="771"/>
        <v>38.64</v>
      </c>
      <c r="X1207" s="190">
        <f t="shared" si="771"/>
        <v>0</v>
      </c>
      <c r="Y1207" s="190">
        <f t="shared" si="771"/>
        <v>0</v>
      </c>
      <c r="Z1207" s="190">
        <f t="shared" si="771"/>
        <v>0</v>
      </c>
      <c r="AA1207" s="190">
        <f t="shared" si="771"/>
        <v>0</v>
      </c>
      <c r="AB1207" s="190">
        <f t="shared" si="771"/>
        <v>0</v>
      </c>
      <c r="AC1207" s="190">
        <f t="shared" si="771"/>
        <v>0</v>
      </c>
      <c r="AD1207" s="190">
        <f t="shared" si="771"/>
        <v>0</v>
      </c>
      <c r="AE1207" s="190">
        <f t="shared" si="771"/>
        <v>0</v>
      </c>
      <c r="AF1207" s="190">
        <f t="shared" si="771"/>
        <v>0</v>
      </c>
      <c r="AG1207" s="190">
        <f t="shared" si="771"/>
        <v>0</v>
      </c>
      <c r="AH1207" s="190">
        <f t="shared" si="771"/>
        <v>0</v>
      </c>
      <c r="AI1207" s="190">
        <f t="shared" si="771"/>
        <v>0</v>
      </c>
      <c r="AJ1207" s="190">
        <f t="shared" si="771"/>
        <v>0</v>
      </c>
      <c r="AK1207" s="190">
        <f t="shared" si="771"/>
        <v>0</v>
      </c>
      <c r="AL1207" s="190">
        <f t="shared" si="771"/>
        <v>0</v>
      </c>
      <c r="AM1207" s="190">
        <f t="shared" si="771"/>
        <v>0</v>
      </c>
      <c r="AN1207" s="190">
        <f t="shared" si="771"/>
        <v>0</v>
      </c>
      <c r="AO1207" s="190">
        <f t="shared" si="771"/>
        <v>0</v>
      </c>
      <c r="AP1207" s="190">
        <f t="shared" si="771"/>
        <v>0</v>
      </c>
      <c r="AQ1207" s="190">
        <f t="shared" si="771"/>
        <v>0</v>
      </c>
      <c r="AR1207" s="190">
        <f t="shared" si="771"/>
        <v>0</v>
      </c>
      <c r="AS1207" s="190">
        <f t="shared" si="771"/>
        <v>0</v>
      </c>
      <c r="AT1207" s="190">
        <f t="shared" si="771"/>
        <v>0</v>
      </c>
      <c r="AU1207" s="190">
        <f t="shared" si="771"/>
        <v>0</v>
      </c>
      <c r="AV1207" s="190">
        <f t="shared" si="771"/>
        <v>0</v>
      </c>
      <c r="AW1207" s="190">
        <f t="shared" si="771"/>
        <v>0</v>
      </c>
      <c r="AX1207" s="190">
        <f t="shared" si="771"/>
        <v>0</v>
      </c>
      <c r="AY1207" s="190">
        <f t="shared" si="771"/>
        <v>0</v>
      </c>
      <c r="AZ1207" s="190">
        <f t="shared" si="771"/>
        <v>0</v>
      </c>
      <c r="BA1207" s="190">
        <f t="shared" si="771"/>
        <v>0</v>
      </c>
      <c r="BB1207" s="190">
        <f t="shared" si="771"/>
        <v>0</v>
      </c>
      <c r="BC1207" s="190">
        <f t="shared" si="771"/>
        <v>0</v>
      </c>
      <c r="BD1207" s="190">
        <f t="shared" si="771"/>
        <v>0</v>
      </c>
      <c r="BE1207" s="190">
        <f t="shared" si="771"/>
        <v>0</v>
      </c>
      <c r="BF1207" s="190">
        <f t="shared" si="771"/>
        <v>0</v>
      </c>
      <c r="BG1207" s="190">
        <f t="shared" si="771"/>
        <v>0</v>
      </c>
      <c r="BH1207" s="190">
        <f t="shared" si="771"/>
        <v>0</v>
      </c>
      <c r="BI1207" s="190">
        <f t="shared" si="771"/>
        <v>0</v>
      </c>
      <c r="BJ1207" s="191">
        <f t="shared" si="771"/>
        <v>0</v>
      </c>
    </row>
    <row r="1208" spans="1:63">
      <c r="A1208" s="192" t="s">
        <v>159</v>
      </c>
      <c r="B1208" s="193">
        <f>SUM(C1208:BJ1208)</f>
        <v>1632478991.1755755</v>
      </c>
      <c r="C1208" s="194">
        <f>(((C1158+C1187)*(1-$K1097))-(C1197-C1167))/(1)^(C1155-1)</f>
        <v>39357057.209787577</v>
      </c>
      <c r="D1208" s="186">
        <f>(((D1158+D1187)*(1-$K1097))-(D1197-D1167))/(1)^(D1155-1)</f>
        <v>43184300.575123623</v>
      </c>
      <c r="E1208" s="186">
        <f t="shared" ref="E1208:BJ1208" si="772">(((E1158+E1187)*(1-$K1097))-(E1197-E1167))/(1)^(E1155-1)</f>
        <v>62907073.514654785</v>
      </c>
      <c r="F1208" s="186">
        <f t="shared" si="772"/>
        <v>64838111.543061309</v>
      </c>
      <c r="G1208" s="186">
        <f t="shared" si="772"/>
        <v>66822981.296116903</v>
      </c>
      <c r="H1208" s="186">
        <f t="shared" si="772"/>
        <v>11692207.261506189</v>
      </c>
      <c r="I1208" s="186">
        <f t="shared" si="772"/>
        <v>27145364.987500794</v>
      </c>
      <c r="J1208" s="186">
        <f t="shared" si="772"/>
        <v>43816067.799956553</v>
      </c>
      <c r="K1208" s="186">
        <f t="shared" si="772"/>
        <v>61776994.253428787</v>
      </c>
      <c r="L1208" s="186">
        <f t="shared" si="772"/>
        <v>107366806.82914506</v>
      </c>
      <c r="M1208" s="186">
        <f t="shared" si="772"/>
        <v>111661479.10231085</v>
      </c>
      <c r="N1208" s="186">
        <f t="shared" si="772"/>
        <v>116127938.26640327</v>
      </c>
      <c r="O1208" s="186">
        <f t="shared" si="772"/>
        <v>120773055.79705946</v>
      </c>
      <c r="P1208" s="186">
        <f t="shared" si="772"/>
        <v>125603978.02894184</v>
      </c>
      <c r="Q1208" s="186">
        <f t="shared" si="772"/>
        <v>130628137.1500995</v>
      </c>
      <c r="R1208" s="186">
        <f t="shared" si="772"/>
        <v>135853262.63610348</v>
      </c>
      <c r="S1208" s="186">
        <f t="shared" si="772"/>
        <v>141287393.14154765</v>
      </c>
      <c r="T1208" s="186">
        <f t="shared" si="772"/>
        <v>87927925.656799376</v>
      </c>
      <c r="U1208" s="186">
        <f t="shared" si="772"/>
        <v>67452823.306419611</v>
      </c>
      <c r="V1208" s="186">
        <f t="shared" si="772"/>
        <v>45199028.086958587</v>
      </c>
      <c r="W1208" s="186">
        <f t="shared" si="772"/>
        <v>21057004.732650381</v>
      </c>
      <c r="X1208" s="186">
        <f t="shared" si="772"/>
        <v>0</v>
      </c>
      <c r="Y1208" s="186">
        <f t="shared" si="772"/>
        <v>0</v>
      </c>
      <c r="Z1208" s="186">
        <f t="shared" si="772"/>
        <v>0</v>
      </c>
      <c r="AA1208" s="186">
        <f t="shared" si="772"/>
        <v>0</v>
      </c>
      <c r="AB1208" s="186">
        <f t="shared" si="772"/>
        <v>0</v>
      </c>
      <c r="AC1208" s="186">
        <f t="shared" si="772"/>
        <v>0</v>
      </c>
      <c r="AD1208" s="186">
        <f t="shared" si="772"/>
        <v>0</v>
      </c>
      <c r="AE1208" s="186">
        <f t="shared" si="772"/>
        <v>0</v>
      </c>
      <c r="AF1208" s="186">
        <f t="shared" si="772"/>
        <v>0</v>
      </c>
      <c r="AG1208" s="186">
        <f t="shared" si="772"/>
        <v>0</v>
      </c>
      <c r="AH1208" s="186">
        <f t="shared" si="772"/>
        <v>0</v>
      </c>
      <c r="AI1208" s="186">
        <f t="shared" si="772"/>
        <v>0</v>
      </c>
      <c r="AJ1208" s="186">
        <f t="shared" si="772"/>
        <v>0</v>
      </c>
      <c r="AK1208" s="186">
        <f t="shared" si="772"/>
        <v>0</v>
      </c>
      <c r="AL1208" s="186">
        <f t="shared" si="772"/>
        <v>0</v>
      </c>
      <c r="AM1208" s="186">
        <f t="shared" si="772"/>
        <v>0</v>
      </c>
      <c r="AN1208" s="186">
        <f t="shared" si="772"/>
        <v>0</v>
      </c>
      <c r="AO1208" s="186">
        <f t="shared" si="772"/>
        <v>0</v>
      </c>
      <c r="AP1208" s="186">
        <f t="shared" si="772"/>
        <v>0</v>
      </c>
      <c r="AQ1208" s="186">
        <f t="shared" si="772"/>
        <v>0</v>
      </c>
      <c r="AR1208" s="186">
        <f t="shared" si="772"/>
        <v>0</v>
      </c>
      <c r="AS1208" s="186">
        <f t="shared" si="772"/>
        <v>0</v>
      </c>
      <c r="AT1208" s="186">
        <f t="shared" si="772"/>
        <v>0</v>
      </c>
      <c r="AU1208" s="186">
        <f t="shared" si="772"/>
        <v>0</v>
      </c>
      <c r="AV1208" s="186">
        <f t="shared" si="772"/>
        <v>0</v>
      </c>
      <c r="AW1208" s="186">
        <f t="shared" si="772"/>
        <v>0</v>
      </c>
      <c r="AX1208" s="186">
        <f t="shared" si="772"/>
        <v>0</v>
      </c>
      <c r="AY1208" s="186">
        <f t="shared" si="772"/>
        <v>0</v>
      </c>
      <c r="AZ1208" s="186">
        <f t="shared" si="772"/>
        <v>0</v>
      </c>
      <c r="BA1208" s="186">
        <f t="shared" si="772"/>
        <v>0</v>
      </c>
      <c r="BB1208" s="186">
        <f t="shared" si="772"/>
        <v>0</v>
      </c>
      <c r="BC1208" s="186">
        <f t="shared" si="772"/>
        <v>0</v>
      </c>
      <c r="BD1208" s="186">
        <f t="shared" si="772"/>
        <v>0</v>
      </c>
      <c r="BE1208" s="186">
        <f t="shared" si="772"/>
        <v>0</v>
      </c>
      <c r="BF1208" s="186">
        <f t="shared" si="772"/>
        <v>0</v>
      </c>
      <c r="BG1208" s="186">
        <f t="shared" si="772"/>
        <v>0</v>
      </c>
      <c r="BH1208" s="186">
        <f t="shared" si="772"/>
        <v>0</v>
      </c>
      <c r="BI1208" s="186">
        <f t="shared" si="772"/>
        <v>0</v>
      </c>
      <c r="BJ1208" s="195">
        <f t="shared" si="772"/>
        <v>0</v>
      </c>
      <c r="BK1208" s="186"/>
    </row>
    <row r="1209" spans="1:63">
      <c r="A1209" s="196" t="s">
        <v>161</v>
      </c>
      <c r="B1209" s="197">
        <f>B1208/B1207</f>
        <v>583028.21113413398</v>
      </c>
      <c r="C1209" s="166"/>
      <c r="D1209" s="167"/>
      <c r="E1209" s="167"/>
      <c r="F1209" s="167"/>
      <c r="G1209" s="167"/>
      <c r="H1209" s="167"/>
      <c r="I1209" s="167"/>
      <c r="J1209" s="167"/>
      <c r="K1209" s="167"/>
      <c r="L1209" s="167"/>
      <c r="M1209" s="167"/>
      <c r="N1209" s="167"/>
      <c r="O1209" s="167"/>
      <c r="P1209" s="167"/>
      <c r="Q1209" s="167"/>
      <c r="R1209" s="167"/>
      <c r="S1209" s="167"/>
      <c r="T1209" s="167"/>
      <c r="U1209" s="167"/>
      <c r="V1209" s="167"/>
      <c r="W1209" s="167"/>
      <c r="X1209" s="167"/>
      <c r="Y1209" s="167"/>
      <c r="Z1209" s="167"/>
      <c r="AA1209" s="167"/>
      <c r="AB1209" s="167"/>
      <c r="AC1209" s="167"/>
      <c r="AD1209" s="167"/>
      <c r="AE1209" s="167"/>
      <c r="AF1209" s="167"/>
      <c r="AG1209" s="167"/>
      <c r="AH1209" s="167"/>
      <c r="AI1209" s="167"/>
      <c r="AJ1209" s="167"/>
      <c r="AK1209" s="167"/>
      <c r="AL1209" s="167"/>
      <c r="AM1209" s="167"/>
      <c r="AN1209" s="167"/>
      <c r="AO1209" s="167"/>
      <c r="AP1209" s="167"/>
      <c r="AQ1209" s="167"/>
      <c r="AR1209" s="167"/>
      <c r="AS1209" s="167"/>
      <c r="AT1209" s="167"/>
      <c r="AU1209" s="167"/>
      <c r="AV1209" s="167"/>
      <c r="AW1209" s="167"/>
      <c r="AX1209" s="167"/>
      <c r="AY1209" s="167"/>
      <c r="AZ1209" s="167"/>
      <c r="BA1209" s="167"/>
      <c r="BB1209" s="167"/>
      <c r="BC1209" s="167"/>
      <c r="BD1209" s="167"/>
      <c r="BE1209" s="167"/>
      <c r="BF1209" s="167"/>
      <c r="BG1209" s="167"/>
      <c r="BH1209" s="167"/>
      <c r="BI1209" s="167"/>
      <c r="BJ1209" s="198"/>
    </row>
    <row r="1210" spans="1:63">
      <c r="A1210" s="216" t="s">
        <v>164</v>
      </c>
      <c r="B1210" s="235">
        <v>10</v>
      </c>
      <c r="C1210" s="218"/>
      <c r="D1210" s="186"/>
      <c r="E1210" s="186"/>
      <c r="F1210" s="186"/>
      <c r="G1210" s="186"/>
      <c r="H1210" s="186"/>
      <c r="I1210" s="186"/>
      <c r="J1210" s="186"/>
      <c r="K1210" s="186"/>
      <c r="L1210" s="186"/>
      <c r="M1210" s="186"/>
      <c r="N1210" s="186"/>
      <c r="O1210" s="186"/>
      <c r="P1210" s="186"/>
      <c r="Q1210" s="186"/>
      <c r="R1210" s="186"/>
      <c r="S1210" s="186"/>
      <c r="T1210" s="186"/>
      <c r="U1210" s="186"/>
      <c r="V1210" s="186"/>
      <c r="W1210" s="186"/>
      <c r="X1210" s="186"/>
      <c r="Y1210" s="186"/>
      <c r="Z1210" s="186"/>
      <c r="AA1210" s="186"/>
      <c r="AB1210" s="186"/>
      <c r="AC1210" s="186"/>
      <c r="AD1210" s="186"/>
      <c r="AE1210" s="186"/>
      <c r="AF1210" s="186"/>
      <c r="AG1210" s="186"/>
      <c r="AH1210" s="186"/>
      <c r="AI1210" s="186"/>
      <c r="AJ1210" s="186"/>
      <c r="AK1210" s="186"/>
      <c r="AL1210" s="186"/>
      <c r="AM1210" s="186"/>
      <c r="AN1210" s="186"/>
      <c r="AO1210" s="186"/>
      <c r="AP1210" s="186"/>
      <c r="AQ1210" s="186"/>
      <c r="AR1210" s="186"/>
      <c r="AS1210" s="186"/>
      <c r="AT1210" s="186"/>
      <c r="AU1210" s="186"/>
      <c r="AV1210" s="186"/>
      <c r="AW1210" s="186"/>
      <c r="AX1210" s="186"/>
      <c r="AY1210" s="186"/>
      <c r="AZ1210" s="186"/>
      <c r="BA1210" s="186"/>
      <c r="BB1210" s="186"/>
      <c r="BC1210" s="186"/>
      <c r="BD1210" s="186"/>
      <c r="BE1210" s="186"/>
      <c r="BF1210" s="186"/>
      <c r="BG1210" s="186"/>
      <c r="BH1210" s="186"/>
      <c r="BI1210" s="186"/>
      <c r="BJ1210" s="186"/>
    </row>
    <row r="1213" spans="1:63" s="240" customFormat="1" ht="21">
      <c r="A1213" s="236" t="s">
        <v>165</v>
      </c>
      <c r="B1213" s="237" t="s">
        <v>166</v>
      </c>
      <c r="C1213" s="238">
        <v>1</v>
      </c>
      <c r="D1213" s="238">
        <v>2</v>
      </c>
      <c r="E1213" s="238">
        <v>3</v>
      </c>
      <c r="F1213" s="238">
        <v>4</v>
      </c>
      <c r="G1213" s="238">
        <v>5</v>
      </c>
      <c r="H1213" s="238">
        <v>6</v>
      </c>
      <c r="I1213" s="238">
        <v>7</v>
      </c>
      <c r="J1213" s="238">
        <v>8</v>
      </c>
      <c r="K1213" s="238">
        <v>9</v>
      </c>
      <c r="L1213" s="238">
        <v>10</v>
      </c>
      <c r="M1213" s="238">
        <v>11</v>
      </c>
      <c r="N1213" s="238">
        <v>12</v>
      </c>
      <c r="O1213" s="238">
        <v>13</v>
      </c>
      <c r="P1213" s="238">
        <v>14</v>
      </c>
      <c r="Q1213" s="238">
        <v>15</v>
      </c>
      <c r="R1213" s="238">
        <v>16</v>
      </c>
      <c r="S1213" s="238">
        <v>17</v>
      </c>
      <c r="T1213" s="238">
        <v>18</v>
      </c>
      <c r="U1213" s="238">
        <v>19</v>
      </c>
      <c r="V1213" s="238">
        <v>20</v>
      </c>
      <c r="W1213" s="238">
        <v>21</v>
      </c>
      <c r="X1213" s="238">
        <v>22</v>
      </c>
      <c r="Y1213" s="238">
        <v>23</v>
      </c>
      <c r="Z1213" s="238">
        <v>24</v>
      </c>
      <c r="AA1213" s="238">
        <v>25</v>
      </c>
      <c r="AB1213" s="238">
        <v>26</v>
      </c>
      <c r="AC1213" s="238">
        <v>27</v>
      </c>
      <c r="AD1213" s="238">
        <v>28</v>
      </c>
      <c r="AE1213" s="238">
        <v>29</v>
      </c>
      <c r="AF1213" s="238">
        <v>30</v>
      </c>
      <c r="AG1213" s="238">
        <v>31</v>
      </c>
      <c r="AH1213" s="238">
        <v>32</v>
      </c>
      <c r="AI1213" s="238">
        <v>33</v>
      </c>
      <c r="AJ1213" s="238">
        <v>34</v>
      </c>
      <c r="AK1213" s="238">
        <v>35</v>
      </c>
      <c r="AL1213" s="238">
        <v>36</v>
      </c>
      <c r="AM1213" s="238">
        <v>37</v>
      </c>
      <c r="AN1213" s="238">
        <v>38</v>
      </c>
      <c r="AO1213" s="238">
        <v>39</v>
      </c>
      <c r="AP1213" s="238">
        <v>40</v>
      </c>
      <c r="AQ1213" s="238">
        <v>41</v>
      </c>
      <c r="AR1213" s="238">
        <v>42</v>
      </c>
      <c r="AS1213" s="238">
        <v>43</v>
      </c>
      <c r="AT1213" s="238">
        <v>44</v>
      </c>
      <c r="AU1213" s="238">
        <v>45</v>
      </c>
      <c r="AV1213" s="238">
        <v>46</v>
      </c>
      <c r="AW1213" s="238">
        <v>47</v>
      </c>
      <c r="AX1213" s="238">
        <v>48</v>
      </c>
      <c r="AY1213" s="238">
        <v>49</v>
      </c>
      <c r="AZ1213" s="238">
        <v>50</v>
      </c>
      <c r="BA1213" s="238">
        <v>51</v>
      </c>
      <c r="BB1213" s="238">
        <v>52</v>
      </c>
      <c r="BC1213" s="238">
        <v>53</v>
      </c>
      <c r="BD1213" s="238">
        <v>54</v>
      </c>
      <c r="BE1213" s="238">
        <v>55</v>
      </c>
      <c r="BF1213" s="238">
        <v>56</v>
      </c>
      <c r="BG1213" s="238">
        <v>57</v>
      </c>
      <c r="BH1213" s="238">
        <v>58</v>
      </c>
      <c r="BI1213" s="238">
        <v>59</v>
      </c>
      <c r="BJ1213" s="239">
        <v>60</v>
      </c>
    </row>
    <row r="1214" spans="1:63" ht="21">
      <c r="A1214" s="241"/>
      <c r="B1214" s="242" t="s">
        <v>59</v>
      </c>
      <c r="C1214" s="201"/>
      <c r="D1214" s="201"/>
      <c r="E1214" s="201"/>
      <c r="F1214" s="201"/>
      <c r="G1214" s="201"/>
      <c r="H1214" s="201"/>
      <c r="I1214" s="201"/>
      <c r="J1214" s="201"/>
      <c r="K1214" s="201"/>
      <c r="L1214" s="201"/>
      <c r="M1214" s="201"/>
      <c r="N1214" s="201"/>
      <c r="O1214" s="201"/>
      <c r="P1214" s="201"/>
      <c r="Q1214" s="201"/>
      <c r="R1214" s="201"/>
      <c r="S1214" s="201"/>
      <c r="T1214" s="201"/>
      <c r="U1214" s="201"/>
      <c r="V1214" s="201"/>
      <c r="W1214" s="201"/>
      <c r="X1214" s="201"/>
      <c r="Y1214" s="201"/>
      <c r="Z1214" s="201"/>
      <c r="AA1214" s="201"/>
      <c r="AB1214" s="201"/>
      <c r="AC1214" s="201"/>
      <c r="AD1214" s="201"/>
      <c r="AE1214" s="201"/>
      <c r="AF1214" s="201"/>
      <c r="AG1214" s="201"/>
      <c r="AH1214" s="201"/>
      <c r="AI1214" s="201"/>
      <c r="AJ1214" s="201"/>
      <c r="AK1214" s="201"/>
      <c r="AL1214" s="201"/>
      <c r="AM1214" s="201"/>
      <c r="AN1214" s="201"/>
      <c r="AO1214" s="201"/>
      <c r="AP1214" s="201"/>
      <c r="AQ1214" s="201"/>
      <c r="AR1214" s="201"/>
      <c r="AS1214" s="201"/>
      <c r="AT1214" s="201"/>
      <c r="AU1214" s="201"/>
      <c r="AV1214" s="201"/>
      <c r="AW1214" s="201"/>
      <c r="AX1214" s="201"/>
      <c r="AY1214" s="201"/>
      <c r="AZ1214" s="201"/>
      <c r="BA1214" s="201"/>
      <c r="BB1214" s="201"/>
      <c r="BC1214" s="201"/>
      <c r="BD1214" s="201"/>
      <c r="BE1214" s="201"/>
      <c r="BF1214" s="201"/>
      <c r="BG1214" s="201"/>
      <c r="BH1214" s="201"/>
      <c r="BI1214" s="201"/>
      <c r="BJ1214" s="243"/>
    </row>
    <row r="1215" spans="1:63" ht="21">
      <c r="A1215" s="241"/>
      <c r="B1215" s="242">
        <v>1</v>
      </c>
      <c r="C1215" s="186" t="e">
        <f>C157</f>
        <v>#REF!</v>
      </c>
      <c r="D1215" s="186" t="e">
        <f t="shared" ref="D1215:BJ1215" si="773">D157</f>
        <v>#REF!</v>
      </c>
      <c r="E1215" s="186" t="e">
        <f t="shared" si="773"/>
        <v>#REF!</v>
      </c>
      <c r="F1215" s="186" t="e">
        <f t="shared" si="773"/>
        <v>#REF!</v>
      </c>
      <c r="G1215" s="186" t="e">
        <f t="shared" si="773"/>
        <v>#REF!</v>
      </c>
      <c r="H1215" s="186" t="e">
        <f t="shared" si="773"/>
        <v>#REF!</v>
      </c>
      <c r="I1215" s="186" t="e">
        <f t="shared" si="773"/>
        <v>#REF!</v>
      </c>
      <c r="J1215" s="186" t="e">
        <f t="shared" si="773"/>
        <v>#REF!</v>
      </c>
      <c r="K1215" s="186" t="e">
        <f t="shared" si="773"/>
        <v>#REF!</v>
      </c>
      <c r="L1215" s="186" t="e">
        <f t="shared" si="773"/>
        <v>#REF!</v>
      </c>
      <c r="M1215" s="186" t="e">
        <f t="shared" si="773"/>
        <v>#REF!</v>
      </c>
      <c r="N1215" s="186" t="e">
        <f t="shared" si="773"/>
        <v>#REF!</v>
      </c>
      <c r="O1215" s="186" t="e">
        <f t="shared" si="773"/>
        <v>#REF!</v>
      </c>
      <c r="P1215" s="186" t="e">
        <f t="shared" si="773"/>
        <v>#REF!</v>
      </c>
      <c r="Q1215" s="186" t="e">
        <f t="shared" si="773"/>
        <v>#REF!</v>
      </c>
      <c r="R1215" s="186" t="e">
        <f t="shared" si="773"/>
        <v>#REF!</v>
      </c>
      <c r="S1215" s="186" t="e">
        <f t="shared" si="773"/>
        <v>#REF!</v>
      </c>
      <c r="T1215" s="186" t="e">
        <f t="shared" si="773"/>
        <v>#REF!</v>
      </c>
      <c r="U1215" s="186" t="e">
        <f t="shared" si="773"/>
        <v>#REF!</v>
      </c>
      <c r="V1215" s="186" t="e">
        <f t="shared" si="773"/>
        <v>#REF!</v>
      </c>
      <c r="W1215" s="186" t="e">
        <f t="shared" si="773"/>
        <v>#REF!</v>
      </c>
      <c r="X1215" s="186" t="e">
        <f t="shared" si="773"/>
        <v>#REF!</v>
      </c>
      <c r="Y1215" s="186" t="e">
        <f t="shared" si="773"/>
        <v>#REF!</v>
      </c>
      <c r="Z1215" s="186" t="e">
        <f t="shared" si="773"/>
        <v>#REF!</v>
      </c>
      <c r="AA1215" s="186" t="e">
        <f t="shared" si="773"/>
        <v>#REF!</v>
      </c>
      <c r="AB1215" s="186" t="e">
        <f t="shared" si="773"/>
        <v>#REF!</v>
      </c>
      <c r="AC1215" s="186" t="e">
        <f t="shared" si="773"/>
        <v>#REF!</v>
      </c>
      <c r="AD1215" s="186" t="e">
        <f t="shared" si="773"/>
        <v>#REF!</v>
      </c>
      <c r="AE1215" s="186" t="e">
        <f t="shared" si="773"/>
        <v>#REF!</v>
      </c>
      <c r="AF1215" s="186" t="e">
        <f t="shared" si="773"/>
        <v>#REF!</v>
      </c>
      <c r="AG1215" s="186" t="e">
        <f t="shared" si="773"/>
        <v>#REF!</v>
      </c>
      <c r="AH1215" s="186" t="e">
        <f t="shared" si="773"/>
        <v>#REF!</v>
      </c>
      <c r="AI1215" s="186" t="e">
        <f t="shared" si="773"/>
        <v>#REF!</v>
      </c>
      <c r="AJ1215" s="186" t="e">
        <f t="shared" si="773"/>
        <v>#REF!</v>
      </c>
      <c r="AK1215" s="186" t="e">
        <f t="shared" si="773"/>
        <v>#REF!</v>
      </c>
      <c r="AL1215" s="186" t="e">
        <f t="shared" si="773"/>
        <v>#REF!</v>
      </c>
      <c r="AM1215" s="186" t="e">
        <f t="shared" si="773"/>
        <v>#REF!</v>
      </c>
      <c r="AN1215" s="186" t="e">
        <f t="shared" si="773"/>
        <v>#REF!</v>
      </c>
      <c r="AO1215" s="186" t="e">
        <f t="shared" si="773"/>
        <v>#REF!</v>
      </c>
      <c r="AP1215" s="186" t="e">
        <f t="shared" si="773"/>
        <v>#REF!</v>
      </c>
      <c r="AQ1215" s="186" t="e">
        <f t="shared" si="773"/>
        <v>#REF!</v>
      </c>
      <c r="AR1215" s="186" t="e">
        <f t="shared" si="773"/>
        <v>#REF!</v>
      </c>
      <c r="AS1215" s="186" t="e">
        <f t="shared" si="773"/>
        <v>#REF!</v>
      </c>
      <c r="AT1215" s="186" t="e">
        <f t="shared" si="773"/>
        <v>#REF!</v>
      </c>
      <c r="AU1215" s="186" t="e">
        <f t="shared" si="773"/>
        <v>#REF!</v>
      </c>
      <c r="AV1215" s="186" t="e">
        <f t="shared" si="773"/>
        <v>#REF!</v>
      </c>
      <c r="AW1215" s="186" t="e">
        <f t="shared" si="773"/>
        <v>#REF!</v>
      </c>
      <c r="AX1215" s="186" t="e">
        <f t="shared" si="773"/>
        <v>#REF!</v>
      </c>
      <c r="AY1215" s="186" t="e">
        <f t="shared" si="773"/>
        <v>#REF!</v>
      </c>
      <c r="AZ1215" s="186" t="e">
        <f t="shared" si="773"/>
        <v>#REF!</v>
      </c>
      <c r="BA1215" s="186" t="e">
        <f t="shared" si="773"/>
        <v>#REF!</v>
      </c>
      <c r="BB1215" s="186" t="e">
        <f t="shared" si="773"/>
        <v>#REF!</v>
      </c>
      <c r="BC1215" s="186" t="e">
        <f t="shared" si="773"/>
        <v>#REF!</v>
      </c>
      <c r="BD1215" s="186" t="e">
        <f t="shared" si="773"/>
        <v>#REF!</v>
      </c>
      <c r="BE1215" s="186" t="e">
        <f t="shared" si="773"/>
        <v>#REF!</v>
      </c>
      <c r="BF1215" s="186" t="e">
        <f t="shared" si="773"/>
        <v>#REF!</v>
      </c>
      <c r="BG1215" s="186" t="e">
        <f t="shared" si="773"/>
        <v>#REF!</v>
      </c>
      <c r="BH1215" s="186" t="e">
        <f t="shared" si="773"/>
        <v>#REF!</v>
      </c>
      <c r="BI1215" s="186" t="e">
        <f t="shared" si="773"/>
        <v>#REF!</v>
      </c>
      <c r="BJ1215" s="195" t="e">
        <f t="shared" si="773"/>
        <v>#REF!</v>
      </c>
    </row>
    <row r="1216" spans="1:63">
      <c r="A1216" s="241"/>
      <c r="B1216" s="244">
        <v>2</v>
      </c>
      <c r="C1216" s="186">
        <f>C273</f>
        <v>-33815835.29495126</v>
      </c>
      <c r="D1216" s="186">
        <f t="shared" ref="D1216:BJ1216" si="774">D273</f>
        <v>-67778338.614457756</v>
      </c>
      <c r="E1216" s="186">
        <f t="shared" si="774"/>
        <v>-131655484.3610855</v>
      </c>
      <c r="F1216" s="186">
        <f t="shared" si="774"/>
        <v>-190969976.84009698</v>
      </c>
      <c r="G1216" s="186">
        <f t="shared" si="774"/>
        <v>-246047719.85632193</v>
      </c>
      <c r="H1216" s="186">
        <f t="shared" si="774"/>
        <v>-230026869.88126913</v>
      </c>
      <c r="I1216" s="186">
        <f t="shared" si="774"/>
        <v>-202194132.17339686</v>
      </c>
      <c r="J1216" s="186">
        <f t="shared" si="774"/>
        <v>-164318658.29645002</v>
      </c>
      <c r="K1216" s="186">
        <f t="shared" si="774"/>
        <v>-117977128.60982631</v>
      </c>
      <c r="L1216" s="186">
        <f t="shared" si="774"/>
        <v>-47856040.526859581</v>
      </c>
      <c r="M1216" s="186">
        <f t="shared" si="774"/>
        <v>17256398.407323807</v>
      </c>
      <c r="N1216" s="186">
        <f t="shared" si="774"/>
        <v>77717948.846208379</v>
      </c>
      <c r="O1216" s="186">
        <f t="shared" si="774"/>
        <v>133860817.1108869</v>
      </c>
      <c r="P1216" s="186">
        <f t="shared" si="774"/>
        <v>185993480.49951696</v>
      </c>
      <c r="Q1216" s="186">
        <f t="shared" si="774"/>
        <v>234402382.21753058</v>
      </c>
      <c r="R1216" s="186">
        <f t="shared" si="774"/>
        <v>279353505.24140036</v>
      </c>
      <c r="S1216" s="186">
        <f t="shared" si="774"/>
        <v>304968419.01909977</v>
      </c>
      <c r="T1216" s="186">
        <f t="shared" si="774"/>
        <v>323019833.63566083</v>
      </c>
      <c r="U1216" s="186">
        <f t="shared" si="774"/>
        <v>334457560.63564563</v>
      </c>
      <c r="V1216" s="186">
        <f t="shared" si="774"/>
        <v>340134313.48154175</v>
      </c>
      <c r="W1216" s="186">
        <f t="shared" si="774"/>
        <v>0</v>
      </c>
      <c r="X1216" s="186">
        <f t="shared" si="774"/>
        <v>0</v>
      </c>
      <c r="Y1216" s="186">
        <f t="shared" si="774"/>
        <v>0</v>
      </c>
      <c r="Z1216" s="186">
        <f t="shared" si="774"/>
        <v>0</v>
      </c>
      <c r="AA1216" s="186">
        <f t="shared" si="774"/>
        <v>0</v>
      </c>
      <c r="AB1216" s="186">
        <f t="shared" si="774"/>
        <v>0</v>
      </c>
      <c r="AC1216" s="186">
        <f t="shared" si="774"/>
        <v>0</v>
      </c>
      <c r="AD1216" s="186">
        <f t="shared" si="774"/>
        <v>0</v>
      </c>
      <c r="AE1216" s="186">
        <f t="shared" si="774"/>
        <v>0</v>
      </c>
      <c r="AF1216" s="186">
        <f t="shared" si="774"/>
        <v>0</v>
      </c>
      <c r="AG1216" s="186">
        <f t="shared" si="774"/>
        <v>0</v>
      </c>
      <c r="AH1216" s="186">
        <f t="shared" si="774"/>
        <v>0</v>
      </c>
      <c r="AI1216" s="186">
        <f t="shared" si="774"/>
        <v>0</v>
      </c>
      <c r="AJ1216" s="186">
        <f t="shared" si="774"/>
        <v>0</v>
      </c>
      <c r="AK1216" s="186">
        <f t="shared" si="774"/>
        <v>0</v>
      </c>
      <c r="AL1216" s="186">
        <f t="shared" si="774"/>
        <v>0</v>
      </c>
      <c r="AM1216" s="186">
        <f t="shared" si="774"/>
        <v>0</v>
      </c>
      <c r="AN1216" s="186">
        <f t="shared" si="774"/>
        <v>0</v>
      </c>
      <c r="AO1216" s="186">
        <f t="shared" si="774"/>
        <v>0</v>
      </c>
      <c r="AP1216" s="186">
        <f t="shared" si="774"/>
        <v>0</v>
      </c>
      <c r="AQ1216" s="186">
        <f t="shared" si="774"/>
        <v>0</v>
      </c>
      <c r="AR1216" s="186">
        <f t="shared" si="774"/>
        <v>0</v>
      </c>
      <c r="AS1216" s="186">
        <f t="shared" si="774"/>
        <v>0</v>
      </c>
      <c r="AT1216" s="186">
        <f t="shared" si="774"/>
        <v>0</v>
      </c>
      <c r="AU1216" s="186">
        <f t="shared" si="774"/>
        <v>0</v>
      </c>
      <c r="AV1216" s="186">
        <f t="shared" si="774"/>
        <v>0</v>
      </c>
      <c r="AW1216" s="186">
        <f t="shared" si="774"/>
        <v>0</v>
      </c>
      <c r="AX1216" s="186">
        <f t="shared" si="774"/>
        <v>0</v>
      </c>
      <c r="AY1216" s="186">
        <f t="shared" si="774"/>
        <v>0</v>
      </c>
      <c r="AZ1216" s="186">
        <f t="shared" si="774"/>
        <v>0</v>
      </c>
      <c r="BA1216" s="186">
        <f t="shared" si="774"/>
        <v>0</v>
      </c>
      <c r="BB1216" s="186">
        <f t="shared" si="774"/>
        <v>0</v>
      </c>
      <c r="BC1216" s="186">
        <f t="shared" si="774"/>
        <v>0</v>
      </c>
      <c r="BD1216" s="186">
        <f t="shared" si="774"/>
        <v>0</v>
      </c>
      <c r="BE1216" s="186">
        <f t="shared" si="774"/>
        <v>0</v>
      </c>
      <c r="BF1216" s="186">
        <f t="shared" si="774"/>
        <v>0</v>
      </c>
      <c r="BG1216" s="186">
        <f t="shared" si="774"/>
        <v>0</v>
      </c>
      <c r="BH1216" s="186">
        <f t="shared" si="774"/>
        <v>0</v>
      </c>
      <c r="BI1216" s="186">
        <f t="shared" si="774"/>
        <v>0</v>
      </c>
      <c r="BJ1216" s="195">
        <f t="shared" si="774"/>
        <v>0</v>
      </c>
    </row>
    <row r="1217" spans="1:62">
      <c r="A1217" s="241"/>
      <c r="B1217" s="244">
        <v>3</v>
      </c>
      <c r="C1217" s="186">
        <f>C389</f>
        <v>-34799793.001789667</v>
      </c>
      <c r="D1217" s="186">
        <f t="shared" ref="D1217:BJ1217" si="775">D389</f>
        <v>-69307519.31156376</v>
      </c>
      <c r="E1217" s="186">
        <f t="shared" si="775"/>
        <v>-114965312.90221709</v>
      </c>
      <c r="F1217" s="186">
        <f t="shared" si="775"/>
        <v>-157361835.52210945</v>
      </c>
      <c r="G1217" s="186">
        <f t="shared" si="775"/>
        <v>-196730035.09772378</v>
      </c>
      <c r="H1217" s="186">
        <f t="shared" si="775"/>
        <v>-174255041.85939965</v>
      </c>
      <c r="I1217" s="186">
        <f t="shared" si="775"/>
        <v>-134086787.30971453</v>
      </c>
      <c r="J1217" s="186">
        <f t="shared" si="775"/>
        <v>-78867548.540282845</v>
      </c>
      <c r="K1217" s="186">
        <f t="shared" si="775"/>
        <v>-10952406.228158683</v>
      </c>
      <c r="L1217" s="186">
        <f t="shared" si="775"/>
        <v>78745253.838336959</v>
      </c>
      <c r="M1217" s="186">
        <f t="shared" si="775"/>
        <v>162035938.18579715</v>
      </c>
      <c r="N1217" s="186">
        <f t="shared" si="775"/>
        <v>239377287.93701023</v>
      </c>
      <c r="O1217" s="186">
        <f t="shared" si="775"/>
        <v>311194255.56313664</v>
      </c>
      <c r="P1217" s="186">
        <f t="shared" si="775"/>
        <v>377881439.78739691</v>
      </c>
      <c r="Q1217" s="186">
        <f t="shared" si="775"/>
        <v>439805253.70992428</v>
      </c>
      <c r="R1217" s="186">
        <f t="shared" si="775"/>
        <v>497305938.06655681</v>
      </c>
      <c r="S1217" s="186">
        <f t="shared" si="775"/>
        <v>550699430.68342996</v>
      </c>
      <c r="T1217" s="186">
        <f t="shared" si="775"/>
        <v>585557591.14332771</v>
      </c>
      <c r="U1217" s="186">
        <f t="shared" si="775"/>
        <v>609995210.63215268</v>
      </c>
      <c r="V1217" s="186">
        <f t="shared" si="775"/>
        <v>625323090.10260963</v>
      </c>
      <c r="W1217" s="186">
        <f t="shared" si="775"/>
        <v>632717939.25380826</v>
      </c>
      <c r="X1217" s="186">
        <f t="shared" si="775"/>
        <v>0</v>
      </c>
      <c r="Y1217" s="186">
        <f t="shared" si="775"/>
        <v>0</v>
      </c>
      <c r="Z1217" s="186">
        <f t="shared" si="775"/>
        <v>0</v>
      </c>
      <c r="AA1217" s="186">
        <f t="shared" si="775"/>
        <v>0</v>
      </c>
      <c r="AB1217" s="186">
        <f t="shared" si="775"/>
        <v>0</v>
      </c>
      <c r="AC1217" s="186">
        <f t="shared" si="775"/>
        <v>0</v>
      </c>
      <c r="AD1217" s="186">
        <f t="shared" si="775"/>
        <v>0</v>
      </c>
      <c r="AE1217" s="186">
        <f t="shared" si="775"/>
        <v>0</v>
      </c>
      <c r="AF1217" s="186">
        <f t="shared" si="775"/>
        <v>0</v>
      </c>
      <c r="AG1217" s="186">
        <f t="shared" si="775"/>
        <v>0</v>
      </c>
      <c r="AH1217" s="186">
        <f t="shared" si="775"/>
        <v>0</v>
      </c>
      <c r="AI1217" s="186">
        <f t="shared" si="775"/>
        <v>0</v>
      </c>
      <c r="AJ1217" s="186">
        <f t="shared" si="775"/>
        <v>0</v>
      </c>
      <c r="AK1217" s="186">
        <f t="shared" si="775"/>
        <v>0</v>
      </c>
      <c r="AL1217" s="186">
        <f t="shared" si="775"/>
        <v>0</v>
      </c>
      <c r="AM1217" s="186">
        <f t="shared" si="775"/>
        <v>0</v>
      </c>
      <c r="AN1217" s="186">
        <f t="shared" si="775"/>
        <v>0</v>
      </c>
      <c r="AO1217" s="186">
        <f t="shared" si="775"/>
        <v>0</v>
      </c>
      <c r="AP1217" s="186">
        <f t="shared" si="775"/>
        <v>0</v>
      </c>
      <c r="AQ1217" s="186">
        <f t="shared" si="775"/>
        <v>0</v>
      </c>
      <c r="AR1217" s="186">
        <f t="shared" si="775"/>
        <v>0</v>
      </c>
      <c r="AS1217" s="186">
        <f t="shared" si="775"/>
        <v>0</v>
      </c>
      <c r="AT1217" s="186">
        <f t="shared" si="775"/>
        <v>0</v>
      </c>
      <c r="AU1217" s="186">
        <f t="shared" si="775"/>
        <v>0</v>
      </c>
      <c r="AV1217" s="186">
        <f t="shared" si="775"/>
        <v>0</v>
      </c>
      <c r="AW1217" s="186">
        <f t="shared" si="775"/>
        <v>0</v>
      </c>
      <c r="AX1217" s="186">
        <f t="shared" si="775"/>
        <v>0</v>
      </c>
      <c r="AY1217" s="186">
        <f t="shared" si="775"/>
        <v>0</v>
      </c>
      <c r="AZ1217" s="186">
        <f t="shared" si="775"/>
        <v>0</v>
      </c>
      <c r="BA1217" s="186">
        <f t="shared" si="775"/>
        <v>0</v>
      </c>
      <c r="BB1217" s="186">
        <f t="shared" si="775"/>
        <v>0</v>
      </c>
      <c r="BC1217" s="186">
        <f t="shared" si="775"/>
        <v>0</v>
      </c>
      <c r="BD1217" s="186">
        <f t="shared" si="775"/>
        <v>0</v>
      </c>
      <c r="BE1217" s="186">
        <f t="shared" si="775"/>
        <v>0</v>
      </c>
      <c r="BF1217" s="186">
        <f t="shared" si="775"/>
        <v>0</v>
      </c>
      <c r="BG1217" s="186">
        <f t="shared" si="775"/>
        <v>0</v>
      </c>
      <c r="BH1217" s="186">
        <f t="shared" si="775"/>
        <v>0</v>
      </c>
      <c r="BI1217" s="186">
        <f t="shared" si="775"/>
        <v>0</v>
      </c>
      <c r="BJ1217" s="195">
        <f t="shared" si="775"/>
        <v>0</v>
      </c>
    </row>
    <row r="1218" spans="1:62">
      <c r="A1218" s="241"/>
      <c r="B1218" s="244">
        <v>4</v>
      </c>
      <c r="C1218" s="186">
        <f>C505</f>
        <v>-34627822.096704267</v>
      </c>
      <c r="D1218" s="186">
        <f t="shared" ref="D1218:BJ1218" si="776">D505</f>
        <v>-68944840.516806796</v>
      </c>
      <c r="E1218" s="186">
        <f t="shared" si="776"/>
        <v>-133600441.49916303</v>
      </c>
      <c r="F1218" s="186">
        <f t="shared" si="776"/>
        <v>-193637785.2684938</v>
      </c>
      <c r="G1218" s="186">
        <f t="shared" si="776"/>
        <v>-249386747.34001523</v>
      </c>
      <c r="H1218" s="186">
        <f t="shared" si="776"/>
        <v>-228837968.054088</v>
      </c>
      <c r="I1218" s="186">
        <f t="shared" si="776"/>
        <v>-192672927.0753969</v>
      </c>
      <c r="J1218" s="186">
        <f t="shared" si="776"/>
        <v>-143227359.64212215</v>
      </c>
      <c r="K1218" s="186">
        <f t="shared" si="776"/>
        <v>-82582999.334401652</v>
      </c>
      <c r="L1218" s="186">
        <f t="shared" si="776"/>
        <v>5641574.0449277759</v>
      </c>
      <c r="M1218" s="186">
        <f t="shared" si="776"/>
        <v>87564392.182876527</v>
      </c>
      <c r="N1218" s="186">
        <f t="shared" si="776"/>
        <v>163635580.45382893</v>
      </c>
      <c r="O1218" s="186">
        <f t="shared" si="776"/>
        <v>234273112.41971332</v>
      </c>
      <c r="P1218" s="186">
        <f t="shared" si="776"/>
        <v>299865106.38803452</v>
      </c>
      <c r="Q1218" s="186">
        <f t="shared" si="776"/>
        <v>360771957.93004704</v>
      </c>
      <c r="R1218" s="186">
        <f t="shared" si="776"/>
        <v>417328320.07620156</v>
      </c>
      <c r="S1218" s="186">
        <f t="shared" si="776"/>
        <v>469844942.06905931</v>
      </c>
      <c r="T1218" s="186">
        <f t="shared" si="776"/>
        <v>518610376.77671295</v>
      </c>
      <c r="U1218" s="186">
        <f t="shared" si="776"/>
        <v>547513420.88455415</v>
      </c>
      <c r="V1218" s="186">
        <f t="shared" si="776"/>
        <v>567832834.21704769</v>
      </c>
      <c r="W1218" s="186">
        <f t="shared" si="776"/>
        <v>580647385.23134613</v>
      </c>
      <c r="X1218" s="186">
        <f t="shared" si="776"/>
        <v>586925526.63957679</v>
      </c>
      <c r="Y1218" s="186">
        <f t="shared" si="776"/>
        <v>0</v>
      </c>
      <c r="Z1218" s="186">
        <f t="shared" si="776"/>
        <v>0</v>
      </c>
      <c r="AA1218" s="186">
        <f t="shared" si="776"/>
        <v>0</v>
      </c>
      <c r="AB1218" s="186">
        <f t="shared" si="776"/>
        <v>0</v>
      </c>
      <c r="AC1218" s="186">
        <f t="shared" si="776"/>
        <v>0</v>
      </c>
      <c r="AD1218" s="186">
        <f t="shared" si="776"/>
        <v>0</v>
      </c>
      <c r="AE1218" s="186">
        <f t="shared" si="776"/>
        <v>0</v>
      </c>
      <c r="AF1218" s="186">
        <f t="shared" si="776"/>
        <v>0</v>
      </c>
      <c r="AG1218" s="186">
        <f t="shared" si="776"/>
        <v>0</v>
      </c>
      <c r="AH1218" s="186">
        <f t="shared" si="776"/>
        <v>0</v>
      </c>
      <c r="AI1218" s="186">
        <f t="shared" si="776"/>
        <v>0</v>
      </c>
      <c r="AJ1218" s="186">
        <f t="shared" si="776"/>
        <v>0</v>
      </c>
      <c r="AK1218" s="186">
        <f t="shared" si="776"/>
        <v>0</v>
      </c>
      <c r="AL1218" s="186">
        <f t="shared" si="776"/>
        <v>0</v>
      </c>
      <c r="AM1218" s="186">
        <f t="shared" si="776"/>
        <v>0</v>
      </c>
      <c r="AN1218" s="186">
        <f t="shared" si="776"/>
        <v>0</v>
      </c>
      <c r="AO1218" s="186">
        <f t="shared" si="776"/>
        <v>0</v>
      </c>
      <c r="AP1218" s="186">
        <f t="shared" si="776"/>
        <v>0</v>
      </c>
      <c r="AQ1218" s="186">
        <f t="shared" si="776"/>
        <v>0</v>
      </c>
      <c r="AR1218" s="186">
        <f t="shared" si="776"/>
        <v>0</v>
      </c>
      <c r="AS1218" s="186">
        <f t="shared" si="776"/>
        <v>0</v>
      </c>
      <c r="AT1218" s="186">
        <f t="shared" si="776"/>
        <v>0</v>
      </c>
      <c r="AU1218" s="186">
        <f t="shared" si="776"/>
        <v>0</v>
      </c>
      <c r="AV1218" s="186">
        <f t="shared" si="776"/>
        <v>0</v>
      </c>
      <c r="AW1218" s="186">
        <f t="shared" si="776"/>
        <v>0</v>
      </c>
      <c r="AX1218" s="186">
        <f t="shared" si="776"/>
        <v>0</v>
      </c>
      <c r="AY1218" s="186">
        <f t="shared" si="776"/>
        <v>0</v>
      </c>
      <c r="AZ1218" s="186">
        <f t="shared" si="776"/>
        <v>0</v>
      </c>
      <c r="BA1218" s="186">
        <f t="shared" si="776"/>
        <v>0</v>
      </c>
      <c r="BB1218" s="186">
        <f t="shared" si="776"/>
        <v>0</v>
      </c>
      <c r="BC1218" s="186">
        <f t="shared" si="776"/>
        <v>0</v>
      </c>
      <c r="BD1218" s="186">
        <f t="shared" si="776"/>
        <v>0</v>
      </c>
      <c r="BE1218" s="186">
        <f t="shared" si="776"/>
        <v>0</v>
      </c>
      <c r="BF1218" s="186">
        <f t="shared" si="776"/>
        <v>0</v>
      </c>
      <c r="BG1218" s="186">
        <f t="shared" si="776"/>
        <v>0</v>
      </c>
      <c r="BH1218" s="186">
        <f t="shared" si="776"/>
        <v>0</v>
      </c>
      <c r="BI1218" s="186">
        <f t="shared" si="776"/>
        <v>0</v>
      </c>
      <c r="BJ1218" s="195">
        <f t="shared" si="776"/>
        <v>0</v>
      </c>
    </row>
    <row r="1219" spans="1:62">
      <c r="A1219" s="241"/>
      <c r="B1219" s="244">
        <v>5</v>
      </c>
      <c r="C1219" s="186">
        <f>C621</f>
        <v>-17670808.082662947</v>
      </c>
      <c r="D1219" s="186">
        <f t="shared" ref="D1219:BJ1219" si="777">D621</f>
        <v>-36273048.396105096</v>
      </c>
      <c r="E1219" s="186">
        <f t="shared" si="777"/>
        <v>-64862142.405130446</v>
      </c>
      <c r="F1219" s="186">
        <f t="shared" si="777"/>
        <v>-91409158.270653978</v>
      </c>
      <c r="G1219" s="186">
        <f t="shared" si="777"/>
        <v>-116059958.71721154</v>
      </c>
      <c r="H1219" s="186">
        <f t="shared" si="777"/>
        <v>-99053648.951936781</v>
      </c>
      <c r="I1219" s="186">
        <f t="shared" si="777"/>
        <v>-68117640.794763923</v>
      </c>
      <c r="J1219" s="186">
        <f t="shared" si="777"/>
        <v>-25328658.045378819</v>
      </c>
      <c r="K1219" s="186">
        <f t="shared" si="777"/>
        <v>27462180.435304694</v>
      </c>
      <c r="L1219" s="186">
        <f t="shared" si="777"/>
        <v>97382747.019128114</v>
      </c>
      <c r="M1219" s="186">
        <f t="shared" si="777"/>
        <v>162308987.41839272</v>
      </c>
      <c r="N1219" s="186">
        <f t="shared" si="777"/>
        <v>222597639.21770984</v>
      </c>
      <c r="O1219" s="186">
        <f t="shared" si="777"/>
        <v>278579958.74564719</v>
      </c>
      <c r="P1219" s="186">
        <f t="shared" si="777"/>
        <v>330563541.16444618</v>
      </c>
      <c r="Q1219" s="186">
        <f t="shared" si="777"/>
        <v>378834010.5533309</v>
      </c>
      <c r="R1219" s="186">
        <f t="shared" si="777"/>
        <v>423656589.27158105</v>
      </c>
      <c r="S1219" s="186">
        <f t="shared" si="777"/>
        <v>465277555.22424185</v>
      </c>
      <c r="T1219" s="186">
        <f t="shared" si="777"/>
        <v>492373007.81293064</v>
      </c>
      <c r="U1219" s="186">
        <f t="shared" si="777"/>
        <v>511309539.75444353</v>
      </c>
      <c r="V1219" s="186">
        <f t="shared" si="777"/>
        <v>523114469.03618991</v>
      </c>
      <c r="W1219" s="186">
        <f t="shared" si="777"/>
        <v>528709981.07925117</v>
      </c>
      <c r="X1219" s="186">
        <f t="shared" si="777"/>
        <v>0</v>
      </c>
      <c r="Y1219" s="186">
        <f t="shared" si="777"/>
        <v>0</v>
      </c>
      <c r="Z1219" s="186">
        <f t="shared" si="777"/>
        <v>0</v>
      </c>
      <c r="AA1219" s="186">
        <f t="shared" si="777"/>
        <v>0</v>
      </c>
      <c r="AB1219" s="186">
        <f t="shared" si="777"/>
        <v>0</v>
      </c>
      <c r="AC1219" s="186">
        <f t="shared" si="777"/>
        <v>0</v>
      </c>
      <c r="AD1219" s="186">
        <f t="shared" si="777"/>
        <v>0</v>
      </c>
      <c r="AE1219" s="186">
        <f t="shared" si="777"/>
        <v>0</v>
      </c>
      <c r="AF1219" s="186">
        <f t="shared" si="777"/>
        <v>0</v>
      </c>
      <c r="AG1219" s="186">
        <f t="shared" si="777"/>
        <v>0</v>
      </c>
      <c r="AH1219" s="186">
        <f t="shared" si="777"/>
        <v>0</v>
      </c>
      <c r="AI1219" s="186">
        <f t="shared" si="777"/>
        <v>0</v>
      </c>
      <c r="AJ1219" s="186">
        <f t="shared" si="777"/>
        <v>0</v>
      </c>
      <c r="AK1219" s="186">
        <f t="shared" si="777"/>
        <v>0</v>
      </c>
      <c r="AL1219" s="186">
        <f t="shared" si="777"/>
        <v>0</v>
      </c>
      <c r="AM1219" s="186">
        <f t="shared" si="777"/>
        <v>0</v>
      </c>
      <c r="AN1219" s="186">
        <f t="shared" si="777"/>
        <v>0</v>
      </c>
      <c r="AO1219" s="186">
        <f t="shared" si="777"/>
        <v>0</v>
      </c>
      <c r="AP1219" s="186">
        <f t="shared" si="777"/>
        <v>0</v>
      </c>
      <c r="AQ1219" s="186">
        <f t="shared" si="777"/>
        <v>0</v>
      </c>
      <c r="AR1219" s="186">
        <f t="shared" si="777"/>
        <v>0</v>
      </c>
      <c r="AS1219" s="186">
        <f t="shared" si="777"/>
        <v>0</v>
      </c>
      <c r="AT1219" s="186">
        <f t="shared" si="777"/>
        <v>0</v>
      </c>
      <c r="AU1219" s="186">
        <f t="shared" si="777"/>
        <v>0</v>
      </c>
      <c r="AV1219" s="186">
        <f t="shared" si="777"/>
        <v>0</v>
      </c>
      <c r="AW1219" s="186">
        <f t="shared" si="777"/>
        <v>0</v>
      </c>
      <c r="AX1219" s="186">
        <f t="shared" si="777"/>
        <v>0</v>
      </c>
      <c r="AY1219" s="186">
        <f t="shared" si="777"/>
        <v>0</v>
      </c>
      <c r="AZ1219" s="186">
        <f t="shared" si="777"/>
        <v>0</v>
      </c>
      <c r="BA1219" s="186">
        <f t="shared" si="777"/>
        <v>0</v>
      </c>
      <c r="BB1219" s="186">
        <f t="shared" si="777"/>
        <v>0</v>
      </c>
      <c r="BC1219" s="186">
        <f t="shared" si="777"/>
        <v>0</v>
      </c>
      <c r="BD1219" s="186">
        <f t="shared" si="777"/>
        <v>0</v>
      </c>
      <c r="BE1219" s="186">
        <f t="shared" si="777"/>
        <v>0</v>
      </c>
      <c r="BF1219" s="186">
        <f t="shared" si="777"/>
        <v>0</v>
      </c>
      <c r="BG1219" s="186">
        <f t="shared" si="777"/>
        <v>0</v>
      </c>
      <c r="BH1219" s="186">
        <f t="shared" si="777"/>
        <v>0</v>
      </c>
      <c r="BI1219" s="186">
        <f t="shared" si="777"/>
        <v>0</v>
      </c>
      <c r="BJ1219" s="195">
        <f t="shared" si="777"/>
        <v>0</v>
      </c>
    </row>
    <row r="1220" spans="1:62">
      <c r="A1220" s="241"/>
      <c r="B1220" s="244">
        <v>6</v>
      </c>
      <c r="C1220" s="186">
        <f>C737</f>
        <v>-34360697.274699934</v>
      </c>
      <c r="D1220" s="186">
        <f t="shared" ref="D1220:BJ1220" si="778">D737</f>
        <v>-68603036.139162928</v>
      </c>
      <c r="E1220" s="186">
        <f t="shared" si="778"/>
        <v>-132697116.55509198</v>
      </c>
      <c r="F1220" s="186">
        <f t="shared" si="778"/>
        <v>-192213048.36988321</v>
      </c>
      <c r="G1220" s="186">
        <f t="shared" si="778"/>
        <v>-247477842.19790366</v>
      </c>
      <c r="H1220" s="186">
        <f t="shared" si="778"/>
        <v>-231385860.12573844</v>
      </c>
      <c r="I1220" s="186">
        <f t="shared" si="778"/>
        <v>-203430029.32199916</v>
      </c>
      <c r="J1220" s="186">
        <f t="shared" si="778"/>
        <v>-165387287.26911563</v>
      </c>
      <c r="K1220" s="186">
        <f t="shared" si="778"/>
        <v>-118841253.07820915</v>
      </c>
      <c r="L1220" s="186">
        <f t="shared" si="778"/>
        <v>-48411001.424256206</v>
      </c>
      <c r="M1220" s="186">
        <f t="shared" si="778"/>
        <v>16988517.968700066</v>
      </c>
      <c r="N1220" s="186">
        <f t="shared" si="778"/>
        <v>77716643.119302332</v>
      </c>
      <c r="O1220" s="186">
        <f t="shared" si="778"/>
        <v>134107045.04486158</v>
      </c>
      <c r="P1220" s="186">
        <f t="shared" si="778"/>
        <v>186469561.11859518</v>
      </c>
      <c r="Q1220" s="186">
        <f t="shared" si="778"/>
        <v>235091897.47277635</v>
      </c>
      <c r="R1220" s="186">
        <f t="shared" si="778"/>
        <v>280241209.80165887</v>
      </c>
      <c r="S1220" s="186">
        <f t="shared" si="778"/>
        <v>305969161.82560909</v>
      </c>
      <c r="T1220" s="186">
        <f t="shared" si="778"/>
        <v>324100296.29480612</v>
      </c>
      <c r="U1220" s="186">
        <f t="shared" si="778"/>
        <v>335588607.79858232</v>
      </c>
      <c r="V1220" s="186">
        <f t="shared" si="778"/>
        <v>341290565.25817537</v>
      </c>
      <c r="W1220" s="186">
        <f t="shared" si="778"/>
        <v>0</v>
      </c>
      <c r="X1220" s="186">
        <f t="shared" si="778"/>
        <v>0</v>
      </c>
      <c r="Y1220" s="186">
        <f t="shared" si="778"/>
        <v>0</v>
      </c>
      <c r="Z1220" s="186">
        <f t="shared" si="778"/>
        <v>0</v>
      </c>
      <c r="AA1220" s="186">
        <f t="shared" si="778"/>
        <v>0</v>
      </c>
      <c r="AB1220" s="186">
        <f t="shared" si="778"/>
        <v>0</v>
      </c>
      <c r="AC1220" s="186">
        <f t="shared" si="778"/>
        <v>0</v>
      </c>
      <c r="AD1220" s="186">
        <f t="shared" si="778"/>
        <v>0</v>
      </c>
      <c r="AE1220" s="186">
        <f t="shared" si="778"/>
        <v>0</v>
      </c>
      <c r="AF1220" s="186">
        <f t="shared" si="778"/>
        <v>0</v>
      </c>
      <c r="AG1220" s="186">
        <f t="shared" si="778"/>
        <v>0</v>
      </c>
      <c r="AH1220" s="186">
        <f t="shared" si="778"/>
        <v>0</v>
      </c>
      <c r="AI1220" s="186">
        <f t="shared" si="778"/>
        <v>0</v>
      </c>
      <c r="AJ1220" s="186">
        <f t="shared" si="778"/>
        <v>0</v>
      </c>
      <c r="AK1220" s="186">
        <f t="shared" si="778"/>
        <v>0</v>
      </c>
      <c r="AL1220" s="186">
        <f t="shared" si="778"/>
        <v>0</v>
      </c>
      <c r="AM1220" s="186">
        <f t="shared" si="778"/>
        <v>0</v>
      </c>
      <c r="AN1220" s="186">
        <f t="shared" si="778"/>
        <v>0</v>
      </c>
      <c r="AO1220" s="186">
        <f t="shared" si="778"/>
        <v>0</v>
      </c>
      <c r="AP1220" s="186">
        <f t="shared" si="778"/>
        <v>0</v>
      </c>
      <c r="AQ1220" s="186">
        <f t="shared" si="778"/>
        <v>0</v>
      </c>
      <c r="AR1220" s="186">
        <f t="shared" si="778"/>
        <v>0</v>
      </c>
      <c r="AS1220" s="186">
        <f t="shared" si="778"/>
        <v>0</v>
      </c>
      <c r="AT1220" s="186">
        <f t="shared" si="778"/>
        <v>0</v>
      </c>
      <c r="AU1220" s="186">
        <f t="shared" si="778"/>
        <v>0</v>
      </c>
      <c r="AV1220" s="186">
        <f t="shared" si="778"/>
        <v>0</v>
      </c>
      <c r="AW1220" s="186">
        <f t="shared" si="778"/>
        <v>0</v>
      </c>
      <c r="AX1220" s="186">
        <f t="shared" si="778"/>
        <v>0</v>
      </c>
      <c r="AY1220" s="186">
        <f t="shared" si="778"/>
        <v>0</v>
      </c>
      <c r="AZ1220" s="186">
        <f t="shared" si="778"/>
        <v>0</v>
      </c>
      <c r="BA1220" s="186">
        <f t="shared" si="778"/>
        <v>0</v>
      </c>
      <c r="BB1220" s="186">
        <f t="shared" si="778"/>
        <v>0</v>
      </c>
      <c r="BC1220" s="186">
        <f t="shared" si="778"/>
        <v>0</v>
      </c>
      <c r="BD1220" s="186">
        <f t="shared" si="778"/>
        <v>0</v>
      </c>
      <c r="BE1220" s="186">
        <f t="shared" si="778"/>
        <v>0</v>
      </c>
      <c r="BF1220" s="186">
        <f t="shared" si="778"/>
        <v>0</v>
      </c>
      <c r="BG1220" s="186">
        <f t="shared" si="778"/>
        <v>0</v>
      </c>
      <c r="BH1220" s="186">
        <f t="shared" si="778"/>
        <v>0</v>
      </c>
      <c r="BI1220" s="186">
        <f t="shared" si="778"/>
        <v>0</v>
      </c>
      <c r="BJ1220" s="195">
        <f t="shared" si="778"/>
        <v>0</v>
      </c>
    </row>
    <row r="1221" spans="1:62">
      <c r="A1221" s="241"/>
      <c r="B1221" s="244">
        <v>7</v>
      </c>
      <c r="C1221" s="186">
        <f>C853</f>
        <v>-17671504.977141425</v>
      </c>
      <c r="D1221" s="186">
        <f t="shared" ref="D1221:BJ1221" si="779">D853</f>
        <v>-36274546.482194878</v>
      </c>
      <c r="E1221" s="186">
        <f t="shared" si="779"/>
        <v>-64864384.454859301</v>
      </c>
      <c r="F1221" s="186">
        <f t="shared" si="779"/>
        <v>-91412091.143761963</v>
      </c>
      <c r="G1221" s="186">
        <f t="shared" si="779"/>
        <v>-116063533.06917159</v>
      </c>
      <c r="H1221" s="186">
        <f t="shared" si="779"/>
        <v>-97161495.842034414</v>
      </c>
      <c r="I1221" s="186">
        <f t="shared" si="779"/>
        <v>-62704850.969974227</v>
      </c>
      <c r="J1221" s="186">
        <f t="shared" si="779"/>
        <v>-15012124.224853188</v>
      </c>
      <c r="K1221" s="186">
        <f t="shared" si="779"/>
        <v>43850016.345789105</v>
      </c>
      <c r="L1221" s="186">
        <f t="shared" si="779"/>
        <v>119242020.41052404</v>
      </c>
      <c r="M1221" s="186">
        <f t="shared" si="779"/>
        <v>189248881.32777792</v>
      </c>
      <c r="N1221" s="186">
        <f t="shared" si="779"/>
        <v>254255252.17951363</v>
      </c>
      <c r="O1221" s="186">
        <f t="shared" si="779"/>
        <v>314618310.82755399</v>
      </c>
      <c r="P1221" s="186">
        <f t="shared" si="779"/>
        <v>370669722.42930567</v>
      </c>
      <c r="Q1221" s="186">
        <f t="shared" si="779"/>
        <v>422717461.77378941</v>
      </c>
      <c r="R1221" s="186">
        <f t="shared" si="779"/>
        <v>457755781.23097527</v>
      </c>
      <c r="S1221" s="186">
        <f t="shared" si="779"/>
        <v>482234574.39923608</v>
      </c>
      <c r="T1221" s="186">
        <f t="shared" si="779"/>
        <v>497483578.09812653</v>
      </c>
      <c r="U1221" s="186">
        <f t="shared" si="779"/>
        <v>504696441.87853497</v>
      </c>
      <c r="V1221" s="186">
        <f t="shared" si="779"/>
        <v>0</v>
      </c>
      <c r="W1221" s="186">
        <f t="shared" si="779"/>
        <v>0</v>
      </c>
      <c r="X1221" s="186">
        <f t="shared" si="779"/>
        <v>0</v>
      </c>
      <c r="Y1221" s="186">
        <f t="shared" si="779"/>
        <v>0</v>
      </c>
      <c r="Z1221" s="186">
        <f t="shared" si="779"/>
        <v>0</v>
      </c>
      <c r="AA1221" s="186">
        <f t="shared" si="779"/>
        <v>0</v>
      </c>
      <c r="AB1221" s="186">
        <f t="shared" si="779"/>
        <v>0</v>
      </c>
      <c r="AC1221" s="186">
        <f t="shared" si="779"/>
        <v>0</v>
      </c>
      <c r="AD1221" s="186">
        <f t="shared" si="779"/>
        <v>0</v>
      </c>
      <c r="AE1221" s="186">
        <f t="shared" si="779"/>
        <v>0</v>
      </c>
      <c r="AF1221" s="186">
        <f t="shared" si="779"/>
        <v>0</v>
      </c>
      <c r="AG1221" s="186">
        <f t="shared" si="779"/>
        <v>0</v>
      </c>
      <c r="AH1221" s="186">
        <f t="shared" si="779"/>
        <v>0</v>
      </c>
      <c r="AI1221" s="186">
        <f t="shared" si="779"/>
        <v>0</v>
      </c>
      <c r="AJ1221" s="186">
        <f t="shared" si="779"/>
        <v>0</v>
      </c>
      <c r="AK1221" s="186">
        <f t="shared" si="779"/>
        <v>0</v>
      </c>
      <c r="AL1221" s="186">
        <f t="shared" si="779"/>
        <v>0</v>
      </c>
      <c r="AM1221" s="186">
        <f t="shared" si="779"/>
        <v>0</v>
      </c>
      <c r="AN1221" s="186">
        <f t="shared" si="779"/>
        <v>0</v>
      </c>
      <c r="AO1221" s="186">
        <f t="shared" si="779"/>
        <v>0</v>
      </c>
      <c r="AP1221" s="186">
        <f t="shared" si="779"/>
        <v>0</v>
      </c>
      <c r="AQ1221" s="186">
        <f t="shared" si="779"/>
        <v>0</v>
      </c>
      <c r="AR1221" s="186">
        <f t="shared" si="779"/>
        <v>0</v>
      </c>
      <c r="AS1221" s="186">
        <f t="shared" si="779"/>
        <v>0</v>
      </c>
      <c r="AT1221" s="186">
        <f t="shared" si="779"/>
        <v>0</v>
      </c>
      <c r="AU1221" s="186">
        <f t="shared" si="779"/>
        <v>0</v>
      </c>
      <c r="AV1221" s="186">
        <f t="shared" si="779"/>
        <v>0</v>
      </c>
      <c r="AW1221" s="186">
        <f t="shared" si="779"/>
        <v>0</v>
      </c>
      <c r="AX1221" s="186">
        <f t="shared" si="779"/>
        <v>0</v>
      </c>
      <c r="AY1221" s="186">
        <f t="shared" si="779"/>
        <v>0</v>
      </c>
      <c r="AZ1221" s="186">
        <f t="shared" si="779"/>
        <v>0</v>
      </c>
      <c r="BA1221" s="186">
        <f t="shared" si="779"/>
        <v>0</v>
      </c>
      <c r="BB1221" s="186">
        <f t="shared" si="779"/>
        <v>0</v>
      </c>
      <c r="BC1221" s="186">
        <f t="shared" si="779"/>
        <v>0</v>
      </c>
      <c r="BD1221" s="186">
        <f t="shared" si="779"/>
        <v>0</v>
      </c>
      <c r="BE1221" s="186">
        <f t="shared" si="779"/>
        <v>0</v>
      </c>
      <c r="BF1221" s="186">
        <f t="shared" si="779"/>
        <v>0</v>
      </c>
      <c r="BG1221" s="186">
        <f t="shared" si="779"/>
        <v>0</v>
      </c>
      <c r="BH1221" s="186">
        <f t="shared" si="779"/>
        <v>0</v>
      </c>
      <c r="BI1221" s="186">
        <f t="shared" si="779"/>
        <v>0</v>
      </c>
      <c r="BJ1221" s="195">
        <f t="shared" si="779"/>
        <v>0</v>
      </c>
    </row>
    <row r="1222" spans="1:62">
      <c r="A1222" s="241"/>
      <c r="B1222" s="244">
        <v>8</v>
      </c>
      <c r="C1222" s="186">
        <f>C969</f>
        <v>-17521680.87544024</v>
      </c>
      <c r="D1222" s="186">
        <f>D969</f>
        <v>-35954425.304369032</v>
      </c>
      <c r="E1222" s="186">
        <f t="shared" ref="E1222:BJ1222" si="780">E969</f>
        <v>-52520207.24049931</v>
      </c>
      <c r="F1222" s="186">
        <f t="shared" si="780"/>
        <v>-67902719.038334563</v>
      </c>
      <c r="G1222" s="186">
        <f t="shared" si="780"/>
        <v>-82186479.993467301</v>
      </c>
      <c r="H1222" s="186">
        <f t="shared" si="780"/>
        <v>-62206101.53882204</v>
      </c>
      <c r="I1222" s="186">
        <f t="shared" si="780"/>
        <v>-25569727.820640773</v>
      </c>
      <c r="J1222" s="186">
        <f t="shared" si="780"/>
        <v>25241272.559884399</v>
      </c>
      <c r="K1222" s="186">
        <f t="shared" si="780"/>
        <v>88015032.662631959</v>
      </c>
      <c r="L1222" s="186">
        <f t="shared" si="780"/>
        <v>165003506.7761766</v>
      </c>
      <c r="M1222" s="186">
        <f t="shared" si="780"/>
        <v>236492804.1673252</v>
      </c>
      <c r="N1222" s="186">
        <f t="shared" si="780"/>
        <v>302875723.1733917</v>
      </c>
      <c r="O1222" s="186">
        <f t="shared" si="780"/>
        <v>349545896.0777694</v>
      </c>
      <c r="P1222" s="186">
        <f t="shared" si="780"/>
        <v>382118287.5153988</v>
      </c>
      <c r="Q1222" s="186">
        <f t="shared" si="780"/>
        <v>402368753.14018077</v>
      </c>
      <c r="R1222" s="186">
        <f t="shared" si="780"/>
        <v>411891382.39763623</v>
      </c>
      <c r="S1222" s="186">
        <f t="shared" si="780"/>
        <v>0</v>
      </c>
      <c r="T1222" s="186">
        <f t="shared" si="780"/>
        <v>0</v>
      </c>
      <c r="U1222" s="186">
        <f t="shared" si="780"/>
        <v>0</v>
      </c>
      <c r="V1222" s="186">
        <f t="shared" si="780"/>
        <v>0</v>
      </c>
      <c r="W1222" s="186">
        <f t="shared" si="780"/>
        <v>0</v>
      </c>
      <c r="X1222" s="186">
        <f t="shared" si="780"/>
        <v>0</v>
      </c>
      <c r="Y1222" s="186">
        <f t="shared" si="780"/>
        <v>0</v>
      </c>
      <c r="Z1222" s="186">
        <f t="shared" si="780"/>
        <v>0</v>
      </c>
      <c r="AA1222" s="186">
        <f t="shared" si="780"/>
        <v>0</v>
      </c>
      <c r="AB1222" s="186">
        <f t="shared" si="780"/>
        <v>0</v>
      </c>
      <c r="AC1222" s="186">
        <f t="shared" si="780"/>
        <v>0</v>
      </c>
      <c r="AD1222" s="186">
        <f t="shared" si="780"/>
        <v>0</v>
      </c>
      <c r="AE1222" s="186">
        <f t="shared" si="780"/>
        <v>0</v>
      </c>
      <c r="AF1222" s="186">
        <f t="shared" si="780"/>
        <v>0</v>
      </c>
      <c r="AG1222" s="186">
        <f t="shared" si="780"/>
        <v>0</v>
      </c>
      <c r="AH1222" s="186">
        <f t="shared" si="780"/>
        <v>0</v>
      </c>
      <c r="AI1222" s="186">
        <f t="shared" si="780"/>
        <v>0</v>
      </c>
      <c r="AJ1222" s="186">
        <f t="shared" si="780"/>
        <v>0</v>
      </c>
      <c r="AK1222" s="186">
        <f t="shared" si="780"/>
        <v>0</v>
      </c>
      <c r="AL1222" s="186">
        <f t="shared" si="780"/>
        <v>0</v>
      </c>
      <c r="AM1222" s="186">
        <f t="shared" si="780"/>
        <v>0</v>
      </c>
      <c r="AN1222" s="186">
        <f t="shared" si="780"/>
        <v>0</v>
      </c>
      <c r="AO1222" s="186">
        <f t="shared" si="780"/>
        <v>0</v>
      </c>
      <c r="AP1222" s="186">
        <f t="shared" si="780"/>
        <v>0</v>
      </c>
      <c r="AQ1222" s="186">
        <f t="shared" si="780"/>
        <v>0</v>
      </c>
      <c r="AR1222" s="186">
        <f t="shared" si="780"/>
        <v>0</v>
      </c>
      <c r="AS1222" s="186">
        <f t="shared" si="780"/>
        <v>0</v>
      </c>
      <c r="AT1222" s="186">
        <f t="shared" si="780"/>
        <v>0</v>
      </c>
      <c r="AU1222" s="186">
        <f t="shared" si="780"/>
        <v>0</v>
      </c>
      <c r="AV1222" s="186">
        <f t="shared" si="780"/>
        <v>0</v>
      </c>
      <c r="AW1222" s="186">
        <f t="shared" si="780"/>
        <v>0</v>
      </c>
      <c r="AX1222" s="186">
        <f t="shared" si="780"/>
        <v>0</v>
      </c>
      <c r="AY1222" s="186">
        <f t="shared" si="780"/>
        <v>0</v>
      </c>
      <c r="AZ1222" s="186">
        <f t="shared" si="780"/>
        <v>0</v>
      </c>
      <c r="BA1222" s="186">
        <f t="shared" si="780"/>
        <v>0</v>
      </c>
      <c r="BB1222" s="186">
        <f t="shared" si="780"/>
        <v>0</v>
      </c>
      <c r="BC1222" s="186">
        <f t="shared" si="780"/>
        <v>0</v>
      </c>
      <c r="BD1222" s="186">
        <f t="shared" si="780"/>
        <v>0</v>
      </c>
      <c r="BE1222" s="186">
        <f t="shared" si="780"/>
        <v>0</v>
      </c>
      <c r="BF1222" s="186">
        <f t="shared" si="780"/>
        <v>0</v>
      </c>
      <c r="BG1222" s="186">
        <f t="shared" si="780"/>
        <v>0</v>
      </c>
      <c r="BH1222" s="186">
        <f t="shared" si="780"/>
        <v>0</v>
      </c>
      <c r="BI1222" s="186">
        <f t="shared" si="780"/>
        <v>0</v>
      </c>
      <c r="BJ1222" s="195">
        <f t="shared" si="780"/>
        <v>0</v>
      </c>
    </row>
    <row r="1223" spans="1:62">
      <c r="A1223" s="241"/>
      <c r="B1223" s="244">
        <v>9</v>
      </c>
      <c r="C1223" s="186">
        <f>C1085</f>
        <v>-46251611.622546464</v>
      </c>
      <c r="D1223" s="186">
        <f>D1085</f>
        <v>-92265626.7177549</v>
      </c>
      <c r="E1223" s="186">
        <f t="shared" ref="E1223:BJ1223" si="781">E1085</f>
        <v>-147188936.69430295</v>
      </c>
      <c r="F1223" s="186">
        <f t="shared" si="781"/>
        <v>-198189153.10109755</v>
      </c>
      <c r="G1223" s="186">
        <f t="shared" si="781"/>
        <v>-245546496.90740684</v>
      </c>
      <c r="H1223" s="186">
        <f t="shared" si="781"/>
        <v>-217944010.20722005</v>
      </c>
      <c r="I1223" s="186">
        <f t="shared" si="781"/>
        <v>-168628662.92149433</v>
      </c>
      <c r="J1223" s="186">
        <f t="shared" si="781"/>
        <v>-100843121.29051174</v>
      </c>
      <c r="K1223" s="186">
        <f t="shared" si="781"/>
        <v>-17477593.421174929</v>
      </c>
      <c r="L1223" s="186">
        <f t="shared" si="781"/>
        <v>87515959.166832641</v>
      </c>
      <c r="M1223" s="186">
        <f t="shared" si="781"/>
        <v>185009972.2842682</v>
      </c>
      <c r="N1223" s="186">
        <f t="shared" si="781"/>
        <v>275540127.32188696</v>
      </c>
      <c r="O1223" s="186">
        <f t="shared" si="781"/>
        <v>359603842.71396154</v>
      </c>
      <c r="P1223" s="186">
        <f t="shared" si="781"/>
        <v>437663007.00660223</v>
      </c>
      <c r="Q1223" s="186">
        <f t="shared" si="781"/>
        <v>510146516.70691139</v>
      </c>
      <c r="R1223" s="186">
        <f t="shared" si="781"/>
        <v>577452632.85719848</v>
      </c>
      <c r="S1223" s="186">
        <f t="shared" si="781"/>
        <v>623532268.61470854</v>
      </c>
      <c r="T1223" s="186">
        <f t="shared" si="781"/>
        <v>655838792.90967703</v>
      </c>
      <c r="U1223" s="186">
        <f t="shared" si="781"/>
        <v>676104692.91145921</v>
      </c>
      <c r="V1223" s="186">
        <f t="shared" si="781"/>
        <v>685885228.59920943</v>
      </c>
      <c r="W1223" s="186">
        <f t="shared" si="781"/>
        <v>0</v>
      </c>
      <c r="X1223" s="186">
        <f t="shared" si="781"/>
        <v>0</v>
      </c>
      <c r="Y1223" s="186">
        <f t="shared" si="781"/>
        <v>0</v>
      </c>
      <c r="Z1223" s="186">
        <f t="shared" si="781"/>
        <v>0</v>
      </c>
      <c r="AA1223" s="186">
        <f t="shared" si="781"/>
        <v>0</v>
      </c>
      <c r="AB1223" s="186">
        <f t="shared" si="781"/>
        <v>0</v>
      </c>
      <c r="AC1223" s="186">
        <f t="shared" si="781"/>
        <v>0</v>
      </c>
      <c r="AD1223" s="186">
        <f t="shared" si="781"/>
        <v>0</v>
      </c>
      <c r="AE1223" s="186">
        <f t="shared" si="781"/>
        <v>0</v>
      </c>
      <c r="AF1223" s="186">
        <f t="shared" si="781"/>
        <v>0</v>
      </c>
      <c r="AG1223" s="186">
        <f t="shared" si="781"/>
        <v>0</v>
      </c>
      <c r="AH1223" s="186">
        <f t="shared" si="781"/>
        <v>0</v>
      </c>
      <c r="AI1223" s="186">
        <f t="shared" si="781"/>
        <v>0</v>
      </c>
      <c r="AJ1223" s="186">
        <f t="shared" si="781"/>
        <v>0</v>
      </c>
      <c r="AK1223" s="186">
        <f t="shared" si="781"/>
        <v>0</v>
      </c>
      <c r="AL1223" s="186">
        <f t="shared" si="781"/>
        <v>0</v>
      </c>
      <c r="AM1223" s="186">
        <f t="shared" si="781"/>
        <v>0</v>
      </c>
      <c r="AN1223" s="186">
        <f t="shared" si="781"/>
        <v>0</v>
      </c>
      <c r="AO1223" s="186">
        <f t="shared" si="781"/>
        <v>0</v>
      </c>
      <c r="AP1223" s="186">
        <f t="shared" si="781"/>
        <v>0</v>
      </c>
      <c r="AQ1223" s="186">
        <f t="shared" si="781"/>
        <v>0</v>
      </c>
      <c r="AR1223" s="186">
        <f t="shared" si="781"/>
        <v>0</v>
      </c>
      <c r="AS1223" s="186">
        <f t="shared" si="781"/>
        <v>0</v>
      </c>
      <c r="AT1223" s="186">
        <f t="shared" si="781"/>
        <v>0</v>
      </c>
      <c r="AU1223" s="186">
        <f t="shared" si="781"/>
        <v>0</v>
      </c>
      <c r="AV1223" s="186">
        <f t="shared" si="781"/>
        <v>0</v>
      </c>
      <c r="AW1223" s="186">
        <f t="shared" si="781"/>
        <v>0</v>
      </c>
      <c r="AX1223" s="186">
        <f t="shared" si="781"/>
        <v>0</v>
      </c>
      <c r="AY1223" s="186">
        <f t="shared" si="781"/>
        <v>0</v>
      </c>
      <c r="AZ1223" s="186">
        <f t="shared" si="781"/>
        <v>0</v>
      </c>
      <c r="BA1223" s="186">
        <f t="shared" si="781"/>
        <v>0</v>
      </c>
      <c r="BB1223" s="186">
        <f t="shared" si="781"/>
        <v>0</v>
      </c>
      <c r="BC1223" s="186">
        <f t="shared" si="781"/>
        <v>0</v>
      </c>
      <c r="BD1223" s="186">
        <f t="shared" si="781"/>
        <v>0</v>
      </c>
      <c r="BE1223" s="186">
        <f t="shared" si="781"/>
        <v>0</v>
      </c>
      <c r="BF1223" s="186">
        <f t="shared" si="781"/>
        <v>0</v>
      </c>
      <c r="BG1223" s="186">
        <f t="shared" si="781"/>
        <v>0</v>
      </c>
      <c r="BH1223" s="186">
        <f t="shared" si="781"/>
        <v>0</v>
      </c>
      <c r="BI1223" s="186">
        <f t="shared" si="781"/>
        <v>0</v>
      </c>
      <c r="BJ1223" s="195">
        <f t="shared" si="781"/>
        <v>0</v>
      </c>
    </row>
    <row r="1224" spans="1:62">
      <c r="A1224" s="245"/>
      <c r="B1224" s="246">
        <v>10</v>
      </c>
      <c r="C1224" s="167">
        <f>C1201</f>
        <v>-30241857.375144653</v>
      </c>
      <c r="D1224" s="167">
        <f>D1201</f>
        <v>-60191753.822701812</v>
      </c>
      <c r="E1224" s="167">
        <f t="shared" ref="E1224:BJ1224" si="782">E1201</f>
        <v>-102796804.6765931</v>
      </c>
      <c r="F1224" s="167">
        <f t="shared" si="782"/>
        <v>-142358637.61234927</v>
      </c>
      <c r="G1224" s="167">
        <f t="shared" si="782"/>
        <v>-179094625.33840859</v>
      </c>
      <c r="H1224" s="167">
        <f t="shared" si="782"/>
        <v>-160424656.08629024</v>
      </c>
      <c r="I1224" s="167">
        <f t="shared" si="782"/>
        <v>-127183379.71124324</v>
      </c>
      <c r="J1224" s="167">
        <f t="shared" si="782"/>
        <v>-81547666.461706996</v>
      </c>
      <c r="K1224" s="167">
        <f t="shared" si="782"/>
        <v>-25457748.525746532</v>
      </c>
      <c r="L1224" s="167">
        <f t="shared" si="782"/>
        <v>59199804.759735458</v>
      </c>
      <c r="M1224" s="167">
        <f t="shared" si="782"/>
        <v>137810389.95339727</v>
      </c>
      <c r="N1224" s="167">
        <f t="shared" si="782"/>
        <v>210805933.34751177</v>
      </c>
      <c r="O1224" s="167">
        <f t="shared" si="782"/>
        <v>278587509.35633242</v>
      </c>
      <c r="P1224" s="167">
        <f t="shared" si="782"/>
        <v>341527544.22166586</v>
      </c>
      <c r="Q1224" s="167">
        <f t="shared" si="782"/>
        <v>399971862.31090409</v>
      </c>
      <c r="R1224" s="167">
        <f t="shared" si="782"/>
        <v>454241586.250911</v>
      </c>
      <c r="S1224" s="167">
        <f t="shared" si="782"/>
        <v>504634901.33806026</v>
      </c>
      <c r="T1224" s="167">
        <f t="shared" si="782"/>
        <v>533423641.12466848</v>
      </c>
      <c r="U1224" s="167">
        <f t="shared" si="782"/>
        <v>553620011.45403755</v>
      </c>
      <c r="V1224" s="167">
        <f t="shared" si="782"/>
        <v>566304612.35175979</v>
      </c>
      <c r="W1224" s="167">
        <f t="shared" si="782"/>
        <v>572447511.03087974</v>
      </c>
      <c r="X1224" s="167">
        <f t="shared" si="782"/>
        <v>0</v>
      </c>
      <c r="Y1224" s="167">
        <f t="shared" si="782"/>
        <v>0</v>
      </c>
      <c r="Z1224" s="167">
        <f t="shared" si="782"/>
        <v>0</v>
      </c>
      <c r="AA1224" s="167">
        <f t="shared" si="782"/>
        <v>0</v>
      </c>
      <c r="AB1224" s="167">
        <f t="shared" si="782"/>
        <v>0</v>
      </c>
      <c r="AC1224" s="167">
        <f t="shared" si="782"/>
        <v>0</v>
      </c>
      <c r="AD1224" s="167">
        <f t="shared" si="782"/>
        <v>0</v>
      </c>
      <c r="AE1224" s="167">
        <f t="shared" si="782"/>
        <v>0</v>
      </c>
      <c r="AF1224" s="167">
        <f t="shared" si="782"/>
        <v>0</v>
      </c>
      <c r="AG1224" s="167">
        <f t="shared" si="782"/>
        <v>0</v>
      </c>
      <c r="AH1224" s="167">
        <f t="shared" si="782"/>
        <v>0</v>
      </c>
      <c r="AI1224" s="167">
        <f t="shared" si="782"/>
        <v>0</v>
      </c>
      <c r="AJ1224" s="167">
        <f t="shared" si="782"/>
        <v>0</v>
      </c>
      <c r="AK1224" s="167">
        <f t="shared" si="782"/>
        <v>0</v>
      </c>
      <c r="AL1224" s="167">
        <f t="shared" si="782"/>
        <v>0</v>
      </c>
      <c r="AM1224" s="167">
        <f t="shared" si="782"/>
        <v>0</v>
      </c>
      <c r="AN1224" s="167">
        <f t="shared" si="782"/>
        <v>0</v>
      </c>
      <c r="AO1224" s="167">
        <f t="shared" si="782"/>
        <v>0</v>
      </c>
      <c r="AP1224" s="167">
        <f t="shared" si="782"/>
        <v>0</v>
      </c>
      <c r="AQ1224" s="167">
        <f t="shared" si="782"/>
        <v>0</v>
      </c>
      <c r="AR1224" s="167">
        <f t="shared" si="782"/>
        <v>0</v>
      </c>
      <c r="AS1224" s="167">
        <f t="shared" si="782"/>
        <v>0</v>
      </c>
      <c r="AT1224" s="167">
        <f t="shared" si="782"/>
        <v>0</v>
      </c>
      <c r="AU1224" s="167">
        <f t="shared" si="782"/>
        <v>0</v>
      </c>
      <c r="AV1224" s="167">
        <f t="shared" si="782"/>
        <v>0</v>
      </c>
      <c r="AW1224" s="167">
        <f t="shared" si="782"/>
        <v>0</v>
      </c>
      <c r="AX1224" s="167">
        <f t="shared" si="782"/>
        <v>0</v>
      </c>
      <c r="AY1224" s="167">
        <f t="shared" si="782"/>
        <v>0</v>
      </c>
      <c r="AZ1224" s="167">
        <f t="shared" si="782"/>
        <v>0</v>
      </c>
      <c r="BA1224" s="167">
        <f t="shared" si="782"/>
        <v>0</v>
      </c>
      <c r="BB1224" s="167">
        <f t="shared" si="782"/>
        <v>0</v>
      </c>
      <c r="BC1224" s="167">
        <f t="shared" si="782"/>
        <v>0</v>
      </c>
      <c r="BD1224" s="167">
        <f t="shared" si="782"/>
        <v>0</v>
      </c>
      <c r="BE1224" s="167">
        <f t="shared" si="782"/>
        <v>0</v>
      </c>
      <c r="BF1224" s="167">
        <f t="shared" si="782"/>
        <v>0</v>
      </c>
      <c r="BG1224" s="167">
        <f t="shared" si="782"/>
        <v>0</v>
      </c>
      <c r="BH1224" s="167">
        <f t="shared" si="782"/>
        <v>0</v>
      </c>
      <c r="BI1224" s="167">
        <f t="shared" si="782"/>
        <v>0</v>
      </c>
      <c r="BJ1224" s="198">
        <f t="shared" si="782"/>
        <v>0</v>
      </c>
    </row>
    <row r="1226" spans="1:62" s="240" customFormat="1" ht="21">
      <c r="A1226" s="247" t="s">
        <v>167</v>
      </c>
      <c r="B1226" s="237" t="s">
        <v>166</v>
      </c>
      <c r="C1226" s="238">
        <v>1</v>
      </c>
      <c r="D1226" s="238">
        <v>2</v>
      </c>
      <c r="E1226" s="238">
        <v>3</v>
      </c>
      <c r="F1226" s="238">
        <v>4</v>
      </c>
      <c r="G1226" s="238">
        <v>5</v>
      </c>
      <c r="H1226" s="238">
        <v>6</v>
      </c>
      <c r="I1226" s="238">
        <v>7</v>
      </c>
      <c r="J1226" s="238">
        <v>8</v>
      </c>
      <c r="K1226" s="238">
        <v>9</v>
      </c>
      <c r="L1226" s="238">
        <v>10</v>
      </c>
      <c r="M1226" s="238">
        <v>11</v>
      </c>
      <c r="N1226" s="238">
        <v>12</v>
      </c>
      <c r="O1226" s="238">
        <v>13</v>
      </c>
      <c r="P1226" s="238">
        <v>14</v>
      </c>
      <c r="Q1226" s="238">
        <v>15</v>
      </c>
      <c r="R1226" s="238">
        <v>16</v>
      </c>
      <c r="S1226" s="238">
        <v>17</v>
      </c>
      <c r="T1226" s="238">
        <v>18</v>
      </c>
      <c r="U1226" s="238">
        <v>19</v>
      </c>
      <c r="V1226" s="238">
        <v>20</v>
      </c>
      <c r="W1226" s="238">
        <v>21</v>
      </c>
      <c r="X1226" s="238">
        <v>22</v>
      </c>
      <c r="Y1226" s="238">
        <v>23</v>
      </c>
      <c r="Z1226" s="238">
        <v>24</v>
      </c>
      <c r="AA1226" s="238">
        <v>25</v>
      </c>
      <c r="AB1226" s="238">
        <v>26</v>
      </c>
      <c r="AC1226" s="238">
        <v>27</v>
      </c>
      <c r="AD1226" s="238">
        <v>28</v>
      </c>
      <c r="AE1226" s="238">
        <v>29</v>
      </c>
      <c r="AF1226" s="238">
        <v>30</v>
      </c>
      <c r="AG1226" s="238">
        <v>31</v>
      </c>
      <c r="AH1226" s="238">
        <v>32</v>
      </c>
      <c r="AI1226" s="238">
        <v>33</v>
      </c>
      <c r="AJ1226" s="238">
        <v>34</v>
      </c>
      <c r="AK1226" s="238">
        <v>35</v>
      </c>
      <c r="AL1226" s="238">
        <v>36</v>
      </c>
      <c r="AM1226" s="238">
        <v>37</v>
      </c>
      <c r="AN1226" s="238">
        <v>38</v>
      </c>
      <c r="AO1226" s="238">
        <v>39</v>
      </c>
      <c r="AP1226" s="238">
        <v>40</v>
      </c>
      <c r="AQ1226" s="238">
        <v>41</v>
      </c>
      <c r="AR1226" s="238">
        <v>42</v>
      </c>
      <c r="AS1226" s="238">
        <v>43</v>
      </c>
      <c r="AT1226" s="238">
        <v>44</v>
      </c>
      <c r="AU1226" s="238">
        <v>45</v>
      </c>
      <c r="AV1226" s="238">
        <v>46</v>
      </c>
      <c r="AW1226" s="238">
        <v>47</v>
      </c>
      <c r="AX1226" s="238">
        <v>48</v>
      </c>
      <c r="AY1226" s="238">
        <v>49</v>
      </c>
      <c r="AZ1226" s="238">
        <v>50</v>
      </c>
      <c r="BA1226" s="238">
        <v>51</v>
      </c>
      <c r="BB1226" s="238">
        <v>52</v>
      </c>
      <c r="BC1226" s="238">
        <v>53</v>
      </c>
      <c r="BD1226" s="238">
        <v>54</v>
      </c>
      <c r="BE1226" s="238">
        <v>55</v>
      </c>
      <c r="BF1226" s="238">
        <v>56</v>
      </c>
      <c r="BG1226" s="238">
        <v>57</v>
      </c>
      <c r="BH1226" s="238">
        <v>58</v>
      </c>
      <c r="BI1226" s="238">
        <v>59</v>
      </c>
      <c r="BJ1226" s="239">
        <v>60</v>
      </c>
    </row>
    <row r="1227" spans="1:62">
      <c r="A1227" s="248">
        <v>1</v>
      </c>
      <c r="B1227" s="16" t="s">
        <v>60</v>
      </c>
      <c r="C1227" s="186" t="e">
        <f t="shared" ref="C1227:L1231" si="783">VLOOKUP($A1227,CumCashFlowTable,C$1226+1)</f>
        <v>#REF!</v>
      </c>
      <c r="D1227" s="186" t="e">
        <f t="shared" si="783"/>
        <v>#REF!</v>
      </c>
      <c r="E1227" s="186" t="e">
        <f t="shared" si="783"/>
        <v>#REF!</v>
      </c>
      <c r="F1227" s="186" t="e">
        <f t="shared" si="783"/>
        <v>#REF!</v>
      </c>
      <c r="G1227" s="186" t="e">
        <f t="shared" si="783"/>
        <v>#REF!</v>
      </c>
      <c r="H1227" s="186" t="e">
        <f t="shared" si="783"/>
        <v>#REF!</v>
      </c>
      <c r="I1227" s="186" t="e">
        <f t="shared" si="783"/>
        <v>#REF!</v>
      </c>
      <c r="J1227" s="186" t="e">
        <f t="shared" si="783"/>
        <v>#REF!</v>
      </c>
      <c r="K1227" s="186" t="e">
        <f t="shared" si="783"/>
        <v>#REF!</v>
      </c>
      <c r="L1227" s="186" t="e">
        <f t="shared" si="783"/>
        <v>#REF!</v>
      </c>
      <c r="M1227" s="186" t="e">
        <f t="shared" ref="M1227:V1231" si="784">VLOOKUP($A1227,CumCashFlowTable,M$1226+1)</f>
        <v>#REF!</v>
      </c>
      <c r="N1227" s="186" t="e">
        <f t="shared" si="784"/>
        <v>#REF!</v>
      </c>
      <c r="O1227" s="186" t="e">
        <f t="shared" si="784"/>
        <v>#REF!</v>
      </c>
      <c r="P1227" s="186" t="e">
        <f t="shared" si="784"/>
        <v>#REF!</v>
      </c>
      <c r="Q1227" s="186" t="e">
        <f t="shared" si="784"/>
        <v>#REF!</v>
      </c>
      <c r="R1227" s="186" t="e">
        <f t="shared" si="784"/>
        <v>#REF!</v>
      </c>
      <c r="S1227" s="186" t="e">
        <f t="shared" si="784"/>
        <v>#REF!</v>
      </c>
      <c r="T1227" s="186" t="e">
        <f t="shared" si="784"/>
        <v>#REF!</v>
      </c>
      <c r="U1227" s="186" t="e">
        <f t="shared" si="784"/>
        <v>#REF!</v>
      </c>
      <c r="V1227" s="186" t="e">
        <f t="shared" si="784"/>
        <v>#REF!</v>
      </c>
      <c r="W1227" s="186" t="e">
        <f t="shared" ref="W1227:AF1231" si="785">VLOOKUP($A1227,CumCashFlowTable,W$1226+1)</f>
        <v>#REF!</v>
      </c>
      <c r="X1227" s="186" t="e">
        <f t="shared" si="785"/>
        <v>#REF!</v>
      </c>
      <c r="Y1227" s="186" t="e">
        <f t="shared" si="785"/>
        <v>#REF!</v>
      </c>
      <c r="Z1227" s="186" t="e">
        <f t="shared" si="785"/>
        <v>#REF!</v>
      </c>
      <c r="AA1227" s="186" t="e">
        <f t="shared" si="785"/>
        <v>#REF!</v>
      </c>
      <c r="AB1227" s="186" t="e">
        <f t="shared" si="785"/>
        <v>#REF!</v>
      </c>
      <c r="AC1227" s="186" t="e">
        <f t="shared" si="785"/>
        <v>#REF!</v>
      </c>
      <c r="AD1227" s="186" t="e">
        <f t="shared" si="785"/>
        <v>#REF!</v>
      </c>
      <c r="AE1227" s="186" t="e">
        <f t="shared" si="785"/>
        <v>#REF!</v>
      </c>
      <c r="AF1227" s="186" t="e">
        <f t="shared" si="785"/>
        <v>#REF!</v>
      </c>
      <c r="AG1227" s="186" t="e">
        <f t="shared" ref="AG1227:AP1231" si="786">VLOOKUP($A1227,CumCashFlowTable,AG$1226+1)</f>
        <v>#REF!</v>
      </c>
      <c r="AH1227" s="186" t="e">
        <f t="shared" si="786"/>
        <v>#REF!</v>
      </c>
      <c r="AI1227" s="186" t="e">
        <f t="shared" si="786"/>
        <v>#REF!</v>
      </c>
      <c r="AJ1227" s="186" t="e">
        <f t="shared" si="786"/>
        <v>#REF!</v>
      </c>
      <c r="AK1227" s="186" t="e">
        <f t="shared" si="786"/>
        <v>#REF!</v>
      </c>
      <c r="AL1227" s="186" t="e">
        <f t="shared" si="786"/>
        <v>#REF!</v>
      </c>
      <c r="AM1227" s="186" t="e">
        <f t="shared" si="786"/>
        <v>#REF!</v>
      </c>
      <c r="AN1227" s="186" t="e">
        <f t="shared" si="786"/>
        <v>#REF!</v>
      </c>
      <c r="AO1227" s="186" t="e">
        <f t="shared" si="786"/>
        <v>#REF!</v>
      </c>
      <c r="AP1227" s="186" t="e">
        <f t="shared" si="786"/>
        <v>#REF!</v>
      </c>
      <c r="AQ1227" s="186" t="e">
        <f t="shared" ref="AQ1227:AZ1231" si="787">VLOOKUP($A1227,CumCashFlowTable,AQ$1226+1)</f>
        <v>#REF!</v>
      </c>
      <c r="AR1227" s="186" t="e">
        <f t="shared" si="787"/>
        <v>#REF!</v>
      </c>
      <c r="AS1227" s="186" t="e">
        <f t="shared" si="787"/>
        <v>#REF!</v>
      </c>
      <c r="AT1227" s="186" t="e">
        <f t="shared" si="787"/>
        <v>#REF!</v>
      </c>
      <c r="AU1227" s="186" t="e">
        <f t="shared" si="787"/>
        <v>#REF!</v>
      </c>
      <c r="AV1227" s="186" t="e">
        <f t="shared" si="787"/>
        <v>#REF!</v>
      </c>
      <c r="AW1227" s="186" t="e">
        <f t="shared" si="787"/>
        <v>#REF!</v>
      </c>
      <c r="AX1227" s="186" t="e">
        <f t="shared" si="787"/>
        <v>#REF!</v>
      </c>
      <c r="AY1227" s="186" t="e">
        <f t="shared" si="787"/>
        <v>#REF!</v>
      </c>
      <c r="AZ1227" s="186" t="e">
        <f t="shared" si="787"/>
        <v>#REF!</v>
      </c>
      <c r="BA1227" s="186" t="e">
        <f t="shared" ref="BA1227:BJ1231" si="788">VLOOKUP($A1227,CumCashFlowTable,BA$1226+1)</f>
        <v>#REF!</v>
      </c>
      <c r="BB1227" s="186" t="e">
        <f t="shared" si="788"/>
        <v>#REF!</v>
      </c>
      <c r="BC1227" s="186" t="e">
        <f t="shared" si="788"/>
        <v>#REF!</v>
      </c>
      <c r="BD1227" s="186" t="e">
        <f t="shared" si="788"/>
        <v>#REF!</v>
      </c>
      <c r="BE1227" s="186" t="e">
        <f t="shared" si="788"/>
        <v>#REF!</v>
      </c>
      <c r="BF1227" s="186" t="e">
        <f t="shared" si="788"/>
        <v>#REF!</v>
      </c>
      <c r="BG1227" s="186" t="e">
        <f t="shared" si="788"/>
        <v>#REF!</v>
      </c>
      <c r="BH1227" s="186" t="e">
        <f t="shared" si="788"/>
        <v>#REF!</v>
      </c>
      <c r="BI1227" s="186" t="e">
        <f t="shared" si="788"/>
        <v>#REF!</v>
      </c>
      <c r="BJ1227" s="195" t="e">
        <f t="shared" si="788"/>
        <v>#REF!</v>
      </c>
    </row>
    <row r="1228" spans="1:62">
      <c r="A1228" s="248">
        <v>2</v>
      </c>
      <c r="B1228" s="16" t="s">
        <v>61</v>
      </c>
      <c r="C1228" s="186">
        <f t="shared" si="783"/>
        <v>-33815835.29495126</v>
      </c>
      <c r="D1228" s="186">
        <f t="shared" si="783"/>
        <v>-67778338.614457756</v>
      </c>
      <c r="E1228" s="186">
        <f t="shared" si="783"/>
        <v>-131655484.3610855</v>
      </c>
      <c r="F1228" s="186">
        <f t="shared" si="783"/>
        <v>-190969976.84009698</v>
      </c>
      <c r="G1228" s="186">
        <f t="shared" si="783"/>
        <v>-246047719.85632193</v>
      </c>
      <c r="H1228" s="186">
        <f t="shared" si="783"/>
        <v>-230026869.88126913</v>
      </c>
      <c r="I1228" s="186">
        <f t="shared" si="783"/>
        <v>-202194132.17339686</v>
      </c>
      <c r="J1228" s="186">
        <f t="shared" si="783"/>
        <v>-164318658.29645002</v>
      </c>
      <c r="K1228" s="186">
        <f t="shared" si="783"/>
        <v>-117977128.60982631</v>
      </c>
      <c r="L1228" s="186">
        <f t="shared" si="783"/>
        <v>-47856040.526859581</v>
      </c>
      <c r="M1228" s="186">
        <f t="shared" si="784"/>
        <v>17256398.407323807</v>
      </c>
      <c r="N1228" s="186">
        <f t="shared" si="784"/>
        <v>77717948.846208379</v>
      </c>
      <c r="O1228" s="186">
        <f t="shared" si="784"/>
        <v>133860817.1108869</v>
      </c>
      <c r="P1228" s="186">
        <f t="shared" si="784"/>
        <v>185993480.49951696</v>
      </c>
      <c r="Q1228" s="186">
        <f t="shared" si="784"/>
        <v>234402382.21753058</v>
      </c>
      <c r="R1228" s="186">
        <f t="shared" si="784"/>
        <v>279353505.24140036</v>
      </c>
      <c r="S1228" s="186">
        <f t="shared" si="784"/>
        <v>304968419.01909977</v>
      </c>
      <c r="T1228" s="186">
        <f t="shared" si="784"/>
        <v>323019833.63566083</v>
      </c>
      <c r="U1228" s="186">
        <f t="shared" si="784"/>
        <v>334457560.63564563</v>
      </c>
      <c r="V1228" s="186">
        <f t="shared" si="784"/>
        <v>340134313.48154175</v>
      </c>
      <c r="W1228" s="186">
        <f t="shared" si="785"/>
        <v>0</v>
      </c>
      <c r="X1228" s="186">
        <f t="shared" si="785"/>
        <v>0</v>
      </c>
      <c r="Y1228" s="186">
        <f t="shared" si="785"/>
        <v>0</v>
      </c>
      <c r="Z1228" s="186">
        <f t="shared" si="785"/>
        <v>0</v>
      </c>
      <c r="AA1228" s="186">
        <f t="shared" si="785"/>
        <v>0</v>
      </c>
      <c r="AB1228" s="186">
        <f t="shared" si="785"/>
        <v>0</v>
      </c>
      <c r="AC1228" s="186">
        <f t="shared" si="785"/>
        <v>0</v>
      </c>
      <c r="AD1228" s="186">
        <f t="shared" si="785"/>
        <v>0</v>
      </c>
      <c r="AE1228" s="186">
        <f t="shared" si="785"/>
        <v>0</v>
      </c>
      <c r="AF1228" s="186">
        <f t="shared" si="785"/>
        <v>0</v>
      </c>
      <c r="AG1228" s="186">
        <f t="shared" si="786"/>
        <v>0</v>
      </c>
      <c r="AH1228" s="186">
        <f t="shared" si="786"/>
        <v>0</v>
      </c>
      <c r="AI1228" s="186">
        <f t="shared" si="786"/>
        <v>0</v>
      </c>
      <c r="AJ1228" s="186">
        <f t="shared" si="786"/>
        <v>0</v>
      </c>
      <c r="AK1228" s="186">
        <f t="shared" si="786"/>
        <v>0</v>
      </c>
      <c r="AL1228" s="186">
        <f t="shared" si="786"/>
        <v>0</v>
      </c>
      <c r="AM1228" s="186">
        <f t="shared" si="786"/>
        <v>0</v>
      </c>
      <c r="AN1228" s="186">
        <f t="shared" si="786"/>
        <v>0</v>
      </c>
      <c r="AO1228" s="186">
        <f t="shared" si="786"/>
        <v>0</v>
      </c>
      <c r="AP1228" s="186">
        <f t="shared" si="786"/>
        <v>0</v>
      </c>
      <c r="AQ1228" s="186">
        <f t="shared" si="787"/>
        <v>0</v>
      </c>
      <c r="AR1228" s="186">
        <f t="shared" si="787"/>
        <v>0</v>
      </c>
      <c r="AS1228" s="186">
        <f t="shared" si="787"/>
        <v>0</v>
      </c>
      <c r="AT1228" s="186">
        <f t="shared" si="787"/>
        <v>0</v>
      </c>
      <c r="AU1228" s="186">
        <f t="shared" si="787"/>
        <v>0</v>
      </c>
      <c r="AV1228" s="186">
        <f t="shared" si="787"/>
        <v>0</v>
      </c>
      <c r="AW1228" s="186">
        <f t="shared" si="787"/>
        <v>0</v>
      </c>
      <c r="AX1228" s="186">
        <f t="shared" si="787"/>
        <v>0</v>
      </c>
      <c r="AY1228" s="186">
        <f t="shared" si="787"/>
        <v>0</v>
      </c>
      <c r="AZ1228" s="186">
        <f t="shared" si="787"/>
        <v>0</v>
      </c>
      <c r="BA1228" s="186">
        <f t="shared" si="788"/>
        <v>0</v>
      </c>
      <c r="BB1228" s="186">
        <f t="shared" si="788"/>
        <v>0</v>
      </c>
      <c r="BC1228" s="186">
        <f t="shared" si="788"/>
        <v>0</v>
      </c>
      <c r="BD1228" s="186">
        <f t="shared" si="788"/>
        <v>0</v>
      </c>
      <c r="BE1228" s="186">
        <f t="shared" si="788"/>
        <v>0</v>
      </c>
      <c r="BF1228" s="186">
        <f t="shared" si="788"/>
        <v>0</v>
      </c>
      <c r="BG1228" s="186">
        <f t="shared" si="788"/>
        <v>0</v>
      </c>
      <c r="BH1228" s="186">
        <f t="shared" si="788"/>
        <v>0</v>
      </c>
      <c r="BI1228" s="186">
        <f t="shared" si="788"/>
        <v>0</v>
      </c>
      <c r="BJ1228" s="195">
        <f t="shared" si="788"/>
        <v>0</v>
      </c>
    </row>
    <row r="1229" spans="1:62">
      <c r="A1229" s="248">
        <v>3</v>
      </c>
      <c r="B1229" s="16" t="s">
        <v>62</v>
      </c>
      <c r="C1229" s="186">
        <f t="shared" si="783"/>
        <v>-34799793.001789667</v>
      </c>
      <c r="D1229" s="186">
        <f t="shared" si="783"/>
        <v>-69307519.31156376</v>
      </c>
      <c r="E1229" s="186">
        <f t="shared" si="783"/>
        <v>-114965312.90221709</v>
      </c>
      <c r="F1229" s="186">
        <f t="shared" si="783"/>
        <v>-157361835.52210945</v>
      </c>
      <c r="G1229" s="186">
        <f t="shared" si="783"/>
        <v>-196730035.09772378</v>
      </c>
      <c r="H1229" s="186">
        <f t="shared" si="783"/>
        <v>-174255041.85939965</v>
      </c>
      <c r="I1229" s="186">
        <f t="shared" si="783"/>
        <v>-134086787.30971453</v>
      </c>
      <c r="J1229" s="186">
        <f t="shared" si="783"/>
        <v>-78867548.540282845</v>
      </c>
      <c r="K1229" s="186">
        <f t="shared" si="783"/>
        <v>-10952406.228158683</v>
      </c>
      <c r="L1229" s="186">
        <f t="shared" si="783"/>
        <v>78745253.838336959</v>
      </c>
      <c r="M1229" s="186">
        <f t="shared" si="784"/>
        <v>162035938.18579715</v>
      </c>
      <c r="N1229" s="186">
        <f t="shared" si="784"/>
        <v>239377287.93701023</v>
      </c>
      <c r="O1229" s="186">
        <f t="shared" si="784"/>
        <v>311194255.56313664</v>
      </c>
      <c r="P1229" s="186">
        <f t="shared" si="784"/>
        <v>377881439.78739691</v>
      </c>
      <c r="Q1229" s="186">
        <f t="shared" si="784"/>
        <v>439805253.70992428</v>
      </c>
      <c r="R1229" s="186">
        <f t="shared" si="784"/>
        <v>497305938.06655681</v>
      </c>
      <c r="S1229" s="186">
        <f t="shared" si="784"/>
        <v>550699430.68342996</v>
      </c>
      <c r="T1229" s="186">
        <f t="shared" si="784"/>
        <v>585557591.14332771</v>
      </c>
      <c r="U1229" s="186">
        <f t="shared" si="784"/>
        <v>609995210.63215268</v>
      </c>
      <c r="V1229" s="186">
        <f t="shared" si="784"/>
        <v>625323090.10260963</v>
      </c>
      <c r="W1229" s="186">
        <f t="shared" si="785"/>
        <v>632717939.25380826</v>
      </c>
      <c r="X1229" s="186">
        <f t="shared" si="785"/>
        <v>0</v>
      </c>
      <c r="Y1229" s="186">
        <f t="shared" si="785"/>
        <v>0</v>
      </c>
      <c r="Z1229" s="186">
        <f t="shared" si="785"/>
        <v>0</v>
      </c>
      <c r="AA1229" s="186">
        <f t="shared" si="785"/>
        <v>0</v>
      </c>
      <c r="AB1229" s="186">
        <f t="shared" si="785"/>
        <v>0</v>
      </c>
      <c r="AC1229" s="186">
        <f t="shared" si="785"/>
        <v>0</v>
      </c>
      <c r="AD1229" s="186">
        <f t="shared" si="785"/>
        <v>0</v>
      </c>
      <c r="AE1229" s="186">
        <f t="shared" si="785"/>
        <v>0</v>
      </c>
      <c r="AF1229" s="186">
        <f t="shared" si="785"/>
        <v>0</v>
      </c>
      <c r="AG1229" s="186">
        <f t="shared" si="786"/>
        <v>0</v>
      </c>
      <c r="AH1229" s="186">
        <f t="shared" si="786"/>
        <v>0</v>
      </c>
      <c r="AI1229" s="186">
        <f t="shared" si="786"/>
        <v>0</v>
      </c>
      <c r="AJ1229" s="186">
        <f t="shared" si="786"/>
        <v>0</v>
      </c>
      <c r="AK1229" s="186">
        <f t="shared" si="786"/>
        <v>0</v>
      </c>
      <c r="AL1229" s="186">
        <f t="shared" si="786"/>
        <v>0</v>
      </c>
      <c r="AM1229" s="186">
        <f t="shared" si="786"/>
        <v>0</v>
      </c>
      <c r="AN1229" s="186">
        <f t="shared" si="786"/>
        <v>0</v>
      </c>
      <c r="AO1229" s="186">
        <f t="shared" si="786"/>
        <v>0</v>
      </c>
      <c r="AP1229" s="186">
        <f t="shared" si="786"/>
        <v>0</v>
      </c>
      <c r="AQ1229" s="186">
        <f t="shared" si="787"/>
        <v>0</v>
      </c>
      <c r="AR1229" s="186">
        <f t="shared" si="787"/>
        <v>0</v>
      </c>
      <c r="AS1229" s="186">
        <f t="shared" si="787"/>
        <v>0</v>
      </c>
      <c r="AT1229" s="186">
        <f t="shared" si="787"/>
        <v>0</v>
      </c>
      <c r="AU1229" s="186">
        <f t="shared" si="787"/>
        <v>0</v>
      </c>
      <c r="AV1229" s="186">
        <f t="shared" si="787"/>
        <v>0</v>
      </c>
      <c r="AW1229" s="186">
        <f t="shared" si="787"/>
        <v>0</v>
      </c>
      <c r="AX1229" s="186">
        <f t="shared" si="787"/>
        <v>0</v>
      </c>
      <c r="AY1229" s="186">
        <f t="shared" si="787"/>
        <v>0</v>
      </c>
      <c r="AZ1229" s="186">
        <f t="shared" si="787"/>
        <v>0</v>
      </c>
      <c r="BA1229" s="186">
        <f t="shared" si="788"/>
        <v>0</v>
      </c>
      <c r="BB1229" s="186">
        <f t="shared" si="788"/>
        <v>0</v>
      </c>
      <c r="BC1229" s="186">
        <f t="shared" si="788"/>
        <v>0</v>
      </c>
      <c r="BD1229" s="186">
        <f t="shared" si="788"/>
        <v>0</v>
      </c>
      <c r="BE1229" s="186">
        <f t="shared" si="788"/>
        <v>0</v>
      </c>
      <c r="BF1229" s="186">
        <f t="shared" si="788"/>
        <v>0</v>
      </c>
      <c r="BG1229" s="186">
        <f t="shared" si="788"/>
        <v>0</v>
      </c>
      <c r="BH1229" s="186">
        <f t="shared" si="788"/>
        <v>0</v>
      </c>
      <c r="BI1229" s="186">
        <f t="shared" si="788"/>
        <v>0</v>
      </c>
      <c r="BJ1229" s="195">
        <f t="shared" si="788"/>
        <v>0</v>
      </c>
    </row>
    <row r="1230" spans="1:62">
      <c r="A1230" s="248">
        <v>4</v>
      </c>
      <c r="B1230" s="16" t="s">
        <v>63</v>
      </c>
      <c r="C1230" s="186">
        <f t="shared" si="783"/>
        <v>-34627822.096704267</v>
      </c>
      <c r="D1230" s="186">
        <f t="shared" si="783"/>
        <v>-68944840.516806796</v>
      </c>
      <c r="E1230" s="186">
        <f t="shared" si="783"/>
        <v>-133600441.49916303</v>
      </c>
      <c r="F1230" s="186">
        <f t="shared" si="783"/>
        <v>-193637785.2684938</v>
      </c>
      <c r="G1230" s="186">
        <f t="shared" si="783"/>
        <v>-249386747.34001523</v>
      </c>
      <c r="H1230" s="186">
        <f t="shared" si="783"/>
        <v>-228837968.054088</v>
      </c>
      <c r="I1230" s="186">
        <f t="shared" si="783"/>
        <v>-192672927.0753969</v>
      </c>
      <c r="J1230" s="186">
        <f t="shared" si="783"/>
        <v>-143227359.64212215</v>
      </c>
      <c r="K1230" s="186">
        <f t="shared" si="783"/>
        <v>-82582999.334401652</v>
      </c>
      <c r="L1230" s="186">
        <f t="shared" si="783"/>
        <v>5641574.0449277759</v>
      </c>
      <c r="M1230" s="186">
        <f t="shared" si="784"/>
        <v>87564392.182876527</v>
      </c>
      <c r="N1230" s="186">
        <f t="shared" si="784"/>
        <v>163635580.45382893</v>
      </c>
      <c r="O1230" s="186">
        <f t="shared" si="784"/>
        <v>234273112.41971332</v>
      </c>
      <c r="P1230" s="186">
        <f t="shared" si="784"/>
        <v>299865106.38803452</v>
      </c>
      <c r="Q1230" s="186">
        <f t="shared" si="784"/>
        <v>360771957.93004704</v>
      </c>
      <c r="R1230" s="186">
        <f t="shared" si="784"/>
        <v>417328320.07620156</v>
      </c>
      <c r="S1230" s="186">
        <f t="shared" si="784"/>
        <v>469844942.06905931</v>
      </c>
      <c r="T1230" s="186">
        <f t="shared" si="784"/>
        <v>518610376.77671295</v>
      </c>
      <c r="U1230" s="186">
        <f t="shared" si="784"/>
        <v>547513420.88455415</v>
      </c>
      <c r="V1230" s="186">
        <f t="shared" si="784"/>
        <v>567832834.21704769</v>
      </c>
      <c r="W1230" s="186">
        <f t="shared" si="785"/>
        <v>580647385.23134613</v>
      </c>
      <c r="X1230" s="186">
        <f t="shared" si="785"/>
        <v>586925526.63957679</v>
      </c>
      <c r="Y1230" s="186">
        <f t="shared" si="785"/>
        <v>0</v>
      </c>
      <c r="Z1230" s="186">
        <f t="shared" si="785"/>
        <v>0</v>
      </c>
      <c r="AA1230" s="186">
        <f t="shared" si="785"/>
        <v>0</v>
      </c>
      <c r="AB1230" s="186">
        <f t="shared" si="785"/>
        <v>0</v>
      </c>
      <c r="AC1230" s="186">
        <f t="shared" si="785"/>
        <v>0</v>
      </c>
      <c r="AD1230" s="186">
        <f t="shared" si="785"/>
        <v>0</v>
      </c>
      <c r="AE1230" s="186">
        <f t="shared" si="785"/>
        <v>0</v>
      </c>
      <c r="AF1230" s="186">
        <f t="shared" si="785"/>
        <v>0</v>
      </c>
      <c r="AG1230" s="186">
        <f t="shared" si="786"/>
        <v>0</v>
      </c>
      <c r="AH1230" s="186">
        <f t="shared" si="786"/>
        <v>0</v>
      </c>
      <c r="AI1230" s="186">
        <f t="shared" si="786"/>
        <v>0</v>
      </c>
      <c r="AJ1230" s="186">
        <f t="shared" si="786"/>
        <v>0</v>
      </c>
      <c r="AK1230" s="186">
        <f t="shared" si="786"/>
        <v>0</v>
      </c>
      <c r="AL1230" s="186">
        <f t="shared" si="786"/>
        <v>0</v>
      </c>
      <c r="AM1230" s="186">
        <f t="shared" si="786"/>
        <v>0</v>
      </c>
      <c r="AN1230" s="186">
        <f t="shared" si="786"/>
        <v>0</v>
      </c>
      <c r="AO1230" s="186">
        <f t="shared" si="786"/>
        <v>0</v>
      </c>
      <c r="AP1230" s="186">
        <f t="shared" si="786"/>
        <v>0</v>
      </c>
      <c r="AQ1230" s="186">
        <f t="shared" si="787"/>
        <v>0</v>
      </c>
      <c r="AR1230" s="186">
        <f t="shared" si="787"/>
        <v>0</v>
      </c>
      <c r="AS1230" s="186">
        <f t="shared" si="787"/>
        <v>0</v>
      </c>
      <c r="AT1230" s="186">
        <f t="shared" si="787"/>
        <v>0</v>
      </c>
      <c r="AU1230" s="186">
        <f t="shared" si="787"/>
        <v>0</v>
      </c>
      <c r="AV1230" s="186">
        <f t="shared" si="787"/>
        <v>0</v>
      </c>
      <c r="AW1230" s="186">
        <f t="shared" si="787"/>
        <v>0</v>
      </c>
      <c r="AX1230" s="186">
        <f t="shared" si="787"/>
        <v>0</v>
      </c>
      <c r="AY1230" s="186">
        <f t="shared" si="787"/>
        <v>0</v>
      </c>
      <c r="AZ1230" s="186">
        <f t="shared" si="787"/>
        <v>0</v>
      </c>
      <c r="BA1230" s="186">
        <f t="shared" si="788"/>
        <v>0</v>
      </c>
      <c r="BB1230" s="186">
        <f t="shared" si="788"/>
        <v>0</v>
      </c>
      <c r="BC1230" s="186">
        <f t="shared" si="788"/>
        <v>0</v>
      </c>
      <c r="BD1230" s="186">
        <f t="shared" si="788"/>
        <v>0</v>
      </c>
      <c r="BE1230" s="186">
        <f t="shared" si="788"/>
        <v>0</v>
      </c>
      <c r="BF1230" s="186">
        <f t="shared" si="788"/>
        <v>0</v>
      </c>
      <c r="BG1230" s="186">
        <f t="shared" si="788"/>
        <v>0</v>
      </c>
      <c r="BH1230" s="186">
        <f t="shared" si="788"/>
        <v>0</v>
      </c>
      <c r="BI1230" s="186">
        <f t="shared" si="788"/>
        <v>0</v>
      </c>
      <c r="BJ1230" s="195">
        <f t="shared" si="788"/>
        <v>0</v>
      </c>
    </row>
    <row r="1231" spans="1:62">
      <c r="A1231" s="249">
        <v>5</v>
      </c>
      <c r="B1231" s="16" t="s">
        <v>64</v>
      </c>
      <c r="C1231" s="167">
        <f t="shared" si="783"/>
        <v>-17670808.082662947</v>
      </c>
      <c r="D1231" s="167">
        <f t="shared" si="783"/>
        <v>-36273048.396105096</v>
      </c>
      <c r="E1231" s="167">
        <f t="shared" si="783"/>
        <v>-64862142.405130446</v>
      </c>
      <c r="F1231" s="167">
        <f t="shared" si="783"/>
        <v>-91409158.270653978</v>
      </c>
      <c r="G1231" s="167">
        <f t="shared" si="783"/>
        <v>-116059958.71721154</v>
      </c>
      <c r="H1231" s="167">
        <f t="shared" si="783"/>
        <v>-99053648.951936781</v>
      </c>
      <c r="I1231" s="167">
        <f t="shared" si="783"/>
        <v>-68117640.794763923</v>
      </c>
      <c r="J1231" s="167">
        <f t="shared" si="783"/>
        <v>-25328658.045378819</v>
      </c>
      <c r="K1231" s="167">
        <f t="shared" si="783"/>
        <v>27462180.435304694</v>
      </c>
      <c r="L1231" s="167">
        <f t="shared" si="783"/>
        <v>97382747.019128114</v>
      </c>
      <c r="M1231" s="167">
        <f t="shared" si="784"/>
        <v>162308987.41839272</v>
      </c>
      <c r="N1231" s="167">
        <f t="shared" si="784"/>
        <v>222597639.21770984</v>
      </c>
      <c r="O1231" s="167">
        <f t="shared" si="784"/>
        <v>278579958.74564719</v>
      </c>
      <c r="P1231" s="167">
        <f t="shared" si="784"/>
        <v>330563541.16444618</v>
      </c>
      <c r="Q1231" s="167">
        <f t="shared" si="784"/>
        <v>378834010.5533309</v>
      </c>
      <c r="R1231" s="167">
        <f t="shared" si="784"/>
        <v>423656589.27158105</v>
      </c>
      <c r="S1231" s="167">
        <f t="shared" si="784"/>
        <v>465277555.22424185</v>
      </c>
      <c r="T1231" s="167">
        <f t="shared" si="784"/>
        <v>492373007.81293064</v>
      </c>
      <c r="U1231" s="167">
        <f t="shared" si="784"/>
        <v>511309539.75444353</v>
      </c>
      <c r="V1231" s="167">
        <f t="shared" si="784"/>
        <v>523114469.03618991</v>
      </c>
      <c r="W1231" s="167">
        <f t="shared" si="785"/>
        <v>528709981.07925117</v>
      </c>
      <c r="X1231" s="167">
        <f t="shared" si="785"/>
        <v>0</v>
      </c>
      <c r="Y1231" s="167">
        <f t="shared" si="785"/>
        <v>0</v>
      </c>
      <c r="Z1231" s="167">
        <f t="shared" si="785"/>
        <v>0</v>
      </c>
      <c r="AA1231" s="167">
        <f t="shared" si="785"/>
        <v>0</v>
      </c>
      <c r="AB1231" s="167">
        <f t="shared" si="785"/>
        <v>0</v>
      </c>
      <c r="AC1231" s="167">
        <f t="shared" si="785"/>
        <v>0</v>
      </c>
      <c r="AD1231" s="167">
        <f t="shared" si="785"/>
        <v>0</v>
      </c>
      <c r="AE1231" s="167">
        <f t="shared" si="785"/>
        <v>0</v>
      </c>
      <c r="AF1231" s="167">
        <f t="shared" si="785"/>
        <v>0</v>
      </c>
      <c r="AG1231" s="167">
        <f t="shared" si="786"/>
        <v>0</v>
      </c>
      <c r="AH1231" s="167">
        <f t="shared" si="786"/>
        <v>0</v>
      </c>
      <c r="AI1231" s="167">
        <f t="shared" si="786"/>
        <v>0</v>
      </c>
      <c r="AJ1231" s="167">
        <f t="shared" si="786"/>
        <v>0</v>
      </c>
      <c r="AK1231" s="167">
        <f t="shared" si="786"/>
        <v>0</v>
      </c>
      <c r="AL1231" s="167">
        <f t="shared" si="786"/>
        <v>0</v>
      </c>
      <c r="AM1231" s="167">
        <f t="shared" si="786"/>
        <v>0</v>
      </c>
      <c r="AN1231" s="167">
        <f t="shared" si="786"/>
        <v>0</v>
      </c>
      <c r="AO1231" s="167">
        <f t="shared" si="786"/>
        <v>0</v>
      </c>
      <c r="AP1231" s="167">
        <f t="shared" si="786"/>
        <v>0</v>
      </c>
      <c r="AQ1231" s="167">
        <f t="shared" si="787"/>
        <v>0</v>
      </c>
      <c r="AR1231" s="167">
        <f t="shared" si="787"/>
        <v>0</v>
      </c>
      <c r="AS1231" s="167">
        <f t="shared" si="787"/>
        <v>0</v>
      </c>
      <c r="AT1231" s="167">
        <f t="shared" si="787"/>
        <v>0</v>
      </c>
      <c r="AU1231" s="167">
        <f t="shared" si="787"/>
        <v>0</v>
      </c>
      <c r="AV1231" s="167">
        <f t="shared" si="787"/>
        <v>0</v>
      </c>
      <c r="AW1231" s="167">
        <f t="shared" si="787"/>
        <v>0</v>
      </c>
      <c r="AX1231" s="167">
        <f t="shared" si="787"/>
        <v>0</v>
      </c>
      <c r="AY1231" s="167">
        <f t="shared" si="787"/>
        <v>0</v>
      </c>
      <c r="AZ1231" s="167">
        <f t="shared" si="787"/>
        <v>0</v>
      </c>
      <c r="BA1231" s="167">
        <f t="shared" si="788"/>
        <v>0</v>
      </c>
      <c r="BB1231" s="167">
        <f t="shared" si="788"/>
        <v>0</v>
      </c>
      <c r="BC1231" s="167">
        <f t="shared" si="788"/>
        <v>0</v>
      </c>
      <c r="BD1231" s="167">
        <f t="shared" si="788"/>
        <v>0</v>
      </c>
      <c r="BE1231" s="167">
        <f t="shared" si="788"/>
        <v>0</v>
      </c>
      <c r="BF1231" s="167">
        <f t="shared" si="788"/>
        <v>0</v>
      </c>
      <c r="BG1231" s="167">
        <f t="shared" si="788"/>
        <v>0</v>
      </c>
      <c r="BH1231" s="167">
        <f t="shared" si="788"/>
        <v>0</v>
      </c>
      <c r="BI1231" s="167">
        <f t="shared" si="788"/>
        <v>0</v>
      </c>
      <c r="BJ1231" s="198">
        <f t="shared" si="788"/>
        <v>0</v>
      </c>
    </row>
    <row r="1232" spans="1:62">
      <c r="A1232" s="244"/>
      <c r="B1232" s="244"/>
    </row>
    <row r="1233" spans="1:62" s="240" customFormat="1" ht="21">
      <c r="A1233" s="247" t="s">
        <v>168</v>
      </c>
      <c r="B1233" s="237" t="s">
        <v>166</v>
      </c>
      <c r="C1233" s="238">
        <v>1</v>
      </c>
      <c r="D1233" s="238">
        <v>2</v>
      </c>
      <c r="E1233" s="238">
        <v>3</v>
      </c>
      <c r="F1233" s="238">
        <v>4</v>
      </c>
      <c r="G1233" s="238">
        <v>5</v>
      </c>
      <c r="H1233" s="238">
        <v>6</v>
      </c>
      <c r="I1233" s="238">
        <v>7</v>
      </c>
      <c r="J1233" s="238">
        <v>8</v>
      </c>
      <c r="K1233" s="238">
        <v>9</v>
      </c>
      <c r="L1233" s="238">
        <v>10</v>
      </c>
      <c r="M1233" s="238">
        <v>11</v>
      </c>
      <c r="N1233" s="238">
        <v>12</v>
      </c>
      <c r="O1233" s="238">
        <v>13</v>
      </c>
      <c r="P1233" s="238">
        <v>14</v>
      </c>
      <c r="Q1233" s="238">
        <v>15</v>
      </c>
      <c r="R1233" s="238">
        <v>16</v>
      </c>
      <c r="S1233" s="238">
        <v>17</v>
      </c>
      <c r="T1233" s="238">
        <v>18</v>
      </c>
      <c r="U1233" s="238">
        <v>19</v>
      </c>
      <c r="V1233" s="238">
        <v>20</v>
      </c>
      <c r="W1233" s="238">
        <v>21</v>
      </c>
      <c r="X1233" s="238">
        <v>22</v>
      </c>
      <c r="Y1233" s="238">
        <v>23</v>
      </c>
      <c r="Z1233" s="238">
        <v>24</v>
      </c>
      <c r="AA1233" s="238">
        <v>25</v>
      </c>
      <c r="AB1233" s="238">
        <v>26</v>
      </c>
      <c r="AC1233" s="238">
        <v>27</v>
      </c>
      <c r="AD1233" s="238">
        <v>28</v>
      </c>
      <c r="AE1233" s="238">
        <v>29</v>
      </c>
      <c r="AF1233" s="238">
        <v>30</v>
      </c>
      <c r="AG1233" s="238">
        <v>31</v>
      </c>
      <c r="AH1233" s="238">
        <v>32</v>
      </c>
      <c r="AI1233" s="238">
        <v>33</v>
      </c>
      <c r="AJ1233" s="238">
        <v>34</v>
      </c>
      <c r="AK1233" s="238">
        <v>35</v>
      </c>
      <c r="AL1233" s="238">
        <v>36</v>
      </c>
      <c r="AM1233" s="238">
        <v>37</v>
      </c>
      <c r="AN1233" s="238">
        <v>38</v>
      </c>
      <c r="AO1233" s="238">
        <v>39</v>
      </c>
      <c r="AP1233" s="238">
        <v>40</v>
      </c>
      <c r="AQ1233" s="238">
        <v>41</v>
      </c>
      <c r="AR1233" s="238">
        <v>42</v>
      </c>
      <c r="AS1233" s="238">
        <v>43</v>
      </c>
      <c r="AT1233" s="238">
        <v>44</v>
      </c>
      <c r="AU1233" s="238">
        <v>45</v>
      </c>
      <c r="AV1233" s="238">
        <v>46</v>
      </c>
      <c r="AW1233" s="238">
        <v>47</v>
      </c>
      <c r="AX1233" s="238">
        <v>48</v>
      </c>
      <c r="AY1233" s="238">
        <v>49</v>
      </c>
      <c r="AZ1233" s="238">
        <v>50</v>
      </c>
      <c r="BA1233" s="238">
        <v>51</v>
      </c>
      <c r="BB1233" s="238">
        <v>52</v>
      </c>
      <c r="BC1233" s="238">
        <v>53</v>
      </c>
      <c r="BD1233" s="238">
        <v>54</v>
      </c>
      <c r="BE1233" s="238">
        <v>55</v>
      </c>
      <c r="BF1233" s="238">
        <v>56</v>
      </c>
      <c r="BG1233" s="238">
        <v>57</v>
      </c>
      <c r="BH1233" s="238">
        <v>58</v>
      </c>
      <c r="BI1233" s="238">
        <v>59</v>
      </c>
      <c r="BJ1233" s="239">
        <v>60</v>
      </c>
    </row>
    <row r="1234" spans="1:62">
      <c r="A1234" s="248">
        <v>1</v>
      </c>
      <c r="B1234" s="16" t="s">
        <v>60</v>
      </c>
      <c r="C1234" s="186" t="e">
        <f t="shared" ref="C1234:L1243" si="789">VLOOKUP($A1234,CumCashFlowTable,C$1226+1)</f>
        <v>#REF!</v>
      </c>
      <c r="D1234" s="186" t="e">
        <f t="shared" si="789"/>
        <v>#REF!</v>
      </c>
      <c r="E1234" s="186" t="e">
        <f t="shared" si="789"/>
        <v>#REF!</v>
      </c>
      <c r="F1234" s="186" t="e">
        <f t="shared" si="789"/>
        <v>#REF!</v>
      </c>
      <c r="G1234" s="186" t="e">
        <f t="shared" si="789"/>
        <v>#REF!</v>
      </c>
      <c r="H1234" s="186" t="e">
        <f t="shared" si="789"/>
        <v>#REF!</v>
      </c>
      <c r="I1234" s="186" t="e">
        <f t="shared" si="789"/>
        <v>#REF!</v>
      </c>
      <c r="J1234" s="186" t="e">
        <f t="shared" si="789"/>
        <v>#REF!</v>
      </c>
      <c r="K1234" s="186" t="e">
        <f t="shared" si="789"/>
        <v>#REF!</v>
      </c>
      <c r="L1234" s="186" t="e">
        <f t="shared" si="789"/>
        <v>#REF!</v>
      </c>
      <c r="M1234" s="186" t="e">
        <f t="shared" ref="M1234:V1243" si="790">VLOOKUP($A1234,CumCashFlowTable,M$1226+1)</f>
        <v>#REF!</v>
      </c>
      <c r="N1234" s="186" t="e">
        <f t="shared" si="790"/>
        <v>#REF!</v>
      </c>
      <c r="O1234" s="186" t="e">
        <f t="shared" si="790"/>
        <v>#REF!</v>
      </c>
      <c r="P1234" s="186" t="e">
        <f t="shared" si="790"/>
        <v>#REF!</v>
      </c>
      <c r="Q1234" s="186" t="e">
        <f t="shared" si="790"/>
        <v>#REF!</v>
      </c>
      <c r="R1234" s="186" t="e">
        <f t="shared" si="790"/>
        <v>#REF!</v>
      </c>
      <c r="S1234" s="186" t="e">
        <f t="shared" si="790"/>
        <v>#REF!</v>
      </c>
      <c r="T1234" s="186" t="e">
        <f t="shared" si="790"/>
        <v>#REF!</v>
      </c>
      <c r="U1234" s="186" t="e">
        <f t="shared" si="790"/>
        <v>#REF!</v>
      </c>
      <c r="V1234" s="186" t="e">
        <f t="shared" si="790"/>
        <v>#REF!</v>
      </c>
      <c r="W1234" s="186" t="e">
        <f t="shared" ref="W1234:AF1243" si="791">VLOOKUP($A1234,CumCashFlowTable,W$1226+1)</f>
        <v>#REF!</v>
      </c>
      <c r="X1234" s="186" t="e">
        <f t="shared" si="791"/>
        <v>#REF!</v>
      </c>
      <c r="Y1234" s="186" t="e">
        <f t="shared" si="791"/>
        <v>#REF!</v>
      </c>
      <c r="Z1234" s="186" t="e">
        <f t="shared" si="791"/>
        <v>#REF!</v>
      </c>
      <c r="AA1234" s="186" t="e">
        <f t="shared" si="791"/>
        <v>#REF!</v>
      </c>
      <c r="AB1234" s="186" t="e">
        <f t="shared" si="791"/>
        <v>#REF!</v>
      </c>
      <c r="AC1234" s="186" t="e">
        <f t="shared" si="791"/>
        <v>#REF!</v>
      </c>
      <c r="AD1234" s="186" t="e">
        <f t="shared" si="791"/>
        <v>#REF!</v>
      </c>
      <c r="AE1234" s="186" t="e">
        <f t="shared" si="791"/>
        <v>#REF!</v>
      </c>
      <c r="AF1234" s="186" t="e">
        <f t="shared" si="791"/>
        <v>#REF!</v>
      </c>
      <c r="AG1234" s="186" t="e">
        <f t="shared" ref="AG1234:AP1243" si="792">VLOOKUP($A1234,CumCashFlowTable,AG$1226+1)</f>
        <v>#REF!</v>
      </c>
      <c r="AH1234" s="186" t="e">
        <f t="shared" si="792"/>
        <v>#REF!</v>
      </c>
      <c r="AI1234" s="186" t="e">
        <f t="shared" si="792"/>
        <v>#REF!</v>
      </c>
      <c r="AJ1234" s="186" t="e">
        <f t="shared" si="792"/>
        <v>#REF!</v>
      </c>
      <c r="AK1234" s="186" t="e">
        <f t="shared" si="792"/>
        <v>#REF!</v>
      </c>
      <c r="AL1234" s="186" t="e">
        <f t="shared" si="792"/>
        <v>#REF!</v>
      </c>
      <c r="AM1234" s="186" t="e">
        <f t="shared" si="792"/>
        <v>#REF!</v>
      </c>
      <c r="AN1234" s="186" t="e">
        <f t="shared" si="792"/>
        <v>#REF!</v>
      </c>
      <c r="AO1234" s="186" t="e">
        <f t="shared" si="792"/>
        <v>#REF!</v>
      </c>
      <c r="AP1234" s="186" t="e">
        <f t="shared" si="792"/>
        <v>#REF!</v>
      </c>
      <c r="AQ1234" s="186" t="e">
        <f t="shared" ref="AQ1234:AZ1243" si="793">VLOOKUP($A1234,CumCashFlowTable,AQ$1226+1)</f>
        <v>#REF!</v>
      </c>
      <c r="AR1234" s="186" t="e">
        <f t="shared" si="793"/>
        <v>#REF!</v>
      </c>
      <c r="AS1234" s="186" t="e">
        <f t="shared" si="793"/>
        <v>#REF!</v>
      </c>
      <c r="AT1234" s="186" t="e">
        <f t="shared" si="793"/>
        <v>#REF!</v>
      </c>
      <c r="AU1234" s="186" t="e">
        <f t="shared" si="793"/>
        <v>#REF!</v>
      </c>
      <c r="AV1234" s="186" t="e">
        <f t="shared" si="793"/>
        <v>#REF!</v>
      </c>
      <c r="AW1234" s="186" t="e">
        <f t="shared" si="793"/>
        <v>#REF!</v>
      </c>
      <c r="AX1234" s="186" t="e">
        <f t="shared" si="793"/>
        <v>#REF!</v>
      </c>
      <c r="AY1234" s="186" t="e">
        <f t="shared" si="793"/>
        <v>#REF!</v>
      </c>
      <c r="AZ1234" s="186" t="e">
        <f t="shared" si="793"/>
        <v>#REF!</v>
      </c>
      <c r="BA1234" s="186" t="e">
        <f t="shared" ref="BA1234:BJ1243" si="794">VLOOKUP($A1234,CumCashFlowTable,BA$1226+1)</f>
        <v>#REF!</v>
      </c>
      <c r="BB1234" s="186" t="e">
        <f t="shared" si="794"/>
        <v>#REF!</v>
      </c>
      <c r="BC1234" s="186" t="e">
        <f t="shared" si="794"/>
        <v>#REF!</v>
      </c>
      <c r="BD1234" s="186" t="e">
        <f t="shared" si="794"/>
        <v>#REF!</v>
      </c>
      <c r="BE1234" s="186" t="e">
        <f t="shared" si="794"/>
        <v>#REF!</v>
      </c>
      <c r="BF1234" s="186" t="e">
        <f t="shared" si="794"/>
        <v>#REF!</v>
      </c>
      <c r="BG1234" s="186" t="e">
        <f t="shared" si="794"/>
        <v>#REF!</v>
      </c>
      <c r="BH1234" s="186" t="e">
        <f t="shared" si="794"/>
        <v>#REF!</v>
      </c>
      <c r="BI1234" s="186" t="e">
        <f t="shared" si="794"/>
        <v>#REF!</v>
      </c>
      <c r="BJ1234" s="195" t="e">
        <f t="shared" si="794"/>
        <v>#REF!</v>
      </c>
    </row>
    <row r="1235" spans="1:62">
      <c r="A1235" s="248">
        <v>2</v>
      </c>
      <c r="B1235" s="16" t="s">
        <v>61</v>
      </c>
      <c r="C1235" s="186">
        <f t="shared" si="789"/>
        <v>-33815835.29495126</v>
      </c>
      <c r="D1235" s="186">
        <f t="shared" si="789"/>
        <v>-67778338.614457756</v>
      </c>
      <c r="E1235" s="186">
        <f t="shared" si="789"/>
        <v>-131655484.3610855</v>
      </c>
      <c r="F1235" s="186">
        <f t="shared" si="789"/>
        <v>-190969976.84009698</v>
      </c>
      <c r="G1235" s="186">
        <f t="shared" si="789"/>
        <v>-246047719.85632193</v>
      </c>
      <c r="H1235" s="186">
        <f t="shared" si="789"/>
        <v>-230026869.88126913</v>
      </c>
      <c r="I1235" s="186">
        <f t="shared" si="789"/>
        <v>-202194132.17339686</v>
      </c>
      <c r="J1235" s="186">
        <f t="shared" si="789"/>
        <v>-164318658.29645002</v>
      </c>
      <c r="K1235" s="186">
        <f t="shared" si="789"/>
        <v>-117977128.60982631</v>
      </c>
      <c r="L1235" s="186">
        <f t="shared" si="789"/>
        <v>-47856040.526859581</v>
      </c>
      <c r="M1235" s="186">
        <f t="shared" si="790"/>
        <v>17256398.407323807</v>
      </c>
      <c r="N1235" s="186">
        <f t="shared" si="790"/>
        <v>77717948.846208379</v>
      </c>
      <c r="O1235" s="186">
        <f t="shared" si="790"/>
        <v>133860817.1108869</v>
      </c>
      <c r="P1235" s="186">
        <f t="shared" si="790"/>
        <v>185993480.49951696</v>
      </c>
      <c r="Q1235" s="186">
        <f t="shared" si="790"/>
        <v>234402382.21753058</v>
      </c>
      <c r="R1235" s="186">
        <f t="shared" si="790"/>
        <v>279353505.24140036</v>
      </c>
      <c r="S1235" s="186">
        <f t="shared" si="790"/>
        <v>304968419.01909977</v>
      </c>
      <c r="T1235" s="186">
        <f t="shared" si="790"/>
        <v>323019833.63566083</v>
      </c>
      <c r="U1235" s="186">
        <f t="shared" si="790"/>
        <v>334457560.63564563</v>
      </c>
      <c r="V1235" s="186">
        <f t="shared" si="790"/>
        <v>340134313.48154175</v>
      </c>
      <c r="W1235" s="186">
        <f t="shared" si="791"/>
        <v>0</v>
      </c>
      <c r="X1235" s="186">
        <f t="shared" si="791"/>
        <v>0</v>
      </c>
      <c r="Y1235" s="186">
        <f t="shared" si="791"/>
        <v>0</v>
      </c>
      <c r="Z1235" s="186">
        <f t="shared" si="791"/>
        <v>0</v>
      </c>
      <c r="AA1235" s="186">
        <f t="shared" si="791"/>
        <v>0</v>
      </c>
      <c r="AB1235" s="186">
        <f t="shared" si="791"/>
        <v>0</v>
      </c>
      <c r="AC1235" s="186">
        <f t="shared" si="791"/>
        <v>0</v>
      </c>
      <c r="AD1235" s="186">
        <f t="shared" si="791"/>
        <v>0</v>
      </c>
      <c r="AE1235" s="186">
        <f t="shared" si="791"/>
        <v>0</v>
      </c>
      <c r="AF1235" s="186">
        <f t="shared" si="791"/>
        <v>0</v>
      </c>
      <c r="AG1235" s="186">
        <f t="shared" si="792"/>
        <v>0</v>
      </c>
      <c r="AH1235" s="186">
        <f t="shared" si="792"/>
        <v>0</v>
      </c>
      <c r="AI1235" s="186">
        <f t="shared" si="792"/>
        <v>0</v>
      </c>
      <c r="AJ1235" s="186">
        <f t="shared" si="792"/>
        <v>0</v>
      </c>
      <c r="AK1235" s="186">
        <f t="shared" si="792"/>
        <v>0</v>
      </c>
      <c r="AL1235" s="186">
        <f t="shared" si="792"/>
        <v>0</v>
      </c>
      <c r="AM1235" s="186">
        <f t="shared" si="792"/>
        <v>0</v>
      </c>
      <c r="AN1235" s="186">
        <f t="shared" si="792"/>
        <v>0</v>
      </c>
      <c r="AO1235" s="186">
        <f t="shared" si="792"/>
        <v>0</v>
      </c>
      <c r="AP1235" s="186">
        <f t="shared" si="792"/>
        <v>0</v>
      </c>
      <c r="AQ1235" s="186">
        <f t="shared" si="793"/>
        <v>0</v>
      </c>
      <c r="AR1235" s="186">
        <f t="shared" si="793"/>
        <v>0</v>
      </c>
      <c r="AS1235" s="186">
        <f t="shared" si="793"/>
        <v>0</v>
      </c>
      <c r="AT1235" s="186">
        <f t="shared" si="793"/>
        <v>0</v>
      </c>
      <c r="AU1235" s="186">
        <f t="shared" si="793"/>
        <v>0</v>
      </c>
      <c r="AV1235" s="186">
        <f t="shared" si="793"/>
        <v>0</v>
      </c>
      <c r="AW1235" s="186">
        <f t="shared" si="793"/>
        <v>0</v>
      </c>
      <c r="AX1235" s="186">
        <f t="shared" si="793"/>
        <v>0</v>
      </c>
      <c r="AY1235" s="186">
        <f t="shared" si="793"/>
        <v>0</v>
      </c>
      <c r="AZ1235" s="186">
        <f t="shared" si="793"/>
        <v>0</v>
      </c>
      <c r="BA1235" s="186">
        <f t="shared" si="794"/>
        <v>0</v>
      </c>
      <c r="BB1235" s="186">
        <f t="shared" si="794"/>
        <v>0</v>
      </c>
      <c r="BC1235" s="186">
        <f t="shared" si="794"/>
        <v>0</v>
      </c>
      <c r="BD1235" s="186">
        <f t="shared" si="794"/>
        <v>0</v>
      </c>
      <c r="BE1235" s="186">
        <f t="shared" si="794"/>
        <v>0</v>
      </c>
      <c r="BF1235" s="186">
        <f t="shared" si="794"/>
        <v>0</v>
      </c>
      <c r="BG1235" s="186">
        <f t="shared" si="794"/>
        <v>0</v>
      </c>
      <c r="BH1235" s="186">
        <f t="shared" si="794"/>
        <v>0</v>
      </c>
      <c r="BI1235" s="186">
        <f t="shared" si="794"/>
        <v>0</v>
      </c>
      <c r="BJ1235" s="195">
        <f t="shared" si="794"/>
        <v>0</v>
      </c>
    </row>
    <row r="1236" spans="1:62">
      <c r="A1236" s="248">
        <v>3</v>
      </c>
      <c r="B1236" s="16" t="s">
        <v>62</v>
      </c>
      <c r="C1236" s="186">
        <f>VLOOKUP($A1236,CumCashFlowTable,C$1226+1)</f>
        <v>-34799793.001789667</v>
      </c>
      <c r="D1236" s="186">
        <f t="shared" si="789"/>
        <v>-69307519.31156376</v>
      </c>
      <c r="E1236" s="186">
        <f t="shared" si="789"/>
        <v>-114965312.90221709</v>
      </c>
      <c r="F1236" s="186">
        <f t="shared" si="789"/>
        <v>-157361835.52210945</v>
      </c>
      <c r="G1236" s="186">
        <f t="shared" si="789"/>
        <v>-196730035.09772378</v>
      </c>
      <c r="H1236" s="186">
        <f t="shared" si="789"/>
        <v>-174255041.85939965</v>
      </c>
      <c r="I1236" s="186">
        <f t="shared" si="789"/>
        <v>-134086787.30971453</v>
      </c>
      <c r="J1236" s="186">
        <f t="shared" si="789"/>
        <v>-78867548.540282845</v>
      </c>
      <c r="K1236" s="186">
        <f t="shared" si="789"/>
        <v>-10952406.228158683</v>
      </c>
      <c r="L1236" s="186">
        <f t="shared" si="789"/>
        <v>78745253.838336959</v>
      </c>
      <c r="M1236" s="186">
        <f t="shared" si="790"/>
        <v>162035938.18579715</v>
      </c>
      <c r="N1236" s="186">
        <f t="shared" si="790"/>
        <v>239377287.93701023</v>
      </c>
      <c r="O1236" s="186">
        <f t="shared" si="790"/>
        <v>311194255.56313664</v>
      </c>
      <c r="P1236" s="186">
        <f t="shared" si="790"/>
        <v>377881439.78739691</v>
      </c>
      <c r="Q1236" s="186">
        <f t="shared" si="790"/>
        <v>439805253.70992428</v>
      </c>
      <c r="R1236" s="186">
        <f t="shared" si="790"/>
        <v>497305938.06655681</v>
      </c>
      <c r="S1236" s="186">
        <f t="shared" si="790"/>
        <v>550699430.68342996</v>
      </c>
      <c r="T1236" s="186">
        <f t="shared" si="790"/>
        <v>585557591.14332771</v>
      </c>
      <c r="U1236" s="186">
        <f t="shared" si="790"/>
        <v>609995210.63215268</v>
      </c>
      <c r="V1236" s="186">
        <f t="shared" si="790"/>
        <v>625323090.10260963</v>
      </c>
      <c r="W1236" s="186">
        <f t="shared" si="791"/>
        <v>632717939.25380826</v>
      </c>
      <c r="X1236" s="186">
        <f t="shared" si="791"/>
        <v>0</v>
      </c>
      <c r="Y1236" s="186">
        <f t="shared" si="791"/>
        <v>0</v>
      </c>
      <c r="Z1236" s="186">
        <f t="shared" si="791"/>
        <v>0</v>
      </c>
      <c r="AA1236" s="186">
        <f t="shared" si="791"/>
        <v>0</v>
      </c>
      <c r="AB1236" s="186">
        <f t="shared" si="791"/>
        <v>0</v>
      </c>
      <c r="AC1236" s="186">
        <f t="shared" si="791"/>
        <v>0</v>
      </c>
      <c r="AD1236" s="186">
        <f t="shared" si="791"/>
        <v>0</v>
      </c>
      <c r="AE1236" s="186">
        <f t="shared" si="791"/>
        <v>0</v>
      </c>
      <c r="AF1236" s="186">
        <f t="shared" si="791"/>
        <v>0</v>
      </c>
      <c r="AG1236" s="186">
        <f t="shared" si="792"/>
        <v>0</v>
      </c>
      <c r="AH1236" s="186">
        <f t="shared" si="792"/>
        <v>0</v>
      </c>
      <c r="AI1236" s="186">
        <f t="shared" si="792"/>
        <v>0</v>
      </c>
      <c r="AJ1236" s="186">
        <f t="shared" si="792"/>
        <v>0</v>
      </c>
      <c r="AK1236" s="186">
        <f t="shared" si="792"/>
        <v>0</v>
      </c>
      <c r="AL1236" s="186">
        <f t="shared" si="792"/>
        <v>0</v>
      </c>
      <c r="AM1236" s="186">
        <f t="shared" si="792"/>
        <v>0</v>
      </c>
      <c r="AN1236" s="186">
        <f t="shared" si="792"/>
        <v>0</v>
      </c>
      <c r="AO1236" s="186">
        <f t="shared" si="792"/>
        <v>0</v>
      </c>
      <c r="AP1236" s="186">
        <f t="shared" si="792"/>
        <v>0</v>
      </c>
      <c r="AQ1236" s="186">
        <f t="shared" si="793"/>
        <v>0</v>
      </c>
      <c r="AR1236" s="186">
        <f t="shared" si="793"/>
        <v>0</v>
      </c>
      <c r="AS1236" s="186">
        <f t="shared" si="793"/>
        <v>0</v>
      </c>
      <c r="AT1236" s="186">
        <f t="shared" si="793"/>
        <v>0</v>
      </c>
      <c r="AU1236" s="186">
        <f t="shared" si="793"/>
        <v>0</v>
      </c>
      <c r="AV1236" s="186">
        <f t="shared" si="793"/>
        <v>0</v>
      </c>
      <c r="AW1236" s="186">
        <f t="shared" si="793"/>
        <v>0</v>
      </c>
      <c r="AX1236" s="186">
        <f t="shared" si="793"/>
        <v>0</v>
      </c>
      <c r="AY1236" s="186">
        <f t="shared" si="793"/>
        <v>0</v>
      </c>
      <c r="AZ1236" s="186">
        <f t="shared" si="793"/>
        <v>0</v>
      </c>
      <c r="BA1236" s="186">
        <f t="shared" si="794"/>
        <v>0</v>
      </c>
      <c r="BB1236" s="186">
        <f t="shared" si="794"/>
        <v>0</v>
      </c>
      <c r="BC1236" s="186">
        <f t="shared" si="794"/>
        <v>0</v>
      </c>
      <c r="BD1236" s="186">
        <f t="shared" si="794"/>
        <v>0</v>
      </c>
      <c r="BE1236" s="186">
        <f t="shared" si="794"/>
        <v>0</v>
      </c>
      <c r="BF1236" s="186">
        <f t="shared" si="794"/>
        <v>0</v>
      </c>
      <c r="BG1236" s="186">
        <f t="shared" si="794"/>
        <v>0</v>
      </c>
      <c r="BH1236" s="186">
        <f t="shared" si="794"/>
        <v>0</v>
      </c>
      <c r="BI1236" s="186">
        <f t="shared" si="794"/>
        <v>0</v>
      </c>
      <c r="BJ1236" s="195">
        <f t="shared" si="794"/>
        <v>0</v>
      </c>
    </row>
    <row r="1237" spans="1:62">
      <c r="A1237" s="248">
        <v>4</v>
      </c>
      <c r="B1237" s="16" t="s">
        <v>63</v>
      </c>
      <c r="C1237" s="186">
        <f t="shared" si="789"/>
        <v>-34627822.096704267</v>
      </c>
      <c r="D1237" s="186">
        <f t="shared" si="789"/>
        <v>-68944840.516806796</v>
      </c>
      <c r="E1237" s="186">
        <f t="shared" si="789"/>
        <v>-133600441.49916303</v>
      </c>
      <c r="F1237" s="186">
        <f t="shared" si="789"/>
        <v>-193637785.2684938</v>
      </c>
      <c r="G1237" s="186">
        <f t="shared" si="789"/>
        <v>-249386747.34001523</v>
      </c>
      <c r="H1237" s="186">
        <f t="shared" si="789"/>
        <v>-228837968.054088</v>
      </c>
      <c r="I1237" s="186">
        <f t="shared" si="789"/>
        <v>-192672927.0753969</v>
      </c>
      <c r="J1237" s="186">
        <f t="shared" si="789"/>
        <v>-143227359.64212215</v>
      </c>
      <c r="K1237" s="186">
        <f t="shared" si="789"/>
        <v>-82582999.334401652</v>
      </c>
      <c r="L1237" s="186">
        <f t="shared" si="789"/>
        <v>5641574.0449277759</v>
      </c>
      <c r="M1237" s="186">
        <f t="shared" si="790"/>
        <v>87564392.182876527</v>
      </c>
      <c r="N1237" s="186">
        <f t="shared" si="790"/>
        <v>163635580.45382893</v>
      </c>
      <c r="O1237" s="186">
        <f t="shared" si="790"/>
        <v>234273112.41971332</v>
      </c>
      <c r="P1237" s="186">
        <f t="shared" si="790"/>
        <v>299865106.38803452</v>
      </c>
      <c r="Q1237" s="186">
        <f t="shared" si="790"/>
        <v>360771957.93004704</v>
      </c>
      <c r="R1237" s="186">
        <f t="shared" si="790"/>
        <v>417328320.07620156</v>
      </c>
      <c r="S1237" s="186">
        <f t="shared" si="790"/>
        <v>469844942.06905931</v>
      </c>
      <c r="T1237" s="186">
        <f t="shared" si="790"/>
        <v>518610376.77671295</v>
      </c>
      <c r="U1237" s="186">
        <f t="shared" si="790"/>
        <v>547513420.88455415</v>
      </c>
      <c r="V1237" s="186">
        <f t="shared" si="790"/>
        <v>567832834.21704769</v>
      </c>
      <c r="W1237" s="186">
        <f t="shared" si="791"/>
        <v>580647385.23134613</v>
      </c>
      <c r="X1237" s="186">
        <f t="shared" si="791"/>
        <v>586925526.63957679</v>
      </c>
      <c r="Y1237" s="186">
        <f t="shared" si="791"/>
        <v>0</v>
      </c>
      <c r="Z1237" s="186">
        <f t="shared" si="791"/>
        <v>0</v>
      </c>
      <c r="AA1237" s="186">
        <f t="shared" si="791"/>
        <v>0</v>
      </c>
      <c r="AB1237" s="186">
        <f t="shared" si="791"/>
        <v>0</v>
      </c>
      <c r="AC1237" s="186">
        <f t="shared" si="791"/>
        <v>0</v>
      </c>
      <c r="AD1237" s="186">
        <f t="shared" si="791"/>
        <v>0</v>
      </c>
      <c r="AE1237" s="186">
        <f t="shared" si="791"/>
        <v>0</v>
      </c>
      <c r="AF1237" s="186">
        <f t="shared" si="791"/>
        <v>0</v>
      </c>
      <c r="AG1237" s="186">
        <f t="shared" si="792"/>
        <v>0</v>
      </c>
      <c r="AH1237" s="186">
        <f t="shared" si="792"/>
        <v>0</v>
      </c>
      <c r="AI1237" s="186">
        <f t="shared" si="792"/>
        <v>0</v>
      </c>
      <c r="AJ1237" s="186">
        <f t="shared" si="792"/>
        <v>0</v>
      </c>
      <c r="AK1237" s="186">
        <f t="shared" si="792"/>
        <v>0</v>
      </c>
      <c r="AL1237" s="186">
        <f t="shared" si="792"/>
        <v>0</v>
      </c>
      <c r="AM1237" s="186">
        <f t="shared" si="792"/>
        <v>0</v>
      </c>
      <c r="AN1237" s="186">
        <f t="shared" si="792"/>
        <v>0</v>
      </c>
      <c r="AO1237" s="186">
        <f t="shared" si="792"/>
        <v>0</v>
      </c>
      <c r="AP1237" s="186">
        <f t="shared" si="792"/>
        <v>0</v>
      </c>
      <c r="AQ1237" s="186">
        <f t="shared" si="793"/>
        <v>0</v>
      </c>
      <c r="AR1237" s="186">
        <f t="shared" si="793"/>
        <v>0</v>
      </c>
      <c r="AS1237" s="186">
        <f t="shared" si="793"/>
        <v>0</v>
      </c>
      <c r="AT1237" s="186">
        <f t="shared" si="793"/>
        <v>0</v>
      </c>
      <c r="AU1237" s="186">
        <f t="shared" si="793"/>
        <v>0</v>
      </c>
      <c r="AV1237" s="186">
        <f t="shared" si="793"/>
        <v>0</v>
      </c>
      <c r="AW1237" s="186">
        <f t="shared" si="793"/>
        <v>0</v>
      </c>
      <c r="AX1237" s="186">
        <f t="shared" si="793"/>
        <v>0</v>
      </c>
      <c r="AY1237" s="186">
        <f t="shared" si="793"/>
        <v>0</v>
      </c>
      <c r="AZ1237" s="186">
        <f t="shared" si="793"/>
        <v>0</v>
      </c>
      <c r="BA1237" s="186">
        <f t="shared" si="794"/>
        <v>0</v>
      </c>
      <c r="BB1237" s="186">
        <f t="shared" si="794"/>
        <v>0</v>
      </c>
      <c r="BC1237" s="186">
        <f t="shared" si="794"/>
        <v>0</v>
      </c>
      <c r="BD1237" s="186">
        <f t="shared" si="794"/>
        <v>0</v>
      </c>
      <c r="BE1237" s="186">
        <f t="shared" si="794"/>
        <v>0</v>
      </c>
      <c r="BF1237" s="186">
        <f t="shared" si="794"/>
        <v>0</v>
      </c>
      <c r="BG1237" s="186">
        <f t="shared" si="794"/>
        <v>0</v>
      </c>
      <c r="BH1237" s="186">
        <f t="shared" si="794"/>
        <v>0</v>
      </c>
      <c r="BI1237" s="186">
        <f t="shared" si="794"/>
        <v>0</v>
      </c>
      <c r="BJ1237" s="195">
        <f t="shared" si="794"/>
        <v>0</v>
      </c>
    </row>
    <row r="1238" spans="1:62">
      <c r="A1238" s="248">
        <v>5</v>
      </c>
      <c r="B1238" s="16" t="s">
        <v>64</v>
      </c>
      <c r="C1238" s="186">
        <f t="shared" si="789"/>
        <v>-17670808.082662947</v>
      </c>
      <c r="D1238" s="186">
        <f t="shared" si="789"/>
        <v>-36273048.396105096</v>
      </c>
      <c r="E1238" s="186">
        <f t="shared" si="789"/>
        <v>-64862142.405130446</v>
      </c>
      <c r="F1238" s="186">
        <f t="shared" si="789"/>
        <v>-91409158.270653978</v>
      </c>
      <c r="G1238" s="186">
        <f t="shared" si="789"/>
        <v>-116059958.71721154</v>
      </c>
      <c r="H1238" s="186">
        <f t="shared" si="789"/>
        <v>-99053648.951936781</v>
      </c>
      <c r="I1238" s="186">
        <f t="shared" si="789"/>
        <v>-68117640.794763923</v>
      </c>
      <c r="J1238" s="186">
        <f t="shared" si="789"/>
        <v>-25328658.045378819</v>
      </c>
      <c r="K1238" s="186">
        <f t="shared" si="789"/>
        <v>27462180.435304694</v>
      </c>
      <c r="L1238" s="186">
        <f t="shared" si="789"/>
        <v>97382747.019128114</v>
      </c>
      <c r="M1238" s="186">
        <f t="shared" si="790"/>
        <v>162308987.41839272</v>
      </c>
      <c r="N1238" s="186">
        <f t="shared" si="790"/>
        <v>222597639.21770984</v>
      </c>
      <c r="O1238" s="186">
        <f t="shared" si="790"/>
        <v>278579958.74564719</v>
      </c>
      <c r="P1238" s="186">
        <f t="shared" si="790"/>
        <v>330563541.16444618</v>
      </c>
      <c r="Q1238" s="186">
        <f t="shared" si="790"/>
        <v>378834010.5533309</v>
      </c>
      <c r="R1238" s="186">
        <f t="shared" si="790"/>
        <v>423656589.27158105</v>
      </c>
      <c r="S1238" s="186">
        <f t="shared" si="790"/>
        <v>465277555.22424185</v>
      </c>
      <c r="T1238" s="186">
        <f t="shared" si="790"/>
        <v>492373007.81293064</v>
      </c>
      <c r="U1238" s="186">
        <f t="shared" si="790"/>
        <v>511309539.75444353</v>
      </c>
      <c r="V1238" s="186">
        <f t="shared" si="790"/>
        <v>523114469.03618991</v>
      </c>
      <c r="W1238" s="186">
        <f t="shared" si="791"/>
        <v>528709981.07925117</v>
      </c>
      <c r="X1238" s="186">
        <f t="shared" si="791"/>
        <v>0</v>
      </c>
      <c r="Y1238" s="186">
        <f t="shared" si="791"/>
        <v>0</v>
      </c>
      <c r="Z1238" s="186">
        <f t="shared" si="791"/>
        <v>0</v>
      </c>
      <c r="AA1238" s="186">
        <f t="shared" si="791"/>
        <v>0</v>
      </c>
      <c r="AB1238" s="186">
        <f t="shared" si="791"/>
        <v>0</v>
      </c>
      <c r="AC1238" s="186">
        <f t="shared" si="791"/>
        <v>0</v>
      </c>
      <c r="AD1238" s="186">
        <f t="shared" si="791"/>
        <v>0</v>
      </c>
      <c r="AE1238" s="186">
        <f t="shared" si="791"/>
        <v>0</v>
      </c>
      <c r="AF1238" s="186">
        <f t="shared" si="791"/>
        <v>0</v>
      </c>
      <c r="AG1238" s="186">
        <f t="shared" si="792"/>
        <v>0</v>
      </c>
      <c r="AH1238" s="186">
        <f t="shared" si="792"/>
        <v>0</v>
      </c>
      <c r="AI1238" s="186">
        <f t="shared" si="792"/>
        <v>0</v>
      </c>
      <c r="AJ1238" s="186">
        <f t="shared" si="792"/>
        <v>0</v>
      </c>
      <c r="AK1238" s="186">
        <f t="shared" si="792"/>
        <v>0</v>
      </c>
      <c r="AL1238" s="186">
        <f t="shared" si="792"/>
        <v>0</v>
      </c>
      <c r="AM1238" s="186">
        <f t="shared" si="792"/>
        <v>0</v>
      </c>
      <c r="AN1238" s="186">
        <f t="shared" si="792"/>
        <v>0</v>
      </c>
      <c r="AO1238" s="186">
        <f t="shared" si="792"/>
        <v>0</v>
      </c>
      <c r="AP1238" s="186">
        <f t="shared" si="792"/>
        <v>0</v>
      </c>
      <c r="AQ1238" s="186">
        <f t="shared" si="793"/>
        <v>0</v>
      </c>
      <c r="AR1238" s="186">
        <f t="shared" si="793"/>
        <v>0</v>
      </c>
      <c r="AS1238" s="186">
        <f t="shared" si="793"/>
        <v>0</v>
      </c>
      <c r="AT1238" s="186">
        <f t="shared" si="793"/>
        <v>0</v>
      </c>
      <c r="AU1238" s="186">
        <f t="shared" si="793"/>
        <v>0</v>
      </c>
      <c r="AV1238" s="186">
        <f t="shared" si="793"/>
        <v>0</v>
      </c>
      <c r="AW1238" s="186">
        <f t="shared" si="793"/>
        <v>0</v>
      </c>
      <c r="AX1238" s="186">
        <f t="shared" si="793"/>
        <v>0</v>
      </c>
      <c r="AY1238" s="186">
        <f t="shared" si="793"/>
        <v>0</v>
      </c>
      <c r="AZ1238" s="186">
        <f t="shared" si="793"/>
        <v>0</v>
      </c>
      <c r="BA1238" s="186">
        <f t="shared" si="794"/>
        <v>0</v>
      </c>
      <c r="BB1238" s="186">
        <f t="shared" si="794"/>
        <v>0</v>
      </c>
      <c r="BC1238" s="186">
        <f t="shared" si="794"/>
        <v>0</v>
      </c>
      <c r="BD1238" s="186">
        <f t="shared" si="794"/>
        <v>0</v>
      </c>
      <c r="BE1238" s="186">
        <f t="shared" si="794"/>
        <v>0</v>
      </c>
      <c r="BF1238" s="186">
        <f t="shared" si="794"/>
        <v>0</v>
      </c>
      <c r="BG1238" s="186">
        <f t="shared" si="794"/>
        <v>0</v>
      </c>
      <c r="BH1238" s="186">
        <f t="shared" si="794"/>
        <v>0</v>
      </c>
      <c r="BI1238" s="186">
        <f t="shared" si="794"/>
        <v>0</v>
      </c>
      <c r="BJ1238" s="195">
        <f t="shared" si="794"/>
        <v>0</v>
      </c>
    </row>
    <row r="1239" spans="1:62" s="201" customFormat="1">
      <c r="A1239" s="201">
        <v>6</v>
      </c>
      <c r="B1239" s="250" t="str">
        <f t="shared" ref="B1239:B1243" si="795">CONCATENATE("Concept ", A1239)</f>
        <v>Concept 6</v>
      </c>
      <c r="C1239" s="186">
        <f t="shared" si="789"/>
        <v>-34360697.274699934</v>
      </c>
      <c r="D1239" s="186">
        <f t="shared" si="789"/>
        <v>-68603036.139162928</v>
      </c>
      <c r="E1239" s="186">
        <f t="shared" si="789"/>
        <v>-132697116.55509198</v>
      </c>
      <c r="F1239" s="186">
        <f t="shared" si="789"/>
        <v>-192213048.36988321</v>
      </c>
      <c r="G1239" s="186">
        <f t="shared" si="789"/>
        <v>-247477842.19790366</v>
      </c>
      <c r="H1239" s="186">
        <f t="shared" si="789"/>
        <v>-231385860.12573844</v>
      </c>
      <c r="I1239" s="186">
        <f t="shared" si="789"/>
        <v>-203430029.32199916</v>
      </c>
      <c r="J1239" s="186">
        <f t="shared" si="789"/>
        <v>-165387287.26911563</v>
      </c>
      <c r="K1239" s="186">
        <f t="shared" si="789"/>
        <v>-118841253.07820915</v>
      </c>
      <c r="L1239" s="186">
        <f t="shared" si="789"/>
        <v>-48411001.424256206</v>
      </c>
      <c r="M1239" s="186">
        <f t="shared" si="790"/>
        <v>16988517.968700066</v>
      </c>
      <c r="N1239" s="186">
        <f t="shared" si="790"/>
        <v>77716643.119302332</v>
      </c>
      <c r="O1239" s="186">
        <f t="shared" si="790"/>
        <v>134107045.04486158</v>
      </c>
      <c r="P1239" s="186">
        <f t="shared" si="790"/>
        <v>186469561.11859518</v>
      </c>
      <c r="Q1239" s="186">
        <f t="shared" si="790"/>
        <v>235091897.47277635</v>
      </c>
      <c r="R1239" s="186">
        <f t="shared" si="790"/>
        <v>280241209.80165887</v>
      </c>
      <c r="S1239" s="186">
        <f t="shared" si="790"/>
        <v>305969161.82560909</v>
      </c>
      <c r="T1239" s="186">
        <f t="shared" si="790"/>
        <v>324100296.29480612</v>
      </c>
      <c r="U1239" s="186">
        <f t="shared" si="790"/>
        <v>335588607.79858232</v>
      </c>
      <c r="V1239" s="186">
        <f t="shared" si="790"/>
        <v>341290565.25817537</v>
      </c>
      <c r="W1239" s="186">
        <f t="shared" si="791"/>
        <v>0</v>
      </c>
      <c r="X1239" s="186">
        <f t="shared" si="791"/>
        <v>0</v>
      </c>
      <c r="Y1239" s="186">
        <f t="shared" si="791"/>
        <v>0</v>
      </c>
      <c r="Z1239" s="186">
        <f t="shared" si="791"/>
        <v>0</v>
      </c>
      <c r="AA1239" s="186">
        <f t="shared" si="791"/>
        <v>0</v>
      </c>
      <c r="AB1239" s="186">
        <f t="shared" si="791"/>
        <v>0</v>
      </c>
      <c r="AC1239" s="186">
        <f t="shared" si="791"/>
        <v>0</v>
      </c>
      <c r="AD1239" s="186">
        <f t="shared" si="791"/>
        <v>0</v>
      </c>
      <c r="AE1239" s="186">
        <f t="shared" si="791"/>
        <v>0</v>
      </c>
      <c r="AF1239" s="186">
        <f t="shared" si="791"/>
        <v>0</v>
      </c>
      <c r="AG1239" s="186">
        <f t="shared" si="792"/>
        <v>0</v>
      </c>
      <c r="AH1239" s="186">
        <f t="shared" si="792"/>
        <v>0</v>
      </c>
      <c r="AI1239" s="186">
        <f t="shared" si="792"/>
        <v>0</v>
      </c>
      <c r="AJ1239" s="186">
        <f t="shared" si="792"/>
        <v>0</v>
      </c>
      <c r="AK1239" s="186">
        <f t="shared" si="792"/>
        <v>0</v>
      </c>
      <c r="AL1239" s="186">
        <f t="shared" si="792"/>
        <v>0</v>
      </c>
      <c r="AM1239" s="186">
        <f t="shared" si="792"/>
        <v>0</v>
      </c>
      <c r="AN1239" s="186">
        <f t="shared" si="792"/>
        <v>0</v>
      </c>
      <c r="AO1239" s="186">
        <f t="shared" si="792"/>
        <v>0</v>
      </c>
      <c r="AP1239" s="186">
        <f t="shared" si="792"/>
        <v>0</v>
      </c>
      <c r="AQ1239" s="186">
        <f t="shared" si="793"/>
        <v>0</v>
      </c>
      <c r="AR1239" s="186">
        <f t="shared" si="793"/>
        <v>0</v>
      </c>
      <c r="AS1239" s="186">
        <f t="shared" si="793"/>
        <v>0</v>
      </c>
      <c r="AT1239" s="186">
        <f t="shared" si="793"/>
        <v>0</v>
      </c>
      <c r="AU1239" s="186">
        <f t="shared" si="793"/>
        <v>0</v>
      </c>
      <c r="AV1239" s="186">
        <f t="shared" si="793"/>
        <v>0</v>
      </c>
      <c r="AW1239" s="186">
        <f t="shared" si="793"/>
        <v>0</v>
      </c>
      <c r="AX1239" s="186">
        <f t="shared" si="793"/>
        <v>0</v>
      </c>
      <c r="AY1239" s="186">
        <f t="shared" si="793"/>
        <v>0</v>
      </c>
      <c r="AZ1239" s="186">
        <f t="shared" si="793"/>
        <v>0</v>
      </c>
      <c r="BA1239" s="186">
        <f t="shared" si="794"/>
        <v>0</v>
      </c>
      <c r="BB1239" s="186">
        <f t="shared" si="794"/>
        <v>0</v>
      </c>
      <c r="BC1239" s="186">
        <f t="shared" si="794"/>
        <v>0</v>
      </c>
      <c r="BD1239" s="186">
        <f t="shared" si="794"/>
        <v>0</v>
      </c>
      <c r="BE1239" s="186">
        <f t="shared" si="794"/>
        <v>0</v>
      </c>
      <c r="BF1239" s="186">
        <f t="shared" si="794"/>
        <v>0</v>
      </c>
      <c r="BG1239" s="186">
        <f t="shared" si="794"/>
        <v>0</v>
      </c>
      <c r="BH1239" s="186">
        <f t="shared" si="794"/>
        <v>0</v>
      </c>
      <c r="BI1239" s="186">
        <f t="shared" si="794"/>
        <v>0</v>
      </c>
      <c r="BJ1239" s="195">
        <f t="shared" si="794"/>
        <v>0</v>
      </c>
    </row>
    <row r="1240" spans="1:62">
      <c r="A1240" s="201">
        <v>7</v>
      </c>
      <c r="B1240" s="250" t="str">
        <f t="shared" si="795"/>
        <v>Concept 7</v>
      </c>
      <c r="C1240" s="186">
        <f t="shared" si="789"/>
        <v>-17671504.977141425</v>
      </c>
      <c r="D1240" s="186">
        <f t="shared" si="789"/>
        <v>-36274546.482194878</v>
      </c>
      <c r="E1240" s="186">
        <f t="shared" si="789"/>
        <v>-64864384.454859301</v>
      </c>
      <c r="F1240" s="186">
        <f t="shared" si="789"/>
        <v>-91412091.143761963</v>
      </c>
      <c r="G1240" s="186">
        <f t="shared" si="789"/>
        <v>-116063533.06917159</v>
      </c>
      <c r="H1240" s="186">
        <f t="shared" si="789"/>
        <v>-97161495.842034414</v>
      </c>
      <c r="I1240" s="186">
        <f t="shared" si="789"/>
        <v>-62704850.969974227</v>
      </c>
      <c r="J1240" s="186">
        <f t="shared" si="789"/>
        <v>-15012124.224853188</v>
      </c>
      <c r="K1240" s="186">
        <f t="shared" si="789"/>
        <v>43850016.345789105</v>
      </c>
      <c r="L1240" s="186">
        <f t="shared" si="789"/>
        <v>119242020.41052404</v>
      </c>
      <c r="M1240" s="186">
        <f t="shared" si="790"/>
        <v>189248881.32777792</v>
      </c>
      <c r="N1240" s="186">
        <f t="shared" si="790"/>
        <v>254255252.17951363</v>
      </c>
      <c r="O1240" s="186">
        <f t="shared" si="790"/>
        <v>314618310.82755399</v>
      </c>
      <c r="P1240" s="186">
        <f t="shared" si="790"/>
        <v>370669722.42930567</v>
      </c>
      <c r="Q1240" s="186">
        <f t="shared" si="790"/>
        <v>422717461.77378941</v>
      </c>
      <c r="R1240" s="186">
        <f t="shared" si="790"/>
        <v>457755781.23097527</v>
      </c>
      <c r="S1240" s="186">
        <f t="shared" si="790"/>
        <v>482234574.39923608</v>
      </c>
      <c r="T1240" s="186">
        <f t="shared" si="790"/>
        <v>497483578.09812653</v>
      </c>
      <c r="U1240" s="186">
        <f t="shared" si="790"/>
        <v>504696441.87853497</v>
      </c>
      <c r="V1240" s="186">
        <f t="shared" si="790"/>
        <v>0</v>
      </c>
      <c r="W1240" s="186">
        <f t="shared" si="791"/>
        <v>0</v>
      </c>
      <c r="X1240" s="186">
        <f t="shared" si="791"/>
        <v>0</v>
      </c>
      <c r="Y1240" s="186">
        <f t="shared" si="791"/>
        <v>0</v>
      </c>
      <c r="Z1240" s="186">
        <f t="shared" si="791"/>
        <v>0</v>
      </c>
      <c r="AA1240" s="186">
        <f t="shared" si="791"/>
        <v>0</v>
      </c>
      <c r="AB1240" s="186">
        <f t="shared" si="791"/>
        <v>0</v>
      </c>
      <c r="AC1240" s="186">
        <f t="shared" si="791"/>
        <v>0</v>
      </c>
      <c r="AD1240" s="186">
        <f t="shared" si="791"/>
        <v>0</v>
      </c>
      <c r="AE1240" s="186">
        <f t="shared" si="791"/>
        <v>0</v>
      </c>
      <c r="AF1240" s="186">
        <f t="shared" si="791"/>
        <v>0</v>
      </c>
      <c r="AG1240" s="186">
        <f t="shared" si="792"/>
        <v>0</v>
      </c>
      <c r="AH1240" s="186">
        <f t="shared" si="792"/>
        <v>0</v>
      </c>
      <c r="AI1240" s="186">
        <f t="shared" si="792"/>
        <v>0</v>
      </c>
      <c r="AJ1240" s="186">
        <f t="shared" si="792"/>
        <v>0</v>
      </c>
      <c r="AK1240" s="186">
        <f t="shared" si="792"/>
        <v>0</v>
      </c>
      <c r="AL1240" s="186">
        <f t="shared" si="792"/>
        <v>0</v>
      </c>
      <c r="AM1240" s="186">
        <f t="shared" si="792"/>
        <v>0</v>
      </c>
      <c r="AN1240" s="186">
        <f t="shared" si="792"/>
        <v>0</v>
      </c>
      <c r="AO1240" s="186">
        <f t="shared" si="792"/>
        <v>0</v>
      </c>
      <c r="AP1240" s="186">
        <f t="shared" si="792"/>
        <v>0</v>
      </c>
      <c r="AQ1240" s="186">
        <f t="shared" si="793"/>
        <v>0</v>
      </c>
      <c r="AR1240" s="186">
        <f t="shared" si="793"/>
        <v>0</v>
      </c>
      <c r="AS1240" s="186">
        <f t="shared" si="793"/>
        <v>0</v>
      </c>
      <c r="AT1240" s="186">
        <f t="shared" si="793"/>
        <v>0</v>
      </c>
      <c r="AU1240" s="186">
        <f t="shared" si="793"/>
        <v>0</v>
      </c>
      <c r="AV1240" s="186">
        <f t="shared" si="793"/>
        <v>0</v>
      </c>
      <c r="AW1240" s="186">
        <f t="shared" si="793"/>
        <v>0</v>
      </c>
      <c r="AX1240" s="186">
        <f t="shared" si="793"/>
        <v>0</v>
      </c>
      <c r="AY1240" s="186">
        <f t="shared" si="793"/>
        <v>0</v>
      </c>
      <c r="AZ1240" s="186">
        <f t="shared" si="793"/>
        <v>0</v>
      </c>
      <c r="BA1240" s="186">
        <f t="shared" si="794"/>
        <v>0</v>
      </c>
      <c r="BB1240" s="186">
        <f t="shared" si="794"/>
        <v>0</v>
      </c>
      <c r="BC1240" s="186">
        <f t="shared" si="794"/>
        <v>0</v>
      </c>
      <c r="BD1240" s="186">
        <f t="shared" si="794"/>
        <v>0</v>
      </c>
      <c r="BE1240" s="186">
        <f t="shared" si="794"/>
        <v>0</v>
      </c>
      <c r="BF1240" s="186">
        <f t="shared" si="794"/>
        <v>0</v>
      </c>
      <c r="BG1240" s="186">
        <f t="shared" si="794"/>
        <v>0</v>
      </c>
      <c r="BH1240" s="186">
        <f t="shared" si="794"/>
        <v>0</v>
      </c>
      <c r="BI1240" s="186">
        <f t="shared" si="794"/>
        <v>0</v>
      </c>
      <c r="BJ1240" s="195">
        <f t="shared" si="794"/>
        <v>0</v>
      </c>
    </row>
    <row r="1241" spans="1:62">
      <c r="A1241" s="201">
        <v>8</v>
      </c>
      <c r="B1241" s="250" t="str">
        <f t="shared" si="795"/>
        <v>Concept 8</v>
      </c>
      <c r="C1241" s="186">
        <f t="shared" si="789"/>
        <v>-17521680.87544024</v>
      </c>
      <c r="D1241" s="186">
        <f t="shared" si="789"/>
        <v>-35954425.304369032</v>
      </c>
      <c r="E1241" s="186">
        <f t="shared" si="789"/>
        <v>-52520207.24049931</v>
      </c>
      <c r="F1241" s="186">
        <f t="shared" si="789"/>
        <v>-67902719.038334563</v>
      </c>
      <c r="G1241" s="186">
        <f t="shared" si="789"/>
        <v>-82186479.993467301</v>
      </c>
      <c r="H1241" s="186">
        <f t="shared" si="789"/>
        <v>-62206101.53882204</v>
      </c>
      <c r="I1241" s="186">
        <f t="shared" si="789"/>
        <v>-25569727.820640773</v>
      </c>
      <c r="J1241" s="186">
        <f t="shared" si="789"/>
        <v>25241272.559884399</v>
      </c>
      <c r="K1241" s="186">
        <f t="shared" si="789"/>
        <v>88015032.662631959</v>
      </c>
      <c r="L1241" s="186">
        <f t="shared" si="789"/>
        <v>165003506.7761766</v>
      </c>
      <c r="M1241" s="186">
        <f t="shared" si="790"/>
        <v>236492804.1673252</v>
      </c>
      <c r="N1241" s="186">
        <f t="shared" si="790"/>
        <v>302875723.1733917</v>
      </c>
      <c r="O1241" s="186">
        <f t="shared" si="790"/>
        <v>349545896.0777694</v>
      </c>
      <c r="P1241" s="186">
        <f t="shared" si="790"/>
        <v>382118287.5153988</v>
      </c>
      <c r="Q1241" s="186">
        <f t="shared" si="790"/>
        <v>402368753.14018077</v>
      </c>
      <c r="R1241" s="186">
        <f t="shared" si="790"/>
        <v>411891382.39763623</v>
      </c>
      <c r="S1241" s="186">
        <f t="shared" si="790"/>
        <v>0</v>
      </c>
      <c r="T1241" s="186">
        <f t="shared" si="790"/>
        <v>0</v>
      </c>
      <c r="U1241" s="186">
        <f t="shared" si="790"/>
        <v>0</v>
      </c>
      <c r="V1241" s="186">
        <f t="shared" si="790"/>
        <v>0</v>
      </c>
      <c r="W1241" s="186">
        <f t="shared" si="791"/>
        <v>0</v>
      </c>
      <c r="X1241" s="186">
        <f t="shared" si="791"/>
        <v>0</v>
      </c>
      <c r="Y1241" s="186">
        <f t="shared" si="791"/>
        <v>0</v>
      </c>
      <c r="Z1241" s="186">
        <f t="shared" si="791"/>
        <v>0</v>
      </c>
      <c r="AA1241" s="186">
        <f t="shared" si="791"/>
        <v>0</v>
      </c>
      <c r="AB1241" s="186">
        <f t="shared" si="791"/>
        <v>0</v>
      </c>
      <c r="AC1241" s="186">
        <f t="shared" si="791"/>
        <v>0</v>
      </c>
      <c r="AD1241" s="186">
        <f t="shared" si="791"/>
        <v>0</v>
      </c>
      <c r="AE1241" s="186">
        <f t="shared" si="791"/>
        <v>0</v>
      </c>
      <c r="AF1241" s="186">
        <f t="shared" si="791"/>
        <v>0</v>
      </c>
      <c r="AG1241" s="186">
        <f t="shared" si="792"/>
        <v>0</v>
      </c>
      <c r="AH1241" s="186">
        <f t="shared" si="792"/>
        <v>0</v>
      </c>
      <c r="AI1241" s="186">
        <f t="shared" si="792"/>
        <v>0</v>
      </c>
      <c r="AJ1241" s="186">
        <f t="shared" si="792"/>
        <v>0</v>
      </c>
      <c r="AK1241" s="186">
        <f t="shared" si="792"/>
        <v>0</v>
      </c>
      <c r="AL1241" s="186">
        <f t="shared" si="792"/>
        <v>0</v>
      </c>
      <c r="AM1241" s="186">
        <f t="shared" si="792"/>
        <v>0</v>
      </c>
      <c r="AN1241" s="186">
        <f t="shared" si="792"/>
        <v>0</v>
      </c>
      <c r="AO1241" s="186">
        <f t="shared" si="792"/>
        <v>0</v>
      </c>
      <c r="AP1241" s="186">
        <f t="shared" si="792"/>
        <v>0</v>
      </c>
      <c r="AQ1241" s="186">
        <f t="shared" si="793"/>
        <v>0</v>
      </c>
      <c r="AR1241" s="186">
        <f t="shared" si="793"/>
        <v>0</v>
      </c>
      <c r="AS1241" s="186">
        <f t="shared" si="793"/>
        <v>0</v>
      </c>
      <c r="AT1241" s="186">
        <f t="shared" si="793"/>
        <v>0</v>
      </c>
      <c r="AU1241" s="186">
        <f t="shared" si="793"/>
        <v>0</v>
      </c>
      <c r="AV1241" s="186">
        <f t="shared" si="793"/>
        <v>0</v>
      </c>
      <c r="AW1241" s="186">
        <f t="shared" si="793"/>
        <v>0</v>
      </c>
      <c r="AX1241" s="186">
        <f t="shared" si="793"/>
        <v>0</v>
      </c>
      <c r="AY1241" s="186">
        <f t="shared" si="793"/>
        <v>0</v>
      </c>
      <c r="AZ1241" s="186">
        <f t="shared" si="793"/>
        <v>0</v>
      </c>
      <c r="BA1241" s="186">
        <f t="shared" si="794"/>
        <v>0</v>
      </c>
      <c r="BB1241" s="186">
        <f t="shared" si="794"/>
        <v>0</v>
      </c>
      <c r="BC1241" s="186">
        <f t="shared" si="794"/>
        <v>0</v>
      </c>
      <c r="BD1241" s="186">
        <f t="shared" si="794"/>
        <v>0</v>
      </c>
      <c r="BE1241" s="186">
        <f t="shared" si="794"/>
        <v>0</v>
      </c>
      <c r="BF1241" s="186">
        <f t="shared" si="794"/>
        <v>0</v>
      </c>
      <c r="BG1241" s="186">
        <f t="shared" si="794"/>
        <v>0</v>
      </c>
      <c r="BH1241" s="186">
        <f t="shared" si="794"/>
        <v>0</v>
      </c>
      <c r="BI1241" s="186">
        <f t="shared" si="794"/>
        <v>0</v>
      </c>
      <c r="BJ1241" s="195">
        <f t="shared" si="794"/>
        <v>0</v>
      </c>
    </row>
    <row r="1242" spans="1:62">
      <c r="A1242" s="201">
        <v>9</v>
      </c>
      <c r="B1242" s="250" t="str">
        <f t="shared" si="795"/>
        <v>Concept 9</v>
      </c>
      <c r="C1242" s="186">
        <f t="shared" si="789"/>
        <v>-46251611.622546464</v>
      </c>
      <c r="D1242" s="186">
        <f t="shared" si="789"/>
        <v>-92265626.7177549</v>
      </c>
      <c r="E1242" s="186">
        <f t="shared" si="789"/>
        <v>-147188936.69430295</v>
      </c>
      <c r="F1242" s="186">
        <f t="shared" si="789"/>
        <v>-198189153.10109755</v>
      </c>
      <c r="G1242" s="186">
        <f t="shared" si="789"/>
        <v>-245546496.90740684</v>
      </c>
      <c r="H1242" s="186">
        <f t="shared" si="789"/>
        <v>-217944010.20722005</v>
      </c>
      <c r="I1242" s="186">
        <f t="shared" si="789"/>
        <v>-168628662.92149433</v>
      </c>
      <c r="J1242" s="186">
        <f t="shared" si="789"/>
        <v>-100843121.29051174</v>
      </c>
      <c r="K1242" s="186">
        <f t="shared" si="789"/>
        <v>-17477593.421174929</v>
      </c>
      <c r="L1242" s="186">
        <f t="shared" si="789"/>
        <v>87515959.166832641</v>
      </c>
      <c r="M1242" s="186">
        <f t="shared" si="790"/>
        <v>185009972.2842682</v>
      </c>
      <c r="N1242" s="186">
        <f t="shared" si="790"/>
        <v>275540127.32188696</v>
      </c>
      <c r="O1242" s="186">
        <f t="shared" si="790"/>
        <v>359603842.71396154</v>
      </c>
      <c r="P1242" s="186">
        <f t="shared" si="790"/>
        <v>437663007.00660223</v>
      </c>
      <c r="Q1242" s="186">
        <f t="shared" si="790"/>
        <v>510146516.70691139</v>
      </c>
      <c r="R1242" s="186">
        <f t="shared" si="790"/>
        <v>577452632.85719848</v>
      </c>
      <c r="S1242" s="186">
        <f t="shared" si="790"/>
        <v>623532268.61470854</v>
      </c>
      <c r="T1242" s="186">
        <f t="shared" si="790"/>
        <v>655838792.90967703</v>
      </c>
      <c r="U1242" s="186">
        <f t="shared" si="790"/>
        <v>676104692.91145921</v>
      </c>
      <c r="V1242" s="186">
        <f t="shared" si="790"/>
        <v>685885228.59920943</v>
      </c>
      <c r="W1242" s="186">
        <f t="shared" si="791"/>
        <v>0</v>
      </c>
      <c r="X1242" s="186">
        <f t="shared" si="791"/>
        <v>0</v>
      </c>
      <c r="Y1242" s="186">
        <f t="shared" si="791"/>
        <v>0</v>
      </c>
      <c r="Z1242" s="186">
        <f t="shared" si="791"/>
        <v>0</v>
      </c>
      <c r="AA1242" s="186">
        <f t="shared" si="791"/>
        <v>0</v>
      </c>
      <c r="AB1242" s="186">
        <f t="shared" si="791"/>
        <v>0</v>
      </c>
      <c r="AC1242" s="186">
        <f t="shared" si="791"/>
        <v>0</v>
      </c>
      <c r="AD1242" s="186">
        <f t="shared" si="791"/>
        <v>0</v>
      </c>
      <c r="AE1242" s="186">
        <f t="shared" si="791"/>
        <v>0</v>
      </c>
      <c r="AF1242" s="186">
        <f t="shared" si="791"/>
        <v>0</v>
      </c>
      <c r="AG1242" s="186">
        <f t="shared" si="792"/>
        <v>0</v>
      </c>
      <c r="AH1242" s="186">
        <f t="shared" si="792"/>
        <v>0</v>
      </c>
      <c r="AI1242" s="186">
        <f t="shared" si="792"/>
        <v>0</v>
      </c>
      <c r="AJ1242" s="186">
        <f t="shared" si="792"/>
        <v>0</v>
      </c>
      <c r="AK1242" s="186">
        <f t="shared" si="792"/>
        <v>0</v>
      </c>
      <c r="AL1242" s="186">
        <f t="shared" si="792"/>
        <v>0</v>
      </c>
      <c r="AM1242" s="186">
        <f t="shared" si="792"/>
        <v>0</v>
      </c>
      <c r="AN1242" s="186">
        <f t="shared" si="792"/>
        <v>0</v>
      </c>
      <c r="AO1242" s="186">
        <f t="shared" si="792"/>
        <v>0</v>
      </c>
      <c r="AP1242" s="186">
        <f t="shared" si="792"/>
        <v>0</v>
      </c>
      <c r="AQ1242" s="186">
        <f t="shared" si="793"/>
        <v>0</v>
      </c>
      <c r="AR1242" s="186">
        <f t="shared" si="793"/>
        <v>0</v>
      </c>
      <c r="AS1242" s="186">
        <f t="shared" si="793"/>
        <v>0</v>
      </c>
      <c r="AT1242" s="186">
        <f t="shared" si="793"/>
        <v>0</v>
      </c>
      <c r="AU1242" s="186">
        <f t="shared" si="793"/>
        <v>0</v>
      </c>
      <c r="AV1242" s="186">
        <f t="shared" si="793"/>
        <v>0</v>
      </c>
      <c r="AW1242" s="186">
        <f t="shared" si="793"/>
        <v>0</v>
      </c>
      <c r="AX1242" s="186">
        <f t="shared" si="793"/>
        <v>0</v>
      </c>
      <c r="AY1242" s="186">
        <f t="shared" si="793"/>
        <v>0</v>
      </c>
      <c r="AZ1242" s="186">
        <f t="shared" si="793"/>
        <v>0</v>
      </c>
      <c r="BA1242" s="186">
        <f t="shared" si="794"/>
        <v>0</v>
      </c>
      <c r="BB1242" s="186">
        <f t="shared" si="794"/>
        <v>0</v>
      </c>
      <c r="BC1242" s="186">
        <f t="shared" si="794"/>
        <v>0</v>
      </c>
      <c r="BD1242" s="186">
        <f t="shared" si="794"/>
        <v>0</v>
      </c>
      <c r="BE1242" s="186">
        <f t="shared" si="794"/>
        <v>0</v>
      </c>
      <c r="BF1242" s="186">
        <f t="shared" si="794"/>
        <v>0</v>
      </c>
      <c r="BG1242" s="186">
        <f t="shared" si="794"/>
        <v>0</v>
      </c>
      <c r="BH1242" s="186">
        <f t="shared" si="794"/>
        <v>0</v>
      </c>
      <c r="BI1242" s="186">
        <f t="shared" si="794"/>
        <v>0</v>
      </c>
      <c r="BJ1242" s="195">
        <f t="shared" si="794"/>
        <v>0</v>
      </c>
    </row>
    <row r="1243" spans="1:62">
      <c r="A1243" s="201">
        <v>10</v>
      </c>
      <c r="B1243" s="250" t="str">
        <f t="shared" si="795"/>
        <v>Concept 10</v>
      </c>
      <c r="C1243" s="186">
        <f t="shared" si="789"/>
        <v>-30241857.375144653</v>
      </c>
      <c r="D1243" s="186">
        <f t="shared" si="789"/>
        <v>-60191753.822701812</v>
      </c>
      <c r="E1243" s="186">
        <f t="shared" si="789"/>
        <v>-102796804.6765931</v>
      </c>
      <c r="F1243" s="186">
        <f t="shared" si="789"/>
        <v>-142358637.61234927</v>
      </c>
      <c r="G1243" s="186">
        <f t="shared" si="789"/>
        <v>-179094625.33840859</v>
      </c>
      <c r="H1243" s="186">
        <f t="shared" si="789"/>
        <v>-160424656.08629024</v>
      </c>
      <c r="I1243" s="186">
        <f t="shared" si="789"/>
        <v>-127183379.71124324</v>
      </c>
      <c r="J1243" s="186">
        <f t="shared" si="789"/>
        <v>-81547666.461706996</v>
      </c>
      <c r="K1243" s="186">
        <f t="shared" si="789"/>
        <v>-25457748.525746532</v>
      </c>
      <c r="L1243" s="186">
        <f t="shared" si="789"/>
        <v>59199804.759735458</v>
      </c>
      <c r="M1243" s="186">
        <f t="shared" si="790"/>
        <v>137810389.95339727</v>
      </c>
      <c r="N1243" s="186">
        <f t="shared" si="790"/>
        <v>210805933.34751177</v>
      </c>
      <c r="O1243" s="186">
        <f t="shared" si="790"/>
        <v>278587509.35633242</v>
      </c>
      <c r="P1243" s="186">
        <f t="shared" si="790"/>
        <v>341527544.22166586</v>
      </c>
      <c r="Q1243" s="186">
        <f t="shared" si="790"/>
        <v>399971862.31090409</v>
      </c>
      <c r="R1243" s="186">
        <f t="shared" si="790"/>
        <v>454241586.250911</v>
      </c>
      <c r="S1243" s="186">
        <f t="shared" si="790"/>
        <v>504634901.33806026</v>
      </c>
      <c r="T1243" s="186">
        <f t="shared" si="790"/>
        <v>533423641.12466848</v>
      </c>
      <c r="U1243" s="186">
        <f t="shared" si="790"/>
        <v>553620011.45403755</v>
      </c>
      <c r="V1243" s="186">
        <f t="shared" si="790"/>
        <v>566304612.35175979</v>
      </c>
      <c r="W1243" s="186">
        <f t="shared" si="791"/>
        <v>572447511.03087974</v>
      </c>
      <c r="X1243" s="186">
        <f t="shared" si="791"/>
        <v>0</v>
      </c>
      <c r="Y1243" s="186">
        <f t="shared" si="791"/>
        <v>0</v>
      </c>
      <c r="Z1243" s="186">
        <f t="shared" si="791"/>
        <v>0</v>
      </c>
      <c r="AA1243" s="186">
        <f t="shared" si="791"/>
        <v>0</v>
      </c>
      <c r="AB1243" s="186">
        <f t="shared" si="791"/>
        <v>0</v>
      </c>
      <c r="AC1243" s="186">
        <f t="shared" si="791"/>
        <v>0</v>
      </c>
      <c r="AD1243" s="186">
        <f t="shared" si="791"/>
        <v>0</v>
      </c>
      <c r="AE1243" s="186">
        <f t="shared" si="791"/>
        <v>0</v>
      </c>
      <c r="AF1243" s="186">
        <f t="shared" si="791"/>
        <v>0</v>
      </c>
      <c r="AG1243" s="186">
        <f t="shared" si="792"/>
        <v>0</v>
      </c>
      <c r="AH1243" s="186">
        <f t="shared" si="792"/>
        <v>0</v>
      </c>
      <c r="AI1243" s="186">
        <f t="shared" si="792"/>
        <v>0</v>
      </c>
      <c r="AJ1243" s="186">
        <f t="shared" si="792"/>
        <v>0</v>
      </c>
      <c r="AK1243" s="186">
        <f t="shared" si="792"/>
        <v>0</v>
      </c>
      <c r="AL1243" s="186">
        <f t="shared" si="792"/>
        <v>0</v>
      </c>
      <c r="AM1243" s="186">
        <f t="shared" si="792"/>
        <v>0</v>
      </c>
      <c r="AN1243" s="186">
        <f t="shared" si="792"/>
        <v>0</v>
      </c>
      <c r="AO1243" s="186">
        <f t="shared" si="792"/>
        <v>0</v>
      </c>
      <c r="AP1243" s="186">
        <f t="shared" si="792"/>
        <v>0</v>
      </c>
      <c r="AQ1243" s="186">
        <f t="shared" si="793"/>
        <v>0</v>
      </c>
      <c r="AR1243" s="186">
        <f t="shared" si="793"/>
        <v>0</v>
      </c>
      <c r="AS1243" s="186">
        <f t="shared" si="793"/>
        <v>0</v>
      </c>
      <c r="AT1243" s="186">
        <f t="shared" si="793"/>
        <v>0</v>
      </c>
      <c r="AU1243" s="186">
        <f t="shared" si="793"/>
        <v>0</v>
      </c>
      <c r="AV1243" s="186">
        <f t="shared" si="793"/>
        <v>0</v>
      </c>
      <c r="AW1243" s="186">
        <f t="shared" si="793"/>
        <v>0</v>
      </c>
      <c r="AX1243" s="186">
        <f t="shared" si="793"/>
        <v>0</v>
      </c>
      <c r="AY1243" s="186">
        <f t="shared" si="793"/>
        <v>0</v>
      </c>
      <c r="AZ1243" s="186">
        <f t="shared" si="793"/>
        <v>0</v>
      </c>
      <c r="BA1243" s="186">
        <f t="shared" si="794"/>
        <v>0</v>
      </c>
      <c r="BB1243" s="186">
        <f t="shared" si="794"/>
        <v>0</v>
      </c>
      <c r="BC1243" s="186">
        <f t="shared" si="794"/>
        <v>0</v>
      </c>
      <c r="BD1243" s="186">
        <f t="shared" si="794"/>
        <v>0</v>
      </c>
      <c r="BE1243" s="186">
        <f t="shared" si="794"/>
        <v>0</v>
      </c>
      <c r="BF1243" s="186">
        <f t="shared" si="794"/>
        <v>0</v>
      </c>
      <c r="BG1243" s="186">
        <f t="shared" si="794"/>
        <v>0</v>
      </c>
      <c r="BH1243" s="186">
        <f t="shared" si="794"/>
        <v>0</v>
      </c>
      <c r="BI1243" s="186">
        <f t="shared" si="794"/>
        <v>0</v>
      </c>
      <c r="BJ1243" s="195">
        <f t="shared" si="794"/>
        <v>0</v>
      </c>
    </row>
    <row r="1244" spans="1:62">
      <c r="A1244" s="251"/>
    </row>
    <row r="1245" spans="1:62" ht="21">
      <c r="C1245" s="375" t="s">
        <v>169</v>
      </c>
      <c r="D1245" s="376"/>
      <c r="E1245" s="376"/>
      <c r="F1245" s="376"/>
      <c r="G1245" s="377"/>
      <c r="H1245" s="375" t="s">
        <v>170</v>
      </c>
      <c r="I1245" s="376"/>
      <c r="J1245" s="376"/>
      <c r="K1245" s="376"/>
      <c r="L1245" s="377"/>
      <c r="M1245" s="375" t="s">
        <v>171</v>
      </c>
      <c r="N1245" s="376"/>
      <c r="O1245" s="376"/>
      <c r="P1245" s="376"/>
      <c r="Q1245" s="377"/>
    </row>
    <row r="1246" spans="1:62" s="240" customFormat="1" ht="21">
      <c r="A1246" s="236" t="s">
        <v>172</v>
      </c>
      <c r="B1246" s="237" t="s">
        <v>173</v>
      </c>
      <c r="C1246" s="252" t="s">
        <v>30</v>
      </c>
      <c r="D1246" s="238" t="s">
        <v>6</v>
      </c>
      <c r="E1246" s="238" t="s">
        <v>279</v>
      </c>
      <c r="F1246" s="238" t="s">
        <v>280</v>
      </c>
      <c r="G1246" s="239" t="s">
        <v>72</v>
      </c>
      <c r="H1246" s="252" t="s">
        <v>117</v>
      </c>
      <c r="I1246" s="238" t="s">
        <v>118</v>
      </c>
      <c r="J1246" s="238" t="s">
        <v>174</v>
      </c>
      <c r="K1246" s="238" t="s">
        <v>175</v>
      </c>
      <c r="L1246" s="239" t="s">
        <v>176</v>
      </c>
      <c r="M1246" s="252" t="s">
        <v>30</v>
      </c>
      <c r="N1246" s="238" t="s">
        <v>6</v>
      </c>
      <c r="O1246" s="238" t="s">
        <v>279</v>
      </c>
      <c r="P1246" s="238" t="s">
        <v>280</v>
      </c>
      <c r="Q1246" s="239" t="s">
        <v>72</v>
      </c>
      <c r="R1246" s="253"/>
      <c r="S1246" s="253"/>
      <c r="T1246" s="253"/>
      <c r="U1246" s="253"/>
      <c r="V1246" s="253"/>
      <c r="W1246" s="253"/>
      <c r="X1246" s="253"/>
      <c r="Y1246" s="253"/>
      <c r="Z1246" s="253"/>
      <c r="AA1246" s="253"/>
      <c r="AB1246" s="253"/>
      <c r="AC1246" s="253"/>
      <c r="AD1246" s="253"/>
      <c r="AE1246" s="253"/>
      <c r="AF1246" s="253"/>
      <c r="AG1246" s="253"/>
      <c r="AH1246" s="253"/>
      <c r="AI1246" s="253"/>
      <c r="AJ1246" s="253"/>
      <c r="AK1246" s="253"/>
      <c r="AL1246" s="253"/>
      <c r="AM1246" s="253"/>
      <c r="AN1246" s="253"/>
      <c r="AO1246" s="253"/>
      <c r="AP1246" s="253"/>
      <c r="AQ1246" s="253"/>
      <c r="AR1246" s="253"/>
      <c r="AS1246" s="253"/>
      <c r="AT1246" s="253"/>
      <c r="AU1246" s="253"/>
      <c r="AV1246" s="253"/>
      <c r="AW1246" s="253"/>
      <c r="AX1246" s="253"/>
      <c r="AY1246" s="253"/>
      <c r="AZ1246" s="253"/>
      <c r="BA1246" s="253"/>
      <c r="BB1246" s="253"/>
      <c r="BC1246" s="253"/>
      <c r="BD1246" s="253"/>
      <c r="BE1246" s="253"/>
      <c r="BF1246" s="253"/>
      <c r="BG1246" s="253"/>
      <c r="BH1246" s="253"/>
      <c r="BI1246" s="253"/>
      <c r="BJ1246" s="253"/>
    </row>
    <row r="1247" spans="1:62" ht="21">
      <c r="A1247" s="241"/>
      <c r="B1247" s="242" t="s">
        <v>59</v>
      </c>
      <c r="C1247" s="254"/>
      <c r="D1247" s="255"/>
      <c r="E1247" s="255"/>
      <c r="F1247" s="255"/>
      <c r="G1247" s="256"/>
      <c r="H1247" s="254"/>
      <c r="I1247" s="255"/>
      <c r="J1247" s="255"/>
      <c r="K1247" s="255"/>
      <c r="L1247" s="256"/>
      <c r="M1247" s="254"/>
      <c r="N1247" s="255"/>
      <c r="O1247" s="255"/>
      <c r="P1247" s="255"/>
      <c r="Q1247" s="256"/>
      <c r="R1247" s="201"/>
      <c r="S1247" s="201"/>
      <c r="T1247" s="201"/>
      <c r="U1247" s="201"/>
      <c r="V1247" s="201"/>
      <c r="W1247" s="201"/>
      <c r="X1247" s="201"/>
      <c r="Y1247" s="201"/>
      <c r="Z1247" s="201"/>
      <c r="AA1247" s="201"/>
      <c r="AB1247" s="201"/>
      <c r="AC1247" s="201"/>
      <c r="AD1247" s="201"/>
      <c r="AE1247" s="201"/>
      <c r="AF1247" s="201"/>
      <c r="AG1247" s="201"/>
      <c r="AH1247" s="201"/>
      <c r="AI1247" s="201"/>
      <c r="AJ1247" s="201"/>
      <c r="AK1247" s="201"/>
      <c r="AL1247" s="201"/>
      <c r="AM1247" s="201"/>
      <c r="AN1247" s="201"/>
      <c r="AO1247" s="201"/>
      <c r="AP1247" s="201"/>
      <c r="AQ1247" s="201"/>
      <c r="AR1247" s="201"/>
      <c r="AS1247" s="201"/>
      <c r="AT1247" s="201"/>
      <c r="AU1247" s="201"/>
      <c r="AV1247" s="201"/>
      <c r="AW1247" s="201"/>
      <c r="AX1247" s="201"/>
      <c r="AY1247" s="201"/>
      <c r="AZ1247" s="201"/>
      <c r="BA1247" s="201"/>
      <c r="BB1247" s="201"/>
      <c r="BC1247" s="201"/>
      <c r="BD1247" s="201"/>
      <c r="BE1247" s="201"/>
      <c r="BF1247" s="201"/>
      <c r="BG1247" s="201"/>
      <c r="BH1247" s="201"/>
      <c r="BI1247" s="201"/>
      <c r="BJ1247" s="201"/>
    </row>
    <row r="1248" spans="1:62" ht="21">
      <c r="A1248" s="241"/>
      <c r="B1248" s="242">
        <v>1</v>
      </c>
      <c r="C1248" s="257" t="e">
        <f>B5</f>
        <v>#REF!</v>
      </c>
      <c r="D1248" s="258" t="e">
        <f>B6</f>
        <v>#REF!</v>
      </c>
      <c r="E1248" s="258">
        <f>B11</f>
        <v>35840143.720307097</v>
      </c>
      <c r="F1248" s="258">
        <f>B$16+B$17</f>
        <v>203326227.33936238</v>
      </c>
      <c r="G1248" s="259" t="e">
        <f>B$14+B$15</f>
        <v>#REF!</v>
      </c>
      <c r="H1248" s="257">
        <v>59037.641812245754</v>
      </c>
      <c r="I1248" s="257">
        <v>204296.59205920692</v>
      </c>
      <c r="J1248" s="257">
        <v>8960.0359300767741</v>
      </c>
      <c r="K1248" s="257">
        <v>50831.556834840594</v>
      </c>
      <c r="L1248" s="257">
        <v>20186.140396714094</v>
      </c>
      <c r="M1248" s="257">
        <v>27.176340997401883</v>
      </c>
      <c r="N1248" s="257">
        <v>94.042269982004839</v>
      </c>
      <c r="O1248" s="257">
        <v>4.1245040335305481</v>
      </c>
      <c r="P1248" s="257">
        <v>23.39889737408016</v>
      </c>
      <c r="Q1248" s="257">
        <v>9.2921298683841123</v>
      </c>
      <c r="R1248" s="186"/>
      <c r="S1248" s="186"/>
      <c r="T1248" s="186"/>
      <c r="U1248" s="186"/>
      <c r="V1248" s="186"/>
      <c r="W1248" s="186"/>
      <c r="X1248" s="186"/>
      <c r="Y1248" s="186"/>
      <c r="Z1248" s="186"/>
      <c r="AA1248" s="186"/>
      <c r="AB1248" s="186"/>
      <c r="AC1248" s="186"/>
      <c r="AD1248" s="186"/>
      <c r="AE1248" s="186"/>
      <c r="AF1248" s="186"/>
      <c r="AG1248" s="186"/>
      <c r="AH1248" s="186"/>
      <c r="AI1248" s="186"/>
      <c r="AJ1248" s="186"/>
      <c r="AK1248" s="186"/>
      <c r="AL1248" s="186"/>
      <c r="AM1248" s="186"/>
      <c r="AN1248" s="186"/>
      <c r="AO1248" s="186"/>
      <c r="AP1248" s="186"/>
      <c r="AQ1248" s="186"/>
      <c r="AR1248" s="186"/>
      <c r="AS1248" s="186"/>
      <c r="AT1248" s="186"/>
      <c r="AU1248" s="186"/>
      <c r="AV1248" s="186"/>
      <c r="AW1248" s="186"/>
      <c r="AX1248" s="186"/>
      <c r="AY1248" s="186"/>
      <c r="AZ1248" s="186"/>
      <c r="BA1248" s="186"/>
      <c r="BB1248" s="186"/>
      <c r="BC1248" s="186"/>
      <c r="BD1248" s="186"/>
      <c r="BE1248" s="186"/>
      <c r="BF1248" s="186"/>
      <c r="BG1248" s="186"/>
      <c r="BH1248" s="186"/>
      <c r="BI1248" s="186"/>
      <c r="BJ1248" s="186"/>
    </row>
    <row r="1249" spans="1:62">
      <c r="A1249" s="241"/>
      <c r="B1249" s="244">
        <v>2</v>
      </c>
      <c r="C1249" s="257">
        <f>C5</f>
        <v>148732169.66643324</v>
      </c>
      <c r="D1249" s="258">
        <f>C6</f>
        <v>401731339.08797181</v>
      </c>
      <c r="E1249" s="258">
        <f>C11</f>
        <v>29953110.729134198</v>
      </c>
      <c r="F1249" s="258">
        <f>C$16+C$17</f>
        <v>184199442.17640114</v>
      </c>
      <c r="G1249" s="259">
        <f>C$14+C$15</f>
        <v>145268652.37393826</v>
      </c>
      <c r="H1249" s="257">
        <v>37183.04241660831</v>
      </c>
      <c r="I1249" s="257">
        <v>100432.83477199296</v>
      </c>
      <c r="J1249" s="257">
        <v>7488.2776822835494</v>
      </c>
      <c r="K1249" s="257">
        <v>46049.860544100287</v>
      </c>
      <c r="L1249" s="257">
        <v>36317.163093484567</v>
      </c>
      <c r="M1249" s="257">
        <v>21.259051420459443</v>
      </c>
      <c r="N1249" s="257">
        <v>57.421519594820225</v>
      </c>
      <c r="O1249" s="257">
        <v>4.2813516579600499</v>
      </c>
      <c r="P1249" s="257">
        <v>26.328570487678583</v>
      </c>
      <c r="Q1249" s="257">
        <v>20.763993139645439</v>
      </c>
      <c r="R1249" s="186"/>
      <c r="S1249" s="186"/>
      <c r="T1249" s="186"/>
      <c r="U1249" s="186"/>
      <c r="V1249" s="186"/>
      <c r="W1249" s="186"/>
      <c r="X1249" s="186"/>
      <c r="Y1249" s="186"/>
      <c r="Z1249" s="186"/>
      <c r="AA1249" s="186"/>
      <c r="AB1249" s="186"/>
      <c r="AC1249" s="186"/>
      <c r="AD1249" s="186"/>
      <c r="AE1249" s="186"/>
      <c r="AF1249" s="186"/>
      <c r="AG1249" s="186"/>
      <c r="AH1249" s="186"/>
      <c r="AI1249" s="186"/>
      <c r="AJ1249" s="186"/>
      <c r="AK1249" s="186"/>
      <c r="AL1249" s="186"/>
      <c r="AM1249" s="186"/>
      <c r="AN1249" s="186"/>
      <c r="AO1249" s="186"/>
      <c r="AP1249" s="186"/>
      <c r="AQ1249" s="186"/>
      <c r="AR1249" s="186"/>
      <c r="AS1249" s="186"/>
      <c r="AT1249" s="186"/>
      <c r="AU1249" s="186"/>
      <c r="AV1249" s="186"/>
      <c r="AW1249" s="186"/>
      <c r="AX1249" s="186"/>
      <c r="AY1249" s="186"/>
      <c r="AZ1249" s="186"/>
      <c r="BA1249" s="186"/>
      <c r="BB1249" s="186"/>
      <c r="BC1249" s="186"/>
      <c r="BD1249" s="186"/>
      <c r="BE1249" s="186"/>
      <c r="BF1249" s="186"/>
      <c r="BG1249" s="186"/>
      <c r="BH1249" s="186"/>
      <c r="BI1249" s="186"/>
      <c r="BJ1249" s="186"/>
    </row>
    <row r="1250" spans="1:62">
      <c r="A1250" s="241"/>
      <c r="B1250" s="244">
        <v>3</v>
      </c>
      <c r="C1250" s="257">
        <f>D5</f>
        <v>1468686102.3809173</v>
      </c>
      <c r="D1250" s="258">
        <f>D6</f>
        <v>773064604.44946909</v>
      </c>
      <c r="E1250" s="258">
        <f>D11</f>
        <v>64220115.723463491</v>
      </c>
      <c r="F1250" s="258">
        <f>D$16+D$17</f>
        <v>194603369.23350054</v>
      </c>
      <c r="G1250" s="259">
        <f>D$14+D$15</f>
        <v>73113891.138004333</v>
      </c>
      <c r="H1250" s="257">
        <v>367171.52559522935</v>
      </c>
      <c r="I1250" s="257">
        <v>193266.15111236728</v>
      </c>
      <c r="J1250" s="257">
        <v>16055.028930865872</v>
      </c>
      <c r="K1250" s="257">
        <v>48650.842308375133</v>
      </c>
      <c r="L1250" s="257">
        <v>18278.472784501082</v>
      </c>
      <c r="M1250" s="257">
        <v>262.44324307761775</v>
      </c>
      <c r="N1250" s="257">
        <v>138.14087405833857</v>
      </c>
      <c r="O1250" s="257">
        <v>11.47565529078207</v>
      </c>
      <c r="P1250" s="257">
        <v>34.774169410792787</v>
      </c>
      <c r="Q1250" s="257">
        <v>13.064906567288469</v>
      </c>
      <c r="R1250" s="186"/>
      <c r="S1250" s="186"/>
      <c r="T1250" s="186"/>
      <c r="U1250" s="186"/>
      <c r="V1250" s="186"/>
      <c r="W1250" s="186"/>
      <c r="X1250" s="186"/>
      <c r="Y1250" s="186"/>
      <c r="Z1250" s="186"/>
      <c r="AA1250" s="186"/>
      <c r="AB1250" s="186"/>
      <c r="AC1250" s="186"/>
      <c r="AD1250" s="186"/>
      <c r="AE1250" s="186"/>
      <c r="AF1250" s="186"/>
      <c r="AG1250" s="186"/>
      <c r="AH1250" s="186"/>
      <c r="AI1250" s="186"/>
      <c r="AJ1250" s="186"/>
      <c r="AK1250" s="186"/>
      <c r="AL1250" s="186"/>
      <c r="AM1250" s="186"/>
      <c r="AN1250" s="186"/>
      <c r="AO1250" s="186"/>
      <c r="AP1250" s="186"/>
      <c r="AQ1250" s="186"/>
      <c r="AR1250" s="186"/>
      <c r="AS1250" s="186"/>
      <c r="AT1250" s="186"/>
      <c r="AU1250" s="186"/>
      <c r="AV1250" s="186"/>
      <c r="AW1250" s="186"/>
      <c r="AX1250" s="186"/>
      <c r="AY1250" s="186"/>
      <c r="AZ1250" s="186"/>
      <c r="BA1250" s="186"/>
      <c r="BB1250" s="186"/>
      <c r="BC1250" s="186"/>
      <c r="BD1250" s="186"/>
      <c r="BE1250" s="186"/>
      <c r="BF1250" s="186"/>
      <c r="BG1250" s="186"/>
      <c r="BH1250" s="186"/>
      <c r="BI1250" s="186"/>
      <c r="BJ1250" s="186"/>
    </row>
    <row r="1251" spans="1:62">
      <c r="A1251" s="241"/>
      <c r="B1251" s="244">
        <v>4</v>
      </c>
      <c r="C1251" s="257">
        <f>E5</f>
        <v>1182441262.9281545</v>
      </c>
      <c r="D1251" s="258">
        <f>E6</f>
        <v>489532457.99521613</v>
      </c>
      <c r="E1251" s="258">
        <f>E11</f>
        <v>67489773.795883745</v>
      </c>
      <c r="F1251" s="258">
        <f>E$16+E$17</f>
        <v>194342382.00264773</v>
      </c>
      <c r="G1251" s="259">
        <f>E$14+E$15</f>
        <v>148168086.75480574</v>
      </c>
      <c r="H1251" s="257">
        <v>295610.31573203864</v>
      </c>
      <c r="I1251" s="257">
        <v>122383.11449880403</v>
      </c>
      <c r="J1251" s="257">
        <v>16872.443448970935</v>
      </c>
      <c r="K1251" s="257">
        <v>48585.595500661933</v>
      </c>
      <c r="L1251" s="257">
        <v>37042.021688701439</v>
      </c>
      <c r="M1251" s="257">
        <v>199.32750904664073</v>
      </c>
      <c r="N1251" s="257">
        <v>82.52188798624033</v>
      </c>
      <c r="O1251" s="257">
        <v>11.376944393450295</v>
      </c>
      <c r="P1251" s="257">
        <v>32.760851740618079</v>
      </c>
      <c r="Q1251" s="257">
        <v>24.977118592686057</v>
      </c>
      <c r="R1251" s="186"/>
      <c r="S1251" s="186"/>
      <c r="T1251" s="186"/>
      <c r="U1251" s="186"/>
      <c r="V1251" s="186"/>
      <c r="W1251" s="186"/>
      <c r="X1251" s="186"/>
      <c r="Y1251" s="186"/>
      <c r="Z1251" s="186"/>
      <c r="AA1251" s="186"/>
      <c r="AB1251" s="186"/>
      <c r="AC1251" s="186"/>
      <c r="AD1251" s="186"/>
      <c r="AE1251" s="186"/>
      <c r="AF1251" s="186"/>
      <c r="AG1251" s="186"/>
      <c r="AH1251" s="186"/>
      <c r="AI1251" s="186"/>
      <c r="AJ1251" s="186"/>
      <c r="AK1251" s="186"/>
      <c r="AL1251" s="186"/>
      <c r="AM1251" s="186"/>
      <c r="AN1251" s="186"/>
      <c r="AO1251" s="186"/>
      <c r="AP1251" s="186"/>
      <c r="AQ1251" s="186"/>
      <c r="AR1251" s="186"/>
      <c r="AS1251" s="186"/>
      <c r="AT1251" s="186"/>
      <c r="AU1251" s="186"/>
      <c r="AV1251" s="186"/>
      <c r="AW1251" s="186"/>
      <c r="AX1251" s="186"/>
      <c r="AY1251" s="186"/>
      <c r="AZ1251" s="186"/>
      <c r="BA1251" s="186"/>
      <c r="BB1251" s="186"/>
      <c r="BC1251" s="186"/>
      <c r="BD1251" s="186"/>
      <c r="BE1251" s="186"/>
      <c r="BF1251" s="186"/>
      <c r="BG1251" s="186"/>
      <c r="BH1251" s="186"/>
      <c r="BI1251" s="186"/>
      <c r="BJ1251" s="186"/>
    </row>
    <row r="1252" spans="1:62">
      <c r="A1252" s="241"/>
      <c r="B1252" s="244">
        <v>5</v>
      </c>
      <c r="C1252" s="257">
        <f>F5</f>
        <v>1468686102.3809173</v>
      </c>
      <c r="D1252" s="258">
        <f>F6</f>
        <v>219243619.71121037</v>
      </c>
      <c r="E1252" s="258">
        <f>F11</f>
        <v>64220115.723463491</v>
      </c>
      <c r="F1252" s="258">
        <f>F$16+F$17</f>
        <v>101827261.78613466</v>
      </c>
      <c r="G1252" s="259">
        <f>F$14+F$15</f>
        <v>64110364.311337672</v>
      </c>
      <c r="H1252" s="257">
        <v>367171.52559522935</v>
      </c>
      <c r="I1252" s="257">
        <v>54810.904927802592</v>
      </c>
      <c r="J1252" s="257">
        <v>16055.028930865872</v>
      </c>
      <c r="K1252" s="257">
        <v>25456.815446533667</v>
      </c>
      <c r="L1252" s="257">
        <v>16027.591077834419</v>
      </c>
      <c r="M1252" s="257">
        <v>262.44324307761775</v>
      </c>
      <c r="N1252" s="257">
        <v>39.177198237123847</v>
      </c>
      <c r="O1252" s="257">
        <v>11.47565529078207</v>
      </c>
      <c r="P1252" s="257">
        <v>18.195771563129881</v>
      </c>
      <c r="Q1252" s="257">
        <v>11.456043532705275</v>
      </c>
      <c r="R1252" s="186"/>
      <c r="S1252" s="186"/>
      <c r="T1252" s="186"/>
      <c r="U1252" s="186"/>
      <c r="V1252" s="186"/>
      <c r="W1252" s="186"/>
      <c r="X1252" s="186"/>
      <c r="Y1252" s="186"/>
      <c r="Z1252" s="186"/>
      <c r="AA1252" s="186"/>
      <c r="AB1252" s="186"/>
      <c r="AC1252" s="186"/>
      <c r="AD1252" s="186"/>
      <c r="AE1252" s="186"/>
      <c r="AF1252" s="186"/>
      <c r="AG1252" s="186"/>
      <c r="AH1252" s="186"/>
      <c r="AI1252" s="186"/>
      <c r="AJ1252" s="186"/>
      <c r="AK1252" s="186"/>
      <c r="AL1252" s="186"/>
      <c r="AM1252" s="186"/>
      <c r="AN1252" s="186"/>
      <c r="AO1252" s="186"/>
      <c r="AP1252" s="186"/>
      <c r="AQ1252" s="186"/>
      <c r="AR1252" s="186"/>
      <c r="AS1252" s="186"/>
      <c r="AT1252" s="186"/>
      <c r="AU1252" s="186"/>
      <c r="AV1252" s="186"/>
      <c r="AW1252" s="186"/>
      <c r="AX1252" s="186"/>
      <c r="AY1252" s="186"/>
      <c r="AZ1252" s="186"/>
      <c r="BA1252" s="186"/>
      <c r="BB1252" s="186"/>
      <c r="BC1252" s="186"/>
      <c r="BD1252" s="186"/>
      <c r="BE1252" s="186"/>
      <c r="BF1252" s="186"/>
      <c r="BG1252" s="186"/>
      <c r="BH1252" s="186"/>
      <c r="BI1252" s="186"/>
      <c r="BJ1252" s="186"/>
    </row>
    <row r="1253" spans="1:62">
      <c r="A1253" s="241"/>
      <c r="B1253" s="244">
        <v>6</v>
      </c>
      <c r="C1253" s="257">
        <f>G5</f>
        <v>148769847.33109486</v>
      </c>
      <c r="D1253" s="258">
        <f>G6</f>
        <v>401808407.67412645</v>
      </c>
      <c r="E1253" s="258">
        <f>G11</f>
        <v>30269816.05428065</v>
      </c>
      <c r="F1253" s="258">
        <f>G$16+G$17</f>
        <v>185715650.45668852</v>
      </c>
      <c r="G1253" s="259">
        <f>G$14+G$15</f>
        <v>145270672.82581574</v>
      </c>
      <c r="H1253" s="257">
        <v>37192.461832773712</v>
      </c>
      <c r="I1253" s="257">
        <v>100452.10191853161</v>
      </c>
      <c r="J1253" s="257">
        <v>7567.4540135701627</v>
      </c>
      <c r="K1253" s="257">
        <v>46428.912614172128</v>
      </c>
      <c r="L1253" s="257">
        <v>36317.668206453935</v>
      </c>
      <c r="M1253" s="257">
        <v>20.995961424487334</v>
      </c>
      <c r="N1253" s="257">
        <v>56.707417389392788</v>
      </c>
      <c r="O1253" s="257">
        <v>4.2719939665432918</v>
      </c>
      <c r="P1253" s="257">
        <v>26.210140716446141</v>
      </c>
      <c r="Q1253" s="257">
        <v>20.502121212586854</v>
      </c>
      <c r="R1253" s="186"/>
      <c r="S1253" s="186"/>
      <c r="T1253" s="186"/>
      <c r="U1253" s="186"/>
      <c r="V1253" s="186"/>
      <c r="W1253" s="186"/>
      <c r="X1253" s="186"/>
      <c r="Y1253" s="186"/>
      <c r="Z1253" s="186"/>
      <c r="AA1253" s="186"/>
      <c r="AB1253" s="186"/>
      <c r="AC1253" s="186"/>
      <c r="AD1253" s="186"/>
      <c r="AE1253" s="186"/>
      <c r="AF1253" s="186"/>
      <c r="AG1253" s="186"/>
      <c r="AH1253" s="186"/>
      <c r="AI1253" s="186"/>
      <c r="AJ1253" s="186"/>
      <c r="AK1253" s="186"/>
      <c r="AL1253" s="186"/>
      <c r="AM1253" s="186"/>
      <c r="AN1253" s="186"/>
      <c r="AO1253" s="186"/>
      <c r="AP1253" s="186"/>
      <c r="AQ1253" s="186"/>
      <c r="AR1253" s="186"/>
      <c r="AS1253" s="186"/>
      <c r="AT1253" s="186"/>
      <c r="AU1253" s="186"/>
      <c r="AV1253" s="186"/>
      <c r="AW1253" s="186"/>
      <c r="AX1253" s="186"/>
      <c r="AY1253" s="186"/>
      <c r="AZ1253" s="186"/>
      <c r="BA1253" s="186"/>
      <c r="BB1253" s="186"/>
      <c r="BC1253" s="186"/>
      <c r="BD1253" s="186"/>
      <c r="BE1253" s="186"/>
      <c r="BF1253" s="186"/>
      <c r="BG1253" s="186"/>
      <c r="BH1253" s="186"/>
      <c r="BI1253" s="186"/>
      <c r="BJ1253" s="186"/>
    </row>
    <row r="1254" spans="1:62">
      <c r="A1254" s="241"/>
      <c r="B1254" s="244">
        <v>7</v>
      </c>
      <c r="C1254" s="257">
        <f>H5</f>
        <v>1408580725.1904728</v>
      </c>
      <c r="D1254" s="258">
        <f>H6</f>
        <v>117470781.99838519</v>
      </c>
      <c r="E1254" s="258">
        <f>H11</f>
        <v>64201422.440143839</v>
      </c>
      <c r="F1254" s="258">
        <f>H$16+H$17</f>
        <v>101827261.78613466</v>
      </c>
      <c r="G1254" s="259">
        <f>H$14+H$15</f>
        <v>64110364.311337672</v>
      </c>
      <c r="H1254" s="257">
        <v>352145.1812976182</v>
      </c>
      <c r="I1254" s="257">
        <v>29367.695499596299</v>
      </c>
      <c r="J1254" s="257">
        <v>16050.35561003596</v>
      </c>
      <c r="K1254" s="257">
        <v>25456.815446533667</v>
      </c>
      <c r="L1254" s="257">
        <v>16027.591077834419</v>
      </c>
      <c r="M1254" s="257">
        <v>251.78867734082763</v>
      </c>
      <c r="N1254" s="257">
        <v>20.998308649698799</v>
      </c>
      <c r="O1254" s="257">
        <v>11.476226353599749</v>
      </c>
      <c r="P1254" s="257">
        <v>18.201975296021512</v>
      </c>
      <c r="Q1254" s="257">
        <v>11.459949398077633</v>
      </c>
      <c r="R1254" s="186"/>
      <c r="S1254" s="186"/>
      <c r="T1254" s="186"/>
      <c r="U1254" s="186"/>
      <c r="V1254" s="186"/>
      <c r="W1254" s="186"/>
      <c r="X1254" s="186"/>
      <c r="Y1254" s="186"/>
      <c r="Z1254" s="186"/>
      <c r="AA1254" s="186"/>
      <c r="AB1254" s="186"/>
      <c r="AC1254" s="186"/>
      <c r="AD1254" s="186"/>
      <c r="AE1254" s="186"/>
      <c r="AF1254" s="186"/>
      <c r="AG1254" s="186"/>
      <c r="AH1254" s="186"/>
      <c r="AI1254" s="186"/>
      <c r="AJ1254" s="186"/>
      <c r="AK1254" s="186"/>
      <c r="AL1254" s="186"/>
      <c r="AM1254" s="186"/>
      <c r="AN1254" s="186"/>
      <c r="AO1254" s="186"/>
      <c r="AP1254" s="186"/>
      <c r="AQ1254" s="186"/>
      <c r="AR1254" s="186"/>
      <c r="AS1254" s="186"/>
      <c r="AT1254" s="186"/>
      <c r="AU1254" s="186"/>
      <c r="AV1254" s="186"/>
      <c r="AW1254" s="186"/>
      <c r="AX1254" s="186"/>
      <c r="AY1254" s="186"/>
      <c r="AZ1254" s="186"/>
      <c r="BA1254" s="186"/>
      <c r="BB1254" s="186"/>
      <c r="BC1254" s="186"/>
      <c r="BD1254" s="186"/>
      <c r="BE1254" s="186"/>
      <c r="BF1254" s="186"/>
      <c r="BG1254" s="186"/>
      <c r="BH1254" s="186"/>
      <c r="BI1254" s="186"/>
      <c r="BJ1254" s="186"/>
    </row>
    <row r="1255" spans="1:62">
      <c r="A1255" s="241"/>
      <c r="B1255" s="244">
        <v>8</v>
      </c>
      <c r="C1255" s="257">
        <f>I5</f>
        <v>1051498666.9034307</v>
      </c>
      <c r="D1255" s="258">
        <f>I6</f>
        <v>101969857.95038006</v>
      </c>
      <c r="E1255" s="258">
        <f>I11</f>
        <v>67489773.795883745</v>
      </c>
      <c r="F1255" s="258">
        <f>I$16+I$17</f>
        <v>101690003.39136942</v>
      </c>
      <c r="G1255" s="259">
        <f>I$14+I$15</f>
        <v>17616947.768139075</v>
      </c>
      <c r="H1255" s="257">
        <v>262874.66672585765</v>
      </c>
      <c r="I1255" s="257">
        <v>25492.464487595014</v>
      </c>
      <c r="J1255" s="257">
        <v>16872.443448970935</v>
      </c>
      <c r="K1255" s="257">
        <v>25422.500847842355</v>
      </c>
      <c r="L1255" s="257">
        <v>4404.2369420347686</v>
      </c>
      <c r="M1255" s="257">
        <v>177.25414074327608</v>
      </c>
      <c r="N1255" s="257">
        <v>17.189350896598427</v>
      </c>
      <c r="O1255" s="257">
        <v>11.376944393450295</v>
      </c>
      <c r="P1255" s="257">
        <v>17.142175012356365</v>
      </c>
      <c r="Q1255" s="257">
        <v>2.9697393229766718</v>
      </c>
      <c r="R1255" s="186"/>
      <c r="S1255" s="186"/>
      <c r="T1255" s="186"/>
      <c r="U1255" s="186"/>
      <c r="V1255" s="186"/>
      <c r="W1255" s="186"/>
      <c r="X1255" s="186"/>
      <c r="Y1255" s="186"/>
      <c r="Z1255" s="186"/>
      <c r="AA1255" s="186"/>
      <c r="AB1255" s="186"/>
      <c r="AC1255" s="186"/>
      <c r="AD1255" s="186"/>
      <c r="AE1255" s="186"/>
      <c r="AF1255" s="186"/>
      <c r="AG1255" s="186"/>
      <c r="AH1255" s="186"/>
      <c r="AI1255" s="186"/>
      <c r="AJ1255" s="186"/>
      <c r="AK1255" s="186"/>
      <c r="AL1255" s="186"/>
      <c r="AM1255" s="186"/>
      <c r="AN1255" s="186"/>
      <c r="AO1255" s="186"/>
      <c r="AP1255" s="186"/>
      <c r="AQ1255" s="186"/>
      <c r="AR1255" s="186"/>
      <c r="AS1255" s="186"/>
      <c r="AT1255" s="186"/>
      <c r="AU1255" s="186"/>
      <c r="AV1255" s="186"/>
      <c r="AW1255" s="186"/>
      <c r="AX1255" s="186"/>
      <c r="AY1255" s="186"/>
      <c r="AZ1255" s="186"/>
      <c r="BA1255" s="186"/>
      <c r="BB1255" s="186"/>
      <c r="BC1255" s="186"/>
      <c r="BD1255" s="186"/>
      <c r="BE1255" s="186"/>
      <c r="BF1255" s="186"/>
      <c r="BG1255" s="186"/>
      <c r="BH1255" s="186"/>
      <c r="BI1255" s="186"/>
      <c r="BJ1255" s="186"/>
    </row>
    <row r="1256" spans="1:62">
      <c r="A1256" s="241"/>
      <c r="B1256" s="244">
        <v>9</v>
      </c>
      <c r="C1256" s="257">
        <f>J5</f>
        <v>1734713254.4535322</v>
      </c>
      <c r="D1256" s="186">
        <f>J6</f>
        <v>470844200.53920484</v>
      </c>
      <c r="E1256" s="258">
        <f>J11</f>
        <v>75390485.72206521</v>
      </c>
      <c r="F1256" s="258">
        <f>J$16+J$17</f>
        <v>256458881.19810349</v>
      </c>
      <c r="G1256" s="259">
        <f>J$14+J$15</f>
        <v>74571989.314750105</v>
      </c>
      <c r="H1256" s="257">
        <v>433678.31361338304</v>
      </c>
      <c r="I1256" s="257">
        <v>117711.0501348012</v>
      </c>
      <c r="J1256" s="257">
        <v>18847.621430516301</v>
      </c>
      <c r="K1256" s="257">
        <v>64114.72029952587</v>
      </c>
      <c r="L1256" s="257">
        <v>18642.997328687525</v>
      </c>
      <c r="M1256" s="257">
        <v>256.38262348116666</v>
      </c>
      <c r="N1256" s="257">
        <v>69.588602655348836</v>
      </c>
      <c r="O1256" s="257">
        <v>11.142366304817024</v>
      </c>
      <c r="P1256" s="257">
        <v>37.903440587549802</v>
      </c>
      <c r="Q1256" s="257">
        <v>11.021396308376048</v>
      </c>
      <c r="R1256" s="186"/>
      <c r="S1256" s="186"/>
      <c r="T1256" s="186"/>
      <c r="U1256" s="186"/>
      <c r="V1256" s="186"/>
      <c r="W1256" s="186"/>
      <c r="X1256" s="186"/>
      <c r="Y1256" s="186"/>
      <c r="Z1256" s="186"/>
      <c r="AA1256" s="186"/>
      <c r="AB1256" s="186"/>
      <c r="AC1256" s="186"/>
      <c r="AD1256" s="186"/>
      <c r="AE1256" s="186"/>
      <c r="AF1256" s="186"/>
      <c r="AG1256" s="186"/>
      <c r="AH1256" s="186"/>
      <c r="AI1256" s="186"/>
      <c r="AJ1256" s="186"/>
      <c r="AK1256" s="186"/>
      <c r="AL1256" s="186"/>
      <c r="AM1256" s="186"/>
      <c r="AN1256" s="186"/>
      <c r="AO1256" s="186"/>
      <c r="AP1256" s="186"/>
      <c r="AQ1256" s="186"/>
      <c r="AR1256" s="186"/>
      <c r="AS1256" s="186"/>
      <c r="AT1256" s="186"/>
      <c r="AU1256" s="186"/>
      <c r="AV1256" s="186"/>
      <c r="AW1256" s="186"/>
      <c r="AX1256" s="186"/>
      <c r="AY1256" s="186"/>
      <c r="AZ1256" s="186"/>
      <c r="BA1256" s="186"/>
      <c r="BB1256" s="186"/>
      <c r="BC1256" s="186"/>
      <c r="BD1256" s="186"/>
      <c r="BE1256" s="186"/>
      <c r="BF1256" s="186"/>
      <c r="BG1256" s="186"/>
      <c r="BH1256" s="186"/>
      <c r="BI1256" s="186"/>
      <c r="BJ1256" s="186"/>
    </row>
    <row r="1257" spans="1:62">
      <c r="A1257" s="245"/>
      <c r="B1257" s="246">
        <v>10</v>
      </c>
      <c r="C1257" s="260">
        <f>K5</f>
        <v>1276752776.3315358</v>
      </c>
      <c r="D1257" s="261">
        <f>K6</f>
        <v>744196496.93438244</v>
      </c>
      <c r="E1257" s="261">
        <f>K11</f>
        <v>56682565.881752387</v>
      </c>
      <c r="F1257" s="261">
        <f>K$16+K$17</f>
        <v>169369300.38847163</v>
      </c>
      <c r="G1257" s="262">
        <f>K$14+K$15</f>
        <v>74914041.328125417</v>
      </c>
      <c r="H1257" s="257">
        <v>319188.19408288394</v>
      </c>
      <c r="I1257" s="257">
        <v>186049.12423359562</v>
      </c>
      <c r="J1257" s="257">
        <v>14170.641470438097</v>
      </c>
      <c r="K1257" s="257">
        <v>42342.325097117908</v>
      </c>
      <c r="L1257" s="257">
        <v>18728.510332031354</v>
      </c>
      <c r="M1257" s="257">
        <v>263.95245631858023</v>
      </c>
      <c r="N1257" s="257">
        <v>153.85319459724846</v>
      </c>
      <c r="O1257" s="257">
        <v>11.718402162333128</v>
      </c>
      <c r="P1257" s="257">
        <v>35.014956451434294</v>
      </c>
      <c r="Q1257" s="257">
        <v>15.487528664809943</v>
      </c>
      <c r="R1257" s="186"/>
      <c r="S1257" s="186"/>
      <c r="T1257" s="186"/>
      <c r="U1257" s="186"/>
      <c r="V1257" s="186"/>
      <c r="W1257" s="186"/>
      <c r="X1257" s="186"/>
      <c r="Y1257" s="186"/>
      <c r="Z1257" s="186"/>
      <c r="AA1257" s="186"/>
      <c r="AB1257" s="186"/>
      <c r="AC1257" s="186"/>
      <c r="AD1257" s="186"/>
      <c r="AE1257" s="186"/>
      <c r="AF1257" s="186"/>
      <c r="AG1257" s="186"/>
      <c r="AH1257" s="186"/>
      <c r="AI1257" s="186"/>
      <c r="AJ1257" s="186"/>
      <c r="AK1257" s="186"/>
      <c r="AL1257" s="186"/>
      <c r="AM1257" s="186"/>
      <c r="AN1257" s="186"/>
      <c r="AO1257" s="186"/>
      <c r="AP1257" s="186"/>
      <c r="AQ1257" s="186"/>
      <c r="AR1257" s="186"/>
      <c r="AS1257" s="186"/>
      <c r="AT1257" s="186"/>
      <c r="AU1257" s="186"/>
      <c r="AV1257" s="186"/>
      <c r="AW1257" s="186"/>
      <c r="AX1257" s="186"/>
      <c r="AY1257" s="186"/>
      <c r="AZ1257" s="186"/>
      <c r="BA1257" s="186"/>
      <c r="BB1257" s="186"/>
      <c r="BC1257" s="186"/>
      <c r="BD1257" s="186"/>
      <c r="BE1257" s="186"/>
      <c r="BF1257" s="186"/>
      <c r="BG1257" s="186"/>
      <c r="BH1257" s="186"/>
      <c r="BI1257" s="186"/>
      <c r="BJ1257" s="186"/>
    </row>
    <row r="1259" spans="1:62" ht="21">
      <c r="C1259" s="378" t="s">
        <v>169</v>
      </c>
      <c r="D1259" s="379"/>
      <c r="E1259" s="379"/>
      <c r="F1259" s="379"/>
      <c r="G1259" s="380"/>
      <c r="H1259" s="378" t="s">
        <v>170</v>
      </c>
      <c r="I1259" s="379"/>
      <c r="J1259" s="379"/>
      <c r="K1259" s="379"/>
      <c r="L1259" s="380"/>
      <c r="M1259" s="378" t="s">
        <v>171</v>
      </c>
      <c r="N1259" s="379"/>
      <c r="O1259" s="379"/>
      <c r="P1259" s="379"/>
      <c r="Q1259" s="380"/>
    </row>
    <row r="1260" spans="1:62" s="240" customFormat="1" ht="21">
      <c r="A1260" s="247" t="s">
        <v>177</v>
      </c>
      <c r="B1260" s="237"/>
      <c r="C1260" s="252" t="s">
        <v>30</v>
      </c>
      <c r="D1260" s="238" t="s">
        <v>6</v>
      </c>
      <c r="E1260" s="238" t="s">
        <v>279</v>
      </c>
      <c r="F1260" s="238" t="s">
        <v>280</v>
      </c>
      <c r="G1260" s="239" t="s">
        <v>72</v>
      </c>
      <c r="H1260" s="252" t="s">
        <v>117</v>
      </c>
      <c r="I1260" s="238" t="s">
        <v>118</v>
      </c>
      <c r="J1260" s="238" t="s">
        <v>174</v>
      </c>
      <c r="K1260" s="238" t="s">
        <v>175</v>
      </c>
      <c r="L1260" s="239" t="s">
        <v>176</v>
      </c>
      <c r="M1260" s="252" t="s">
        <v>30</v>
      </c>
      <c r="N1260" s="238" t="s">
        <v>6</v>
      </c>
      <c r="O1260" s="238" t="s">
        <v>279</v>
      </c>
      <c r="P1260" s="238" t="s">
        <v>280</v>
      </c>
      <c r="Q1260" s="239" t="s">
        <v>72</v>
      </c>
      <c r="R1260" s="253"/>
      <c r="S1260" s="253"/>
      <c r="T1260" s="253"/>
      <c r="U1260" s="253"/>
      <c r="V1260" s="253"/>
      <c r="W1260" s="253"/>
      <c r="X1260" s="253"/>
      <c r="Y1260" s="253"/>
      <c r="Z1260" s="253"/>
      <c r="AA1260" s="253"/>
      <c r="AB1260" s="253"/>
      <c r="AC1260" s="253"/>
      <c r="AD1260" s="253"/>
      <c r="AE1260" s="253"/>
      <c r="AF1260" s="253"/>
      <c r="AG1260" s="253"/>
      <c r="AH1260" s="253"/>
      <c r="AI1260" s="253"/>
      <c r="AJ1260" s="253"/>
      <c r="AK1260" s="253"/>
      <c r="AL1260" s="253"/>
      <c r="AM1260" s="253"/>
      <c r="AN1260" s="253"/>
      <c r="AO1260" s="253"/>
      <c r="AP1260" s="253"/>
      <c r="AQ1260" s="253"/>
      <c r="AR1260" s="253"/>
      <c r="AS1260" s="253"/>
      <c r="AT1260" s="253"/>
      <c r="AU1260" s="253"/>
      <c r="AV1260" s="253"/>
      <c r="AW1260" s="253"/>
      <c r="AX1260" s="253"/>
      <c r="AY1260" s="253"/>
      <c r="AZ1260" s="253"/>
      <c r="BA1260" s="253"/>
      <c r="BB1260" s="253"/>
      <c r="BC1260" s="253"/>
      <c r="BD1260" s="253"/>
      <c r="BE1260" s="253"/>
      <c r="BF1260" s="253"/>
      <c r="BG1260" s="253"/>
      <c r="BH1260" s="253"/>
      <c r="BI1260" s="253"/>
      <c r="BJ1260" s="253"/>
    </row>
    <row r="1261" spans="1:62">
      <c r="A1261" s="248">
        <f t="shared" ref="A1261:A1270" si="796">A1234</f>
        <v>1</v>
      </c>
      <c r="B1261" s="250" t="str">
        <f>CONCATENATE("Concept ", A1261)</f>
        <v>Concept 1</v>
      </c>
      <c r="C1261" s="194" t="e">
        <f t="shared" ref="C1261:C1270" si="797">VLOOKUP($A1261,CostperUnitTable,2)</f>
        <v>#REF!</v>
      </c>
      <c r="D1261" s="186" t="e">
        <f t="shared" ref="D1261:D1270" si="798">VLOOKUP($A1261,CostperUnitTable,3)</f>
        <v>#REF!</v>
      </c>
      <c r="E1261" s="186">
        <f t="shared" ref="E1261:E1270" si="799">VLOOKUP($A1261,CostperUnitTable,4)</f>
        <v>35840143.720307097</v>
      </c>
      <c r="F1261" s="186">
        <f t="shared" ref="F1261:F1270" si="800">VLOOKUP($A1261,CostperUnitTable,5)</f>
        <v>203326227.33936238</v>
      </c>
      <c r="G1261" s="186" t="e">
        <f t="shared" ref="G1261:G1270" si="801">VLOOKUP($A1261,CostperUnitTable,6)</f>
        <v>#REF!</v>
      </c>
      <c r="H1261" s="194">
        <f t="shared" ref="H1261:H1270" si="802">VLOOKUP($A1261,CostperUnitTable,7)</f>
        <v>59037.641812245754</v>
      </c>
      <c r="I1261" s="186">
        <f t="shared" ref="I1261:I1270" si="803">VLOOKUP($A1261,CostperUnitTable,8)</f>
        <v>204296.59205920692</v>
      </c>
      <c r="J1261" s="186">
        <f t="shared" ref="J1261:J1270" si="804">VLOOKUP($A1261,CostperUnitTable,9)</f>
        <v>8960.0359300767741</v>
      </c>
      <c r="K1261" s="186">
        <f t="shared" ref="K1261:K1270" si="805">VLOOKUP($A1261,CostperUnitTable,10)</f>
        <v>50831.556834840594</v>
      </c>
      <c r="L1261" s="195">
        <f t="shared" ref="L1261:L1270" si="806">VLOOKUP($A1261,CostperUnitTable,11)</f>
        <v>20186.140396714094</v>
      </c>
      <c r="M1261" s="186">
        <f t="shared" ref="M1261:M1270" si="807">VLOOKUP($A1261,CostperUnitTable,12)</f>
        <v>27.176340997401883</v>
      </c>
      <c r="N1261" s="186">
        <f t="shared" ref="N1261:N1270" si="808">VLOOKUP($A1261,CostperUnitTable,13)</f>
        <v>94.042269982004839</v>
      </c>
      <c r="O1261" s="186">
        <f t="shared" ref="O1261:O1270" si="809">VLOOKUP($A1261,CostperUnitTable,14)</f>
        <v>4.1245040335305481</v>
      </c>
      <c r="P1261" s="186">
        <f t="shared" ref="P1261:P1270" si="810">VLOOKUP($A1261,CostperUnitTable,15)</f>
        <v>23.39889737408016</v>
      </c>
      <c r="Q1261" s="195">
        <f t="shared" ref="Q1261:Q1270" si="811">VLOOKUP($A1261,CostperUnitTable,16)</f>
        <v>9.2921298683841123</v>
      </c>
      <c r="R1261" s="186"/>
      <c r="S1261" s="186"/>
      <c r="T1261" s="186"/>
      <c r="U1261" s="186"/>
      <c r="V1261" s="186"/>
      <c r="W1261" s="186"/>
      <c r="X1261" s="186"/>
      <c r="Y1261" s="186"/>
      <c r="Z1261" s="186"/>
      <c r="AA1261" s="186"/>
      <c r="AB1261" s="186"/>
      <c r="AC1261" s="186"/>
      <c r="AD1261" s="186"/>
      <c r="AE1261" s="186"/>
      <c r="AF1261" s="186"/>
      <c r="AG1261" s="186"/>
      <c r="AH1261" s="186"/>
      <c r="AI1261" s="186"/>
      <c r="AJ1261" s="186"/>
      <c r="AK1261" s="186"/>
      <c r="AL1261" s="186"/>
      <c r="AM1261" s="186"/>
      <c r="AN1261" s="186"/>
      <c r="AO1261" s="186"/>
      <c r="AP1261" s="186"/>
      <c r="AQ1261" s="186"/>
      <c r="AR1261" s="186"/>
      <c r="AS1261" s="186"/>
      <c r="AT1261" s="186"/>
      <c r="AU1261" s="186"/>
      <c r="AV1261" s="186"/>
      <c r="AW1261" s="186"/>
      <c r="AX1261" s="186"/>
      <c r="AY1261" s="186"/>
      <c r="AZ1261" s="186"/>
      <c r="BA1261" s="186"/>
      <c r="BB1261" s="186"/>
      <c r="BC1261" s="186"/>
      <c r="BD1261" s="186"/>
      <c r="BE1261" s="186"/>
      <c r="BF1261" s="186"/>
      <c r="BG1261" s="186"/>
      <c r="BH1261" s="186"/>
      <c r="BI1261" s="186"/>
      <c r="BJ1261" s="186"/>
    </row>
    <row r="1262" spans="1:62">
      <c r="A1262" s="248">
        <f t="shared" si="796"/>
        <v>2</v>
      </c>
      <c r="B1262" s="250" t="str">
        <f t="shared" ref="B1262:B1270" si="812">CONCATENATE("Concept ", A1262)</f>
        <v>Concept 2</v>
      </c>
      <c r="C1262" s="194">
        <f t="shared" si="797"/>
        <v>148732169.66643324</v>
      </c>
      <c r="D1262" s="186">
        <f t="shared" si="798"/>
        <v>401731339.08797181</v>
      </c>
      <c r="E1262" s="186">
        <f t="shared" si="799"/>
        <v>29953110.729134198</v>
      </c>
      <c r="F1262" s="186">
        <f t="shared" si="800"/>
        <v>184199442.17640114</v>
      </c>
      <c r="G1262" s="186">
        <f t="shared" si="801"/>
        <v>145268652.37393826</v>
      </c>
      <c r="H1262" s="194">
        <f t="shared" si="802"/>
        <v>37183.04241660831</v>
      </c>
      <c r="I1262" s="186">
        <f t="shared" si="803"/>
        <v>100432.83477199296</v>
      </c>
      <c r="J1262" s="186">
        <f t="shared" si="804"/>
        <v>7488.2776822835494</v>
      </c>
      <c r="K1262" s="186">
        <f t="shared" si="805"/>
        <v>46049.860544100287</v>
      </c>
      <c r="L1262" s="195">
        <f t="shared" si="806"/>
        <v>36317.163093484567</v>
      </c>
      <c r="M1262" s="186">
        <f t="shared" si="807"/>
        <v>21.259051420459443</v>
      </c>
      <c r="N1262" s="186">
        <f t="shared" si="808"/>
        <v>57.421519594820225</v>
      </c>
      <c r="O1262" s="186">
        <f t="shared" si="809"/>
        <v>4.2813516579600499</v>
      </c>
      <c r="P1262" s="186">
        <f t="shared" si="810"/>
        <v>26.328570487678583</v>
      </c>
      <c r="Q1262" s="195">
        <f t="shared" si="811"/>
        <v>20.763993139645439</v>
      </c>
      <c r="R1262" s="186"/>
      <c r="S1262" s="186"/>
      <c r="T1262" s="186"/>
      <c r="U1262" s="186"/>
      <c r="V1262" s="186"/>
      <c r="W1262" s="186"/>
      <c r="X1262" s="186"/>
      <c r="Y1262" s="186"/>
      <c r="Z1262" s="186"/>
      <c r="AA1262" s="186"/>
      <c r="AB1262" s="186"/>
      <c r="AC1262" s="186"/>
      <c r="AD1262" s="186"/>
      <c r="AE1262" s="186"/>
      <c r="AF1262" s="186"/>
      <c r="AG1262" s="186"/>
      <c r="AH1262" s="186"/>
      <c r="AI1262" s="186"/>
      <c r="AJ1262" s="186"/>
      <c r="AK1262" s="186"/>
      <c r="AL1262" s="186"/>
      <c r="AM1262" s="186"/>
      <c r="AN1262" s="186"/>
      <c r="AO1262" s="186"/>
      <c r="AP1262" s="186"/>
      <c r="AQ1262" s="186"/>
      <c r="AR1262" s="186"/>
      <c r="AS1262" s="186"/>
      <c r="AT1262" s="186"/>
      <c r="AU1262" s="186"/>
      <c r="AV1262" s="186"/>
      <c r="AW1262" s="186"/>
      <c r="AX1262" s="186"/>
      <c r="AY1262" s="186"/>
      <c r="AZ1262" s="186"/>
      <c r="BA1262" s="186"/>
      <c r="BB1262" s="186"/>
      <c r="BC1262" s="186"/>
      <c r="BD1262" s="186"/>
      <c r="BE1262" s="186"/>
      <c r="BF1262" s="186"/>
      <c r="BG1262" s="186"/>
      <c r="BH1262" s="186"/>
      <c r="BI1262" s="186"/>
      <c r="BJ1262" s="186"/>
    </row>
    <row r="1263" spans="1:62">
      <c r="A1263" s="248">
        <f t="shared" si="796"/>
        <v>3</v>
      </c>
      <c r="B1263" s="250" t="str">
        <f t="shared" si="812"/>
        <v>Concept 3</v>
      </c>
      <c r="C1263" s="194">
        <f t="shared" si="797"/>
        <v>1468686102.3809173</v>
      </c>
      <c r="D1263" s="186">
        <f t="shared" si="798"/>
        <v>773064604.44946909</v>
      </c>
      <c r="E1263" s="186">
        <f t="shared" si="799"/>
        <v>64220115.723463491</v>
      </c>
      <c r="F1263" s="186">
        <f t="shared" si="800"/>
        <v>194603369.23350054</v>
      </c>
      <c r="G1263" s="186">
        <f t="shared" si="801"/>
        <v>73113891.138004333</v>
      </c>
      <c r="H1263" s="194">
        <f t="shared" si="802"/>
        <v>367171.52559522935</v>
      </c>
      <c r="I1263" s="186">
        <f t="shared" si="803"/>
        <v>193266.15111236728</v>
      </c>
      <c r="J1263" s="186">
        <f t="shared" si="804"/>
        <v>16055.028930865872</v>
      </c>
      <c r="K1263" s="186">
        <f t="shared" si="805"/>
        <v>48650.842308375133</v>
      </c>
      <c r="L1263" s="195">
        <f t="shared" si="806"/>
        <v>18278.472784501082</v>
      </c>
      <c r="M1263" s="186">
        <f t="shared" si="807"/>
        <v>262.44324307761775</v>
      </c>
      <c r="N1263" s="186">
        <f t="shared" si="808"/>
        <v>138.14087405833857</v>
      </c>
      <c r="O1263" s="186">
        <f t="shared" si="809"/>
        <v>11.47565529078207</v>
      </c>
      <c r="P1263" s="186">
        <f t="shared" si="810"/>
        <v>34.774169410792787</v>
      </c>
      <c r="Q1263" s="195">
        <f t="shared" si="811"/>
        <v>13.064906567288469</v>
      </c>
      <c r="R1263" s="186"/>
      <c r="S1263" s="186"/>
      <c r="T1263" s="186"/>
      <c r="U1263" s="186"/>
      <c r="V1263" s="186"/>
      <c r="W1263" s="186"/>
      <c r="X1263" s="186"/>
      <c r="Y1263" s="186"/>
      <c r="Z1263" s="186"/>
      <c r="AA1263" s="186"/>
      <c r="AB1263" s="186"/>
      <c r="AC1263" s="186"/>
      <c r="AD1263" s="186"/>
      <c r="AE1263" s="186"/>
      <c r="AF1263" s="186"/>
      <c r="AG1263" s="186"/>
      <c r="AH1263" s="186"/>
      <c r="AI1263" s="186"/>
      <c r="AJ1263" s="186"/>
      <c r="AK1263" s="186"/>
      <c r="AL1263" s="186"/>
      <c r="AM1263" s="186"/>
      <c r="AN1263" s="186"/>
      <c r="AO1263" s="186"/>
      <c r="AP1263" s="186"/>
      <c r="AQ1263" s="186"/>
      <c r="AR1263" s="186"/>
      <c r="AS1263" s="186"/>
      <c r="AT1263" s="186"/>
      <c r="AU1263" s="186"/>
      <c r="AV1263" s="186"/>
      <c r="AW1263" s="186"/>
      <c r="AX1263" s="186"/>
      <c r="AY1263" s="186"/>
      <c r="AZ1263" s="186"/>
      <c r="BA1263" s="186"/>
      <c r="BB1263" s="186"/>
      <c r="BC1263" s="186"/>
      <c r="BD1263" s="186"/>
      <c r="BE1263" s="186"/>
      <c r="BF1263" s="186"/>
      <c r="BG1263" s="186"/>
      <c r="BH1263" s="186"/>
      <c r="BI1263" s="186"/>
      <c r="BJ1263" s="186"/>
    </row>
    <row r="1264" spans="1:62">
      <c r="A1264" s="248">
        <f t="shared" si="796"/>
        <v>4</v>
      </c>
      <c r="B1264" s="250" t="str">
        <f t="shared" si="812"/>
        <v>Concept 4</v>
      </c>
      <c r="C1264" s="194">
        <f t="shared" si="797"/>
        <v>1182441262.9281545</v>
      </c>
      <c r="D1264" s="186">
        <f t="shared" si="798"/>
        <v>489532457.99521613</v>
      </c>
      <c r="E1264" s="186">
        <f t="shared" si="799"/>
        <v>67489773.795883745</v>
      </c>
      <c r="F1264" s="186">
        <f t="shared" si="800"/>
        <v>194342382.00264773</v>
      </c>
      <c r="G1264" s="186">
        <f t="shared" si="801"/>
        <v>148168086.75480574</v>
      </c>
      <c r="H1264" s="194">
        <f t="shared" si="802"/>
        <v>295610.31573203864</v>
      </c>
      <c r="I1264" s="186">
        <f t="shared" si="803"/>
        <v>122383.11449880403</v>
      </c>
      <c r="J1264" s="186">
        <f t="shared" si="804"/>
        <v>16872.443448970935</v>
      </c>
      <c r="K1264" s="186">
        <f t="shared" si="805"/>
        <v>48585.595500661933</v>
      </c>
      <c r="L1264" s="195">
        <f t="shared" si="806"/>
        <v>37042.021688701439</v>
      </c>
      <c r="M1264" s="186">
        <f t="shared" si="807"/>
        <v>199.32750904664073</v>
      </c>
      <c r="N1264" s="186">
        <f t="shared" si="808"/>
        <v>82.52188798624033</v>
      </c>
      <c r="O1264" s="186">
        <f t="shared" si="809"/>
        <v>11.376944393450295</v>
      </c>
      <c r="P1264" s="186">
        <f t="shared" si="810"/>
        <v>32.760851740618079</v>
      </c>
      <c r="Q1264" s="195">
        <f t="shared" si="811"/>
        <v>24.977118592686057</v>
      </c>
      <c r="R1264" s="186"/>
      <c r="S1264" s="186"/>
      <c r="T1264" s="186"/>
      <c r="U1264" s="186"/>
      <c r="V1264" s="186"/>
      <c r="W1264" s="186"/>
      <c r="X1264" s="186"/>
      <c r="Y1264" s="186"/>
      <c r="Z1264" s="186"/>
      <c r="AA1264" s="186"/>
      <c r="AB1264" s="186"/>
      <c r="AC1264" s="186"/>
      <c r="AD1264" s="186"/>
      <c r="AE1264" s="186"/>
      <c r="AF1264" s="186"/>
      <c r="AG1264" s="186"/>
      <c r="AH1264" s="186"/>
      <c r="AI1264" s="186"/>
      <c r="AJ1264" s="186"/>
      <c r="AK1264" s="186"/>
      <c r="AL1264" s="186"/>
      <c r="AM1264" s="186"/>
      <c r="AN1264" s="186"/>
      <c r="AO1264" s="186"/>
      <c r="AP1264" s="186"/>
      <c r="AQ1264" s="186"/>
      <c r="AR1264" s="186"/>
      <c r="AS1264" s="186"/>
      <c r="AT1264" s="186"/>
      <c r="AU1264" s="186"/>
      <c r="AV1264" s="186"/>
      <c r="AW1264" s="186"/>
      <c r="AX1264" s="186"/>
      <c r="AY1264" s="186"/>
      <c r="AZ1264" s="186"/>
      <c r="BA1264" s="186"/>
      <c r="BB1264" s="186"/>
      <c r="BC1264" s="186"/>
      <c r="BD1264" s="186"/>
      <c r="BE1264" s="186"/>
      <c r="BF1264" s="186"/>
      <c r="BG1264" s="186"/>
      <c r="BH1264" s="186"/>
      <c r="BI1264" s="186"/>
      <c r="BJ1264" s="186"/>
    </row>
    <row r="1265" spans="1:62">
      <c r="A1265" s="248">
        <f t="shared" si="796"/>
        <v>5</v>
      </c>
      <c r="B1265" s="250" t="str">
        <f t="shared" si="812"/>
        <v>Concept 5</v>
      </c>
      <c r="C1265" s="194">
        <f t="shared" si="797"/>
        <v>1468686102.3809173</v>
      </c>
      <c r="D1265" s="186">
        <f t="shared" si="798"/>
        <v>219243619.71121037</v>
      </c>
      <c r="E1265" s="186">
        <f t="shared" si="799"/>
        <v>64220115.723463491</v>
      </c>
      <c r="F1265" s="186">
        <f t="shared" si="800"/>
        <v>101827261.78613466</v>
      </c>
      <c r="G1265" s="186">
        <f t="shared" si="801"/>
        <v>64110364.311337672</v>
      </c>
      <c r="H1265" s="194">
        <f t="shared" si="802"/>
        <v>367171.52559522935</v>
      </c>
      <c r="I1265" s="186">
        <f t="shared" si="803"/>
        <v>54810.904927802592</v>
      </c>
      <c r="J1265" s="186">
        <f t="shared" si="804"/>
        <v>16055.028930865872</v>
      </c>
      <c r="K1265" s="186">
        <f t="shared" si="805"/>
        <v>25456.815446533667</v>
      </c>
      <c r="L1265" s="195">
        <f t="shared" si="806"/>
        <v>16027.591077834419</v>
      </c>
      <c r="M1265" s="186">
        <f t="shared" si="807"/>
        <v>262.44324307761775</v>
      </c>
      <c r="N1265" s="186">
        <f t="shared" si="808"/>
        <v>39.177198237123847</v>
      </c>
      <c r="O1265" s="186">
        <f t="shared" si="809"/>
        <v>11.47565529078207</v>
      </c>
      <c r="P1265" s="186">
        <f t="shared" si="810"/>
        <v>18.195771563129881</v>
      </c>
      <c r="Q1265" s="195">
        <f t="shared" si="811"/>
        <v>11.456043532705275</v>
      </c>
      <c r="R1265" s="186"/>
      <c r="S1265" s="186"/>
      <c r="T1265" s="186"/>
      <c r="U1265" s="186"/>
      <c r="V1265" s="186"/>
      <c r="W1265" s="186"/>
      <c r="X1265" s="186"/>
      <c r="Y1265" s="186"/>
      <c r="Z1265" s="186"/>
      <c r="AA1265" s="186"/>
      <c r="AB1265" s="186"/>
      <c r="AC1265" s="186"/>
      <c r="AD1265" s="186"/>
      <c r="AE1265" s="186"/>
      <c r="AF1265" s="186"/>
      <c r="AG1265" s="186"/>
      <c r="AH1265" s="186"/>
      <c r="AI1265" s="186"/>
      <c r="AJ1265" s="186"/>
      <c r="AK1265" s="186"/>
      <c r="AL1265" s="186"/>
      <c r="AM1265" s="186"/>
      <c r="AN1265" s="186"/>
      <c r="AO1265" s="186"/>
      <c r="AP1265" s="186"/>
      <c r="AQ1265" s="186"/>
      <c r="AR1265" s="186"/>
      <c r="AS1265" s="186"/>
      <c r="AT1265" s="186"/>
      <c r="AU1265" s="186"/>
      <c r="AV1265" s="186"/>
      <c r="AW1265" s="186"/>
      <c r="AX1265" s="186"/>
      <c r="AY1265" s="186"/>
      <c r="AZ1265" s="186"/>
      <c r="BA1265" s="186"/>
      <c r="BB1265" s="186"/>
      <c r="BC1265" s="186"/>
      <c r="BD1265" s="186"/>
      <c r="BE1265" s="186"/>
      <c r="BF1265" s="186"/>
      <c r="BG1265" s="186"/>
      <c r="BH1265" s="186"/>
      <c r="BI1265" s="186"/>
      <c r="BJ1265" s="186"/>
    </row>
    <row r="1266" spans="1:62" s="201" customFormat="1">
      <c r="A1266" s="248">
        <f t="shared" si="796"/>
        <v>6</v>
      </c>
      <c r="B1266" s="250" t="str">
        <f t="shared" si="812"/>
        <v>Concept 6</v>
      </c>
      <c r="C1266" s="194">
        <f t="shared" si="797"/>
        <v>148769847.33109486</v>
      </c>
      <c r="D1266" s="186">
        <f t="shared" si="798"/>
        <v>401808407.67412645</v>
      </c>
      <c r="E1266" s="186">
        <f t="shared" si="799"/>
        <v>30269816.05428065</v>
      </c>
      <c r="F1266" s="186">
        <f t="shared" si="800"/>
        <v>185715650.45668852</v>
      </c>
      <c r="G1266" s="186">
        <f t="shared" si="801"/>
        <v>145270672.82581574</v>
      </c>
      <c r="H1266" s="194">
        <f t="shared" si="802"/>
        <v>37192.461832773712</v>
      </c>
      <c r="I1266" s="186">
        <f t="shared" si="803"/>
        <v>100452.10191853161</v>
      </c>
      <c r="J1266" s="186">
        <f t="shared" si="804"/>
        <v>7567.4540135701627</v>
      </c>
      <c r="K1266" s="186">
        <f t="shared" si="805"/>
        <v>46428.912614172128</v>
      </c>
      <c r="L1266" s="195">
        <f t="shared" si="806"/>
        <v>36317.668206453935</v>
      </c>
      <c r="M1266" s="186">
        <f t="shared" si="807"/>
        <v>20.995961424487334</v>
      </c>
      <c r="N1266" s="186">
        <f t="shared" si="808"/>
        <v>56.707417389392788</v>
      </c>
      <c r="O1266" s="186">
        <f t="shared" si="809"/>
        <v>4.2719939665432918</v>
      </c>
      <c r="P1266" s="186">
        <f t="shared" si="810"/>
        <v>26.210140716446141</v>
      </c>
      <c r="Q1266" s="195">
        <f t="shared" si="811"/>
        <v>20.502121212586854</v>
      </c>
    </row>
    <row r="1267" spans="1:62">
      <c r="A1267" s="248">
        <f t="shared" si="796"/>
        <v>7</v>
      </c>
      <c r="B1267" s="250" t="str">
        <f t="shared" si="812"/>
        <v>Concept 7</v>
      </c>
      <c r="C1267" s="194">
        <f t="shared" si="797"/>
        <v>1408580725.1904728</v>
      </c>
      <c r="D1267" s="186">
        <f t="shared" si="798"/>
        <v>117470781.99838519</v>
      </c>
      <c r="E1267" s="186">
        <f t="shared" si="799"/>
        <v>64201422.440143839</v>
      </c>
      <c r="F1267" s="186">
        <f t="shared" si="800"/>
        <v>101827261.78613466</v>
      </c>
      <c r="G1267" s="186">
        <f t="shared" si="801"/>
        <v>64110364.311337672</v>
      </c>
      <c r="H1267" s="194">
        <f t="shared" si="802"/>
        <v>352145.1812976182</v>
      </c>
      <c r="I1267" s="186">
        <f t="shared" si="803"/>
        <v>29367.695499596299</v>
      </c>
      <c r="J1267" s="186">
        <f t="shared" si="804"/>
        <v>16050.35561003596</v>
      </c>
      <c r="K1267" s="186">
        <f t="shared" si="805"/>
        <v>25456.815446533667</v>
      </c>
      <c r="L1267" s="195">
        <f t="shared" si="806"/>
        <v>16027.591077834419</v>
      </c>
      <c r="M1267" s="186">
        <f t="shared" si="807"/>
        <v>251.78867734082763</v>
      </c>
      <c r="N1267" s="186">
        <f t="shared" si="808"/>
        <v>20.998308649698799</v>
      </c>
      <c r="O1267" s="186">
        <f t="shared" si="809"/>
        <v>11.476226353599749</v>
      </c>
      <c r="P1267" s="186">
        <f t="shared" si="810"/>
        <v>18.201975296021512</v>
      </c>
      <c r="Q1267" s="195">
        <f t="shared" si="811"/>
        <v>11.459949398077633</v>
      </c>
    </row>
    <row r="1268" spans="1:62">
      <c r="A1268" s="248">
        <f t="shared" si="796"/>
        <v>8</v>
      </c>
      <c r="B1268" s="250" t="str">
        <f t="shared" si="812"/>
        <v>Concept 8</v>
      </c>
      <c r="C1268" s="194">
        <f t="shared" si="797"/>
        <v>1051498666.9034307</v>
      </c>
      <c r="D1268" s="186">
        <f t="shared" si="798"/>
        <v>101969857.95038006</v>
      </c>
      <c r="E1268" s="186">
        <f t="shared" si="799"/>
        <v>67489773.795883745</v>
      </c>
      <c r="F1268" s="186">
        <f t="shared" si="800"/>
        <v>101690003.39136942</v>
      </c>
      <c r="G1268" s="186">
        <f t="shared" si="801"/>
        <v>17616947.768139075</v>
      </c>
      <c r="H1268" s="194">
        <f t="shared" si="802"/>
        <v>262874.66672585765</v>
      </c>
      <c r="I1268" s="186">
        <f t="shared" si="803"/>
        <v>25492.464487595014</v>
      </c>
      <c r="J1268" s="186">
        <f t="shared" si="804"/>
        <v>16872.443448970935</v>
      </c>
      <c r="K1268" s="186">
        <f t="shared" si="805"/>
        <v>25422.500847842355</v>
      </c>
      <c r="L1268" s="195">
        <f t="shared" si="806"/>
        <v>4404.2369420347686</v>
      </c>
      <c r="M1268" s="186">
        <f t="shared" si="807"/>
        <v>177.25414074327608</v>
      </c>
      <c r="N1268" s="186">
        <f t="shared" si="808"/>
        <v>17.189350896598427</v>
      </c>
      <c r="O1268" s="186">
        <f t="shared" si="809"/>
        <v>11.376944393450295</v>
      </c>
      <c r="P1268" s="186">
        <f t="shared" si="810"/>
        <v>17.142175012356365</v>
      </c>
      <c r="Q1268" s="195">
        <f t="shared" si="811"/>
        <v>2.9697393229766718</v>
      </c>
    </row>
    <row r="1269" spans="1:62">
      <c r="A1269" s="248">
        <f t="shared" si="796"/>
        <v>9</v>
      </c>
      <c r="B1269" s="250" t="str">
        <f t="shared" si="812"/>
        <v>Concept 9</v>
      </c>
      <c r="C1269" s="194">
        <f t="shared" si="797"/>
        <v>1734713254.4535322</v>
      </c>
      <c r="D1269" s="186">
        <f t="shared" si="798"/>
        <v>470844200.53920484</v>
      </c>
      <c r="E1269" s="186">
        <f t="shared" si="799"/>
        <v>75390485.72206521</v>
      </c>
      <c r="F1269" s="186">
        <f t="shared" si="800"/>
        <v>256458881.19810349</v>
      </c>
      <c r="G1269" s="186">
        <f t="shared" si="801"/>
        <v>74571989.314750105</v>
      </c>
      <c r="H1269" s="194">
        <f t="shared" si="802"/>
        <v>433678.31361338304</v>
      </c>
      <c r="I1269" s="186">
        <f t="shared" si="803"/>
        <v>117711.0501348012</v>
      </c>
      <c r="J1269" s="186">
        <f t="shared" si="804"/>
        <v>18847.621430516301</v>
      </c>
      <c r="K1269" s="186">
        <f t="shared" si="805"/>
        <v>64114.72029952587</v>
      </c>
      <c r="L1269" s="195">
        <f t="shared" si="806"/>
        <v>18642.997328687525</v>
      </c>
      <c r="M1269" s="186">
        <f t="shared" si="807"/>
        <v>256.38262348116666</v>
      </c>
      <c r="N1269" s="186">
        <f t="shared" si="808"/>
        <v>69.588602655348836</v>
      </c>
      <c r="O1269" s="186">
        <f t="shared" si="809"/>
        <v>11.142366304817024</v>
      </c>
      <c r="P1269" s="186">
        <f t="shared" si="810"/>
        <v>37.903440587549802</v>
      </c>
      <c r="Q1269" s="195">
        <f t="shared" si="811"/>
        <v>11.021396308376048</v>
      </c>
    </row>
    <row r="1270" spans="1:62">
      <c r="A1270" s="249">
        <f t="shared" si="796"/>
        <v>10</v>
      </c>
      <c r="B1270" s="263" t="str">
        <f t="shared" si="812"/>
        <v>Concept 10</v>
      </c>
      <c r="C1270" s="166">
        <f t="shared" si="797"/>
        <v>1276752776.3315358</v>
      </c>
      <c r="D1270" s="167">
        <f t="shared" si="798"/>
        <v>744196496.93438244</v>
      </c>
      <c r="E1270" s="167">
        <f t="shared" si="799"/>
        <v>56682565.881752387</v>
      </c>
      <c r="F1270" s="167">
        <f t="shared" si="800"/>
        <v>169369300.38847163</v>
      </c>
      <c r="G1270" s="167">
        <f t="shared" si="801"/>
        <v>74914041.328125417</v>
      </c>
      <c r="H1270" s="166">
        <f t="shared" si="802"/>
        <v>319188.19408288394</v>
      </c>
      <c r="I1270" s="167">
        <f t="shared" si="803"/>
        <v>186049.12423359562</v>
      </c>
      <c r="J1270" s="167">
        <f t="shared" si="804"/>
        <v>14170.641470438097</v>
      </c>
      <c r="K1270" s="167">
        <f t="shared" si="805"/>
        <v>42342.325097117908</v>
      </c>
      <c r="L1270" s="198">
        <f t="shared" si="806"/>
        <v>18728.510332031354</v>
      </c>
      <c r="M1270" s="167">
        <f t="shared" si="807"/>
        <v>263.95245631858023</v>
      </c>
      <c r="N1270" s="167">
        <f t="shared" si="808"/>
        <v>153.85319459724846</v>
      </c>
      <c r="O1270" s="167">
        <f t="shared" si="809"/>
        <v>11.718402162333128</v>
      </c>
      <c r="P1270" s="167">
        <f t="shared" si="810"/>
        <v>35.014956451434294</v>
      </c>
      <c r="Q1270" s="198">
        <f t="shared" si="811"/>
        <v>15.487528664809943</v>
      </c>
    </row>
    <row r="1271" spans="1:62">
      <c r="A1271" s="264" t="s">
        <v>220</v>
      </c>
      <c r="C1271" s="204" t="e">
        <f>SUM(C1248:G1248)</f>
        <v>#REF!</v>
      </c>
    </row>
    <row r="1272" spans="1:62">
      <c r="A1272" s="264" t="s">
        <v>221</v>
      </c>
      <c r="C1272" s="204">
        <f t="shared" ref="C1272:C1273" si="813">SUM(C1249:G1249)</f>
        <v>909884714.03387856</v>
      </c>
    </row>
    <row r="1273" spans="1:62">
      <c r="A1273" s="264" t="s">
        <v>222</v>
      </c>
      <c r="C1273" s="204">
        <f t="shared" si="813"/>
        <v>2573688082.9253545</v>
      </c>
    </row>
    <row r="1274" spans="1:62">
      <c r="A1274" s="264" t="s">
        <v>223</v>
      </c>
    </row>
    <row r="1275" spans="1:62">
      <c r="A1275" s="264" t="s">
        <v>224</v>
      </c>
    </row>
    <row r="1276" spans="1:62">
      <c r="A1276" s="264" t="s">
        <v>225</v>
      </c>
    </row>
    <row r="1277" spans="1:62">
      <c r="A1277" s="264" t="s">
        <v>226</v>
      </c>
    </row>
    <row r="1278" spans="1:62">
      <c r="A1278" s="264" t="s">
        <v>227</v>
      </c>
    </row>
    <row r="1279" spans="1:62">
      <c r="A1279" s="264" t="s">
        <v>228</v>
      </c>
    </row>
    <row r="1280" spans="1:62">
      <c r="A1280" s="264" t="s">
        <v>229</v>
      </c>
    </row>
  </sheetData>
  <mergeCells count="6">
    <mergeCell ref="C1245:G1245"/>
    <mergeCell ref="H1245:L1245"/>
    <mergeCell ref="M1245:Q1245"/>
    <mergeCell ref="C1259:G1259"/>
    <mergeCell ref="H1259:L1259"/>
    <mergeCell ref="M1259:Q1259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Dashboard</vt:lpstr>
      <vt:lpstr>Scatterplot</vt:lpstr>
      <vt:lpstr>Requirements</vt:lpstr>
      <vt:lpstr>Concept Database</vt:lpstr>
      <vt:lpstr>TOPSIS</vt:lpstr>
      <vt:lpstr>Data_ProdSched</vt:lpstr>
      <vt:lpstr>Data_CashFlow</vt:lpstr>
      <vt:lpstr>C_1</vt:lpstr>
      <vt:lpstr>C_2</vt:lpstr>
      <vt:lpstr>C_3</vt:lpstr>
      <vt:lpstr>CashFlowTable</vt:lpstr>
      <vt:lpstr>COMPLEXITY_WEIGHT</vt:lpstr>
      <vt:lpstr>CostperUnitTable</vt:lpstr>
      <vt:lpstr>CumCashFlowTable</vt:lpstr>
      <vt:lpstr>CumProdSchedTable</vt:lpstr>
      <vt:lpstr>MANUFACT_WEIGHT</vt:lpstr>
      <vt:lpstr>MOBILITY_WEIGHT</vt:lpstr>
      <vt:lpstr>ProdMetricsTable</vt:lpstr>
      <vt:lpstr>ProdSchedTable</vt:lpstr>
      <vt:lpstr>R_1</vt:lpstr>
      <vt:lpstr>R_2</vt:lpstr>
      <vt:lpstr>R_3</vt:lpstr>
      <vt:lpstr>SURVIVABILITY_WEIGHT</vt:lpstr>
      <vt:lpstr>TRANSPORTABILITY_WEIGHT</vt:lpstr>
    </vt:vector>
  </TitlesOfParts>
  <Company>ASDL, Georgia Tech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vkim</dc:creator>
  <cp:lastModifiedBy>jceisel</cp:lastModifiedBy>
  <dcterms:created xsi:type="dcterms:W3CDTF">2011-06-07T16:14:58Z</dcterms:created>
  <dcterms:modified xsi:type="dcterms:W3CDTF">2011-06-23T16:52:05Z</dcterms:modified>
</cp:coreProperties>
</file>